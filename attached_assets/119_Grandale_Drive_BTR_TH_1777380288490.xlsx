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atalystcp-my.sharepoint.com/personal/analyst_catalystcp_com/Documents/Analyst Database - Uploaded/119 Grandle Drive/"/>
    </mc:Choice>
  </mc:AlternateContent>
  <xr:revisionPtr revIDLastSave="230" documentId="8_{4A694B71-F0BC-4387-BC52-8B5865D09F23}" xr6:coauthVersionLast="47" xr6:coauthVersionMax="47" xr10:uidLastSave="{7D7A58E5-62BC-423C-8B89-C64ACFDB06BB}"/>
  <bookViews>
    <workbookView xWindow="-108" yWindow="-108" windowWidth="23256" windowHeight="12456" xr2:uid="{1FBF3EEB-554F-4B6D-9829-CE2F719AA780}"/>
  </bookViews>
  <sheets>
    <sheet name="Global" sheetId="1" r:id="rId1"/>
    <sheet name="Unit Mix_vm" sheetId="38" r:id="rId2"/>
    <sheet name="Budget_vm" sheetId="35" r:id="rId3"/>
    <sheet name="Pro-Forma_vm" sheetId="39" r:id="rId4"/>
    <sheet name="&gt;&gt; Full Model &gt;&gt;" sheetId="37" state="hidden" r:id="rId5"/>
    <sheet name="&gt;&gt; Reforecast + Dispo &gt;&gt; " sheetId="42" state="hidden" r:id="rId6"/>
    <sheet name="Reforecast" sheetId="43" state="hidden" r:id="rId7"/>
    <sheet name="Dispo - Deal Waterfall" sheetId="44" state="hidden" r:id="rId8"/>
    <sheet name="Dispo - SRIF I Waterfall" sheetId="45" state="hidden" r:id="rId9"/>
    <sheet name="SOFR - Reforecast" sheetId="47" state="hidden" r:id="rId10"/>
  </sheets>
  <definedNames>
    <definedName name="_xlnm.Print_Area" localSheetId="3">'Pro-Forma_vm'!$B$6:$D$42</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 i="39" l="1"/>
  <c r="O9" i="39"/>
  <c r="O8" i="39"/>
  <c r="S10" i="39"/>
  <c r="T10" i="39" s="1"/>
  <c r="R10" i="39"/>
  <c r="S9" i="39"/>
  <c r="T9" i="39" s="1"/>
  <c r="R9" i="39"/>
  <c r="R8" i="39"/>
  <c r="S8" i="39"/>
  <c r="T8" i="39" s="1"/>
  <c r="R32" i="38"/>
  <c r="Q32" i="38"/>
  <c r="R23" i="38"/>
  <c r="Q23" i="38"/>
  <c r="M17" i="39"/>
  <c r="Q67" i="35" l="1"/>
  <c r="P69" i="35"/>
  <c r="P68" i="35"/>
  <c r="P67" i="35"/>
  <c r="N67" i="35"/>
  <c r="M69" i="35"/>
  <c r="M68" i="35"/>
  <c r="M67" i="35"/>
  <c r="G9" i="38"/>
  <c r="N69" i="35" s="1"/>
  <c r="Q69" i="35" s="1"/>
  <c r="G8" i="38"/>
  <c r="N68" i="35" s="1"/>
  <c r="G7" i="38"/>
  <c r="O32" i="38"/>
  <c r="S31" i="38"/>
  <c r="S30" i="38"/>
  <c r="S29" i="38"/>
  <c r="S28" i="38"/>
  <c r="S27" i="38"/>
  <c r="O23" i="38"/>
  <c r="S22" i="38"/>
  <c r="S21" i="38"/>
  <c r="S20" i="38"/>
  <c r="S19" i="38"/>
  <c r="S18" i="38"/>
  <c r="M56" i="39"/>
  <c r="M55" i="39"/>
  <c r="L54" i="39"/>
  <c r="Q68" i="35" l="1"/>
  <c r="Q70" i="35" s="1"/>
  <c r="N70" i="35"/>
  <c r="P70" i="35" s="1"/>
  <c r="S13" i="38"/>
  <c r="S12" i="38"/>
  <c r="S11" i="38"/>
  <c r="S10" i="38"/>
  <c r="S9" i="38"/>
  <c r="O14" i="38"/>
  <c r="M43" i="39"/>
  <c r="M42" i="39"/>
  <c r="M40" i="39"/>
  <c r="M39" i="39"/>
  <c r="M38" i="39"/>
  <c r="M36" i="39"/>
  <c r="M37" i="39" s="1"/>
  <c r="M34" i="39"/>
  <c r="M31" i="39"/>
  <c r="M28" i="39"/>
  <c r="M27" i="39"/>
  <c r="M23" i="39"/>
  <c r="M22" i="39"/>
  <c r="M21" i="39"/>
  <c r="M18" i="39"/>
  <c r="M16" i="39"/>
  <c r="O70" i="35" l="1"/>
  <c r="F67" i="35" s="1"/>
  <c r="P29" i="38"/>
  <c r="P20" i="38"/>
  <c r="P28" i="38"/>
  <c r="S23" i="38"/>
  <c r="P19" i="38"/>
  <c r="P31" i="38"/>
  <c r="P22" i="38"/>
  <c r="P30" i="38"/>
  <c r="P27" i="38"/>
  <c r="P32" i="38" s="1"/>
  <c r="P18" i="38"/>
  <c r="P23" i="38" s="1"/>
  <c r="S32" i="38"/>
  <c r="P21" i="38"/>
  <c r="P11" i="38"/>
  <c r="P13" i="38"/>
  <c r="Q14" i="38"/>
  <c r="P9" i="38"/>
  <c r="P14" i="38" s="1"/>
  <c r="P10" i="38"/>
  <c r="P12" i="38"/>
  <c r="R14" i="38"/>
  <c r="M41" i="39"/>
  <c r="M35" i="39"/>
  <c r="S14" i="38" l="1"/>
  <c r="N37" i="35" l="1"/>
  <c r="G15" i="38" l="1"/>
  <c r="M29" i="39" l="1"/>
  <c r="M30" i="39"/>
  <c r="K52" i="39"/>
  <c r="M52" i="39" s="1"/>
  <c r="N52" i="39" s="1"/>
  <c r="D11" i="39"/>
  <c r="D70" i="35"/>
  <c r="D49" i="35"/>
  <c r="D46" i="35"/>
  <c r="D8" i="35"/>
  <c r="K57" i="39"/>
  <c r="M57" i="39" s="1"/>
  <c r="K50" i="39"/>
  <c r="M50" i="39" s="1"/>
  <c r="N50" i="39" s="1"/>
  <c r="K49" i="39"/>
  <c r="M49" i="39" s="1"/>
  <c r="N56" i="39"/>
  <c r="K54" i="39"/>
  <c r="M54" i="39" s="1"/>
  <c r="N54" i="39" s="1"/>
  <c r="K53" i="39"/>
  <c r="M53" i="39" s="1"/>
  <c r="N53" i="39" s="1"/>
  <c r="K51" i="39"/>
  <c r="M51" i="39" s="1"/>
  <c r="N51" i="39" s="1"/>
  <c r="N55" i="39"/>
  <c r="N43" i="39"/>
  <c r="M19" i="39"/>
  <c r="N19" i="39" s="1"/>
  <c r="N42" i="39"/>
  <c r="N35" i="39"/>
  <c r="N34" i="39"/>
  <c r="M44" i="39"/>
  <c r="M26" i="39"/>
  <c r="N40" i="39"/>
  <c r="N38" i="39"/>
  <c r="N18" i="39"/>
  <c r="N29" i="39"/>
  <c r="M20" i="39"/>
  <c r="N20" i="39" s="1"/>
  <c r="N41" i="39"/>
  <c r="N31" i="39"/>
  <c r="N39" i="39"/>
  <c r="N30" i="39"/>
  <c r="N36" i="39"/>
  <c r="N22" i="39"/>
  <c r="N37" i="39"/>
  <c r="N16" i="39"/>
  <c r="N28" i="39"/>
  <c r="N27" i="39"/>
  <c r="N21" i="39"/>
  <c r="N23" i="39"/>
  <c r="D61" i="35"/>
  <c r="G12" i="39"/>
  <c r="D54" i="35"/>
  <c r="D22" i="35"/>
  <c r="N49" i="39" l="1"/>
  <c r="M58" i="39"/>
  <c r="N58" i="39"/>
  <c r="D14" i="39" s="1"/>
  <c r="N57"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3"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G21" i="38"/>
  <c r="J21" i="38" s="1" a="1"/>
  <c r="J21" i="38" s="1"/>
  <c r="G20" i="38"/>
  <c r="I20" i="38" s="1" a="1"/>
  <c r="I20" i="38" s="1"/>
  <c r="G19" i="38"/>
  <c r="J19" i="38" s="1" a="1"/>
  <c r="J19" i="38" s="1"/>
  <c r="G18" i="38"/>
  <c r="J18" i="38" s="1" a="1"/>
  <c r="J18" i="38" s="1"/>
  <c r="G17" i="38"/>
  <c r="J17" i="38" s="1" a="1"/>
  <c r="J17" i="38" s="1"/>
  <c r="K14" i="38"/>
  <c r="K13" i="38"/>
  <c r="K12" i="38"/>
  <c r="K11" i="38"/>
  <c r="K10" i="38"/>
  <c r="K9" i="38"/>
  <c r="K8" i="38"/>
  <c r="K7" i="38"/>
  <c r="A1" i="38"/>
  <c r="D78" i="35"/>
  <c r="N15" i="35"/>
  <c r="A1" i="35"/>
  <c r="D64" i="35" l="1"/>
  <c r="C33" i="39"/>
  <c r="D15" i="39"/>
  <c r="C14" i="39"/>
  <c r="O15" i="35"/>
  <c r="E63" i="35"/>
  <c r="E16" i="35"/>
  <c r="E47" i="35"/>
  <c r="E77" i="35"/>
  <c r="E53" i="35"/>
  <c r="E83" i="35"/>
  <c r="E33" i="35"/>
  <c r="E20" i="35"/>
  <c r="E21" i="35"/>
  <c r="E50" i="35"/>
  <c r="E29" i="35"/>
  <c r="E34" i="35"/>
  <c r="E55" i="35"/>
  <c r="E57" i="35"/>
  <c r="E52" i="35"/>
  <c r="E58" i="35"/>
  <c r="E40" i="35"/>
  <c r="E59" i="35"/>
  <c r="E62" i="35"/>
  <c r="E69" i="35"/>
  <c r="E75" i="35"/>
  <c r="E23" i="35"/>
  <c r="E36" i="35"/>
  <c r="E56" i="35"/>
  <c r="E13" i="35"/>
  <c r="E41" i="35"/>
  <c r="E60" i="35"/>
  <c r="E71" i="35"/>
  <c r="C24" i="39"/>
  <c r="C35" i="39"/>
  <c r="E51" i="35"/>
  <c r="E76" i="35"/>
  <c r="C34" i="39"/>
  <c r="E42" i="35"/>
  <c r="E19" i="35"/>
  <c r="E48" i="35"/>
  <c r="J20" i="38" a="1"/>
  <c r="J20" i="38" s="1"/>
  <c r="K20" i="38" s="1"/>
  <c r="I18" i="38" a="1"/>
  <c r="I18" i="38" s="1"/>
  <c r="K18" i="38" s="1"/>
  <c r="I15" i="38"/>
  <c r="I21" i="38" a="1"/>
  <c r="I21" i="38" s="1"/>
  <c r="K21" i="38" s="1"/>
  <c r="I19" i="38" a="1"/>
  <c r="I19" i="38" s="1"/>
  <c r="K19" i="38" s="1"/>
  <c r="I17" i="38" a="1"/>
  <c r="I17" i="38" s="1"/>
  <c r="G22" i="38"/>
  <c r="H17" i="38" s="1"/>
  <c r="F70" i="35" l="1"/>
  <c r="D67" i="35"/>
  <c r="F63" i="35"/>
  <c r="P15" i="35"/>
  <c r="F48" i="35"/>
  <c r="F21" i="35"/>
  <c r="F54" i="35"/>
  <c r="F33" i="35"/>
  <c r="F23" i="35"/>
  <c r="F83" i="35"/>
  <c r="F53" i="35"/>
  <c r="F61" i="35"/>
  <c r="F16" i="35"/>
  <c r="F51" i="35"/>
  <c r="F77" i="35"/>
  <c r="F59" i="35"/>
  <c r="F40" i="35"/>
  <c r="F34" i="35"/>
  <c r="F47" i="35"/>
  <c r="H15" i="38"/>
  <c r="F71" i="35"/>
  <c r="F49" i="35"/>
  <c r="F57" i="35"/>
  <c r="F58" i="35"/>
  <c r="F46" i="35"/>
  <c r="F60" i="35"/>
  <c r="F76" i="35"/>
  <c r="F75" i="35"/>
  <c r="F8" i="35"/>
  <c r="F69" i="35"/>
  <c r="F62" i="35"/>
  <c r="F55" i="35"/>
  <c r="F13" i="35"/>
  <c r="F50" i="35"/>
  <c r="H19" i="38"/>
  <c r="F41" i="35"/>
  <c r="F29" i="35"/>
  <c r="E64" i="35"/>
  <c r="F19" i="35"/>
  <c r="F56" i="35"/>
  <c r="F52" i="35"/>
  <c r="H21" i="38"/>
  <c r="H20" i="38"/>
  <c r="F42" i="35"/>
  <c r="F36" i="35"/>
  <c r="F20" i="35"/>
  <c r="H18" i="38"/>
  <c r="I22" i="38"/>
  <c r="K17" i="38"/>
  <c r="J22" i="38"/>
  <c r="E78" i="35"/>
  <c r="J15" i="38" l="1"/>
  <c r="V39" i="35" s="1"/>
  <c r="K22" i="38"/>
  <c r="F64" i="35"/>
  <c r="F78" i="35"/>
  <c r="H22" i="38"/>
  <c r="D9" i="39" l="1"/>
  <c r="K15" i="38"/>
  <c r="C9" i="39" l="1"/>
  <c r="C51" i="44"/>
  <c r="A1" i="1"/>
  <c r="D39" i="44" l="1"/>
  <c r="D47" i="44"/>
  <c r="D42" i="44"/>
  <c r="D46" i="44"/>
  <c r="D43" i="44"/>
  <c r="D41" i="44"/>
  <c r="D45" i="44"/>
  <c r="D44" i="44"/>
  <c r="D40" i="44"/>
  <c r="C36" i="39"/>
  <c r="C18" i="39" l="1"/>
  <c r="C11" i="39"/>
  <c r="C10" i="39"/>
  <c r="C12" i="39" l="1"/>
  <c r="D12" i="39" s="1"/>
  <c r="C19" i="39"/>
  <c r="C16" i="39" l="1"/>
  <c r="D16" i="39" l="1"/>
  <c r="C20" i="39"/>
  <c r="E68" i="35" l="1"/>
  <c r="F68" i="35" s="1"/>
  <c r="E67" i="35"/>
  <c r="C22" i="39"/>
  <c r="D20" i="39"/>
  <c r="N16" i="35" l="1"/>
  <c r="V37" i="35" s="1"/>
  <c r="D28" i="35"/>
  <c r="E28" i="35" s="1"/>
  <c r="F28" i="35" s="1"/>
  <c r="D72" i="35"/>
  <c r="D81" i="35" s="1"/>
  <c r="E81" i="35" s="1"/>
  <c r="F81" i="35" s="1"/>
  <c r="F72" i="35"/>
  <c r="E72" i="35"/>
  <c r="G8" i="39" s="1"/>
  <c r="G16" i="39" s="1"/>
  <c r="G17" i="39" l="1"/>
  <c r="G21" i="39"/>
  <c r="O16" i="35"/>
  <c r="G22" i="39" l="1"/>
  <c r="C23" i="39"/>
  <c r="D23" i="39" s="1"/>
  <c r="P16" i="35"/>
  <c r="C27" i="39" l="1"/>
  <c r="C28" i="39"/>
  <c r="C29" i="39"/>
  <c r="C30" i="39"/>
  <c r="C31" i="39"/>
  <c r="C32" i="39"/>
  <c r="C25" i="39"/>
  <c r="C26" i="39"/>
  <c r="C37" i="39" l="1"/>
  <c r="C39" i="39" s="1"/>
  <c r="C40" i="39" l="1"/>
  <c r="V45" i="35"/>
  <c r="D39" i="35" s="1"/>
  <c r="E39" i="35" s="1"/>
  <c r="F39" i="35" s="1"/>
  <c r="D37" i="39"/>
  <c r="D39" i="39" l="1"/>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l="1"/>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D35" i="35"/>
  <c r="E35" i="35"/>
  <c r="F35" i="35"/>
  <c r="G35" i="35"/>
  <c r="G36" i="35"/>
  <c r="N36" i="35"/>
  <c r="D37" i="35"/>
  <c r="E37" i="35"/>
  <c r="F37" i="35"/>
  <c r="G37" i="35"/>
  <c r="D38" i="35"/>
  <c r="E38" i="35"/>
  <c r="F38" i="35"/>
  <c r="G38" i="35"/>
  <c r="N38" i="35"/>
  <c r="V38" i="35"/>
  <c r="G39" i="35"/>
  <c r="G40" i="35"/>
  <c r="V40" i="35"/>
  <c r="G41" i="35"/>
  <c r="N41" i="35"/>
  <c r="G42" i="35"/>
  <c r="D43" i="35"/>
  <c r="E43" i="35"/>
  <c r="F43" i="35"/>
  <c r="G43" i="35"/>
  <c r="N43" i="35"/>
  <c r="O43" i="35"/>
  <c r="N44" i="35"/>
  <c r="O44" i="35"/>
  <c r="G46" i="35"/>
  <c r="G47" i="35"/>
  <c r="G48" i="35"/>
  <c r="G49" i="35"/>
  <c r="G50" i="35"/>
  <c r="G51" i="35"/>
  <c r="G52" i="35"/>
  <c r="G53" i="35"/>
  <c r="G54" i="35"/>
  <c r="G55" i="35"/>
  <c r="G56" i="35"/>
  <c r="G57" i="35"/>
  <c r="G58" i="35"/>
  <c r="G59" i="35"/>
  <c r="G60" i="35"/>
  <c r="G61" i="35"/>
  <c r="G62" i="35"/>
  <c r="G63" i="35"/>
  <c r="G64" i="35"/>
  <c r="G67" i="35"/>
  <c r="G68" i="35"/>
  <c r="G69" i="35"/>
  <c r="G70" i="35"/>
  <c r="G71" i="35"/>
  <c r="G72" i="35"/>
  <c r="G75" i="35"/>
  <c r="G76" i="35"/>
  <c r="G77" i="35"/>
  <c r="G78" i="35"/>
  <c r="G81" i="35"/>
  <c r="D82" i="35"/>
  <c r="E82" i="35"/>
  <c r="F82" i="35"/>
  <c r="G82" i="35"/>
  <c r="G83" i="35"/>
  <c r="D84" i="35"/>
  <c r="E84" i="35"/>
  <c r="F84" i="35"/>
  <c r="G84" i="35"/>
  <c r="D86" i="35"/>
  <c r="E86" i="35"/>
  <c r="F86" i="35"/>
  <c r="G86" i="35"/>
  <c r="C42"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G11" authorId="0" shapeId="0" xr:uid="{E86E324F-C5E2-4177-85F1-91E14AE9A531}">
      <text>
        <r>
          <rPr>
            <b/>
            <sz val="9"/>
            <color indexed="81"/>
            <rFont val="Tahoma"/>
            <family val="2"/>
          </rPr>
          <t>Analyst:</t>
        </r>
        <r>
          <rPr>
            <sz val="9"/>
            <color indexed="81"/>
            <rFont val="Tahoma"/>
            <family val="2"/>
          </rPr>
          <t xml:space="preserve">
Our property comes under Durham County Fire &amp; Rescue Service which allows for lower millage.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<sst xmlns="http://schemas.openxmlformats.org/spreadsheetml/2006/main" count="917" uniqueCount="476">
  <si>
    <t>Global Assumptions</t>
  </si>
  <si>
    <t>Property Name</t>
  </si>
  <si>
    <t>Project Type</t>
  </si>
  <si>
    <t>Market</t>
  </si>
  <si>
    <t>Submarket</t>
  </si>
  <si>
    <t>Address</t>
  </si>
  <si>
    <t>City, State</t>
  </si>
  <si>
    <t>ZIP Code</t>
  </si>
  <si>
    <t>County</t>
  </si>
  <si>
    <t>Circuit Breaker</t>
  </si>
  <si>
    <t>Off</t>
  </si>
  <si>
    <t>Unit Mix (Vetting Model Only)</t>
  </si>
  <si>
    <t>Total Units</t>
  </si>
  <si>
    <t>Floorplan</t>
  </si>
  <si>
    <t>Type</t>
  </si>
  <si>
    <t>Box Size</t>
  </si>
  <si>
    <t>Garage</t>
  </si>
  <si>
    <t>Story</t>
  </si>
  <si>
    <t>#</t>
  </si>
  <si>
    <t>%</t>
  </si>
  <si>
    <t xml:space="preserve">SF </t>
  </si>
  <si>
    <t xml:space="preserve">$ </t>
  </si>
  <si>
    <t>PSF</t>
  </si>
  <si>
    <t>2 BR / 2.5 BA</t>
  </si>
  <si>
    <t>Townhouse</t>
  </si>
  <si>
    <t>20 x 33</t>
  </si>
  <si>
    <t>3 BR / 3.5 BA</t>
  </si>
  <si>
    <t>20 x 36</t>
  </si>
  <si>
    <t>SF</t>
  </si>
  <si>
    <t>Rent</t>
  </si>
  <si>
    <t>Rent PSF</t>
  </si>
  <si>
    <t>4 BR / 3.5 BA</t>
  </si>
  <si>
    <t>20 x 40</t>
  </si>
  <si>
    <t>Studio</t>
  </si>
  <si>
    <t>Year Built</t>
  </si>
  <si>
    <t>1 BR</t>
  </si>
  <si>
    <t>Vacancy</t>
  </si>
  <si>
    <t>2 BR</t>
  </si>
  <si>
    <t>Developer</t>
  </si>
  <si>
    <t>3 BR</t>
  </si>
  <si>
    <t>Owner</t>
  </si>
  <si>
    <t>TH</t>
  </si>
  <si>
    <t>Link to Website</t>
  </si>
  <si>
    <t>Total</t>
  </si>
  <si>
    <t>1 Bedroom</t>
  </si>
  <si>
    <t>2 Bedroom</t>
  </si>
  <si>
    <t>3 Bedroom</t>
  </si>
  <si>
    <t>Budget (Vetting Model Only)</t>
  </si>
  <si>
    <t>Budget</t>
  </si>
  <si>
    <t>Cost Type</t>
  </si>
  <si>
    <t>$</t>
  </si>
  <si>
    <t>Per Unit</t>
  </si>
  <si>
    <t>Per NRSF</t>
  </si>
  <si>
    <t>% of Total</t>
  </si>
  <si>
    <t>Land</t>
  </si>
  <si>
    <t>Soruces &amp; Uses</t>
  </si>
  <si>
    <t>Land Acquisition</t>
  </si>
  <si>
    <t>Sources:</t>
  </si>
  <si>
    <t>JV Equity</t>
  </si>
  <si>
    <t>Financing Costs</t>
  </si>
  <si>
    <t>Preferred Equity</t>
  </si>
  <si>
    <t>Construction Loan Broker Fee</t>
  </si>
  <si>
    <t>Soft Costs</t>
  </si>
  <si>
    <t xml:space="preserve"> &lt; % of Loan Commitment</t>
  </si>
  <si>
    <t>Construction Loan</t>
  </si>
  <si>
    <t>Construction Loan Origination Fee</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</si>
  <si>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</si>
  <si>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</si>
  <si>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</si>
  <si>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</si>
  <si>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</si>
  <si>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</si>
  <si>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</si>
  <si>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</si>
  <si>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</si>
  <si>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</si>
  <si>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</si>
  <si>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</si>
  <si>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</si>
  <si>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Operating Deficit</t>
  </si>
  <si>
    <t>RE Taxes During Construction</t>
  </si>
  <si>
    <t>Financing Assumptions</t>
  </si>
  <si>
    <t>Interest Reserve</t>
  </si>
  <si>
    <t>Misc Financing Costs</t>
  </si>
  <si>
    <t>Total Financing Costs</t>
  </si>
  <si>
    <t>Loan-to-Cost</t>
  </si>
  <si>
    <t>Debt Yield (Untrended)</t>
  </si>
  <si>
    <t>Fees</t>
  </si>
  <si>
    <t>Development Fee</t>
  </si>
  <si>
    <t xml:space="preserve"> &lt; % of Total Costs</t>
  </si>
  <si>
    <t>SOFR</t>
  </si>
  <si>
    <t>Construction Management Fee</t>
  </si>
  <si>
    <t xml:space="preserve"> &lt; % of Construction Costs</t>
  </si>
  <si>
    <t>Spread</t>
  </si>
  <si>
    <t>Acquisition Fee</t>
  </si>
  <si>
    <t>All-In Rate</t>
  </si>
  <si>
    <t>Total Fees</t>
  </si>
  <si>
    <t>Months from First Draw to 1.0x DSCR</t>
  </si>
  <si>
    <t>Legal &amp; Closing</t>
  </si>
  <si>
    <t>Average Loan Funded %</t>
  </si>
  <si>
    <t>Marketing / Start-Up</t>
  </si>
  <si>
    <t>Interest Reserve Required</t>
  </si>
  <si>
    <t>Legal</t>
  </si>
  <si>
    <t>BR Insurance Calc:</t>
  </si>
  <si>
    <t>Debt Recording Fee</t>
  </si>
  <si>
    <t>Rate</t>
  </si>
  <si>
    <t>Closing Costs</t>
  </si>
  <si>
    <t>Title Insurance</t>
  </si>
  <si>
    <t>Last-Dollar-to-Cost</t>
  </si>
  <si>
    <t>HC</t>
  </si>
  <si>
    <t>Builder's Risk Insurance</t>
  </si>
  <si>
    <t>Pref Debt Yield (Untrended)</t>
  </si>
  <si>
    <t>SC</t>
  </si>
  <si>
    <t>General Liability Insurance</t>
  </si>
  <si>
    <t>Y0 Total Rent</t>
  </si>
  <si>
    <t>Re-Zoning</t>
  </si>
  <si>
    <t>Travel Expenses</t>
  </si>
  <si>
    <t>Total JV Equity</t>
  </si>
  <si>
    <t>Misc Legal &amp; Closing</t>
  </si>
  <si>
    <t>GL Insurance Calc:</t>
  </si>
  <si>
    <t>Total Legal &amp; Closing</t>
  </si>
  <si>
    <t>GP Co-Invest</t>
  </si>
  <si>
    <t>LP Investment</t>
  </si>
  <si>
    <t>Cap Rate</t>
  </si>
  <si>
    <t>Architectural &amp; Engineering</t>
  </si>
  <si>
    <t>Implied Value</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</si>
  <si>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</si>
  <si>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</si>
  <si>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</si>
  <si>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</si>
  <si>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</si>
  <si>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</si>
  <si>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</si>
  <si>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</si>
  <si>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</si>
  <si>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</si>
  <si>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</si>
  <si>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</si>
  <si>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</si>
  <si>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</si>
  <si>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</si>
  <si>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</si>
  <si>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</si>
  <si>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Impact Fee Contingency</t>
  </si>
  <si>
    <t>Total Architectural &amp; Engineering</t>
  </si>
  <si>
    <t>Vertical Pricing:</t>
  </si>
  <si>
    <t>Per SF</t>
  </si>
  <si>
    <t>Construction Costs</t>
  </si>
  <si>
    <t>Cost Escalation</t>
  </si>
  <si>
    <t>Offsite Improvements</t>
  </si>
  <si>
    <t>Sitework</t>
  </si>
  <si>
    <t>Total / Average</t>
  </si>
  <si>
    <t>Amenity</t>
  </si>
  <si>
    <t>Total Hard Costs</t>
  </si>
  <si>
    <t>Retail</t>
  </si>
  <si>
    <t>Tenant Improvements</t>
  </si>
  <si>
    <t>Leasing Commissions</t>
  </si>
  <si>
    <t>Misc Retail</t>
  </si>
  <si>
    <t>Total Retail</t>
  </si>
  <si>
    <t>Contingency</t>
  </si>
  <si>
    <t>Hard Cost Contingency</t>
  </si>
  <si>
    <t xml:space="preserve"> &lt; % of Hard Costs</t>
  </si>
  <si>
    <t>Soft Cost Contingency</t>
  </si>
  <si>
    <t xml:space="preserve"> &lt; % of Soft Costs</t>
  </si>
  <si>
    <t>Misc Contingency</t>
  </si>
  <si>
    <t>Total Contingency</t>
  </si>
  <si>
    <t>Total Costs</t>
  </si>
  <si>
    <t>Pro-Forma</t>
  </si>
  <si>
    <t>Untrended</t>
  </si>
  <si>
    <t>Per Unit / %</t>
  </si>
  <si>
    <t>Untrended RETAX</t>
  </si>
  <si>
    <t>RETAX Comps</t>
  </si>
  <si>
    <t>Link</t>
  </si>
  <si>
    <t>Units</t>
  </si>
  <si>
    <t>Tax Year</t>
  </si>
  <si>
    <t>AV</t>
  </si>
  <si>
    <t>AV / Unit</t>
  </si>
  <si>
    <t>Millage</t>
  </si>
  <si>
    <t>Direct</t>
  </si>
  <si>
    <t>Direct / Unit</t>
  </si>
  <si>
    <t>Total / Unit</t>
  </si>
  <si>
    <t>Assessed Value</t>
  </si>
  <si>
    <t>Gross Potential Rent</t>
  </si>
  <si>
    <t>Assessed Value / Unit</t>
  </si>
  <si>
    <t>Concessions</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</si>
  <si>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</si>
  <si>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</si>
  <si>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</si>
  <si>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</si>
  <si>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</si>
  <si>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</si>
  <si>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</si>
  <si>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</si>
  <si>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</si>
  <si>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</si>
  <si>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</si>
  <si>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</si>
  <si>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</si>
  <si>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</si>
  <si>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</si>
  <si>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</si>
  <si>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</si>
  <si>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</si>
  <si>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</si>
  <si>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</si>
  <si>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</si>
  <si>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</si>
  <si>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</si>
  <si>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</si>
  <si>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</si>
  <si>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</si>
  <si>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</si>
  <si>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</si>
  <si>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</si>
  <si>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</si>
  <si>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</si>
  <si>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</si>
  <si>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</si>
  <si>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</si>
  <si>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</si>
  <si>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</si>
  <si>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</si>
  <si>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</si>
  <si>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</si>
  <si>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</si>
  <si>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</si>
  <si>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</si>
  <si>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Marketing</t>
  </si>
  <si>
    <t>Total Utilities</t>
  </si>
  <si>
    <t>Payroll</t>
  </si>
  <si>
    <t>Office Expenses</t>
  </si>
  <si>
    <t>Community Manager</t>
  </si>
  <si>
    <t>General &amp; Administrative</t>
  </si>
  <si>
    <t>Bonus</t>
  </si>
  <si>
    <t>Other Controllable Expenses</t>
  </si>
  <si>
    <t>Assistant Manager</t>
  </si>
  <si>
    <t>Total Operating Expenses</t>
  </si>
  <si>
    <t>Leasing Consultant #1</t>
  </si>
  <si>
    <t>Net Operating Income</t>
  </si>
  <si>
    <t>Leasing Consultant #2</t>
  </si>
  <si>
    <t>NOI Margin</t>
  </si>
  <si>
    <t>Service Supervisor</t>
  </si>
  <si>
    <t>Return on Cost</t>
  </si>
  <si>
    <t>Maintenance  Tech #1</t>
  </si>
  <si>
    <t>Maintenance  Tech #2</t>
  </si>
  <si>
    <t>Leasing Bonus</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</si>
  <si>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</si>
  <si>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</si>
  <si>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</si>
  <si>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</si>
  <si>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</si>
  <si>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</si>
  <si>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</si>
  <si>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</si>
  <si>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</si>
  <si>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</si>
  <si>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</si>
  <si>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</si>
  <si>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</si>
  <si>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</si>
  <si>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</si>
  <si>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</si>
  <si>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</si>
  <si>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</si>
  <si>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</si>
  <si>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</si>
  <si>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</si>
  <si>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</si>
  <si>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</si>
  <si>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</si>
  <si>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</si>
  <si>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</si>
  <si>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</si>
  <si>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</si>
  <si>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</si>
  <si>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</si>
  <si>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</si>
  <si>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</si>
  <si>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</si>
  <si>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</si>
  <si>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</si>
  <si>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</si>
  <si>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</si>
  <si>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</si>
  <si>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</si>
  <si>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</si>
  <si>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</si>
  <si>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</si>
  <si>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</si>
  <si>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</si>
  <si>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</si>
  <si>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</si>
  <si>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</si>
  <si>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</si>
  <si>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</si>
  <si>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</si>
  <si>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</si>
  <si>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</si>
  <si>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</si>
  <si>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</si>
  <si>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</si>
  <si>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</si>
  <si>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</si>
  <si>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</si>
  <si>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</si>
  <si>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</si>
  <si>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</si>
  <si>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</si>
  <si>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</si>
  <si>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</si>
  <si>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</si>
  <si>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</si>
  <si>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</si>
  <si>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</si>
  <si>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</si>
  <si>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</si>
  <si>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</si>
  <si>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</si>
  <si>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</si>
  <si>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</si>
  <si>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</si>
  <si>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</si>
  <si>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</si>
  <si>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</si>
  <si>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</si>
  <si>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</si>
  <si>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</si>
  <si>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</si>
  <si>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</si>
  <si>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</si>
  <si>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</si>
  <si>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</si>
  <si>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</si>
  <si>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</si>
  <si>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</si>
  <si>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</si>
  <si>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</si>
  <si>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</si>
  <si>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</si>
  <si>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</si>
  <si>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</si>
  <si>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</si>
  <si>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</si>
  <si>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</si>
  <si>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</si>
  <si>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</si>
  <si>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</si>
  <si>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</si>
  <si>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</si>
  <si>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</si>
  <si>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</si>
  <si>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</si>
  <si>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</si>
  <si>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</si>
  <si>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</si>
  <si>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</si>
  <si>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</si>
  <si>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</si>
  <si>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</si>
  <si>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</si>
  <si>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</si>
  <si>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</si>
  <si>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</si>
  <si>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</si>
  <si>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</si>
  <si>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</si>
  <si>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</si>
  <si>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</si>
  <si>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</si>
  <si>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</si>
  <si>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</si>
  <si>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</si>
  <si>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</si>
  <si>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</si>
  <si>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</si>
  <si>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</si>
  <si>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</si>
  <si>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</si>
  <si>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</si>
  <si>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</si>
  <si>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</si>
  <si>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</si>
  <si>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</si>
  <si>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</si>
  <si>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</si>
  <si>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</si>
  <si>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</si>
  <si>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</si>
  <si>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</si>
  <si>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</si>
  <si>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</si>
  <si>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</si>
  <si>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</si>
  <si>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</si>
  <si>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</si>
  <si>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</si>
  <si>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</si>
  <si>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</si>
  <si>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</si>
  <si>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</si>
  <si>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</si>
  <si>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</si>
  <si>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</si>
  <si>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</si>
  <si>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</si>
  <si>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</si>
  <si>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</si>
  <si>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</si>
  <si>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</si>
  <si>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</si>
  <si>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</si>
  <si>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</si>
  <si>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</si>
  <si>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</si>
  <si>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</si>
  <si>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</si>
  <si>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</si>
  <si>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</si>
  <si>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</si>
  <si>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</si>
  <si>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</si>
  <si>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</si>
  <si>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</si>
  <si>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</si>
  <si>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</si>
  <si>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</si>
  <si>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</si>
  <si>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</si>
  <si>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</si>
  <si>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</si>
  <si>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</si>
  <si>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</si>
  <si>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</si>
  <si>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</si>
  <si>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</si>
  <si>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</si>
  <si>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</si>
  <si>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</si>
  <si>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</si>
  <si>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</si>
  <si>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</si>
  <si>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</si>
  <si>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</si>
  <si>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</si>
  <si>
    <t>Grandle Drive</t>
  </si>
  <si>
    <t>Raleigh-Durham</t>
  </si>
  <si>
    <t>South Durham</t>
  </si>
  <si>
    <t>6353 Grandale Drive</t>
  </si>
  <si>
    <t>Durham, NC</t>
  </si>
  <si>
    <t>Durham</t>
  </si>
  <si>
    <t>Townhome</t>
  </si>
  <si>
    <t>Underwriting Notes &amp; Assumptions</t>
  </si>
  <si>
    <t>Rent Comps</t>
  </si>
  <si>
    <t>2. Unit counts were not available so they are kept blank.</t>
  </si>
  <si>
    <t>Expenses</t>
  </si>
  <si>
    <t>Taxes</t>
  </si>
  <si>
    <t>2. Some properties have multiple parcels, we've added all the parcels for Assessed value calculation.</t>
  </si>
  <si>
    <t>Question to the team Catalyst</t>
  </si>
  <si>
    <t>BTR TH</t>
  </si>
  <si>
    <t>Cpiew Abode Arringdon Owner Llc</t>
  </si>
  <si>
    <t>Porchlight Brier Creek LLC</t>
  </si>
  <si>
    <t>Avail Communities V Llc</t>
  </si>
  <si>
    <t>1) ABODE at Arringdon</t>
  </si>
  <si>
    <t>2) Page Oaks</t>
  </si>
  <si>
    <t>3) Porchlight Brier Creek</t>
  </si>
  <si>
    <t>Page Oaks</t>
  </si>
  <si>
    <t>Porchlight Brier Creek</t>
  </si>
  <si>
    <t>ABODE at Arringdon</t>
  </si>
  <si>
    <t>1. We have used the one of the comps shown on Landlinq as the subject property to find Rent comps from Hello Data and added the screenshot for the rent comps as well.</t>
  </si>
  <si>
    <t>4. Landlinq mentions BTR TH 2-3BR but since we didn't have the unit mix for that, we have gone through the unit mix mentioned in the template.</t>
  </si>
  <si>
    <t>2. We have taken the BTR(Non - Costal) assumption for Insurance costs.</t>
  </si>
  <si>
    <t>1. We've taken the millage rate of our parcel as per the 2025 tax bill.</t>
  </si>
  <si>
    <t>1. We have changed the Impact Fees assumption to $9000/unit as per the new prompt shared by Austin. We have used Gemini as we had the Pro subscription for it.</t>
  </si>
  <si>
    <t>3. We have calculated the 4BR rent comps by adding $175 premiums over 3BR rents.</t>
  </si>
  <si>
    <t>1. We weren't provided the unit counts for the deal so we have kept it the same as the template. Please let us know the actual counts so that we can update the correct YOC</t>
  </si>
  <si>
    <t xml:space="preserve">   3. Tax comp 2 had 135 parcels whereas total units are 151. We found out that 16 parcels were acquired in 2025 due to which they aren't shown on the tax bill while searhing for the owner name. We have added those parcels for tax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</si>
</sst>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_);\(&quot;$&quot;#,##0\)"/>
    <numFmt numFmtId="6" formatCode="&quot;$&quot;#,##0_);[Red]\(&quot;$&quot;#,##0\)"/>
    <numFmt numFmtId="8" formatCode="&quot;$&quot;#,##0.00_);[Red]\(&quot;$&quot;#,##0.00\)"/>
    <numFmt numFmtId="43" formatCode="_(* #,##0.00_);_(* \(#,##0.00\);_(* &quot;-&quot;??_);_(@_)"/>
    <numFmt numFmtId="164" formatCode="_(* #,##0_);_(* \(#,##0\);_(* &quot;-&quot;??_);_(@_)"/>
    <numFmt numFmtId="165" formatCode="0.0%"/>
    <numFmt numFmtId="166" formatCode="_(* #,##0.0%_);_(* \(#,##0.0%\);_(* &quot;-&quot;??_);_(@_)"/>
    <numFmt numFmtId="167" formatCode="_(* #,##0.00%_);_(* \(#,##0.00%\)"/>
    <numFmt numFmtId="168" formatCode="_(* #,##0.0000_);_(* \(#,##0.0000\);_(* &quot;-&quot;??_);_(@_)"/>
    <numFmt numFmtId="169" formatCode="&quot;$&quot;#,##0"/>
    <numFmt numFmtId="170" formatCode="&quot;$&quot;#,##0.00"/>
    <numFmt numFmtId="171" formatCode="[$-409]mmm\-yy;@"/>
    <numFmt numFmtId="172" formatCode="0.00\x"/>
    <numFmt numFmtId="173" formatCode="_(* #,##0.0%_);_(* \(#,##0.0%\)"/>
    <numFmt numFmtId="174" formatCode="_(* #,##0.0000%_);_(* \(#,##0.0000%\);_(* &quot;-&quot;??_);_(@_)"/>
    <numFmt numFmtId="175" formatCode="&quot;$&quot;#,##0&quot; / Mo&quot;"/>
    <numFmt numFmtId="176" formatCode="&quot;$&quot;0&quot; / Unit / Mo&quot;"/>
    <numFmt numFmtId="177" formatCode="&quot;$&quot;#,##0&quot; / Hr&quot;"/>
    <numFmt numFmtId="178" formatCode="#,##0&quot; Hours&quot;"/>
    <numFmt numFmtId="179" formatCode="&quot;$&quot;0\ &quot;/ Lease&quot;"/>
    <numFmt numFmtId="180" formatCode="&quot;$&quot;0&quot;  / Mo&quot;"/>
  </numFmts>
  <fonts count="27"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u/>
      <sz val="11"/>
      <color theme="10"/>
      <name val="Aptos Narrow"/>
      <family val="2"/>
      <scheme val="minor"/>
    </font>
    <font>
      <b/>
      <sz val="9"/>
      <color indexed="81"/>
      <name val="Tahoma"/>
      <family val="2"/>
    </font>
    <font>
      <sz val="9"/>
      <color indexed="81"/>
      <name val="Tahoma"/>
      <family val="2"/>
    </font>
  </fonts>
  <fills count="13">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0"/>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285">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4" fontId="0" fillId="0" borderId="2" xfId="1" applyNumberFormat="1" applyFont="1" applyBorder="1"/>
    <xf numFmtId="164" fontId="0" fillId="0" borderId="0" xfId="1" applyNumberFormat="1" applyFont="1"/>
    <xf numFmtId="164" fontId="8" fillId="4" borderId="0" xfId="1" applyNumberFormat="1" applyFont="1" applyFill="1"/>
    <xf numFmtId="164" fontId="7" fillId="0" borderId="0" xfId="1" applyNumberFormat="1" applyFont="1"/>
    <xf numFmtId="0" fontId="0" fillId="5" borderId="5" xfId="0" applyFill="1" applyBorder="1"/>
    <xf numFmtId="164" fontId="0" fillId="5" borderId="6" xfId="0" applyNumberFormat="1" applyFill="1" applyBorder="1"/>
    <xf numFmtId="164"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66" fontId="0" fillId="0" borderId="0" xfId="1" applyNumberFormat="1" applyFont="1"/>
    <xf numFmtId="166" fontId="0" fillId="0" borderId="2" xfId="0" applyNumberFormat="1" applyBorder="1"/>
    <xf numFmtId="166" fontId="0" fillId="5" borderId="7" xfId="1" applyNumberFormat="1" applyFont="1" applyFill="1" applyBorder="1"/>
    <xf numFmtId="0" fontId="12" fillId="0" borderId="0" xfId="0" applyFont="1"/>
    <xf numFmtId="164" fontId="0" fillId="0" borderId="2" xfId="0" applyNumberFormat="1" applyBorder="1"/>
    <xf numFmtId="164" fontId="0" fillId="0" borderId="0" xfId="0" applyNumberFormat="1"/>
    <xf numFmtId="164" fontId="0" fillId="0" borderId="0" xfId="1" applyNumberFormat="1" applyFont="1" applyFill="1"/>
    <xf numFmtId="3" fontId="7" fillId="0" borderId="0" xfId="0" applyNumberFormat="1" applyFont="1" applyAlignment="1">
      <alignment horizontal="center"/>
    </xf>
    <xf numFmtId="165" fontId="0" fillId="0" borderId="0" xfId="2" applyNumberFormat="1" applyFont="1" applyAlignment="1">
      <alignment horizontal="center"/>
    </xf>
    <xf numFmtId="169" fontId="7" fillId="0" borderId="0" xfId="0" applyNumberFormat="1" applyFont="1" applyAlignment="1">
      <alignment horizontal="center"/>
    </xf>
    <xf numFmtId="169" fontId="0" fillId="0" borderId="2" xfId="0" applyNumberFormat="1" applyBorder="1" applyAlignment="1">
      <alignment horizontal="center"/>
    </xf>
    <xf numFmtId="169" fontId="0" fillId="0" borderId="0" xfId="0" applyNumberFormat="1" applyAlignment="1">
      <alignment horizontal="center"/>
    </xf>
    <xf numFmtId="164" fontId="13" fillId="0" borderId="0" xfId="1" applyNumberFormat="1" applyFont="1"/>
    <xf numFmtId="171" fontId="7" fillId="0" borderId="0" xfId="0" applyNumberFormat="1" applyFont="1" applyAlignment="1">
      <alignment horizontal="center"/>
    </xf>
    <xf numFmtId="171" fontId="0" fillId="0" borderId="0" xfId="0" applyNumberFormat="1" applyAlignment="1">
      <alignment horizontal="center"/>
    </xf>
    <xf numFmtId="0" fontId="14" fillId="0" borderId="0" xfId="0" applyFont="1"/>
    <xf numFmtId="0" fontId="15" fillId="0" borderId="0" xfId="0" applyFont="1"/>
    <xf numFmtId="169" fontId="0" fillId="0" borderId="0" xfId="0" applyNumberFormat="1"/>
    <xf numFmtId="165" fontId="0" fillId="0" borderId="0" xfId="0" applyNumberFormat="1" applyAlignment="1">
      <alignment horizontal="center"/>
    </xf>
    <xf numFmtId="165"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5" fontId="0" fillId="0" borderId="0" xfId="2" applyNumberFormat="1" applyFont="1" applyFill="1" applyAlignment="1">
      <alignment horizontal="center"/>
    </xf>
    <xf numFmtId="172" fontId="7" fillId="0" borderId="0" xfId="0" applyNumberFormat="1" applyFont="1" applyAlignment="1">
      <alignment horizontal="center"/>
    </xf>
    <xf numFmtId="9" fontId="10" fillId="0" borderId="0" xfId="0" applyNumberFormat="1" applyFont="1" applyAlignment="1">
      <alignment horizontal="center"/>
    </xf>
    <xf numFmtId="164" fontId="13" fillId="0" borderId="0" xfId="1" applyNumberFormat="1" applyFont="1" applyFill="1"/>
    <xf numFmtId="43"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69"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4" fontId="0" fillId="0" borderId="3" xfId="1" applyNumberFormat="1" applyFont="1" applyBorder="1"/>
    <xf numFmtId="164" fontId="0" fillId="0" borderId="10" xfId="1" applyNumberFormat="1" applyFont="1" applyBorder="1"/>
    <xf numFmtId="173" fontId="10" fillId="0" borderId="3" xfId="1" applyNumberFormat="1" applyFont="1" applyBorder="1"/>
    <xf numFmtId="167"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4" fontId="0" fillId="0" borderId="11" xfId="1" applyNumberFormat="1" applyFont="1" applyBorder="1"/>
    <xf numFmtId="164" fontId="0" fillId="0" borderId="9" xfId="1" applyNumberFormat="1" applyFont="1" applyBorder="1"/>
    <xf numFmtId="164"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4" fontId="7" fillId="0" borderId="0" xfId="1" applyNumberFormat="1" applyFont="1" applyFill="1"/>
    <xf numFmtId="0" fontId="21" fillId="0" borderId="0" xfId="0" applyFont="1"/>
    <xf numFmtId="164" fontId="9" fillId="0" borderId="11" xfId="1" applyNumberFormat="1" applyFont="1" applyBorder="1"/>
    <xf numFmtId="164" fontId="7" fillId="0" borderId="3" xfId="1" applyNumberFormat="1" applyFont="1" applyFill="1" applyBorder="1"/>
    <xf numFmtId="164" fontId="13" fillId="0" borderId="3" xfId="1" applyNumberFormat="1" applyFont="1" applyFill="1" applyBorder="1"/>
    <xf numFmtId="0" fontId="2" fillId="6" borderId="5" xfId="0" applyFont="1" applyFill="1" applyBorder="1"/>
    <xf numFmtId="164" fontId="0" fillId="0" borderId="11" xfId="1" applyNumberFormat="1" applyFont="1" applyFill="1" applyBorder="1"/>
    <xf numFmtId="164" fontId="7" fillId="0" borderId="11" xfId="1" applyNumberFormat="1" applyFont="1" applyFill="1" applyBorder="1"/>
    <xf numFmtId="164" fontId="0" fillId="0" borderId="11" xfId="0" applyNumberFormat="1" applyBorder="1"/>
    <xf numFmtId="164" fontId="0" fillId="0" borderId="13" xfId="1" applyNumberFormat="1" applyFont="1" applyFill="1" applyBorder="1"/>
    <xf numFmtId="165" fontId="13" fillId="0" borderId="0" xfId="2" applyNumberFormat="1" applyFont="1" applyAlignment="1">
      <alignment horizontal="center"/>
    </xf>
    <xf numFmtId="165" fontId="13" fillId="0" borderId="2" xfId="2" applyNumberFormat="1" applyFont="1" applyBorder="1" applyAlignment="1">
      <alignment horizontal="center"/>
    </xf>
    <xf numFmtId="165"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2" fontId="0" fillId="0" borderId="0" xfId="2" applyNumberFormat="1" applyFont="1" applyAlignment="1">
      <alignment horizontal="center"/>
    </xf>
    <xf numFmtId="165" fontId="0" fillId="0" borderId="2" xfId="2" applyNumberFormat="1" applyFont="1" applyBorder="1" applyAlignment="1">
      <alignment horizontal="center"/>
    </xf>
    <xf numFmtId="164" fontId="7" fillId="0" borderId="0" xfId="1" applyNumberFormat="1" applyFont="1" applyAlignment="1">
      <alignment horizontal="center"/>
    </xf>
    <xf numFmtId="165"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5"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4" fontId="10" fillId="0" borderId="0" xfId="1" applyNumberFormat="1" applyFont="1"/>
    <xf numFmtId="174" fontId="0" fillId="0" borderId="0" xfId="1" applyNumberFormat="1" applyFont="1"/>
    <xf numFmtId="171" fontId="20" fillId="7" borderId="6" xfId="0" applyNumberFormat="1" applyFont="1" applyFill="1" applyBorder="1" applyAlignment="1">
      <alignment horizontal="center"/>
    </xf>
    <xf numFmtId="171" fontId="20" fillId="7" borderId="7" xfId="0" applyNumberFormat="1" applyFont="1" applyFill="1" applyBorder="1" applyAlignment="1">
      <alignment horizontal="center"/>
    </xf>
    <xf numFmtId="0" fontId="20" fillId="0" borderId="0" xfId="0" applyFont="1" applyAlignment="1">
      <alignment horizontal="center"/>
    </xf>
    <xf numFmtId="171"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4" fontId="0" fillId="0" borderId="2" xfId="1" applyNumberFormat="1" applyFont="1" applyFill="1" applyBorder="1"/>
    <xf numFmtId="172"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69" fontId="0" fillId="0" borderId="6" xfId="0" applyNumberFormat="1" applyBorder="1" applyAlignment="1">
      <alignment horizontal="center"/>
    </xf>
    <xf numFmtId="164" fontId="13" fillId="0" borderId="11" xfId="1" applyNumberFormat="1" applyFont="1" applyFill="1" applyBorder="1"/>
    <xf numFmtId="164"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66"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5" fontId="0" fillId="0" borderId="0" xfId="2" applyNumberFormat="1" applyFont="1" applyBorder="1" applyAlignment="1">
      <alignment horizontal="center"/>
    </xf>
    <xf numFmtId="170" fontId="0" fillId="0" borderId="11" xfId="0" applyNumberFormat="1" applyBorder="1" applyAlignment="1">
      <alignment horizontal="center"/>
    </xf>
    <xf numFmtId="3" fontId="0" fillId="5" borderId="6" xfId="0" applyNumberFormat="1" applyFill="1" applyBorder="1" applyAlignment="1">
      <alignment horizontal="center"/>
    </xf>
    <xf numFmtId="165" fontId="1" fillId="5" borderId="6" xfId="2" applyNumberFormat="1" applyFont="1" applyFill="1" applyBorder="1" applyAlignment="1">
      <alignment horizontal="center"/>
    </xf>
    <xf numFmtId="169" fontId="0" fillId="5" borderId="6" xfId="0" applyNumberFormat="1" applyFill="1" applyBorder="1" applyAlignment="1">
      <alignment horizontal="center"/>
    </xf>
    <xf numFmtId="170" fontId="0" fillId="5" borderId="7" xfId="0" applyNumberFormat="1" applyFill="1" applyBorder="1" applyAlignment="1">
      <alignment horizontal="center"/>
    </xf>
    <xf numFmtId="3" fontId="0" fillId="0" borderId="2" xfId="0" applyNumberFormat="1" applyBorder="1" applyAlignment="1">
      <alignment horizontal="center"/>
    </xf>
    <xf numFmtId="170"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69"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43"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69" fontId="0" fillId="7" borderId="6" xfId="0" applyNumberFormat="1" applyFill="1" applyBorder="1" applyAlignment="1">
      <alignment horizontal="center"/>
    </xf>
    <xf numFmtId="175"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69"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69" fontId="0" fillId="7" borderId="0" xfId="0" applyNumberFormat="1" applyFill="1" applyAlignment="1">
      <alignment horizontal="center"/>
    </xf>
    <xf numFmtId="5" fontId="0" fillId="7" borderId="11" xfId="0" applyNumberFormat="1" applyFill="1" applyBorder="1" applyAlignment="1">
      <alignment horizontal="center"/>
    </xf>
    <xf numFmtId="176"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5" fontId="0" fillId="7" borderId="7" xfId="0" applyNumberFormat="1" applyFill="1" applyBorder="1" applyAlignment="1">
      <alignment horizontal="center"/>
    </xf>
    <xf numFmtId="0" fontId="0" fillId="7" borderId="10" xfId="0" applyFill="1" applyBorder="1"/>
    <xf numFmtId="5"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77" fontId="7" fillId="7" borderId="0" xfId="0" applyNumberFormat="1" applyFont="1" applyFill="1" applyAlignment="1">
      <alignment horizontal="center"/>
    </xf>
    <xf numFmtId="178" fontId="7" fillId="7" borderId="0" xfId="0" applyNumberFormat="1" applyFont="1" applyFill="1" applyAlignment="1">
      <alignment horizontal="center"/>
    </xf>
    <xf numFmtId="6" fontId="0" fillId="7" borderId="0" xfId="0" applyNumberFormat="1" applyFill="1" applyAlignment="1">
      <alignment horizontal="center"/>
    </xf>
    <xf numFmtId="6" fontId="0" fillId="7" borderId="11" xfId="0" applyNumberFormat="1" applyFill="1" applyBorder="1" applyAlignment="1">
      <alignment horizontal="center"/>
    </xf>
    <xf numFmtId="0" fontId="10" fillId="7" borderId="3" xfId="0" applyFont="1" applyFill="1" applyBorder="1" applyAlignment="1">
      <alignment horizontal="left" indent="2"/>
    </xf>
    <xf numFmtId="165" fontId="7" fillId="7" borderId="0" xfId="0" applyNumberFormat="1" applyFont="1" applyFill="1" applyAlignment="1">
      <alignment horizontal="center"/>
    </xf>
    <xf numFmtId="0" fontId="0" fillId="7" borderId="5" xfId="0" applyFill="1" applyBorder="1" applyAlignment="1">
      <alignment horizontal="left"/>
    </xf>
    <xf numFmtId="6" fontId="0" fillId="7" borderId="6" xfId="0" applyNumberFormat="1" applyFill="1" applyBorder="1" applyAlignment="1">
      <alignment horizontal="center"/>
    </xf>
    <xf numFmtId="169" fontId="0" fillId="7" borderId="7" xfId="0" applyNumberFormat="1" applyFill="1" applyBorder="1" applyAlignment="1">
      <alignment horizontal="center"/>
    </xf>
    <xf numFmtId="179"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8" fontId="0" fillId="0" borderId="11" xfId="0" applyNumberFormat="1" applyBorder="1" applyAlignment="1">
      <alignment horizontal="center"/>
    </xf>
    <xf numFmtId="8"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5" fontId="7" fillId="7" borderId="11" xfId="0" applyNumberFormat="1" applyFont="1" applyFill="1" applyBorder="1" applyAlignment="1">
      <alignment horizontal="left"/>
    </xf>
    <xf numFmtId="169"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69"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76" fontId="13" fillId="0" borderId="6" xfId="0" applyNumberFormat="1" applyFont="1" applyBorder="1" applyAlignment="1">
      <alignment horizontal="center"/>
    </xf>
    <xf numFmtId="169" fontId="0" fillId="0" borderId="7" xfId="0" applyNumberFormat="1" applyBorder="1" applyAlignment="1">
      <alignment horizontal="center"/>
    </xf>
    <xf numFmtId="169" fontId="0" fillId="0" borderId="13" xfId="0" applyNumberFormat="1" applyBorder="1" applyAlignment="1">
      <alignment horizontal="center"/>
    </xf>
    <xf numFmtId="8"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69" fontId="7" fillId="10" borderId="0" xfId="0" applyNumberFormat="1" applyFont="1" applyFill="1" applyAlignment="1">
      <alignment horizontal="center"/>
    </xf>
    <xf numFmtId="168"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69" fontId="7" fillId="10" borderId="8" xfId="0" applyNumberFormat="1" applyFont="1" applyFill="1" applyBorder="1" applyAlignment="1">
      <alignment horizontal="center"/>
    </xf>
    <xf numFmtId="164" fontId="7" fillId="10" borderId="11" xfId="1" applyNumberFormat="1" applyFont="1" applyFill="1" applyBorder="1"/>
    <xf numFmtId="164" fontId="7" fillId="10" borderId="0" xfId="1" applyNumberFormat="1" applyFont="1" applyFill="1"/>
    <xf numFmtId="9" fontId="7" fillId="7" borderId="0" xfId="0" applyNumberFormat="1" applyFont="1" applyFill="1" applyAlignment="1">
      <alignment horizontal="center"/>
    </xf>
    <xf numFmtId="3" fontId="9" fillId="7" borderId="0" xfId="0" applyNumberFormat="1" applyFont="1" applyFill="1" applyAlignment="1">
      <alignment horizontal="center"/>
    </xf>
    <xf numFmtId="169" fontId="0" fillId="7" borderId="11" xfId="0" applyNumberFormat="1" applyFill="1" applyBorder="1" applyAlignment="1">
      <alignment horizontal="center"/>
    </xf>
    <xf numFmtId="176" fontId="13" fillId="7" borderId="0" xfId="0" applyNumberFormat="1" applyFont="1" applyFill="1" applyAlignment="1">
      <alignment horizontal="center"/>
    </xf>
    <xf numFmtId="3" fontId="7" fillId="7" borderId="0" xfId="0" applyNumberFormat="1" applyFont="1" applyFill="1" applyAlignment="1">
      <alignment horizontal="center"/>
    </xf>
    <xf numFmtId="180" fontId="13" fillId="7" borderId="0" xfId="0" applyNumberFormat="1" applyFont="1" applyFill="1" applyAlignment="1">
      <alignment horizontal="center"/>
    </xf>
    <xf numFmtId="3" fontId="13" fillId="0" borderId="0" xfId="0" applyNumberFormat="1" applyFont="1" applyAlignment="1">
      <alignment horizontal="center"/>
    </xf>
    <xf numFmtId="0" fontId="0" fillId="0" borderId="6" xfId="0" applyBorder="1"/>
    <xf numFmtId="0" fontId="7" fillId="10" borderId="7" xfId="0" applyFont="1" applyFill="1" applyBorder="1" applyAlignment="1">
      <alignment horizontal="center"/>
    </xf>
    <xf numFmtId="167" fontId="7" fillId="0" borderId="11" xfId="1" applyNumberFormat="1" applyFont="1" applyFill="1" applyBorder="1"/>
    <xf numFmtId="164" fontId="0" fillId="0" borderId="9" xfId="1" applyNumberFormat="1" applyFont="1" applyFill="1" applyBorder="1"/>
    <xf numFmtId="165" fontId="7" fillId="0" borderId="0" xfId="2" applyNumberFormat="1" applyFont="1" applyFill="1" applyBorder="1" applyAlignment="1">
      <alignment horizontal="center"/>
    </xf>
    <xf numFmtId="0" fontId="7" fillId="0" borderId="3" xfId="0" applyFont="1" applyBorder="1" applyAlignment="1">
      <alignment horizontal="left"/>
    </xf>
    <xf numFmtId="0" fontId="3" fillId="0" borderId="8" xfId="0" applyFont="1" applyBorder="1"/>
    <xf numFmtId="0" fontId="3" fillId="0" borderId="8" xfId="0" applyFont="1" applyBorder="1" applyAlignment="1">
      <alignment horizontal="center"/>
    </xf>
    <xf numFmtId="3" fontId="9" fillId="0" borderId="0" xfId="0" applyNumberFormat="1" applyFont="1" applyAlignment="1">
      <alignment horizontal="center"/>
    </xf>
    <xf numFmtId="0" fontId="3" fillId="0" borderId="2" xfId="0" applyFont="1" applyBorder="1"/>
    <xf numFmtId="3" fontId="3" fillId="0" borderId="2" xfId="0" applyNumberFormat="1" applyFont="1" applyBorder="1" applyAlignment="1">
      <alignment horizontal="center"/>
    </xf>
    <xf numFmtId="169" fontId="3" fillId="0" borderId="2" xfId="0" applyNumberFormat="1" applyFont="1" applyBorder="1" applyAlignment="1">
      <alignment horizontal="center"/>
    </xf>
    <xf numFmtId="164" fontId="7" fillId="11" borderId="0" xfId="1" applyNumberFormat="1" applyFont="1" applyFill="1"/>
    <xf numFmtId="0" fontId="24" fillId="10" borderId="0" xfId="3" applyFill="1" applyAlignment="1">
      <alignment horizontal="center"/>
    </xf>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0" fillId="0" borderId="19" xfId="0" applyBorder="1"/>
    <xf numFmtId="0" fontId="3" fillId="2" borderId="18" xfId="0" applyFont="1" applyFill="1" applyBorder="1"/>
    <xf numFmtId="0" fontId="3" fillId="2" borderId="0" xfId="0" applyFont="1" applyFill="1"/>
    <xf numFmtId="0" fontId="3" fillId="2" borderId="19" xfId="0" applyFont="1" applyFill="1" applyBorder="1"/>
    <xf numFmtId="0" fontId="0" fillId="0" borderId="18" xfId="0" applyBorder="1" applyAlignment="1">
      <alignment horizontal="left" indent="1"/>
    </xf>
    <xf numFmtId="0" fontId="3" fillId="12" borderId="18" xfId="0" applyFont="1" applyFill="1" applyBorder="1" applyAlignment="1">
      <alignment horizontal="left" indent="1"/>
    </xf>
    <xf numFmtId="0" fontId="0" fillId="12" borderId="18" xfId="0" applyFill="1" applyBorder="1" applyAlignment="1">
      <alignment horizontal="left" indent="1"/>
    </xf>
    <xf numFmtId="0" fontId="3" fillId="0" borderId="18" xfId="0" applyFont="1" applyBorder="1" applyAlignment="1">
      <alignment horizontal="left" indent="1"/>
    </xf>
    <xf numFmtId="0" fontId="0" fillId="12" borderId="20" xfId="0" applyFill="1" applyBorder="1" applyAlignment="1">
      <alignment horizontal="left" indent="1"/>
    </xf>
    <xf numFmtId="0" fontId="0" fillId="0" borderId="21" xfId="0" applyBorder="1"/>
    <xf numFmtId="0" fontId="24" fillId="7" borderId="13" xfId="3" applyFill="1" applyBorder="1" applyAlignment="1">
      <alignment horizontal="left"/>
    </xf>
    <xf numFmtId="0" fontId="24" fillId="10" borderId="8" xfId="3" applyFill="1" applyBorder="1" applyAlignment="1">
      <alignment horizontal="center"/>
    </xf>
    <xf numFmtId="0" fontId="0" fillId="0" borderId="18" xfId="0" applyBorder="1" applyAlignment="1">
      <alignment horizontal="left" wrapText="1"/>
    </xf>
    <xf numFmtId="0" fontId="0" fillId="0" borderId="0" xfId="0" applyAlignment="1">
      <alignment horizontal="left" wrapText="1"/>
    </xf>
    <xf numFmtId="0" fontId="0" fillId="0" borderId="19" xfId="0" applyBorder="1" applyAlignment="1">
      <alignment horizontal="left" wrapText="1"/>
    </xf>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549087</xdr:colOff>
      <xdr:row>33</xdr:row>
      <xdr:rowOff>145677</xdr:rowOff>
    </xdr:from>
    <xdr:to>
      <xdr:col>25</xdr:col>
      <xdr:colOff>211338</xdr:colOff>
      <xdr:row>57</xdr:row>
      <xdr:rowOff>54605</xdr:rowOff>
    </xdr:to>
    <xdr:pic>
      <xdr:nvPicPr>
        <xdr:cNvPr id="2" name="Picture 1">
          <a:extLst>
            <a:ext uri="{FF2B5EF4-FFF2-40B4-BE49-F238E27FC236}">
              <a16:creationId xmlns:a16="http://schemas.microsoft.com/office/drawing/2014/main" id="{AAB0DBA5-FE9B-4CD0-81C5-A26D08C134CB}"/>
            </a:ext>
          </a:extLst>
        </xdr:cNvPr>
        <xdr:cNvPicPr>
          <a:picLocks noChangeAspect="1"/>
        </xdr:cNvPicPr>
      </xdr:nvPicPr>
      <xdr:blipFill>
        <a:blip xmlns:r="http://schemas.openxmlformats.org/officeDocument/2006/relationships" r:embed="rId1"/>
        <a:stretch>
          <a:fillRect/>
        </a:stretch>
      </xdr:blipFill>
      <xdr:spPr>
        <a:xfrm>
          <a:off x="4975411" y="6320118"/>
          <a:ext cx="13562811" cy="42005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porchlightbriercreek.com/" TargetMode="External"/><Relationship Id="rId2" Type="http://schemas.openxmlformats.org/officeDocument/2006/relationships/hyperlink" Target="https://pageoaks.com/" TargetMode="External"/><Relationship Id="rId1" Type="http://schemas.openxmlformats.org/officeDocument/2006/relationships/hyperlink" Target="https://abodearringdon.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property.spatialest.com/nc/durham-tax/" TargetMode="External"/><Relationship Id="rId2" Type="http://schemas.openxmlformats.org/officeDocument/2006/relationships/hyperlink" Target="https://property.spatialest.com/nc/durham-tax/" TargetMode="External"/><Relationship Id="rId1" Type="http://schemas.openxmlformats.org/officeDocument/2006/relationships/hyperlink" Target="https://property.spatialest.com/nc/durham-tax/"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L36"/>
  <sheetViews>
    <sheetView showGridLines="0" tabSelected="1" zoomScaleNormal="100" workbookViewId="0">
      <selection activeCell="B5" sqref="B5"/>
    </sheetView>
  </sheetViews>
  <sheetFormatPr defaultColWidth="9.109375" defaultRowHeight="14.4" x14ac:dyDescent="0.3"/>
  <cols>
    <col min="1" max="1" width="3.6640625" customWidth="1"/>
    <col min="2" max="3" width="35.6640625" customWidth="1"/>
    <col min="4" max="5" width="3.6640625" customWidth="1"/>
  </cols>
  <sheetData>
    <row r="1" spans="1:3" s="142" customFormat="1" ht="25.8" x14ac:dyDescent="0.5">
      <c r="A1" s="145" t="str">
        <f>TEXT(C7,"")</f>
        <v>Grandle Drive</v>
      </c>
    </row>
    <row r="2" spans="1:3" s="142" customFormat="1" ht="19.8" x14ac:dyDescent="0.4">
      <c r="A2" s="146" t="s">
        <v>0</v>
      </c>
    </row>
    <row r="6" spans="1:3" x14ac:dyDescent="0.3">
      <c r="B6" s="123" t="s">
        <v>0</v>
      </c>
      <c r="C6" s="163"/>
    </row>
    <row r="7" spans="1:3" x14ac:dyDescent="0.3">
      <c r="B7" s="56" t="s">
        <v>1</v>
      </c>
      <c r="C7" s="164" t="s">
        <v>444</v>
      </c>
    </row>
    <row r="8" spans="1:3" x14ac:dyDescent="0.3">
      <c r="B8" s="56" t="s">
        <v>2</v>
      </c>
      <c r="C8" s="164" t="s">
        <v>450</v>
      </c>
    </row>
    <row r="9" spans="1:3" x14ac:dyDescent="0.3">
      <c r="B9" s="56" t="s">
        <v>3</v>
      </c>
      <c r="C9" s="164" t="s">
        <v>445</v>
      </c>
    </row>
    <row r="10" spans="1:3" x14ac:dyDescent="0.3">
      <c r="B10" s="56" t="s">
        <v>4</v>
      </c>
      <c r="C10" s="164" t="s">
        <v>446</v>
      </c>
    </row>
    <row r="11" spans="1:3" x14ac:dyDescent="0.3">
      <c r="B11" s="56" t="s">
        <v>5</v>
      </c>
      <c r="C11" s="164" t="s">
        <v>447</v>
      </c>
    </row>
    <row r="12" spans="1:3" x14ac:dyDescent="0.3">
      <c r="B12" s="56" t="s">
        <v>6</v>
      </c>
      <c r="C12" s="164" t="s">
        <v>448</v>
      </c>
    </row>
    <row r="13" spans="1:3" x14ac:dyDescent="0.3">
      <c r="B13" s="56" t="s">
        <v>7</v>
      </c>
      <c r="C13" s="164">
        <v>27713</v>
      </c>
    </row>
    <row r="14" spans="1:3" x14ac:dyDescent="0.3">
      <c r="B14" s="56" t="s">
        <v>8</v>
      </c>
      <c r="C14" s="164" t="s">
        <v>449</v>
      </c>
    </row>
    <row r="15" spans="1:3" x14ac:dyDescent="0.3">
      <c r="B15" s="56"/>
      <c r="C15" s="57"/>
    </row>
    <row r="16" spans="1:3" x14ac:dyDescent="0.3">
      <c r="B16" s="59" t="s">
        <v>9</v>
      </c>
      <c r="C16" s="165" t="s">
        <v>10</v>
      </c>
    </row>
    <row r="18" spans="2:12" ht="15" thickBot="1" x14ac:dyDescent="0.35"/>
    <row r="19" spans="2:12" x14ac:dyDescent="0.3">
      <c r="B19" s="266" t="s">
        <v>451</v>
      </c>
      <c r="C19" s="267"/>
      <c r="D19" s="267"/>
      <c r="E19" s="267"/>
      <c r="F19" s="267"/>
      <c r="G19" s="267"/>
      <c r="H19" s="267"/>
      <c r="I19" s="267"/>
      <c r="J19" s="267"/>
      <c r="K19" s="267"/>
      <c r="L19" s="268"/>
    </row>
    <row r="20" spans="2:12" x14ac:dyDescent="0.3">
      <c r="B20" s="269"/>
      <c r="L20" s="270"/>
    </row>
    <row r="21" spans="2:12" x14ac:dyDescent="0.3">
      <c r="B21" s="271" t="s">
        <v>452</v>
      </c>
      <c r="C21" s="272"/>
      <c r="D21" s="272"/>
      <c r="E21" s="272"/>
      <c r="F21" s="272"/>
      <c r="G21" s="272"/>
      <c r="H21" s="272"/>
      <c r="I21" s="272"/>
      <c r="J21" s="272"/>
      <c r="K21" s="272"/>
      <c r="L21" s="273"/>
    </row>
    <row r="22" spans="2:12" x14ac:dyDescent="0.3">
      <c r="B22" s="274" t="s">
        <v>468</v>
      </c>
      <c r="L22" s="270"/>
    </row>
    <row r="23" spans="2:12" x14ac:dyDescent="0.3">
      <c r="B23" s="274" t="s">
        <v>453</v>
      </c>
      <c r="L23" s="270"/>
    </row>
    <row r="24" spans="2:12" x14ac:dyDescent="0.3">
      <c r="B24" s="274" t="s">
        <v>473</v>
      </c>
      <c r="L24" s="270"/>
    </row>
    <row r="25" spans="2:12" x14ac:dyDescent="0.3">
      <c r="B25" s="274" t="s">
        <v>469</v>
      </c>
      <c r="L25" s="270"/>
    </row>
    <row r="26" spans="2:12" x14ac:dyDescent="0.3">
      <c r="B26" s="275" t="s">
        <v>454</v>
      </c>
      <c r="L26" s="270"/>
    </row>
    <row r="27" spans="2:12" x14ac:dyDescent="0.3">
      <c r="B27" s="276" t="s">
        <v>472</v>
      </c>
      <c r="L27" s="270"/>
    </row>
    <row r="28" spans="2:12" x14ac:dyDescent="0.3">
      <c r="B28" s="276" t="s">
        <v>470</v>
      </c>
      <c r="L28" s="270"/>
    </row>
    <row r="29" spans="2:12" x14ac:dyDescent="0.3">
      <c r="B29" s="277" t="s">
        <v>455</v>
      </c>
      <c r="L29" s="270"/>
    </row>
    <row r="30" spans="2:12" x14ac:dyDescent="0.3">
      <c r="B30" s="276" t="s">
        <v>471</v>
      </c>
      <c r="L30" s="270"/>
    </row>
    <row r="31" spans="2:12" x14ac:dyDescent="0.3">
      <c r="B31" s="274" t="s">
        <v>456</v>
      </c>
      <c r="L31" s="270"/>
    </row>
    <row r="32" spans="2:12" x14ac:dyDescent="0.3">
      <c r="B32" s="282" t="s">
        <v>475</v>
      </c>
      <c r="C32" s="283"/>
      <c r="D32" s="283"/>
      <c r="E32" s="283"/>
      <c r="F32" s="283"/>
      <c r="G32" s="283"/>
      <c r="H32" s="283"/>
      <c r="I32" s="283"/>
      <c r="J32" s="283"/>
      <c r="K32" s="283"/>
      <c r="L32" s="284"/>
    </row>
    <row r="33" spans="2:12" x14ac:dyDescent="0.3">
      <c r="B33" s="282"/>
      <c r="C33" s="283"/>
      <c r="D33" s="283"/>
      <c r="E33" s="283"/>
      <c r="F33" s="283"/>
      <c r="G33" s="283"/>
      <c r="H33" s="283"/>
      <c r="I33" s="283"/>
      <c r="J33" s="283"/>
      <c r="K33" s="283"/>
      <c r="L33" s="284"/>
    </row>
    <row r="34" spans="2:12" x14ac:dyDescent="0.3">
      <c r="B34" s="271" t="s">
        <v>457</v>
      </c>
      <c r="C34" s="272"/>
      <c r="D34" s="272"/>
      <c r="E34" s="272"/>
      <c r="F34" s="272"/>
      <c r="G34" s="272"/>
      <c r="H34" s="272"/>
      <c r="I34" s="272"/>
      <c r="J34" s="272"/>
      <c r="K34" s="272"/>
      <c r="L34" s="273"/>
    </row>
    <row r="35" spans="2:12" x14ac:dyDescent="0.3">
      <c r="B35" s="274" t="s">
        <v>474</v>
      </c>
      <c r="L35" s="270"/>
    </row>
    <row r="36" spans="2:12" ht="15" thickBot="1" x14ac:dyDescent="0.35">
      <c r="B36" s="278"/>
      <c r="C36" s="2"/>
      <c r="D36" s="2"/>
      <c r="E36" s="2"/>
      <c r="F36" s="2"/>
      <c r="G36" s="2"/>
      <c r="H36" s="2"/>
      <c r="I36" s="2"/>
      <c r="J36" s="2"/>
      <c r="K36" s="2"/>
      <c r="L36" s="279"/>
    </row>
  </sheetData>
  <mergeCells count="1">
    <mergeCell ref="B32:L33"/>
  </mergeCells>
  <dataValidations disablePrompts="1" count="1">
    <dataValidation type="list" allowBlank="1" showInputMessage="1" showErrorMessage="1" sqref="C16" xr:uid="{4656E670-14EF-416D-B9CE-060CB2F63CD2}">
      <formula1>"On,Off"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V35"/>
  <sheetViews>
    <sheetView showGridLines="0" zoomScale="85" zoomScaleNormal="85" workbookViewId="0">
      <pane ySplit="6" topLeftCell="A7" activePane="bottomLeft" state="frozen"/>
      <selection activeCell="B5" sqref="B5"/>
      <selection pane="bottomLeft" activeCell="B5" sqref="B5"/>
    </sheetView>
  </sheetViews>
  <sheetFormatPr defaultColWidth="9.109375" defaultRowHeight="14.4" x14ac:dyDescent="0.3"/>
  <cols>
    <col min="1" max="1" width="1.6640625" customWidth="1"/>
    <col min="2" max="2" width="12.6640625" style="208" customWidth="1"/>
    <col min="3" max="11" width="12.6640625" customWidth="1"/>
    <col min="12" max="13" width="1.6640625" customWidth="1"/>
    <col min="14" max="19" width="10.6640625" customWidth="1"/>
    <col min="20" max="20" width="1.6640625" customWidth="1"/>
    <col min="21" max="21" width="15.6640625" style="208" customWidth="1"/>
    <col min="22" max="22" width="28.33203125" style="208" bestFit="1" customWidth="1"/>
  </cols>
  <sheetData>
    <row r="1" spans="1:22" s="142" customFormat="1" ht="25.8" x14ac:dyDescent="0.5">
      <c r="A1" s="145" t="str">
        <f>TEXT(Global!$C$7,"")</f>
        <v>Grandle Drive</v>
      </c>
      <c r="B1" s="205"/>
      <c r="U1" s="205"/>
      <c r="V1" s="205"/>
    </row>
    <row r="2" spans="1:22" s="142" customFormat="1" ht="19.8" x14ac:dyDescent="0.4">
      <c r="A2" s="146" t="s">
        <v>11</v>
      </c>
      <c r="B2" s="205"/>
      <c r="U2" s="205"/>
      <c r="V2" s="205"/>
    </row>
    <row r="4" spans="1:22" x14ac:dyDescent="0.3">
      <c r="B4" s="227" t="s">
        <v>12</v>
      </c>
      <c r="C4" s="252"/>
      <c r="D4" s="252"/>
      <c r="E4" s="252"/>
      <c r="F4" s="252"/>
      <c r="G4" s="253">
        <v>125</v>
      </c>
    </row>
    <row r="6" spans="1:22" x14ac:dyDescent="0.3">
      <c r="B6" s="206" t="s">
        <v>13</v>
      </c>
      <c r="C6" s="156" t="s">
        <v>14</v>
      </c>
      <c r="D6" s="156" t="s">
        <v>15</v>
      </c>
      <c r="E6" s="156" t="s">
        <v>16</v>
      </c>
      <c r="F6" s="156" t="s">
        <v>17</v>
      </c>
      <c r="G6" s="156" t="s">
        <v>18</v>
      </c>
      <c r="H6" s="156" t="s">
        <v>19</v>
      </c>
      <c r="I6" s="156" t="s">
        <v>20</v>
      </c>
      <c r="J6" s="156" t="s">
        <v>21</v>
      </c>
      <c r="K6" s="157" t="s">
        <v>22</v>
      </c>
    </row>
    <row r="7" spans="1:22" x14ac:dyDescent="0.3">
      <c r="B7" s="257" t="s">
        <v>23</v>
      </c>
      <c r="C7" s="24" t="s">
        <v>24</v>
      </c>
      <c r="D7" s="24" t="s">
        <v>25</v>
      </c>
      <c r="E7" s="24">
        <v>2</v>
      </c>
      <c r="F7" s="24">
        <v>3</v>
      </c>
      <c r="G7" s="251">
        <f>ROUND($G$4*$H7,0)</f>
        <v>0</v>
      </c>
      <c r="H7" s="256">
        <v>0</v>
      </c>
      <c r="I7" s="32">
        <v>1450</v>
      </c>
      <c r="J7" s="237">
        <v>0</v>
      </c>
      <c r="K7" s="148">
        <f>IFERROR(J7/I7,0)</f>
        <v>0</v>
      </c>
      <c r="N7" s="140" t="s">
        <v>462</v>
      </c>
      <c r="O7" s="170"/>
      <c r="P7" s="170"/>
      <c r="Q7" s="170"/>
      <c r="R7" s="170"/>
      <c r="S7" s="141"/>
    </row>
    <row r="8" spans="1:22" x14ac:dyDescent="0.3">
      <c r="B8" s="257" t="s">
        <v>26</v>
      </c>
      <c r="C8" s="24" t="s">
        <v>24</v>
      </c>
      <c r="D8" s="24" t="s">
        <v>27</v>
      </c>
      <c r="E8" s="24">
        <v>2</v>
      </c>
      <c r="F8" s="24">
        <v>3</v>
      </c>
      <c r="G8" s="251">
        <f>ROUND($G$4*$H8,0)</f>
        <v>81</v>
      </c>
      <c r="H8" s="256">
        <v>0.65</v>
      </c>
      <c r="I8" s="32">
        <v>1659</v>
      </c>
      <c r="J8" s="237">
        <v>2475</v>
      </c>
      <c r="K8" s="148">
        <f t="shared" ref="K8:K14" si="0">IFERROR(J8/I8,0)</f>
        <v>1.4918625678119348</v>
      </c>
      <c r="N8" s="211" t="s">
        <v>14</v>
      </c>
      <c r="O8" s="212" t="s">
        <v>18</v>
      </c>
      <c r="P8" s="212" t="s">
        <v>19</v>
      </c>
      <c r="Q8" s="212" t="s">
        <v>28</v>
      </c>
      <c r="R8" s="212" t="s">
        <v>29</v>
      </c>
      <c r="S8" s="213" t="s">
        <v>30</v>
      </c>
      <c r="U8" s="218" t="s">
        <v>14</v>
      </c>
      <c r="V8" s="220" t="s">
        <v>458</v>
      </c>
    </row>
    <row r="9" spans="1:22" x14ac:dyDescent="0.3">
      <c r="B9" s="257" t="s">
        <v>31</v>
      </c>
      <c r="C9" s="24" t="s">
        <v>24</v>
      </c>
      <c r="D9" s="24" t="s">
        <v>32</v>
      </c>
      <c r="E9" s="24">
        <v>2</v>
      </c>
      <c r="F9" s="24">
        <v>3</v>
      </c>
      <c r="G9" s="251">
        <f>ROUND($G$4*$H9,0)</f>
        <v>44</v>
      </c>
      <c r="H9" s="256">
        <v>0.35</v>
      </c>
      <c r="I9" s="32">
        <v>1996</v>
      </c>
      <c r="J9" s="237">
        <v>2650</v>
      </c>
      <c r="K9" s="148">
        <f t="shared" si="0"/>
        <v>1.3276553106212425</v>
      </c>
      <c r="N9" s="56" t="s">
        <v>33</v>
      </c>
      <c r="O9" s="235"/>
      <c r="P9" s="204" t="e">
        <f>O9/$O$14</f>
        <v>#DIV/0!</v>
      </c>
      <c r="Q9" s="236"/>
      <c r="R9" s="237"/>
      <c r="S9" s="216" t="str">
        <f>IFERROR(R9/Q9,"-")</f>
        <v>-</v>
      </c>
      <c r="U9" s="193" t="s">
        <v>34</v>
      </c>
      <c r="V9" s="221">
        <v>2023</v>
      </c>
    </row>
    <row r="10" spans="1:22" x14ac:dyDescent="0.3">
      <c r="B10" s="257"/>
      <c r="C10" s="24"/>
      <c r="D10" s="24"/>
      <c r="E10" s="24"/>
      <c r="F10" s="24"/>
      <c r="G10" s="251"/>
      <c r="H10" s="256"/>
      <c r="I10" s="32"/>
      <c r="J10" s="237"/>
      <c r="K10" s="148">
        <f t="shared" si="0"/>
        <v>0</v>
      </c>
      <c r="N10" s="56" t="s">
        <v>35</v>
      </c>
      <c r="O10" s="235"/>
      <c r="P10" s="204" t="e">
        <f t="shared" ref="P10:P13" si="1">O10/$O$14</f>
        <v>#DIV/0!</v>
      </c>
      <c r="Q10" s="236"/>
      <c r="R10" s="237"/>
      <c r="S10" s="216" t="str">
        <f t="shared" ref="S10:S14" si="2">IFERROR(R10/Q10,"-")</f>
        <v>-</v>
      </c>
      <c r="U10" s="193" t="s">
        <v>36</v>
      </c>
      <c r="V10" s="222">
        <v>0.108</v>
      </c>
    </row>
    <row r="11" spans="1:22" x14ac:dyDescent="0.3">
      <c r="B11" s="257"/>
      <c r="C11" s="24"/>
      <c r="D11" s="24"/>
      <c r="E11" s="24"/>
      <c r="F11" s="24"/>
      <c r="G11" s="251"/>
      <c r="H11" s="256"/>
      <c r="I11" s="32"/>
      <c r="J11" s="237"/>
      <c r="K11" s="148">
        <f t="shared" si="0"/>
        <v>0</v>
      </c>
      <c r="N11" s="56" t="s">
        <v>37</v>
      </c>
      <c r="O11" s="235"/>
      <c r="P11" s="204" t="e">
        <f t="shared" si="1"/>
        <v>#DIV/0!</v>
      </c>
      <c r="Q11" s="236"/>
      <c r="R11" s="237"/>
      <c r="S11" s="216" t="str">
        <f t="shared" si="2"/>
        <v>-</v>
      </c>
      <c r="U11" s="193" t="s">
        <v>38</v>
      </c>
      <c r="V11" s="221"/>
    </row>
    <row r="12" spans="1:22" ht="15" customHeight="1" x14ac:dyDescent="0.3">
      <c r="B12" s="257"/>
      <c r="C12" s="24"/>
      <c r="D12" s="24"/>
      <c r="E12" s="24"/>
      <c r="F12" s="24"/>
      <c r="G12" s="251"/>
      <c r="H12" s="256"/>
      <c r="I12" s="32"/>
      <c r="J12" s="237"/>
      <c r="K12" s="148">
        <f t="shared" si="0"/>
        <v>0</v>
      </c>
      <c r="N12" s="56" t="s">
        <v>39</v>
      </c>
      <c r="O12" s="235"/>
      <c r="P12" s="204" t="e">
        <f t="shared" si="1"/>
        <v>#DIV/0!</v>
      </c>
      <c r="Q12" s="236">
        <v>1750</v>
      </c>
      <c r="R12" s="237">
        <v>2254</v>
      </c>
      <c r="S12" s="216">
        <f t="shared" si="2"/>
        <v>1.288</v>
      </c>
      <c r="U12" s="193" t="s">
        <v>40</v>
      </c>
      <c r="V12" s="221" t="s">
        <v>459</v>
      </c>
    </row>
    <row r="13" spans="1:22" ht="15" customHeight="1" x14ac:dyDescent="0.3">
      <c r="B13" s="257"/>
      <c r="C13" s="24"/>
      <c r="D13" s="24"/>
      <c r="E13" s="24"/>
      <c r="F13" s="24"/>
      <c r="G13" s="251"/>
      <c r="H13" s="256"/>
      <c r="I13" s="32"/>
      <c r="J13" s="237"/>
      <c r="K13" s="148">
        <f t="shared" si="0"/>
        <v>0</v>
      </c>
      <c r="N13" s="56" t="s">
        <v>41</v>
      </c>
      <c r="O13" s="235"/>
      <c r="P13" s="204" t="e">
        <f t="shared" si="1"/>
        <v>#DIV/0!</v>
      </c>
      <c r="Q13" s="236"/>
      <c r="R13" s="237"/>
      <c r="S13" s="216" t="str">
        <f t="shared" si="2"/>
        <v>-</v>
      </c>
      <c r="U13" s="219" t="s">
        <v>42</v>
      </c>
      <c r="V13" s="280" t="s">
        <v>172</v>
      </c>
    </row>
    <row r="14" spans="1:22" ht="15" customHeight="1" x14ac:dyDescent="0.3">
      <c r="B14" s="257"/>
      <c r="C14" s="24"/>
      <c r="D14" s="24"/>
      <c r="E14" s="24"/>
      <c r="F14" s="24"/>
      <c r="G14" s="251"/>
      <c r="H14" s="256"/>
      <c r="I14" s="32"/>
      <c r="J14" s="237"/>
      <c r="K14" s="148">
        <f t="shared" si="0"/>
        <v>0</v>
      </c>
      <c r="N14" s="126" t="s">
        <v>43</v>
      </c>
      <c r="O14" s="214">
        <f>SUM(O9:O13)</f>
        <v>0</v>
      </c>
      <c r="P14" s="215" t="e">
        <f>SUM(P9:P13)</f>
        <v>#DIV/0!</v>
      </c>
      <c r="Q14" s="127" t="e">
        <f>SUMPRODUCT(Q9:Q13,O9:O13)/O14</f>
        <v>#DIV/0!</v>
      </c>
      <c r="R14" s="128" t="e">
        <f>SUMPRODUCT(R9:R13,$O$9:$O$13)/$O$14</f>
        <v>#DIV/0!</v>
      </c>
      <c r="S14" s="217" t="str">
        <f t="shared" si="2"/>
        <v>-</v>
      </c>
    </row>
    <row r="15" spans="1:22" ht="15" customHeight="1" x14ac:dyDescent="0.3">
      <c r="B15" s="207" t="s">
        <v>43</v>
      </c>
      <c r="C15" s="22"/>
      <c r="D15" s="22"/>
      <c r="E15" s="22"/>
      <c r="F15" s="22"/>
      <c r="G15" s="149">
        <f>+SUM(G7:G14)</f>
        <v>125</v>
      </c>
      <c r="H15" s="150">
        <f>+SUM(H7:H14)</f>
        <v>1</v>
      </c>
      <c r="I15" s="149">
        <f>IFERROR(SUMPRODUCT(I7:I14,G7:G14)/G15,0)</f>
        <v>1777.624</v>
      </c>
      <c r="J15" s="151">
        <f>IFERROR(SUMPRODUCT(J7:J14,H7:H14)/H15,0)</f>
        <v>2536.25</v>
      </c>
      <c r="K15" s="152">
        <f>IFERROR(J15/I15,0)</f>
        <v>1.4267640400894677</v>
      </c>
    </row>
    <row r="16" spans="1:22" x14ac:dyDescent="0.3">
      <c r="N16" s="140" t="s">
        <v>463</v>
      </c>
      <c r="O16" s="170"/>
      <c r="P16" s="170"/>
      <c r="Q16" s="170"/>
      <c r="R16" s="170"/>
      <c r="S16" s="141"/>
    </row>
    <row r="17" spans="2:22" x14ac:dyDescent="0.3">
      <c r="B17" s="209" t="s">
        <v>33</v>
      </c>
      <c r="C17" s="3"/>
      <c r="D17" s="3"/>
      <c r="E17" s="3"/>
      <c r="F17" s="3"/>
      <c r="G17" s="153">
        <f>SUMIF($C$7:$C$14,$B17,G$7:G$14)</f>
        <v>0</v>
      </c>
      <c r="H17" s="99">
        <f>IFERROR(G17/G$22,0)</f>
        <v>0</v>
      </c>
      <c r="I17" s="153" cm="1">
        <f t="array" ref="I17">IFERROR(SUMPRODUCT(($C$7:$C$14=$B17)*($G$7:$G$14)*($I$7:$I$14))/$G17,0)</f>
        <v>0</v>
      </c>
      <c r="J17" s="35" cm="1">
        <f t="array" ref="J17">IFERROR(SUMPRODUCT(($C$7:$C$14=$B17)*($G$7:$G$14)*($J$7:$J$14))/$G17,0)</f>
        <v>0</v>
      </c>
      <c r="K17" s="154">
        <f>IFERROR(J17/I17,0)</f>
        <v>0</v>
      </c>
      <c r="N17" s="211" t="s">
        <v>14</v>
      </c>
      <c r="O17" s="212" t="s">
        <v>18</v>
      </c>
      <c r="P17" s="212" t="s">
        <v>19</v>
      </c>
      <c r="Q17" s="212" t="s">
        <v>28</v>
      </c>
      <c r="R17" s="212" t="s">
        <v>29</v>
      </c>
      <c r="S17" s="213" t="s">
        <v>30</v>
      </c>
      <c r="U17" s="218" t="s">
        <v>14</v>
      </c>
      <c r="V17" s="220" t="s">
        <v>458</v>
      </c>
    </row>
    <row r="18" spans="2:22" x14ac:dyDescent="0.3">
      <c r="B18" s="210" t="s">
        <v>44</v>
      </c>
      <c r="G18" s="155">
        <f>SUMIF($C$7:$C$14,$B18,G$7:G$14)</f>
        <v>0</v>
      </c>
      <c r="H18" s="147">
        <f t="shared" ref="H18:H21" si="3">IFERROR(G18/G$22,0)</f>
        <v>0</v>
      </c>
      <c r="I18" s="155" cm="1">
        <f t="array" ref="I18">IFERROR(SUMPRODUCT(($C$7:$C$14=$B18)*($G$7:$G$14)*($I$7:$I$14))/$G18,0)</f>
        <v>0</v>
      </c>
      <c r="J18" s="36" cm="1">
        <f t="array" ref="J18">IFERROR(SUMPRODUCT(($C$7:$C$14=$B18)*($G$7:$G$14)*($J$7:$J$14))/$G18,0)</f>
        <v>0</v>
      </c>
      <c r="K18" s="148">
        <f t="shared" ref="K18:K22" si="4">IFERROR(J18/I18,0)</f>
        <v>0</v>
      </c>
      <c r="N18" s="56" t="s">
        <v>33</v>
      </c>
      <c r="O18" s="235"/>
      <c r="P18" s="204" t="e">
        <f>O18/$O$14</f>
        <v>#DIV/0!</v>
      </c>
      <c r="Q18" s="236"/>
      <c r="R18" s="237"/>
      <c r="S18" s="216" t="str">
        <f>IFERROR(R18/Q18,"-")</f>
        <v>-</v>
      </c>
      <c r="U18" s="193" t="s">
        <v>34</v>
      </c>
      <c r="V18" s="221">
        <v>2024</v>
      </c>
    </row>
    <row r="19" spans="2:22" x14ac:dyDescent="0.3">
      <c r="B19" s="210" t="s">
        <v>45</v>
      </c>
      <c r="G19" s="155">
        <f>SUMIF($C$7:$C$14,$B19,G$7:G$14)</f>
        <v>0</v>
      </c>
      <c r="H19" s="147">
        <f t="shared" si="3"/>
        <v>0</v>
      </c>
      <c r="I19" s="155" cm="1">
        <f t="array" ref="I19">IFERROR(SUMPRODUCT(($C$7:$C$14=$B19)*($G$7:$G$14)*($I$7:$I$14))/$G19,0)</f>
        <v>0</v>
      </c>
      <c r="J19" s="36" cm="1">
        <f t="array" ref="J19">IFERROR(SUMPRODUCT(($C$7:$C$14=$B19)*($G$7:$G$14)*($J$7:$J$14))/$G19,0)</f>
        <v>0</v>
      </c>
      <c r="K19" s="148">
        <f t="shared" si="4"/>
        <v>0</v>
      </c>
      <c r="N19" s="56" t="s">
        <v>35</v>
      </c>
      <c r="O19" s="235"/>
      <c r="P19" s="204" t="e">
        <f t="shared" ref="P19:P22" si="5">O19/$O$14</f>
        <v>#DIV/0!</v>
      </c>
      <c r="Q19" s="236"/>
      <c r="R19" s="237"/>
      <c r="S19" s="216" t="str">
        <f t="shared" ref="S19:S23" si="6">IFERROR(R19/Q19,"-")</f>
        <v>-</v>
      </c>
      <c r="U19" s="193" t="s">
        <v>36</v>
      </c>
      <c r="V19" s="222">
        <v>0.154</v>
      </c>
    </row>
    <row r="20" spans="2:22" x14ac:dyDescent="0.3">
      <c r="B20" s="210" t="s">
        <v>46</v>
      </c>
      <c r="G20" s="155">
        <f>SUMIF($C$7:$C$14,$B20,G$7:G$14)</f>
        <v>0</v>
      </c>
      <c r="H20" s="147">
        <f t="shared" si="3"/>
        <v>0</v>
      </c>
      <c r="I20" s="155" cm="1">
        <f t="array" ref="I20">IFERROR(SUMPRODUCT(($C$7:$C$14=$B20)*($G$7:$G$14)*($I$7:$I$14))/$G20,0)</f>
        <v>0</v>
      </c>
      <c r="J20" s="36" cm="1">
        <f t="array" ref="J20">IFERROR(SUMPRODUCT(($C$7:$C$14=$B20)*($G$7:$G$14)*($J$7:$J$14))/$G20,0)</f>
        <v>0</v>
      </c>
      <c r="K20" s="148">
        <f t="shared" si="4"/>
        <v>0</v>
      </c>
      <c r="N20" s="56" t="s">
        <v>37</v>
      </c>
      <c r="O20" s="235"/>
      <c r="P20" s="204" t="e">
        <f t="shared" si="5"/>
        <v>#DIV/0!</v>
      </c>
      <c r="Q20" s="236">
        <v>1581</v>
      </c>
      <c r="R20" s="237">
        <v>2257</v>
      </c>
      <c r="S20" s="216">
        <f t="shared" si="6"/>
        <v>1.4275774826059455</v>
      </c>
      <c r="U20" s="193" t="s">
        <v>38</v>
      </c>
      <c r="V20" s="221"/>
    </row>
    <row r="21" spans="2:22" x14ac:dyDescent="0.3">
      <c r="B21" s="210" t="s">
        <v>24</v>
      </c>
      <c r="G21" s="155">
        <f>SUMIF($C$7:$C$14,$B21,G$7:G$14)</f>
        <v>125</v>
      </c>
      <c r="H21" s="147">
        <f t="shared" si="3"/>
        <v>1</v>
      </c>
      <c r="I21" s="155" cm="1">
        <f t="array" ref="I21">IFERROR(SUMPRODUCT(($C$7:$C$14=$B21)*($G$7:$G$14)*($I$7:$I$14))/$G21,0)</f>
        <v>1777.624</v>
      </c>
      <c r="J21" s="36" cm="1">
        <f t="array" ref="J21">IFERROR(SUMPRODUCT(($C$7:$C$14=$B21)*($G$7:$G$14)*($J$7:$J$14))/$G21,0)</f>
        <v>2536.6</v>
      </c>
      <c r="K21" s="148">
        <f t="shared" si="4"/>
        <v>1.4269609321206285</v>
      </c>
      <c r="N21" s="56" t="s">
        <v>39</v>
      </c>
      <c r="O21" s="235"/>
      <c r="P21" s="204" t="e">
        <f t="shared" si="5"/>
        <v>#DIV/0!</v>
      </c>
      <c r="Q21" s="236">
        <v>1653</v>
      </c>
      <c r="R21" s="237">
        <v>2459</v>
      </c>
      <c r="S21" s="216">
        <f t="shared" si="6"/>
        <v>1.4875983061101028</v>
      </c>
      <c r="U21" s="193" t="s">
        <v>40</v>
      </c>
      <c r="V21" s="221" t="s">
        <v>461</v>
      </c>
    </row>
    <row r="22" spans="2:22" x14ac:dyDescent="0.3">
      <c r="B22" s="207" t="s">
        <v>43</v>
      </c>
      <c r="C22" s="22"/>
      <c r="D22" s="22"/>
      <c r="E22" s="22"/>
      <c r="F22" s="22"/>
      <c r="G22" s="149">
        <f>SUM(G17:G21)</f>
        <v>125</v>
      </c>
      <c r="H22" s="150">
        <f>SUM(H17:H21)</f>
        <v>1</v>
      </c>
      <c r="I22" s="149">
        <f>IFERROR(SUMPRODUCT(I17:I21,$G17:$G21)/$G22,0)</f>
        <v>1777.624</v>
      </c>
      <c r="J22" s="151">
        <f>IFERROR(SUMPRODUCT(J17:J21,$G17:$G21)/$G22,0)</f>
        <v>2536.6</v>
      </c>
      <c r="K22" s="152">
        <f t="shared" si="4"/>
        <v>1.4269609321206285</v>
      </c>
      <c r="N22" s="56" t="s">
        <v>41</v>
      </c>
      <c r="O22" s="235"/>
      <c r="P22" s="204" t="e">
        <f t="shared" si="5"/>
        <v>#DIV/0!</v>
      </c>
      <c r="Q22" s="236"/>
      <c r="R22" s="237"/>
      <c r="S22" s="216" t="str">
        <f t="shared" si="6"/>
        <v>-</v>
      </c>
      <c r="U22" s="219" t="s">
        <v>42</v>
      </c>
      <c r="V22" s="280" t="s">
        <v>172</v>
      </c>
    </row>
    <row r="23" spans="2:22" x14ac:dyDescent="0.3">
      <c r="N23" s="126" t="s">
        <v>43</v>
      </c>
      <c r="O23" s="214">
        <f>SUM(O18:O22)</f>
        <v>0</v>
      </c>
      <c r="P23" s="215" t="e">
        <f>SUM(P18:P22)</f>
        <v>#DIV/0!</v>
      </c>
      <c r="Q23" s="127" t="e">
        <f>SUMPRODUCT(Q18:Q22,$O$18:$O$22)/$O$23</f>
        <v>#DIV/0!</v>
      </c>
      <c r="R23" s="128" t="e">
        <f>SUMPRODUCT(R18:R22,$O$18:$O$22)/$O$23</f>
        <v>#DIV/0!</v>
      </c>
      <c r="S23" s="217" t="str">
        <f t="shared" si="6"/>
        <v>-</v>
      </c>
    </row>
    <row r="24" spans="2:22" x14ac:dyDescent="0.3">
      <c r="C24" s="208"/>
      <c r="D24" s="208"/>
      <c r="E24" s="208"/>
      <c r="F24" s="208"/>
      <c r="G24" s="208"/>
      <c r="H24" s="208"/>
      <c r="I24" s="208"/>
    </row>
    <row r="25" spans="2:22" x14ac:dyDescent="0.3">
      <c r="C25" s="208"/>
      <c r="D25" s="208"/>
      <c r="E25" s="208"/>
      <c r="F25" s="208"/>
      <c r="G25" s="208"/>
      <c r="H25" s="208"/>
      <c r="I25" s="208"/>
      <c r="N25" s="140" t="s">
        <v>464</v>
      </c>
      <c r="O25" s="170"/>
      <c r="P25" s="170"/>
      <c r="Q25" s="170"/>
      <c r="R25" s="170"/>
      <c r="S25" s="141"/>
    </row>
    <row r="26" spans="2:22" x14ac:dyDescent="0.3">
      <c r="C26" s="208"/>
      <c r="D26" s="208"/>
      <c r="E26" s="208"/>
      <c r="F26" s="208"/>
      <c r="G26" s="208"/>
      <c r="H26" s="208"/>
      <c r="I26" s="208"/>
      <c r="N26" s="211" t="s">
        <v>14</v>
      </c>
      <c r="O26" s="212" t="s">
        <v>18</v>
      </c>
      <c r="P26" s="212" t="s">
        <v>19</v>
      </c>
      <c r="Q26" s="212" t="s">
        <v>28</v>
      </c>
      <c r="R26" s="212" t="s">
        <v>29</v>
      </c>
      <c r="S26" s="213" t="s">
        <v>30</v>
      </c>
      <c r="U26" s="218" t="s">
        <v>14</v>
      </c>
      <c r="V26" s="220" t="s">
        <v>458</v>
      </c>
    </row>
    <row r="27" spans="2:22" x14ac:dyDescent="0.3">
      <c r="C27" s="208"/>
      <c r="D27" s="208"/>
      <c r="E27" s="208"/>
      <c r="F27" s="208"/>
      <c r="G27" s="208"/>
      <c r="H27" s="208"/>
      <c r="I27" s="208"/>
      <c r="N27" s="56" t="s">
        <v>33</v>
      </c>
      <c r="O27" s="235"/>
      <c r="P27" s="204" t="e">
        <f>O27/$O$14</f>
        <v>#DIV/0!</v>
      </c>
      <c r="Q27" s="236"/>
      <c r="R27" s="237"/>
      <c r="S27" s="216" t="str">
        <f>IFERROR(R27/Q27,"-")</f>
        <v>-</v>
      </c>
      <c r="U27" s="193" t="s">
        <v>34</v>
      </c>
      <c r="V27" s="221">
        <v>2024</v>
      </c>
    </row>
    <row r="28" spans="2:22" x14ac:dyDescent="0.3">
      <c r="C28" s="208"/>
      <c r="D28" s="208"/>
      <c r="E28" s="208"/>
      <c r="F28" s="208"/>
      <c r="G28" s="208"/>
      <c r="H28" s="208"/>
      <c r="I28" s="208"/>
      <c r="N28" s="56" t="s">
        <v>35</v>
      </c>
      <c r="O28" s="235"/>
      <c r="P28" s="204" t="e">
        <f t="shared" ref="P28:P31" si="7">O28/$O$14</f>
        <v>#DIV/0!</v>
      </c>
      <c r="Q28" s="236"/>
      <c r="R28" s="237"/>
      <c r="S28" s="216" t="str">
        <f t="shared" ref="S28:S32" si="8">IFERROR(R28/Q28,"-")</f>
        <v>-</v>
      </c>
      <c r="U28" s="193" t="s">
        <v>36</v>
      </c>
      <c r="V28" s="222">
        <v>5.2999999999999999E-2</v>
      </c>
    </row>
    <row r="29" spans="2:22" x14ac:dyDescent="0.3">
      <c r="C29" s="208"/>
      <c r="D29" s="208"/>
      <c r="E29" s="208"/>
      <c r="F29" s="208"/>
      <c r="G29" s="208"/>
      <c r="H29" s="208"/>
      <c r="I29" s="208"/>
      <c r="N29" s="56" t="s">
        <v>37</v>
      </c>
      <c r="O29" s="235"/>
      <c r="P29" s="204" t="e">
        <f t="shared" si="7"/>
        <v>#DIV/0!</v>
      </c>
      <c r="Q29" s="236"/>
      <c r="R29" s="237"/>
      <c r="S29" s="216" t="str">
        <f t="shared" si="8"/>
        <v>-</v>
      </c>
      <c r="U29" s="193" t="s">
        <v>38</v>
      </c>
      <c r="V29" s="221"/>
    </row>
    <row r="30" spans="2:22" x14ac:dyDescent="0.3">
      <c r="C30" s="208"/>
      <c r="D30" s="208"/>
      <c r="E30" s="208"/>
      <c r="F30" s="208"/>
      <c r="G30" s="208"/>
      <c r="H30" s="208"/>
      <c r="I30" s="208"/>
      <c r="N30" s="56" t="s">
        <v>39</v>
      </c>
      <c r="O30" s="235"/>
      <c r="P30" s="204" t="e">
        <f t="shared" si="7"/>
        <v>#DIV/0!</v>
      </c>
      <c r="Q30" s="236">
        <v>1682</v>
      </c>
      <c r="R30" s="237">
        <v>2562</v>
      </c>
      <c r="S30" s="216">
        <f t="shared" si="8"/>
        <v>1.5231866825208085</v>
      </c>
      <c r="U30" s="193" t="s">
        <v>40</v>
      </c>
      <c r="V30" s="221" t="s">
        <v>460</v>
      </c>
    </row>
    <row r="31" spans="2:22" x14ac:dyDescent="0.3">
      <c r="C31" s="208"/>
      <c r="D31" s="208"/>
      <c r="E31" s="208"/>
      <c r="F31" s="208"/>
      <c r="G31" s="208"/>
      <c r="H31" s="208"/>
      <c r="I31" s="208"/>
      <c r="N31" s="56" t="s">
        <v>41</v>
      </c>
      <c r="O31" s="235"/>
      <c r="P31" s="204" t="e">
        <f t="shared" si="7"/>
        <v>#DIV/0!</v>
      </c>
      <c r="Q31" s="236"/>
      <c r="R31" s="237"/>
      <c r="S31" s="216" t="str">
        <f t="shared" si="8"/>
        <v>-</v>
      </c>
      <c r="U31" s="219" t="s">
        <v>42</v>
      </c>
      <c r="V31" s="280" t="s">
        <v>172</v>
      </c>
    </row>
    <row r="32" spans="2:22" x14ac:dyDescent="0.3">
      <c r="C32" s="208"/>
      <c r="D32" s="208"/>
      <c r="E32" s="208"/>
      <c r="F32" s="208"/>
      <c r="G32" s="208"/>
      <c r="H32" s="208"/>
      <c r="I32" s="208"/>
      <c r="N32" s="126" t="s">
        <v>43</v>
      </c>
      <c r="O32" s="214">
        <f>SUM(O27:O31)</f>
        <v>0</v>
      </c>
      <c r="P32" s="215" t="e">
        <f>SUM(P27:P31)</f>
        <v>#DIV/0!</v>
      </c>
      <c r="Q32" s="127" t="e">
        <f>SUMPRODUCT(Q27:Q31,$O$27:$O$31)/$O$32</f>
        <v>#DIV/0!</v>
      </c>
      <c r="R32" s="128" t="e">
        <f>SUMPRODUCT(R27:R31,$O$27:$O$31)/$O$32</f>
        <v>#DIV/0!</v>
      </c>
      <c r="S32" s="217" t="str">
        <f t="shared" si="8"/>
        <v>-</v>
      </c>
    </row>
    <row r="33" spans="3:9" x14ac:dyDescent="0.3">
      <c r="C33" s="208"/>
      <c r="D33" s="208"/>
      <c r="E33" s="208"/>
      <c r="F33" s="208"/>
      <c r="G33" s="208"/>
      <c r="H33" s="208"/>
      <c r="I33" s="208"/>
    </row>
    <row r="34" spans="3:9" x14ac:dyDescent="0.3">
      <c r="C34" s="208"/>
      <c r="D34" s="208"/>
      <c r="E34" s="208"/>
      <c r="F34" s="208"/>
      <c r="G34" s="208"/>
      <c r="H34" s="208"/>
      <c r="I34" s="208"/>
    </row>
    <row r="35" spans="3:9" x14ac:dyDescent="0.3">
      <c r="C35" s="208"/>
      <c r="D35" s="208"/>
      <c r="E35" s="208"/>
      <c r="F35" s="208"/>
      <c r="G35" s="208"/>
      <c r="H35" s="208"/>
      <c r="I35" s="208"/>
    </row>
  </sheetData>
  <dataValidations disablePrompts="1" count="1">
    <dataValidation type="list" allowBlank="1" showInputMessage="1" showErrorMessage="1" sqref="C7:C14" xr:uid="{508B2A46-B9EE-4273-B6FC-FA6B422D82CC}">
      <formula1>$B$17:$B$21</formula1>
    </dataValidation>
  </dataValidations>
  <hyperlinks>
    <hyperlink ref="V13" r:id="rId1" xr:uid="{A5E0B6E3-48DD-4516-B6FC-6250529704F8}"/>
    <hyperlink ref="V22" r:id="rId2" xr:uid="{391F0E7C-2506-4B1F-822B-C9501FF9936C}"/>
    <hyperlink ref="V31" r:id="rId3" xr:uid="{382F1DB3-7004-439D-9967-D9ADF410CAC2}"/>
  </hyperlinks>
  <pageMargins left="0.7" right="0.7" top="0.75" bottom="0.75" header="0.3" footer="0.3"/>
  <pageSetup orientation="portrait" verticalDpi="0"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89"/>
  <sheetViews>
    <sheetView showGridLines="0" zoomScaleNormal="100" workbookViewId="0">
      <pane ySplit="6" topLeftCell="A37" activePane="bottomLeft" state="frozen"/>
      <selection activeCell="B5" sqref="B5"/>
      <selection pane="bottomLeft" activeCell="B5" sqref="B5"/>
    </sheetView>
  </sheetViews>
  <sheetFormatPr defaultColWidth="9.109375" defaultRowHeight="14.4" x14ac:dyDescent="0.3"/>
  <cols>
    <col min="1" max="1" width="3.6640625" customWidth="1"/>
    <col min="2" max="2" width="35.6640625" customWidth="1"/>
    <col min="3" max="7" width="14.6640625" customWidth="1"/>
    <col min="8" max="8" width="3.6640625" customWidth="1"/>
    <col min="13" max="13" width="35.6640625" customWidth="1"/>
    <col min="14" max="17" width="14.6640625" customWidth="1"/>
    <col min="18" max="18" width="4.44140625" customWidth="1"/>
    <col min="19" max="19" width="3.6640625" customWidth="1"/>
    <col min="21" max="21" width="15.109375" bestFit="1" customWidth="1"/>
    <col min="22" max="22" width="11.44140625" bestFit="1" customWidth="1"/>
    <col min="24" max="24" width="3.33203125" customWidth="1"/>
  </cols>
  <sheetData>
    <row r="1" spans="1:17" s="142" customFormat="1" ht="25.8" x14ac:dyDescent="0.5">
      <c r="A1" s="145" t="str">
        <f>TEXT(Global!$C$7,"")</f>
        <v>Grandle Drive</v>
      </c>
    </row>
    <row r="2" spans="1:17" s="142" customFormat="1" ht="19.8" x14ac:dyDescent="0.4">
      <c r="A2" s="146" t="s">
        <v>47</v>
      </c>
    </row>
    <row r="6" spans="1:17" x14ac:dyDescent="0.3">
      <c r="B6" s="121" t="s">
        <v>48</v>
      </c>
      <c r="C6" s="122" t="s">
        <v>49</v>
      </c>
      <c r="D6" s="122" t="s">
        <v>50</v>
      </c>
      <c r="E6" s="122" t="s">
        <v>51</v>
      </c>
      <c r="F6" s="122" t="s">
        <v>52</v>
      </c>
      <c r="G6" s="122" t="s">
        <v>53</v>
      </c>
    </row>
    <row r="7" spans="1:17" x14ac:dyDescent="0.3">
      <c r="B7" s="12" t="s">
        <v>54</v>
      </c>
      <c r="C7" s="12"/>
      <c r="D7" s="12"/>
      <c r="E7" s="12"/>
      <c r="F7" s="12"/>
      <c r="G7" s="12"/>
      <c r="M7" s="158" t="s">
        <v>55</v>
      </c>
      <c r="N7" s="122" t="s">
        <v>50</v>
      </c>
      <c r="O7" s="122" t="s">
        <v>51</v>
      </c>
      <c r="P7" s="122" t="s">
        <v>52</v>
      </c>
      <c r="Q7" s="122" t="s">
        <v>53</v>
      </c>
    </row>
    <row r="8" spans="1:17" x14ac:dyDescent="0.3">
      <c r="B8" t="s">
        <v>56</v>
      </c>
      <c r="C8" s="24" t="s">
        <v>54</v>
      </c>
      <c r="D8" s="52">
        <f>E8*'Unit Mix_vm'!$G$15</f>
        <v>8000000</v>
      </c>
      <c r="E8" s="244">
        <v>64000</v>
      </c>
      <c r="F8" s="37">
        <f>IFERROR(E8/'Unit Mix_vm'!$I$15,0)</f>
        <v>36.003114269384298</v>
      </c>
      <c r="G8" s="25">
        <f ca="1">+IFERROR(D8/D$86,0)</f>
        <v>0.16329789419590832</v>
      </c>
      <c r="M8" s="28" t="s">
        <v>57</v>
      </c>
    </row>
    <row r="9" spans="1:17" x14ac:dyDescent="0.3">
      <c r="D9" s="14"/>
      <c r="E9" s="14"/>
      <c r="F9" s="14"/>
      <c r="M9" t="s">
        <v>58</v>
      </c>
      <c r="N9" s="52">
        <f ca="1">N41</f>
        <v>19596088.582507767</v>
      </c>
      <c r="O9" s="37">
        <f ca="1">IFERROR(N9/'Unit Mix_vm'!$G$15,0)</f>
        <v>156768.70866006214</v>
      </c>
      <c r="P9" s="37">
        <f ca="1">IFERROR(O9/'Unit Mix_vm'!$I$15,0)</f>
        <v>88.190027058625517</v>
      </c>
      <c r="Q9" s="25">
        <f ca="1">IFERROR(N9/N$12,0)</f>
        <v>0.4</v>
      </c>
    </row>
    <row r="10" spans="1:17" x14ac:dyDescent="0.3">
      <c r="B10" s="12" t="s">
        <v>59</v>
      </c>
      <c r="C10" s="12"/>
      <c r="D10" s="15"/>
      <c r="E10" s="15"/>
      <c r="F10" s="15"/>
      <c r="G10" s="12"/>
      <c r="M10" t="s">
        <v>60</v>
      </c>
      <c r="N10" s="52">
        <f ca="1">+N36</f>
        <v>0</v>
      </c>
      <c r="O10" s="37">
        <f ca="1">IFERROR(N10/'Unit Mix_vm'!$G$15,0)</f>
        <v>0</v>
      </c>
      <c r="P10" s="37">
        <f ca="1">IFERROR(O10/'Unit Mix_vm'!$I$15,0)</f>
        <v>0</v>
      </c>
      <c r="Q10" s="25">
        <f t="shared" ref="Q10:Q11" ca="1" si="0">IFERROR(N10/N$12,0)</f>
        <v>0</v>
      </c>
    </row>
    <row r="11" spans="1:17" x14ac:dyDescent="0.3">
      <c r="B11" t="s">
        <v>61</v>
      </c>
      <c r="C11" s="24" t="s">
        <v>62</v>
      </c>
      <c r="D11" s="52">
        <f ca="1">+IF(Global!$C$16="On",0,I11*$N$11)</f>
        <v>146970.66436880824</v>
      </c>
      <c r="E11" s="37">
        <f ca="1">IFERROR(D11/'Unit Mix_vm'!$G$15,0)</f>
        <v>1175.7653149504658</v>
      </c>
      <c r="F11" s="37">
        <f ca="1">IFERROR(E11/'Unit Mix_vm'!$I$15,0)</f>
        <v>0.66142520293969131</v>
      </c>
      <c r="G11" s="25">
        <f t="shared" ref="G11:G23" ca="1" si="1">+IFERROR(D11/D$86,0)</f>
        <v>3.0000000000000001E-3</v>
      </c>
      <c r="I11" s="21">
        <v>5.0000000000000001E-3</v>
      </c>
      <c r="J11" s="20" t="s">
        <v>63</v>
      </c>
      <c r="M11" t="s">
        <v>64</v>
      </c>
      <c r="N11" s="52">
        <f ca="1">+N23</f>
        <v>29394132.873761646</v>
      </c>
      <c r="O11" s="37">
        <f ca="1">IFERROR(N11/'Unit Mix_vm'!$G$15,0)</f>
        <v>235153.06299009317</v>
      </c>
      <c r="P11" s="37">
        <f ca="1">IFERROR(O11/'Unit Mix_vm'!$I$15,0)</f>
        <v>132.28504058793825</v>
      </c>
      <c r="Q11" s="25">
        <f t="shared" ca="1" si="0"/>
        <v>0.6</v>
      </c>
    </row>
    <row r="12" spans="1:17" x14ac:dyDescent="0.3">
      <c r="B12" t="s">
        <v>65</v>
      </c>
      <c r="C12" s="24" t="s">
        <v>62</v>
      </c>
      <c r="D12" s="52">
        <f ca="1">+IF(Global!$C$16="On",0,I12*$N$11)</f>
        <v>220455.99655321235</v>
      </c>
      <c r="E12" s="37">
        <f ca="1">IFERROR(D12/'Unit Mix_vm'!$G$15,0)</f>
        <v>1763.6479724256988</v>
      </c>
      <c r="F12" s="37">
        <f ca="1">IFERROR(E12/'Unit Mix_vm'!$I$15,0)</f>
        <v>0.99213780440953692</v>
      </c>
      <c r="G12" s="25">
        <f t="shared" ca="1" si="1"/>
        <v>4.4999999999999997E-3</v>
      </c>
      <c r="I12" s="21">
        <v>7.4999999999999997E-3</v>
      </c>
      <c r="J12" s="20" t="s">
        <v>63</v>
      </c>
      <c r="M12" s="3" t="s">
        <v>66</v>
      </c>
      <c r="N12" s="13">
        <f ca="1">SUM(N9:N11)</f>
        <v>48990221.456269413</v>
      </c>
      <c r="O12" s="13">
        <f ca="1">SUM(O9:O11)</f>
        <v>391921.77165015531</v>
      </c>
      <c r="P12" s="29">
        <f ca="1">SUM(P9:P11)</f>
        <v>220.47506764656379</v>
      </c>
      <c r="Q12" s="26">
        <f ca="1">SUM(Q9:Q11)</f>
        <v>1</v>
      </c>
    </row>
    <row r="13" spans="1:17" x14ac:dyDescent="0.3">
      <c r="B13" t="s">
        <v>67</v>
      </c>
      <c r="C13" s="24" t="s">
        <v>62</v>
      </c>
      <c r="D13" s="16">
        <v>0</v>
      </c>
      <c r="E13" s="37">
        <f>IFERROR(D13/'Unit Mix_vm'!$G$15,0)</f>
        <v>0</v>
      </c>
      <c r="F13" s="37">
        <f>IFERROR(E13/'Unit Mix_vm'!$I$15,0)</f>
        <v>0</v>
      </c>
      <c r="G13" s="25">
        <f t="shared" ca="1" si="1"/>
        <v>0</v>
      </c>
    </row>
    <row r="14" spans="1:17" x14ac:dyDescent="0.3">
      <c r="B14" t="s">
        <v>68</v>
      </c>
      <c r="C14" s="24" t="s">
        <v>62</v>
      </c>
      <c r="D14" s="52">
        <f ca="1">+IF(Global!$C$16="On",0,I14*$N$10)</f>
        <v>0</v>
      </c>
      <c r="E14" s="37">
        <f ca="1">IFERROR(D14/'Unit Mix_vm'!$G$15,0)</f>
        <v>0</v>
      </c>
      <c r="F14" s="37">
        <f ca="1">IFERROR(E14/'Unit Mix_vm'!$I$15,0)</f>
        <v>0</v>
      </c>
      <c r="G14" s="25">
        <f t="shared" ca="1" si="1"/>
        <v>0</v>
      </c>
      <c r="I14" s="21">
        <v>0.01</v>
      </c>
      <c r="J14" s="20" t="s">
        <v>69</v>
      </c>
      <c r="M14" s="28" t="s">
        <v>70</v>
      </c>
    </row>
    <row r="15" spans="1:17" x14ac:dyDescent="0.3">
      <c r="B15" t="s">
        <v>71</v>
      </c>
      <c r="C15" s="24" t="s">
        <v>62</v>
      </c>
      <c r="D15" s="52">
        <f ca="1">+IF(Global!$C$16="On",0,I15*$N$10)</f>
        <v>0</v>
      </c>
      <c r="E15" s="37">
        <f ca="1">IFERROR(D15/'Unit Mix_vm'!$G$15,0)</f>
        <v>0</v>
      </c>
      <c r="F15" s="37">
        <f ca="1">IFERROR(E15/'Unit Mix_vm'!$I$15,0)</f>
        <v>0</v>
      </c>
      <c r="G15" s="25">
        <f t="shared" ca="1" si="1"/>
        <v>0</v>
      </c>
      <c r="I15" s="21">
        <v>0.01</v>
      </c>
      <c r="J15" s="20" t="s">
        <v>69</v>
      </c>
      <c r="M15" t="s">
        <v>54</v>
      </c>
      <c r="N15" s="14">
        <f>+SUMIF($C$8:$C$86,$M15,$D$8:$D$86)</f>
        <v>8000000</v>
      </c>
      <c r="O15" s="37">
        <f>IFERROR(N15/'Unit Mix_vm'!$G$15,0)</f>
        <v>64000</v>
      </c>
      <c r="P15" s="37">
        <f>IFERROR(O15/'Unit Mix_vm'!$I$15,0)</f>
        <v>36.003114269384298</v>
      </c>
      <c r="Q15" s="25">
        <f ca="1">IFERROR(N15/N$18,0)</f>
        <v>0.16329789419590834</v>
      </c>
    </row>
    <row r="16" spans="1:17" x14ac:dyDescent="0.3">
      <c r="B16" t="s">
        <v>72</v>
      </c>
      <c r="C16" s="24" t="s">
        <v>62</v>
      </c>
      <c r="D16" s="16">
        <v>0</v>
      </c>
      <c r="E16" s="37">
        <f>IFERROR(D16/'Unit Mix_vm'!$G$15,0)</f>
        <v>0</v>
      </c>
      <c r="F16" s="37">
        <f>IFERROR(E16/'Unit Mix_vm'!$I$15,0)</f>
        <v>0</v>
      </c>
      <c r="G16" s="25">
        <f t="shared" ca="1" si="1"/>
        <v>0</v>
      </c>
      <c r="M16" t="s">
        <v>73</v>
      </c>
      <c r="N16" s="14">
        <f>+SUMIF($C$8:$C$86,$M16,$D$8:$D$86)</f>
        <v>31785000</v>
      </c>
      <c r="O16" s="37">
        <f>IFERROR(N16/'Unit Mix_vm'!$G$15,0)</f>
        <v>254280</v>
      </c>
      <c r="P16" s="37">
        <f>IFERROR(O16/'Unit Mix_vm'!$I$15,0)</f>
        <v>143.04487338154749</v>
      </c>
      <c r="Q16" s="25">
        <f t="shared" ref="Q16:Q17" ca="1" si="2">IFERROR(N16/N$18,0)</f>
        <v>0.64880294587711829</v>
      </c>
    </row>
    <row r="17" spans="2:17" x14ac:dyDescent="0.3">
      <c r="B17" t="s">
        <v>74</v>
      </c>
      <c r="C17" s="24" t="s">
        <v>62</v>
      </c>
      <c r="D17" s="52">
        <f ca="1">+IF(Global!$C$16="On",0,I17*$N$44)</f>
        <v>0</v>
      </c>
      <c r="E17" s="37">
        <f ca="1">IFERROR(D17/'Unit Mix_vm'!$G$15,0)</f>
        <v>0</v>
      </c>
      <c r="F17" s="37">
        <f ca="1">IFERROR(E17/'Unit Mix_vm'!$I$15,0)</f>
        <v>0</v>
      </c>
      <c r="G17" s="25">
        <f t="shared" ca="1" si="1"/>
        <v>0</v>
      </c>
      <c r="I17" s="21">
        <v>0</v>
      </c>
      <c r="J17" s="20" t="s">
        <v>75</v>
      </c>
      <c r="M17" t="s">
        <v>62</v>
      </c>
      <c r="N17" s="14">
        <f ca="1">+SUMIF($C$8:$C$86,$M17,$D$8:$D$86)</f>
        <v>9205221.4562694076</v>
      </c>
      <c r="O17" s="37">
        <f ca="1">IFERROR(N17/'Unit Mix_vm'!$G$15,0)</f>
        <v>73641.771650155264</v>
      </c>
      <c r="P17" s="37">
        <f ca="1">IFERROR(O17/'Unit Mix_vm'!$I$15,0)</f>
        <v>41.427079995631956</v>
      </c>
      <c r="Q17" s="25">
        <f t="shared" ca="1" si="2"/>
        <v>0.18789915992697337</v>
      </c>
    </row>
    <row r="18" spans="2:17" x14ac:dyDescent="0.3">
      <c r="B18" t="s">
        <v>76</v>
      </c>
      <c r="C18" s="24" t="s">
        <v>62</v>
      </c>
      <c r="D18" s="52">
        <f ca="1">+IF(Global!$C$16="On",0,I18*$N$44)</f>
        <v>0</v>
      </c>
      <c r="E18" s="37">
        <f ca="1">IFERROR(D18/'Unit Mix_vm'!$G$15,0)</f>
        <v>0</v>
      </c>
      <c r="F18" s="37">
        <f ca="1">IFERROR(E18/'Unit Mix_vm'!$I$15,0)</f>
        <v>0</v>
      </c>
      <c r="G18" s="25">
        <f t="shared" ca="1" si="1"/>
        <v>0</v>
      </c>
      <c r="I18" s="21">
        <v>0</v>
      </c>
      <c r="J18" s="20" t="s">
        <v>75</v>
      </c>
      <c r="M18" s="3" t="s">
        <v>77</v>
      </c>
      <c r="N18" s="13">
        <f ca="1">SUM(N15:N17)</f>
        <v>48990221.456269406</v>
      </c>
      <c r="O18" s="29">
        <f ca="1">SUM(O15:O17)</f>
        <v>391921.77165015525</v>
      </c>
      <c r="P18" s="29">
        <f ca="1">SUM(P15:P17)</f>
        <v>220.47506764656373</v>
      </c>
      <c r="Q18" s="26">
        <f ca="1">SUM(Q15:Q17)</f>
        <v>1</v>
      </c>
    </row>
    <row r="19" spans="2:17" x14ac:dyDescent="0.3">
      <c r="B19" t="s">
        <v>78</v>
      </c>
      <c r="C19" s="24" t="s">
        <v>62</v>
      </c>
      <c r="D19" s="16">
        <v>0</v>
      </c>
      <c r="E19" s="37">
        <f>IFERROR(D19/'Unit Mix_vm'!$G$15,0)</f>
        <v>0</v>
      </c>
      <c r="F19" s="37">
        <f>IFERROR(E19/'Unit Mix_vm'!$I$15,0)</f>
        <v>0</v>
      </c>
      <c r="G19" s="25">
        <f t="shared" ca="1" si="1"/>
        <v>0</v>
      </c>
    </row>
    <row r="20" spans="2:17" x14ac:dyDescent="0.3">
      <c r="B20" t="s">
        <v>79</v>
      </c>
      <c r="C20" s="24" t="s">
        <v>62</v>
      </c>
      <c r="D20" s="76">
        <v>275000</v>
      </c>
      <c r="E20" s="37">
        <f>IFERROR(D20/'Unit Mix_vm'!$G$15,0)</f>
        <v>2200</v>
      </c>
      <c r="F20" s="37">
        <f>IFERROR(E20/'Unit Mix_vm'!$I$15,0)</f>
        <v>1.2376070530100853</v>
      </c>
      <c r="G20" s="25">
        <f t="shared" ca="1" si="1"/>
        <v>5.6133651129843479E-3</v>
      </c>
      <c r="M20" s="1"/>
    </row>
    <row r="21" spans="2:17" x14ac:dyDescent="0.3">
      <c r="B21" t="s">
        <v>80</v>
      </c>
      <c r="C21" s="24" t="s">
        <v>62</v>
      </c>
      <c r="D21" s="76">
        <v>250000</v>
      </c>
      <c r="E21" s="37">
        <f>IFERROR(D21/'Unit Mix_vm'!$G$15,0)</f>
        <v>2000</v>
      </c>
      <c r="F21" s="37">
        <f>IFERROR(E21/'Unit Mix_vm'!$I$15,0)</f>
        <v>1.1250973209182593</v>
      </c>
      <c r="G21" s="25">
        <f t="shared" ca="1" si="1"/>
        <v>5.1030591936221349E-3</v>
      </c>
      <c r="M21" s="158" t="s">
        <v>81</v>
      </c>
      <c r="N21" s="122"/>
      <c r="O21" s="122"/>
      <c r="P21" s="122"/>
      <c r="Q21" s="122"/>
    </row>
    <row r="22" spans="2:17" x14ac:dyDescent="0.3">
      <c r="B22" t="s">
        <v>82</v>
      </c>
      <c r="C22" s="24" t="s">
        <v>62</v>
      </c>
      <c r="D22" s="52">
        <f>E22*'Unit Mix_vm'!$G$15</f>
        <v>812500</v>
      </c>
      <c r="E22" s="76">
        <v>6500</v>
      </c>
      <c r="F22" s="37">
        <f>IFERROR(E22/'Unit Mix_vm'!$I$15,0)</f>
        <v>3.6565662929843432</v>
      </c>
      <c r="G22" s="25">
        <f t="shared" ca="1" si="1"/>
        <v>1.6584942379271939E-2</v>
      </c>
      <c r="M22" s="55" t="s">
        <v>64</v>
      </c>
    </row>
    <row r="23" spans="2:17" x14ac:dyDescent="0.3">
      <c r="B23" t="s">
        <v>83</v>
      </c>
      <c r="C23" s="24" t="s">
        <v>62</v>
      </c>
      <c r="D23" s="16">
        <v>0</v>
      </c>
      <c r="E23" s="37">
        <f>IFERROR(D23/'Unit Mix_vm'!$G$15,0)</f>
        <v>0</v>
      </c>
      <c r="F23" s="37">
        <f>IFERROR(E23/'Unit Mix_vm'!$I$15,0)</f>
        <v>0</v>
      </c>
      <c r="G23" s="25">
        <f t="shared" ca="1" si="1"/>
        <v>0</v>
      </c>
      <c r="M23" t="s">
        <v>64</v>
      </c>
      <c r="N23" s="36">
        <f ca="1">D86*N24</f>
        <v>29394132.873761646</v>
      </c>
    </row>
    <row r="24" spans="2:17" x14ac:dyDescent="0.3">
      <c r="B24" s="3" t="s">
        <v>84</v>
      </c>
      <c r="C24" s="3"/>
      <c r="D24" s="13">
        <f ca="1">+SUM(D11:D23)</f>
        <v>1704926.6609220207</v>
      </c>
      <c r="E24" s="13">
        <f ca="1">SUM(E11:E23)</f>
        <v>13639.413287376165</v>
      </c>
      <c r="F24" s="13">
        <f ca="1">SUM(F11:F23)</f>
        <v>7.6728336742619163</v>
      </c>
      <c r="G24" s="26">
        <f ca="1">SUM(G11:G23)</f>
        <v>3.4801366685878424E-2</v>
      </c>
      <c r="M24" t="s">
        <v>85</v>
      </c>
      <c r="N24" s="44">
        <v>0.6</v>
      </c>
    </row>
    <row r="25" spans="2:17" x14ac:dyDescent="0.3">
      <c r="D25" s="14"/>
      <c r="E25" s="14"/>
      <c r="F25" s="14"/>
      <c r="M25" t="s">
        <v>86</v>
      </c>
      <c r="N25" s="49">
        <f ca="1">IFERROR('Pro-Forma_vm'!$C$39/Budget_vm!N23,0)</f>
        <v>9.5765051262584361E-2</v>
      </c>
      <c r="O25" s="53"/>
    </row>
    <row r="26" spans="2:17" x14ac:dyDescent="0.3">
      <c r="B26" s="12" t="s">
        <v>87</v>
      </c>
      <c r="C26" s="12"/>
      <c r="D26" s="15"/>
      <c r="E26" s="15"/>
      <c r="F26" s="15"/>
      <c r="G26" s="12"/>
      <c r="O26" s="54"/>
    </row>
    <row r="27" spans="2:17" x14ac:dyDescent="0.3">
      <c r="B27" t="s">
        <v>88</v>
      </c>
      <c r="C27" s="24" t="s">
        <v>62</v>
      </c>
      <c r="D27" s="52">
        <f ca="1">I27*(D86-D8)</f>
        <v>1434657.7509694295</v>
      </c>
      <c r="E27" s="37">
        <f ca="1">IFERROR(D27/'Unit Mix_vm'!$G$15,0)</f>
        <v>11477.262007755437</v>
      </c>
      <c r="F27" s="37">
        <f ca="1">IFERROR(E27/'Unit Mix_vm'!$I$15,0)</f>
        <v>6.4565183682012828</v>
      </c>
      <c r="G27" s="25">
        <f t="shared" ref="G27:G29" ca="1" si="3">+IFERROR(D27/D$86,0)</f>
        <v>2.9284573703143208E-2</v>
      </c>
      <c r="I27" s="21">
        <v>3.5000000000000003E-2</v>
      </c>
      <c r="J27" s="20" t="s">
        <v>89</v>
      </c>
      <c r="K27" s="20"/>
      <c r="M27" t="s">
        <v>90</v>
      </c>
      <c r="N27" s="45">
        <v>0.04</v>
      </c>
    </row>
    <row r="28" spans="2:17" x14ac:dyDescent="0.3">
      <c r="B28" t="s">
        <v>91</v>
      </c>
      <c r="C28" s="24" t="s">
        <v>62</v>
      </c>
      <c r="D28" s="14">
        <f>+I28*SUM(D67:D68)</f>
        <v>255350</v>
      </c>
      <c r="E28" s="37">
        <f>IFERROR(D28/'Unit Mix_vm'!$G$15,0)</f>
        <v>2042.8</v>
      </c>
      <c r="F28" s="37">
        <f>IFERROR(E28/'Unit Mix_vm'!$I$15,0)</f>
        <v>1.1491744035859102</v>
      </c>
      <c r="G28" s="25">
        <f t="shared" ca="1" si="3"/>
        <v>5.2122646603656488E-3</v>
      </c>
      <c r="I28" s="21">
        <v>0.01</v>
      </c>
      <c r="J28" s="20" t="s">
        <v>92</v>
      </c>
      <c r="K28" s="20"/>
      <c r="M28" t="s">
        <v>93</v>
      </c>
      <c r="N28" s="45">
        <v>0.03</v>
      </c>
      <c r="O28" s="30"/>
    </row>
    <row r="29" spans="2:17" x14ac:dyDescent="0.3">
      <c r="B29" t="s">
        <v>94</v>
      </c>
      <c r="C29" s="24" t="s">
        <v>62</v>
      </c>
      <c r="D29" s="76">
        <v>300000</v>
      </c>
      <c r="E29" s="37">
        <f>IFERROR(D29/'Unit Mix_vm'!$G$15,0)</f>
        <v>2400</v>
      </c>
      <c r="F29" s="37">
        <f>IFERROR(E29/'Unit Mix_vm'!$I$15,0)</f>
        <v>1.3501167851019114</v>
      </c>
      <c r="G29" s="25">
        <f t="shared" ca="1" si="3"/>
        <v>6.1236710323465619E-3</v>
      </c>
      <c r="M29" s="3" t="s">
        <v>95</v>
      </c>
      <c r="N29" s="47">
        <f>SUM(N27:N28)</f>
        <v>7.0000000000000007E-2</v>
      </c>
    </row>
    <row r="30" spans="2:17" x14ac:dyDescent="0.3">
      <c r="B30" s="3" t="s">
        <v>96</v>
      </c>
      <c r="C30" s="3"/>
      <c r="D30" s="13">
        <f ca="1">+SUM(D27:D29)</f>
        <v>1990007.7509694295</v>
      </c>
      <c r="E30" s="13">
        <f ca="1">SUM(E27:E29)</f>
        <v>15920.062007755436</v>
      </c>
      <c r="F30" s="13">
        <f ca="1">SUM(F27:F29)</f>
        <v>8.9558095568891041</v>
      </c>
      <c r="G30" s="26">
        <f ca="1">SUM(G27:G29)</f>
        <v>4.0620509395855417E-2</v>
      </c>
    </row>
    <row r="31" spans="2:17" x14ac:dyDescent="0.3">
      <c r="D31" s="14"/>
      <c r="E31" s="14"/>
      <c r="F31" s="14"/>
      <c r="M31" t="s">
        <v>97</v>
      </c>
      <c r="N31" s="32">
        <v>21</v>
      </c>
      <c r="O31" s="30"/>
    </row>
    <row r="32" spans="2:17" x14ac:dyDescent="0.3">
      <c r="B32" s="12" t="s">
        <v>98</v>
      </c>
      <c r="C32" s="12"/>
      <c r="D32" s="15"/>
      <c r="E32" s="15"/>
      <c r="F32" s="15"/>
      <c r="G32" s="12"/>
      <c r="M32" t="s">
        <v>99</v>
      </c>
      <c r="N32" s="44">
        <v>0.5</v>
      </c>
    </row>
    <row r="33" spans="2:22" x14ac:dyDescent="0.3">
      <c r="B33" t="s">
        <v>100</v>
      </c>
      <c r="C33" s="24" t="s">
        <v>62</v>
      </c>
      <c r="D33" s="76">
        <v>300000</v>
      </c>
      <c r="E33" s="37">
        <f>IFERROR(D33/'Unit Mix_vm'!$G$15,0)</f>
        <v>2400</v>
      </c>
      <c r="F33" s="37">
        <f>IFERROR(E33/'Unit Mix_vm'!$I$15,0)</f>
        <v>1.3501167851019114</v>
      </c>
      <c r="G33" s="25">
        <f t="shared" ref="G33:G42" ca="1" si="4">+IFERROR(D33/D$86,0)</f>
        <v>6.1236710323465619E-3</v>
      </c>
      <c r="M33" t="s">
        <v>101</v>
      </c>
      <c r="N33" s="36">
        <f ca="1">+N23*N29*N31*N32/12</f>
        <v>1800390.6385179011</v>
      </c>
    </row>
    <row r="34" spans="2:22" x14ac:dyDescent="0.3">
      <c r="B34" t="s">
        <v>102</v>
      </c>
      <c r="C34" s="24" t="s">
        <v>62</v>
      </c>
      <c r="D34" s="76">
        <v>400000</v>
      </c>
      <c r="E34" s="37">
        <f>IFERROR(D34/'Unit Mix_vm'!$G$15,0)</f>
        <v>3200</v>
      </c>
      <c r="F34" s="37">
        <f>IFERROR(E34/'Unit Mix_vm'!$I$15,0)</f>
        <v>1.800155713469215</v>
      </c>
      <c r="G34" s="25">
        <f t="shared" ca="1" si="4"/>
        <v>8.1648947097954158E-3</v>
      </c>
      <c r="O34" s="42"/>
      <c r="U34" s="136" t="s">
        <v>103</v>
      </c>
      <c r="V34" s="137"/>
    </row>
    <row r="35" spans="2:22" x14ac:dyDescent="0.3">
      <c r="B35" t="s">
        <v>104</v>
      </c>
      <c r="C35" s="24" t="s">
        <v>62</v>
      </c>
      <c r="D35" s="52">
        <f ca="1">+IF(Global!C16="On",0,I35*N11)</f>
        <v>0</v>
      </c>
      <c r="E35" s="37">
        <f ca="1">IFERROR(D35/'Unit Mix_vm'!$G$15,0)</f>
        <v>0</v>
      </c>
      <c r="F35" s="37">
        <f ca="1">IFERROR(E35/'Unit Mix_vm'!$I$15,0)</f>
        <v>0</v>
      </c>
      <c r="G35" s="25">
        <f t="shared" ca="1" si="4"/>
        <v>0</v>
      </c>
      <c r="I35" s="21">
        <v>0</v>
      </c>
      <c r="J35" s="20" t="s">
        <v>63</v>
      </c>
      <c r="K35" s="20"/>
      <c r="M35" s="55" t="s">
        <v>60</v>
      </c>
      <c r="U35" s="131" t="s">
        <v>105</v>
      </c>
      <c r="V35" s="138">
        <v>0.45</v>
      </c>
    </row>
    <row r="36" spans="2:22" x14ac:dyDescent="0.3">
      <c r="B36" t="s">
        <v>106</v>
      </c>
      <c r="C36" s="24" t="s">
        <v>62</v>
      </c>
      <c r="D36" s="76">
        <v>50000</v>
      </c>
      <c r="E36" s="37">
        <f>IFERROR(D36/'Unit Mix_vm'!$G$15,0)</f>
        <v>400</v>
      </c>
      <c r="F36" s="37">
        <f>IFERROR(E36/'Unit Mix_vm'!$I$15,0)</f>
        <v>0.22501946418365187</v>
      </c>
      <c r="G36" s="25">
        <f t="shared" ca="1" si="4"/>
        <v>1.020611838724427E-3</v>
      </c>
      <c r="M36" t="s">
        <v>60</v>
      </c>
      <c r="N36" s="36">
        <f ca="1">D86*N37-N23</f>
        <v>0</v>
      </c>
      <c r="U36" s="5"/>
      <c r="V36" s="132"/>
    </row>
    <row r="37" spans="2:22" x14ac:dyDescent="0.3">
      <c r="B37" t="s">
        <v>107</v>
      </c>
      <c r="C37" s="24" t="s">
        <v>62</v>
      </c>
      <c r="D37" s="52">
        <f ca="1">I37*D86</f>
        <v>33803.25280482589</v>
      </c>
      <c r="E37" s="37">
        <f ca="1">IFERROR(D37/'Unit Mix_vm'!$G$15,0)</f>
        <v>270.42602243860711</v>
      </c>
      <c r="F37" s="37">
        <f ca="1">IFERROR(E37/'Unit Mix_vm'!$I$15,0)</f>
        <v>0.15212779667612897</v>
      </c>
      <c r="G37" s="25">
        <f t="shared" ca="1" si="4"/>
        <v>6.8999999999999986E-4</v>
      </c>
      <c r="I37" s="21">
        <v>6.8999999999999997E-4</v>
      </c>
      <c r="J37" s="20" t="s">
        <v>89</v>
      </c>
      <c r="M37" t="s">
        <v>108</v>
      </c>
      <c r="N37" s="44">
        <f>+N24</f>
        <v>0.6</v>
      </c>
      <c r="U37" s="5" t="s">
        <v>109</v>
      </c>
      <c r="V37" s="133">
        <f>N16</f>
        <v>31785000</v>
      </c>
    </row>
    <row r="38" spans="2:22" x14ac:dyDescent="0.3">
      <c r="B38" t="s">
        <v>110</v>
      </c>
      <c r="C38" s="24" t="s">
        <v>62</v>
      </c>
      <c r="D38" s="52">
        <f ca="1">(((V40/100)*V35)*2)+60000</f>
        <v>463151.36810642469</v>
      </c>
      <c r="E38" s="52">
        <f ca="1">IFERROR(D38/'Unit Mix_vm'!$G$15,0)</f>
        <v>3705.2109448513975</v>
      </c>
      <c r="F38" s="52">
        <f ca="1">IFERROR(E38/'Unit Mix_vm'!$I$15,0)</f>
        <v>2.08436145374466</v>
      </c>
      <c r="G38" s="139">
        <f t="shared" ca="1" si="4"/>
        <v>9.4539553882166411E-3</v>
      </c>
      <c r="M38" t="s">
        <v>111</v>
      </c>
      <c r="N38" s="49">
        <f ca="1">IFERROR('Pro-Forma_vm'!$C$39/SUM(N36,N23),0)</f>
        <v>9.5765051262584361E-2</v>
      </c>
      <c r="U38" s="5" t="s">
        <v>112</v>
      </c>
      <c r="V38" s="133">
        <f t="shared" ref="V38" ca="1" si="5">N17</f>
        <v>9205221.4562694076</v>
      </c>
    </row>
    <row r="39" spans="2:22" x14ac:dyDescent="0.3">
      <c r="B39" t="s">
        <v>113</v>
      </c>
      <c r="C39" s="24" t="s">
        <v>62</v>
      </c>
      <c r="D39" s="52">
        <f>((V45/1000)*V43)+30000</f>
        <v>92571.350653236412</v>
      </c>
      <c r="E39" s="52">
        <f>IFERROR(D39/'Unit Mix_vm'!$G$15,0)</f>
        <v>740.57080522589126</v>
      </c>
      <c r="F39" s="52">
        <f>IFERROR(E39/'Unit Mix_vm'!$I$15,0)</f>
        <v>0.41660711445496418</v>
      </c>
      <c r="G39" s="139">
        <f t="shared" ref="G39" ca="1" si="6">+IFERROR(D39/D$86,0)</f>
        <v>1.889588328068066E-3</v>
      </c>
      <c r="N39" s="49"/>
      <c r="U39" s="5" t="s">
        <v>114</v>
      </c>
      <c r="V39" s="133">
        <f>'Unit Mix_vm'!G15*'Unit Mix_vm'!J15*12</f>
        <v>3804375</v>
      </c>
    </row>
    <row r="40" spans="2:22" x14ac:dyDescent="0.3">
      <c r="B40" t="s">
        <v>115</v>
      </c>
      <c r="C40" s="24" t="s">
        <v>62</v>
      </c>
      <c r="D40" s="16">
        <v>0</v>
      </c>
      <c r="E40" s="37">
        <f>IFERROR(D40/'Unit Mix_vm'!$G$15,0)</f>
        <v>0</v>
      </c>
      <c r="F40" s="37">
        <f>IFERROR(E40/'Unit Mix_vm'!$I$15,0)</f>
        <v>0</v>
      </c>
      <c r="G40" s="25">
        <f t="shared" ca="1" si="4"/>
        <v>0</v>
      </c>
      <c r="M40" s="55" t="s">
        <v>58</v>
      </c>
      <c r="U40" s="134" t="s">
        <v>43</v>
      </c>
      <c r="V40" s="135">
        <f ca="1">SUM(V37:V39)</f>
        <v>44794596.456269406</v>
      </c>
    </row>
    <row r="41" spans="2:22" x14ac:dyDescent="0.3">
      <c r="B41" t="s">
        <v>116</v>
      </c>
      <c r="C41" s="24" t="s">
        <v>62</v>
      </c>
      <c r="D41" s="76">
        <v>50000</v>
      </c>
      <c r="E41" s="37">
        <f>IFERROR(D41/'Unit Mix_vm'!$G$15,0)</f>
        <v>400</v>
      </c>
      <c r="F41" s="37">
        <f>IFERROR(E41/'Unit Mix_vm'!$I$15,0)</f>
        <v>0.22501946418365187</v>
      </c>
      <c r="G41" s="25">
        <f t="shared" ca="1" si="4"/>
        <v>1.020611838724427E-3</v>
      </c>
      <c r="M41" t="s">
        <v>117</v>
      </c>
      <c r="N41" s="58">
        <f ca="1">D86-N23-N36</f>
        <v>19596088.582507767</v>
      </c>
      <c r="U41" s="4"/>
      <c r="V41" s="4"/>
    </row>
    <row r="42" spans="2:22" x14ac:dyDescent="0.3">
      <c r="B42" t="s">
        <v>118</v>
      </c>
      <c r="C42" s="24" t="s">
        <v>62</v>
      </c>
      <c r="D42" s="16">
        <v>0</v>
      </c>
      <c r="E42" s="37">
        <f>IFERROR(D42/'Unit Mix_vm'!$G$15,0)</f>
        <v>0</v>
      </c>
      <c r="F42" s="37">
        <f>IFERROR(E42/'Unit Mix_vm'!$I$15,0)</f>
        <v>0</v>
      </c>
      <c r="G42" s="25">
        <f t="shared" ca="1" si="4"/>
        <v>0</v>
      </c>
      <c r="U42" s="136" t="s">
        <v>119</v>
      </c>
      <c r="V42" s="137"/>
    </row>
    <row r="43" spans="2:22" x14ac:dyDescent="0.3">
      <c r="B43" s="3" t="s">
        <v>120</v>
      </c>
      <c r="C43" s="3"/>
      <c r="D43" s="13">
        <f ca="1">+SUM(D33:D42)</f>
        <v>1389525.9715644871</v>
      </c>
      <c r="E43" s="13">
        <f ca="1">SUM(E33:E42)</f>
        <v>11116.207772515894</v>
      </c>
      <c r="F43" s="13">
        <f ca="1">SUM(F33:F42)</f>
        <v>6.2534077918141842</v>
      </c>
      <c r="G43" s="26">
        <f ca="1">SUM(G33:G42)</f>
        <v>2.8363333135875541E-2</v>
      </c>
      <c r="M43" t="s">
        <v>121</v>
      </c>
      <c r="N43" s="34">
        <f ca="1">+N41*0.1</f>
        <v>1959608.8582507768</v>
      </c>
      <c r="O43" s="46">
        <f ca="1">+N43/N41</f>
        <v>0.1</v>
      </c>
      <c r="U43" s="5" t="s">
        <v>105</v>
      </c>
      <c r="V43" s="159">
        <v>1.1000000000000001</v>
      </c>
    </row>
    <row r="44" spans="2:22" x14ac:dyDescent="0.3">
      <c r="D44" s="14"/>
      <c r="E44" s="14"/>
      <c r="F44" s="14"/>
      <c r="M44" t="s">
        <v>122</v>
      </c>
      <c r="N44" s="36">
        <f ca="1">+N41-N43</f>
        <v>17636479.724256989</v>
      </c>
      <c r="O44" s="51">
        <f ca="1">1-O43</f>
        <v>0.9</v>
      </c>
      <c r="U44" s="5" t="s">
        <v>123</v>
      </c>
      <c r="V44" s="160">
        <v>5.2499999999999998E-2</v>
      </c>
    </row>
    <row r="45" spans="2:22" x14ac:dyDescent="0.3">
      <c r="B45" s="12" t="s">
        <v>124</v>
      </c>
      <c r="C45" s="12"/>
      <c r="D45" s="15"/>
      <c r="E45" s="15"/>
      <c r="F45" s="15"/>
      <c r="G45" s="12"/>
      <c r="U45" s="161" t="s">
        <v>125</v>
      </c>
      <c r="V45" s="162">
        <f>(('Pro-Forma_vm'!C39*1.03*1.03)/Budget_vm!V44)</f>
        <v>56883046.048396729</v>
      </c>
    </row>
    <row r="46" spans="2:22" x14ac:dyDescent="0.3">
      <c r="B46" t="s">
        <v>126</v>
      </c>
      <c r="C46" s="24" t="s">
        <v>62</v>
      </c>
      <c r="D46" s="52">
        <f>E46*'Unit Mix_vm'!$G$15</f>
        <v>0</v>
      </c>
      <c r="E46" s="76">
        <v>0</v>
      </c>
      <c r="F46" s="37">
        <f>IFERROR(E46/'Unit Mix_vm'!$I$15,0)</f>
        <v>0</v>
      </c>
      <c r="G46" s="25">
        <f t="shared" ref="G46:G63" ca="1" si="7">+IFERROR(D46/D$86,0)</f>
        <v>0</v>
      </c>
    </row>
    <row r="47" spans="2:22" x14ac:dyDescent="0.3">
      <c r="B47" t="s">
        <v>127</v>
      </c>
      <c r="C47" s="24" t="s">
        <v>62</v>
      </c>
      <c r="D47" s="76">
        <v>25000</v>
      </c>
      <c r="E47" s="37">
        <f>IFERROR(D47/'Unit Mix_vm'!$G$15,0)</f>
        <v>200</v>
      </c>
      <c r="F47" s="37">
        <f>IFERROR(E47/'Unit Mix_vm'!$I$15,0)</f>
        <v>0.11250973209182594</v>
      </c>
      <c r="G47" s="25">
        <f t="shared" ca="1" si="7"/>
        <v>5.1030591936221349E-4</v>
      </c>
    </row>
    <row r="48" spans="2:22" x14ac:dyDescent="0.3">
      <c r="B48" t="s">
        <v>128</v>
      </c>
      <c r="C48" s="24" t="s">
        <v>62</v>
      </c>
      <c r="D48" s="76">
        <v>50000</v>
      </c>
      <c r="E48" s="37">
        <f>IFERROR(D48/'Unit Mix_vm'!$G$15,0)</f>
        <v>400</v>
      </c>
      <c r="F48" s="37">
        <f>IFERROR(E48/'Unit Mix_vm'!$I$15,0)</f>
        <v>0.22501946418365187</v>
      </c>
      <c r="G48" s="25">
        <f t="shared" ca="1" si="7"/>
        <v>1.020611838724427E-3</v>
      </c>
    </row>
    <row r="49" spans="2:7" x14ac:dyDescent="0.3">
      <c r="B49" t="s">
        <v>129</v>
      </c>
      <c r="C49" s="24" t="s">
        <v>62</v>
      </c>
      <c r="D49" s="52">
        <f>E49*'Unit Mix_vm'!$G$15</f>
        <v>250000</v>
      </c>
      <c r="E49" s="264">
        <v>2000</v>
      </c>
      <c r="F49" s="37">
        <f>IFERROR(E49/'Unit Mix_vm'!$I$15,0)</f>
        <v>1.1250973209182593</v>
      </c>
      <c r="G49" s="25">
        <f t="shared" ca="1" si="7"/>
        <v>5.1030591936221349E-3</v>
      </c>
    </row>
    <row r="50" spans="2:7" x14ac:dyDescent="0.3">
      <c r="B50" t="s">
        <v>130</v>
      </c>
      <c r="C50" s="24" t="s">
        <v>62</v>
      </c>
      <c r="D50" s="76">
        <v>0</v>
      </c>
      <c r="E50" s="37">
        <f>IFERROR(D50/'Unit Mix_vm'!$G$15,0)</f>
        <v>0</v>
      </c>
      <c r="F50" s="37">
        <f>IFERROR(E50/'Unit Mix_vm'!$I$15,0)</f>
        <v>0</v>
      </c>
      <c r="G50" s="25">
        <f t="shared" ca="1" si="7"/>
        <v>0</v>
      </c>
    </row>
    <row r="51" spans="2:7" x14ac:dyDescent="0.3">
      <c r="B51" t="s">
        <v>131</v>
      </c>
      <c r="C51" s="24" t="s">
        <v>62</v>
      </c>
      <c r="D51" s="76">
        <v>150000</v>
      </c>
      <c r="E51" s="37">
        <f>IFERROR(D51/'Unit Mix_vm'!$G$15,0)</f>
        <v>1200</v>
      </c>
      <c r="F51" s="37">
        <f>IFERROR(E51/'Unit Mix_vm'!$I$15,0)</f>
        <v>0.67505839255095568</v>
      </c>
      <c r="G51" s="25">
        <f t="shared" ca="1" si="7"/>
        <v>3.0618355161732809E-3</v>
      </c>
    </row>
    <row r="52" spans="2:7" x14ac:dyDescent="0.3">
      <c r="B52" t="s">
        <v>132</v>
      </c>
      <c r="C52" s="24" t="s">
        <v>62</v>
      </c>
      <c r="D52" s="76">
        <v>60000</v>
      </c>
      <c r="E52" s="52">
        <f>IFERROR(D52/'Unit Mix_vm'!$G$15,0)</f>
        <v>480</v>
      </c>
      <c r="F52" s="37">
        <f>IFERROR(E52/'Unit Mix_vm'!$I$15,0)</f>
        <v>0.27002335702038227</v>
      </c>
      <c r="G52" s="25">
        <f t="shared" ca="1" si="7"/>
        <v>1.2247342064693125E-3</v>
      </c>
    </row>
    <row r="53" spans="2:7" x14ac:dyDescent="0.3">
      <c r="B53" t="s">
        <v>133</v>
      </c>
      <c r="C53" s="24" t="s">
        <v>62</v>
      </c>
      <c r="D53" s="76">
        <v>300000</v>
      </c>
      <c r="E53" s="52">
        <f>IFERROR(D53/'Unit Mix_vm'!$G$15,0)</f>
        <v>2400</v>
      </c>
      <c r="F53" s="37">
        <f>IFERROR(E53/'Unit Mix_vm'!$I$15,0)</f>
        <v>1.3501167851019114</v>
      </c>
      <c r="G53" s="25">
        <f t="shared" ca="1" si="7"/>
        <v>6.1236710323465619E-3</v>
      </c>
    </row>
    <row r="54" spans="2:7" x14ac:dyDescent="0.3">
      <c r="B54" t="s">
        <v>134</v>
      </c>
      <c r="C54" s="24" t="s">
        <v>62</v>
      </c>
      <c r="D54" s="52">
        <f>E54*'Unit Mix_vm'!$G$15</f>
        <v>937500</v>
      </c>
      <c r="E54" s="76">
        <v>7500</v>
      </c>
      <c r="F54" s="37">
        <f>IFERROR(E54/'Unit Mix_vm'!$I$15,0)</f>
        <v>4.2191149534434729</v>
      </c>
      <c r="G54" s="25">
        <f t="shared" ca="1" si="7"/>
        <v>1.9136471976083005E-2</v>
      </c>
    </row>
    <row r="55" spans="2:7" x14ac:dyDescent="0.3">
      <c r="B55" t="s">
        <v>135</v>
      </c>
      <c r="C55" s="24" t="s">
        <v>62</v>
      </c>
      <c r="D55" s="76">
        <v>25000</v>
      </c>
      <c r="E55" s="37">
        <f>IFERROR(D55/'Unit Mix_vm'!$G$15,0)</f>
        <v>200</v>
      </c>
      <c r="F55" s="37">
        <f>IFERROR(E55/'Unit Mix_vm'!$I$15,0)</f>
        <v>0.11250973209182594</v>
      </c>
      <c r="G55" s="25">
        <f t="shared" ca="1" si="7"/>
        <v>5.1030591936221349E-4</v>
      </c>
    </row>
    <row r="56" spans="2:7" x14ac:dyDescent="0.3">
      <c r="B56" t="s">
        <v>136</v>
      </c>
      <c r="C56" s="24" t="s">
        <v>62</v>
      </c>
      <c r="D56" s="76">
        <v>100000</v>
      </c>
      <c r="E56" s="37">
        <f>IFERROR(D56/'Unit Mix_vm'!$G$15,0)</f>
        <v>800</v>
      </c>
      <c r="F56" s="37">
        <f>IFERROR(E56/'Unit Mix_vm'!$I$15,0)</f>
        <v>0.45003892836730375</v>
      </c>
      <c r="G56" s="25">
        <f t="shared" ca="1" si="7"/>
        <v>2.041223677448854E-3</v>
      </c>
    </row>
    <row r="57" spans="2:7" x14ac:dyDescent="0.3">
      <c r="B57" t="s">
        <v>137</v>
      </c>
      <c r="C57" s="24" t="s">
        <v>62</v>
      </c>
      <c r="D57" s="76">
        <v>55000</v>
      </c>
      <c r="E57" s="37">
        <f>IFERROR(D57/'Unit Mix_vm'!$G$15,0)</f>
        <v>440</v>
      </c>
      <c r="F57" s="37">
        <f>IFERROR(E57/'Unit Mix_vm'!$I$15,0)</f>
        <v>0.24752141060201707</v>
      </c>
      <c r="G57" s="25">
        <f t="shared" ca="1" si="7"/>
        <v>1.1226730225968697E-3</v>
      </c>
    </row>
    <row r="58" spans="2:7" x14ac:dyDescent="0.3">
      <c r="B58" t="s">
        <v>138</v>
      </c>
      <c r="C58" s="24" t="s">
        <v>62</v>
      </c>
      <c r="D58" s="76">
        <v>0</v>
      </c>
      <c r="E58" s="52">
        <f>IFERROR(D58/'Unit Mix_vm'!$G$15,0)</f>
        <v>0</v>
      </c>
      <c r="F58" s="37">
        <f>IFERROR(E58/'Unit Mix_vm'!$I$15,0)</f>
        <v>0</v>
      </c>
      <c r="G58" s="25">
        <f t="shared" ca="1" si="7"/>
        <v>0</v>
      </c>
    </row>
    <row r="59" spans="2:7" x14ac:dyDescent="0.3">
      <c r="B59" t="s">
        <v>139</v>
      </c>
      <c r="C59" s="24" t="s">
        <v>62</v>
      </c>
      <c r="D59" s="76">
        <v>0</v>
      </c>
      <c r="E59" s="52">
        <f>IFERROR(D59/'Unit Mix_vm'!$G$15,0)</f>
        <v>0</v>
      </c>
      <c r="F59" s="37">
        <f>IFERROR(E59/'Unit Mix_vm'!$I$15,0)</f>
        <v>0</v>
      </c>
      <c r="G59" s="25">
        <f t="shared" ca="1" si="7"/>
        <v>0</v>
      </c>
    </row>
    <row r="60" spans="2:7" x14ac:dyDescent="0.3">
      <c r="B60" t="s">
        <v>140</v>
      </c>
      <c r="C60" s="24" t="s">
        <v>62</v>
      </c>
      <c r="D60" s="76">
        <v>0</v>
      </c>
      <c r="E60" s="52">
        <f>IFERROR(D60/'Unit Mix_vm'!$G$15,0)</f>
        <v>0</v>
      </c>
      <c r="F60" s="37">
        <f>IFERROR(E60/'Unit Mix_vm'!$I$15,0)</f>
        <v>0</v>
      </c>
      <c r="G60" s="25">
        <f t="shared" ca="1" si="7"/>
        <v>0</v>
      </c>
    </row>
    <row r="61" spans="2:7" x14ac:dyDescent="0.3">
      <c r="B61" t="s">
        <v>141</v>
      </c>
      <c r="C61" s="24" t="s">
        <v>62</v>
      </c>
      <c r="D61" s="52">
        <f>E61*'Unit Mix_vm'!$G$15</f>
        <v>18750</v>
      </c>
      <c r="E61" s="76">
        <v>150</v>
      </c>
      <c r="F61" s="37">
        <f>IFERROR(E61/'Unit Mix_vm'!$I$15,0)</f>
        <v>8.438229906886946E-2</v>
      </c>
      <c r="G61" s="25">
        <f t="shared" ca="1" si="7"/>
        <v>3.8272943952166012E-4</v>
      </c>
    </row>
    <row r="62" spans="2:7" x14ac:dyDescent="0.3">
      <c r="B62" t="s">
        <v>142</v>
      </c>
      <c r="C62" s="24" t="s">
        <v>62</v>
      </c>
      <c r="D62" s="76">
        <v>100000</v>
      </c>
      <c r="E62" s="52">
        <f>IFERROR(D62/'Unit Mix_vm'!$G$15,0)</f>
        <v>800</v>
      </c>
      <c r="F62" s="37">
        <f>IFERROR(E62/'Unit Mix_vm'!$I$15,0)</f>
        <v>0.45003892836730375</v>
      </c>
      <c r="G62" s="25">
        <f t="shared" ca="1" si="7"/>
        <v>2.041223677448854E-3</v>
      </c>
    </row>
    <row r="63" spans="2:7" x14ac:dyDescent="0.3">
      <c r="B63" t="s">
        <v>143</v>
      </c>
      <c r="C63" s="24" t="s">
        <v>62</v>
      </c>
      <c r="D63" s="16">
        <v>0</v>
      </c>
      <c r="E63" s="37">
        <f>IFERROR(D63/'Unit Mix_vm'!$G$15,0)</f>
        <v>0</v>
      </c>
      <c r="F63" s="37">
        <f>IFERROR(E63/'Unit Mix_vm'!$I$15,0)</f>
        <v>0</v>
      </c>
      <c r="G63" s="25">
        <f t="shared" ca="1" si="7"/>
        <v>0</v>
      </c>
    </row>
    <row r="64" spans="2:7" x14ac:dyDescent="0.3">
      <c r="B64" s="3" t="s">
        <v>144</v>
      </c>
      <c r="C64" s="3"/>
      <c r="D64" s="13">
        <f>+SUM(D46:D63)</f>
        <v>2071250</v>
      </c>
      <c r="E64" s="13">
        <f>SUM(E46:E63)</f>
        <v>16570</v>
      </c>
      <c r="F64" s="13">
        <f>SUM(F46:F63)</f>
        <v>9.3214313038077794</v>
      </c>
      <c r="G64" s="26">
        <f ca="1">SUM(G46:G63)</f>
        <v>4.2278845419159383E-2</v>
      </c>
    </row>
    <row r="65" spans="2:17" x14ac:dyDescent="0.3">
      <c r="D65" s="14"/>
      <c r="E65" s="14"/>
      <c r="F65" s="14"/>
    </row>
    <row r="66" spans="2:17" x14ac:dyDescent="0.3">
      <c r="B66" s="12" t="s">
        <v>73</v>
      </c>
      <c r="C66" s="12"/>
      <c r="D66" s="15"/>
      <c r="E66" s="15"/>
      <c r="F66" s="15"/>
      <c r="G66" s="12"/>
      <c r="M66" s="258" t="s">
        <v>145</v>
      </c>
      <c r="N66" s="259" t="s">
        <v>18</v>
      </c>
      <c r="O66" s="259" t="s">
        <v>146</v>
      </c>
      <c r="P66" s="259" t="s">
        <v>28</v>
      </c>
      <c r="Q66" s="259" t="s">
        <v>43</v>
      </c>
    </row>
    <row r="67" spans="2:17" x14ac:dyDescent="0.3">
      <c r="B67" t="s">
        <v>147</v>
      </c>
      <c r="C67" s="24" t="s">
        <v>73</v>
      </c>
      <c r="D67" s="31">
        <f>F67*'Unit Mix_vm'!$G$15*'Unit Mix_vm'!$I$15</f>
        <v>25535000</v>
      </c>
      <c r="E67" s="37">
        <f>IFERROR(D67/'Unit Mix_vm'!$G$15,0)</f>
        <v>204280</v>
      </c>
      <c r="F67" s="52">
        <f>O70</f>
        <v>114.91744035859102</v>
      </c>
      <c r="G67" s="25">
        <f t="shared" ref="G67:G71" ca="1" si="8">+IFERROR(D67/D$86,0)</f>
        <v>0.52122646603656486</v>
      </c>
      <c r="M67" t="str">
        <f>CONCATENATE('Unit Mix_vm'!B7,"; ",TEXT('Unit Mix_vm'!E7,"0")," Garage; ",TEXT('Unit Mix_vm'!F7,"0")," Story")</f>
        <v>2 BR / 2.5 BA; 2 Garage; 3 Story</v>
      </c>
      <c r="N67" s="260">
        <f>'Unit Mix_vm'!G7</f>
        <v>0</v>
      </c>
      <c r="O67" s="34">
        <v>128.62068965517241</v>
      </c>
      <c r="P67" s="260">
        <f>'Unit Mix_vm'!I7</f>
        <v>1450</v>
      </c>
      <c r="Q67" s="36">
        <f>O67*P67*N67</f>
        <v>0</v>
      </c>
    </row>
    <row r="68" spans="2:17" x14ac:dyDescent="0.3">
      <c r="B68" t="s">
        <v>148</v>
      </c>
      <c r="C68" s="24" t="s">
        <v>73</v>
      </c>
      <c r="D68" s="31">
        <v>0</v>
      </c>
      <c r="E68" s="37">
        <f>IFERROR(D68/'Unit Mix_vm'!$G$15,0)</f>
        <v>0</v>
      </c>
      <c r="F68" s="37">
        <f>IFERROR(E68/'Unit Mix_vm'!$I$15,0)</f>
        <v>0</v>
      </c>
      <c r="G68" s="25">
        <f t="shared" ca="1" si="8"/>
        <v>0</v>
      </c>
      <c r="M68" t="str">
        <f>CONCATENATE('Unit Mix_vm'!B8,"; ",TEXT('Unit Mix_vm'!E8,"0")," Garage; ",TEXT('Unit Mix_vm'!F8,"0")," Story")</f>
        <v>3 BR / 3.5 BA; 2 Garage; 3 Story</v>
      </c>
      <c r="N68" s="260">
        <f>'Unit Mix_vm'!G8</f>
        <v>81</v>
      </c>
      <c r="O68" s="34">
        <v>119.95177817962627</v>
      </c>
      <c r="P68" s="260">
        <f>'Unit Mix_vm'!I8</f>
        <v>1659</v>
      </c>
      <c r="Q68" s="36">
        <f t="shared" ref="Q68:Q69" si="9">O68*P68*N68</f>
        <v>16119000</v>
      </c>
    </row>
    <row r="69" spans="2:17" x14ac:dyDescent="0.3">
      <c r="B69" t="s">
        <v>149</v>
      </c>
      <c r="C69" s="24" t="s">
        <v>73</v>
      </c>
      <c r="D69" s="16">
        <v>0</v>
      </c>
      <c r="E69" s="37">
        <f>IFERROR(D69/'Unit Mix_vm'!$G$15,0)</f>
        <v>0</v>
      </c>
      <c r="F69" s="37">
        <f>IFERROR(E69/'Unit Mix_vm'!$I$15,0)</f>
        <v>0</v>
      </c>
      <c r="G69" s="25">
        <f t="shared" ca="1" si="8"/>
        <v>0</v>
      </c>
      <c r="M69" t="str">
        <f>CONCATENATE('Unit Mix_vm'!B9,"; ",TEXT('Unit Mix_vm'!E9,"0")," Garage; ",TEXT('Unit Mix_vm'!F9,"0")," Story")</f>
        <v>4 BR / 3.5 BA; 2 Garage; 3 Story</v>
      </c>
      <c r="N69" s="260">
        <f>'Unit Mix_vm'!G9</f>
        <v>44</v>
      </c>
      <c r="O69" s="34">
        <v>107.21442885771543</v>
      </c>
      <c r="P69" s="260">
        <f>'Unit Mix_vm'!I9</f>
        <v>1996</v>
      </c>
      <c r="Q69" s="36">
        <f t="shared" si="9"/>
        <v>9416000</v>
      </c>
    </row>
    <row r="70" spans="2:17" x14ac:dyDescent="0.3">
      <c r="B70" t="s">
        <v>150</v>
      </c>
      <c r="C70" s="24" t="s">
        <v>73</v>
      </c>
      <c r="D70" s="52">
        <f>E70*'Unit Mix_vm'!$G$15</f>
        <v>6250000</v>
      </c>
      <c r="E70" s="76">
        <v>50000</v>
      </c>
      <c r="F70" s="37">
        <f>IFERROR(E70/'Unit Mix_vm'!$I$15,0)</f>
        <v>28.127433022956485</v>
      </c>
      <c r="G70" s="25">
        <f t="shared" ca="1" si="8"/>
        <v>0.12757647984055337</v>
      </c>
      <c r="M70" s="261" t="s">
        <v>151</v>
      </c>
      <c r="N70" s="262">
        <f>SUM(N67:N69)</f>
        <v>125</v>
      </c>
      <c r="O70" s="263">
        <f>Q70/P70/N70</f>
        <v>114.91744035859102</v>
      </c>
      <c r="P70" s="262">
        <f>SUMPRODUCT(P67:P69,N67:N69)/N70</f>
        <v>1777.624</v>
      </c>
      <c r="Q70" s="263">
        <f>SUM(Q67:Q69)</f>
        <v>25535000</v>
      </c>
    </row>
    <row r="71" spans="2:17" x14ac:dyDescent="0.3">
      <c r="B71" t="s">
        <v>152</v>
      </c>
      <c r="C71" s="24" t="s">
        <v>73</v>
      </c>
      <c r="D71" s="16">
        <v>0</v>
      </c>
      <c r="E71" s="37">
        <f>IFERROR(D71/'Unit Mix_vm'!$G$15,0)</f>
        <v>0</v>
      </c>
      <c r="F71" s="37">
        <f>IFERROR(E71/'Unit Mix_vm'!$I$15,0)</f>
        <v>0</v>
      </c>
      <c r="G71" s="25">
        <f t="shared" ca="1" si="8"/>
        <v>0</v>
      </c>
    </row>
    <row r="72" spans="2:17" x14ac:dyDescent="0.3">
      <c r="B72" s="3" t="s">
        <v>153</v>
      </c>
      <c r="C72" s="3"/>
      <c r="D72" s="13">
        <f>+SUM(D67:D71)</f>
        <v>31785000</v>
      </c>
      <c r="E72" s="13">
        <f>SUM(E67:E71)</f>
        <v>254280</v>
      </c>
      <c r="F72" s="13">
        <f>SUM(F67:F71)</f>
        <v>143.04487338154752</v>
      </c>
      <c r="G72" s="26">
        <f ca="1">SUM(G67:G71)</f>
        <v>0.64880294587711829</v>
      </c>
    </row>
    <row r="73" spans="2:17" x14ac:dyDescent="0.3">
      <c r="D73" s="14"/>
      <c r="E73" s="14"/>
      <c r="F73" s="14"/>
    </row>
    <row r="74" spans="2:17" x14ac:dyDescent="0.3">
      <c r="B74" s="12" t="s">
        <v>154</v>
      </c>
      <c r="C74" s="12"/>
      <c r="D74" s="15"/>
      <c r="E74" s="15"/>
      <c r="F74" s="15"/>
      <c r="G74" s="12"/>
    </row>
    <row r="75" spans="2:17" x14ac:dyDescent="0.3">
      <c r="B75" t="s">
        <v>155</v>
      </c>
      <c r="C75" s="24" t="s">
        <v>62</v>
      </c>
      <c r="D75" s="76">
        <v>0</v>
      </c>
      <c r="E75" s="37">
        <f>IFERROR(D75/'Unit Mix_vm'!$G$15,0)</f>
        <v>0</v>
      </c>
      <c r="F75" s="37">
        <f>IFERROR(E75/'Unit Mix_vm'!$I$15,0)</f>
        <v>0</v>
      </c>
      <c r="G75" s="25">
        <f t="shared" ref="G75:G77" ca="1" si="10">+IFERROR(D75/D$86,0)</f>
        <v>0</v>
      </c>
    </row>
    <row r="76" spans="2:17" x14ac:dyDescent="0.3">
      <c r="B76" t="s">
        <v>156</v>
      </c>
      <c r="C76" s="24" t="s">
        <v>62</v>
      </c>
      <c r="D76" s="76">
        <v>0</v>
      </c>
      <c r="E76" s="37">
        <f>IFERROR(D76/'Unit Mix_vm'!$G$15,0)</f>
        <v>0</v>
      </c>
      <c r="F76" s="37">
        <f>IFERROR(E76/'Unit Mix_vm'!$I$15,0)</f>
        <v>0</v>
      </c>
      <c r="G76" s="25">
        <f t="shared" ca="1" si="10"/>
        <v>0</v>
      </c>
    </row>
    <row r="77" spans="2:17" x14ac:dyDescent="0.3">
      <c r="B77" t="s">
        <v>157</v>
      </c>
      <c r="C77" s="24" t="s">
        <v>62</v>
      </c>
      <c r="D77" s="16">
        <v>0</v>
      </c>
      <c r="E77" s="37">
        <f>IFERROR(D77/'Unit Mix_vm'!$G$15,0)</f>
        <v>0</v>
      </c>
      <c r="F77" s="37">
        <f>IFERROR(E77/'Unit Mix_vm'!$I$15,0)</f>
        <v>0</v>
      </c>
      <c r="G77" s="25">
        <f t="shared" ca="1" si="10"/>
        <v>0</v>
      </c>
    </row>
    <row r="78" spans="2:17" x14ac:dyDescent="0.3">
      <c r="B78" s="3" t="s">
        <v>158</v>
      </c>
      <c r="C78" s="3"/>
      <c r="D78" s="13">
        <f>+SUM(D75:D77)</f>
        <v>0</v>
      </c>
      <c r="E78" s="13">
        <f>SUM(E75:E77)</f>
        <v>0</v>
      </c>
      <c r="F78" s="13">
        <f>SUM(F75:F77)</f>
        <v>0</v>
      </c>
      <c r="G78" s="26">
        <f ca="1">SUM(G75:G77)</f>
        <v>0</v>
      </c>
    </row>
    <row r="79" spans="2:17" x14ac:dyDescent="0.3">
      <c r="D79" s="14"/>
      <c r="E79" s="14"/>
      <c r="F79" s="14"/>
    </row>
    <row r="80" spans="2:17" x14ac:dyDescent="0.3">
      <c r="B80" s="12" t="s">
        <v>159</v>
      </c>
      <c r="C80" s="12"/>
      <c r="D80" s="15"/>
      <c r="E80" s="15"/>
      <c r="F80" s="15"/>
      <c r="G80" s="12"/>
    </row>
    <row r="81" spans="2:11" x14ac:dyDescent="0.3">
      <c r="B81" t="s">
        <v>160</v>
      </c>
      <c r="C81" s="24" t="s">
        <v>62</v>
      </c>
      <c r="D81" s="14">
        <f>+I81*D72</f>
        <v>1589250</v>
      </c>
      <c r="E81" s="37">
        <f>IFERROR(D81/'Unit Mix_vm'!$G$15,0)</f>
        <v>12714</v>
      </c>
      <c r="F81" s="37">
        <f>IFERROR(E81/'Unit Mix_vm'!$I$15,0)</f>
        <v>7.1522436690773752</v>
      </c>
      <c r="G81" s="25">
        <f t="shared" ref="G81:G83" ca="1" si="11">+IFERROR(D81/D$86,0)</f>
        <v>3.2440147293855914E-2</v>
      </c>
      <c r="I81" s="21">
        <v>0.05</v>
      </c>
      <c r="J81" s="20" t="s">
        <v>161</v>
      </c>
      <c r="K81" s="20"/>
    </row>
    <row r="82" spans="2:11" x14ac:dyDescent="0.3">
      <c r="B82" t="s">
        <v>162</v>
      </c>
      <c r="C82" s="24" t="s">
        <v>62</v>
      </c>
      <c r="D82" s="31">
        <f ca="1">+IF(Global!C16="On",0,I82*N17)</f>
        <v>460261.07281347038</v>
      </c>
      <c r="E82" s="37">
        <f ca="1">IFERROR(D82/'Unit Mix_vm'!$G$15,0)</f>
        <v>3682.088582507763</v>
      </c>
      <c r="F82" s="37">
        <f ca="1">IFERROR(E82/'Unit Mix_vm'!$I$15,0)</f>
        <v>2.0713539997815977</v>
      </c>
      <c r="G82" s="25">
        <f t="shared" ca="1" si="11"/>
        <v>9.3949579963486674E-3</v>
      </c>
      <c r="I82" s="21">
        <v>0.05</v>
      </c>
      <c r="J82" s="20" t="s">
        <v>163</v>
      </c>
      <c r="K82" s="20"/>
    </row>
    <row r="83" spans="2:11" x14ac:dyDescent="0.3">
      <c r="B83" t="s">
        <v>164</v>
      </c>
      <c r="C83" s="24" t="s">
        <v>62</v>
      </c>
      <c r="D83" s="16">
        <v>0</v>
      </c>
      <c r="E83" s="37">
        <f>IFERROR(D83/'Unit Mix_vm'!$G$15,0)</f>
        <v>0</v>
      </c>
      <c r="F83" s="37">
        <f>IFERROR(E83/'Unit Mix_vm'!$I$15,0)</f>
        <v>0</v>
      </c>
      <c r="G83" s="25">
        <f t="shared" ca="1" si="11"/>
        <v>0</v>
      </c>
    </row>
    <row r="84" spans="2:11" x14ac:dyDescent="0.3">
      <c r="B84" s="3" t="s">
        <v>165</v>
      </c>
      <c r="C84" s="3"/>
      <c r="D84" s="13">
        <f ca="1">+SUM(D81:D83)</f>
        <v>2049511.0728134704</v>
      </c>
      <c r="E84" s="13">
        <f ca="1">SUM(E81:E83)</f>
        <v>16396.088582507764</v>
      </c>
      <c r="F84" s="13">
        <f ca="1">SUM(F81:F83)</f>
        <v>9.2235976688589734</v>
      </c>
      <c r="G84" s="26">
        <f ca="1">SUM(G81:G83)</f>
        <v>4.183510529020458E-2</v>
      </c>
    </row>
    <row r="86" spans="2:11" x14ac:dyDescent="0.3">
      <c r="B86" s="17" t="s">
        <v>166</v>
      </c>
      <c r="C86" s="22"/>
      <c r="D86" s="18">
        <f ca="1">+SUM(D84,D78,D72,D64,D43,D30,D24,D8)</f>
        <v>48990221.456269413</v>
      </c>
      <c r="E86" s="19">
        <f ca="1">+SUM(E84,E78,E72,E64,E43,E30,E24,E8)</f>
        <v>391921.77165015525</v>
      </c>
      <c r="F86" s="19">
        <f ca="1">+SUM(F84,F78,F72,F64,F43,F30,F24,F8)</f>
        <v>220.47506764656379</v>
      </c>
      <c r="G86" s="27">
        <f ca="1">+SUM(G84,G78,G72,G64,G43,G30,G24,G8)</f>
        <v>1</v>
      </c>
    </row>
    <row r="89" spans="2:11" x14ac:dyDescent="0.3">
      <c r="E89" s="30"/>
    </row>
  </sheetData>
  <dataValidations count="1">
    <dataValidation type="list" allowBlank="1" showInputMessage="1" showErrorMessage="1" sqref="C8 C27:C29 C11:C23 C46:C63 C67:C71 C75:C77 C81:C83 C33:C42" xr:uid="{4DB2A9E5-475F-4838-AD5E-F494FFC1E7D1}">
      <formula1>"Land,Hard Costs,Soft Costs"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T58"/>
  <sheetViews>
    <sheetView showGridLines="0" zoomScale="94" zoomScaleNormal="100" workbookViewId="0">
      <selection activeCell="B5" sqref="B5"/>
    </sheetView>
  </sheetViews>
  <sheetFormatPr defaultColWidth="9.109375" defaultRowHeight="14.4" x14ac:dyDescent="0.3"/>
  <cols>
    <col min="1" max="1" width="1.6640625" customWidth="1"/>
    <col min="2" max="2" width="35.6640625" customWidth="1"/>
    <col min="3" max="3" width="14.6640625" customWidth="1"/>
    <col min="4" max="4" width="11.6640625" customWidth="1"/>
    <col min="5" max="5" width="1.6640625" customWidth="1"/>
    <col min="6" max="6" width="28.6640625" customWidth="1"/>
    <col min="7" max="7" width="12.6640625" customWidth="1"/>
    <col min="8" max="8" width="1.6640625" customWidth="1"/>
    <col min="9" max="9" width="24.6640625" customWidth="1"/>
    <col min="10" max="10" width="12.6640625" customWidth="1"/>
    <col min="11" max="19" width="12.6640625" style="23" customWidth="1"/>
    <col min="20" max="20" width="12.6640625" customWidth="1"/>
  </cols>
  <sheetData>
    <row r="1" spans="1:20" s="142" customFormat="1" ht="25.8" x14ac:dyDescent="0.5">
      <c r="A1" s="145" t="str">
        <f>TEXT(Global!$C$7,"")</f>
        <v>Grandle Drive</v>
      </c>
      <c r="B1" s="144"/>
      <c r="K1" s="143"/>
      <c r="L1" s="143"/>
      <c r="M1" s="143"/>
      <c r="N1" s="143"/>
      <c r="O1" s="143"/>
      <c r="P1" s="143"/>
      <c r="Q1" s="143"/>
      <c r="R1" s="143"/>
      <c r="S1" s="143"/>
    </row>
    <row r="2" spans="1:20" s="142" customFormat="1" ht="19.8" x14ac:dyDescent="0.4">
      <c r="A2" s="146" t="s">
        <v>167</v>
      </c>
      <c r="B2" s="144"/>
      <c r="K2" s="143"/>
      <c r="L2" s="143"/>
      <c r="M2" s="143"/>
      <c r="N2" s="143"/>
      <c r="O2" s="143"/>
      <c r="P2" s="143"/>
      <c r="Q2" s="143"/>
      <c r="R2" s="143"/>
      <c r="S2" s="143"/>
    </row>
    <row r="4" spans="1:20" x14ac:dyDescent="0.3">
      <c r="N4" s="155"/>
    </row>
    <row r="6" spans="1:20" ht="16.2" x14ac:dyDescent="0.45">
      <c r="B6" s="166"/>
      <c r="C6" s="167" t="s">
        <v>168</v>
      </c>
      <c r="D6" s="167"/>
    </row>
    <row r="7" spans="1:20" x14ac:dyDescent="0.3">
      <c r="B7" s="168"/>
      <c r="C7" s="169" t="s">
        <v>50</v>
      </c>
      <c r="D7" s="169" t="s">
        <v>169</v>
      </c>
      <c r="F7" s="140" t="s">
        <v>170</v>
      </c>
      <c r="G7" s="141"/>
      <c r="I7" s="140" t="s">
        <v>171</v>
      </c>
      <c r="J7" s="156" t="s">
        <v>172</v>
      </c>
      <c r="K7" s="156" t="s">
        <v>173</v>
      </c>
      <c r="L7" s="156" t="s">
        <v>34</v>
      </c>
      <c r="M7" s="156" t="s">
        <v>174</v>
      </c>
      <c r="N7" s="156" t="s">
        <v>175</v>
      </c>
      <c r="O7" s="156" t="s">
        <v>176</v>
      </c>
      <c r="P7" s="156" t="s">
        <v>177</v>
      </c>
      <c r="Q7" s="156" t="s">
        <v>178</v>
      </c>
      <c r="R7" s="156" t="s">
        <v>179</v>
      </c>
      <c r="S7" s="156" t="s">
        <v>43</v>
      </c>
      <c r="T7" s="157" t="s">
        <v>180</v>
      </c>
    </row>
    <row r="8" spans="1:20" x14ac:dyDescent="0.3">
      <c r="B8" s="68"/>
      <c r="C8" s="64"/>
      <c r="D8" s="57"/>
      <c r="F8" s="56" t="s">
        <v>181</v>
      </c>
      <c r="G8" s="129">
        <f>G9*'Unit Mix_vm'!$G$15</f>
        <v>37000000</v>
      </c>
      <c r="I8" s="239" t="s">
        <v>465</v>
      </c>
      <c r="J8" s="265" t="s">
        <v>172</v>
      </c>
      <c r="K8" s="235">
        <v>188</v>
      </c>
      <c r="L8" s="235">
        <v>2024</v>
      </c>
      <c r="M8" s="235">
        <v>2025</v>
      </c>
      <c r="N8" s="237">
        <v>49061146</v>
      </c>
      <c r="O8" s="36">
        <f>N8/$K8</f>
        <v>260963.54255319148</v>
      </c>
      <c r="P8" s="235">
        <v>0.99129999999999996</v>
      </c>
      <c r="Q8" s="237">
        <v>0</v>
      </c>
      <c r="R8" s="36">
        <f>Q8/$K8</f>
        <v>0</v>
      </c>
      <c r="S8" s="36">
        <f>N8*P8/100+Q8</f>
        <v>486343.14029799995</v>
      </c>
      <c r="T8" s="226">
        <f>S8/$K8</f>
        <v>2586.9315973297871</v>
      </c>
    </row>
    <row r="9" spans="1:20" x14ac:dyDescent="0.3">
      <c r="B9" s="68" t="s">
        <v>182</v>
      </c>
      <c r="C9" s="64">
        <f>+D9*'Unit Mix_vm'!G15*12</f>
        <v>3804375</v>
      </c>
      <c r="D9" s="78">
        <f>+'Unit Mix_vm'!J15</f>
        <v>2536.25</v>
      </c>
      <c r="F9" s="56" t="s">
        <v>183</v>
      </c>
      <c r="G9" s="243">
        <v>296000</v>
      </c>
      <c r="I9" s="239" t="s">
        <v>466</v>
      </c>
      <c r="J9" s="265" t="s">
        <v>172</v>
      </c>
      <c r="K9" s="235">
        <v>151</v>
      </c>
      <c r="L9" s="235">
        <v>2024</v>
      </c>
      <c r="M9" s="235">
        <v>2025</v>
      </c>
      <c r="N9" s="237">
        <v>33802197</v>
      </c>
      <c r="O9" s="36">
        <f>N9/$K9</f>
        <v>223855.60927152316</v>
      </c>
      <c r="P9" s="235">
        <v>0.90920000000000001</v>
      </c>
      <c r="Q9" s="237">
        <v>0</v>
      </c>
      <c r="R9" s="36">
        <f>Q9/$K9</f>
        <v>0</v>
      </c>
      <c r="S9" s="36">
        <f t="shared" ref="S9:S10" si="0">N9*P9/100+Q9</f>
        <v>307329.57512400002</v>
      </c>
      <c r="T9" s="226">
        <f>S9/$K9</f>
        <v>2035.2951994966888</v>
      </c>
    </row>
    <row r="10" spans="1:20" x14ac:dyDescent="0.3">
      <c r="B10" s="68" t="s">
        <v>184</v>
      </c>
      <c r="C10" s="80">
        <f>-D10*C9</f>
        <v>0</v>
      </c>
      <c r="D10" s="254">
        <v>0</v>
      </c>
      <c r="F10" s="56"/>
      <c r="G10" s="57"/>
      <c r="I10" s="240" t="s">
        <v>467</v>
      </c>
      <c r="J10" s="281" t="s">
        <v>172</v>
      </c>
      <c r="K10" s="241">
        <v>65</v>
      </c>
      <c r="L10" s="241">
        <v>2023</v>
      </c>
      <c r="M10" s="241">
        <v>2025</v>
      </c>
      <c r="N10" s="242">
        <v>26164508</v>
      </c>
      <c r="O10" s="223">
        <f>N10/$K10</f>
        <v>402530.89230769232</v>
      </c>
      <c r="P10" s="241">
        <v>0.99129999999999996</v>
      </c>
      <c r="Q10" s="242">
        <v>0</v>
      </c>
      <c r="R10" s="223">
        <f>Q10/$K10</f>
        <v>0</v>
      </c>
      <c r="S10" s="223">
        <f t="shared" si="0"/>
        <v>259368.767804</v>
      </c>
      <c r="T10" s="232">
        <f>S10/$K10</f>
        <v>3990.2887354461541</v>
      </c>
    </row>
    <row r="11" spans="1:20" x14ac:dyDescent="0.3">
      <c r="B11" s="68" t="s">
        <v>185</v>
      </c>
      <c r="C11" s="80">
        <f>-D11*C9</f>
        <v>-30435</v>
      </c>
      <c r="D11" s="254">
        <f>1/'Unit Mix_vm'!$G$15</f>
        <v>8.0000000000000002E-3</v>
      </c>
      <c r="F11" s="56" t="s">
        <v>186</v>
      </c>
      <c r="G11" s="238">
        <v>0.6371</v>
      </c>
    </row>
    <row r="12" spans="1:20" x14ac:dyDescent="0.3">
      <c r="B12" s="69" t="s">
        <v>187</v>
      </c>
      <c r="C12" s="65">
        <f>SUM(C9:C11)</f>
        <v>3773940</v>
      </c>
      <c r="D12" s="72">
        <f>IFERROR(C12/'Unit Mix_vm'!$G$15/12,0)</f>
        <v>2515.96</v>
      </c>
      <c r="F12" s="56" t="s">
        <v>188</v>
      </c>
      <c r="G12" s="129">
        <f>G13*'Unit Mix_vm'!$G$15</f>
        <v>0</v>
      </c>
    </row>
    <row r="13" spans="1:20" x14ac:dyDescent="0.3">
      <c r="B13" s="68"/>
      <c r="C13" s="64"/>
      <c r="D13" s="57"/>
      <c r="F13" s="56" t="s">
        <v>189</v>
      </c>
      <c r="G13" s="243">
        <v>0</v>
      </c>
    </row>
    <row r="14" spans="1:20" x14ac:dyDescent="0.3">
      <c r="B14" s="68" t="s">
        <v>190</v>
      </c>
      <c r="C14" s="64">
        <f>+D14*'Unit Mix_vm'!$G$15*12</f>
        <v>378495</v>
      </c>
      <c r="D14" s="129">
        <f>$N$58</f>
        <v>252.33</v>
      </c>
      <c r="F14" s="56" t="s">
        <v>191</v>
      </c>
      <c r="G14" s="254">
        <v>0</v>
      </c>
      <c r="I14" s="123" t="s">
        <v>192</v>
      </c>
      <c r="J14" s="178"/>
      <c r="K14" s="124"/>
      <c r="L14" s="124" t="s">
        <v>193</v>
      </c>
      <c r="M14" s="124" t="s">
        <v>43</v>
      </c>
      <c r="N14" s="125" t="s">
        <v>51</v>
      </c>
    </row>
    <row r="15" spans="1:20" x14ac:dyDescent="0.3">
      <c r="B15" s="68" t="s">
        <v>194</v>
      </c>
      <c r="C15" s="79">
        <v>0</v>
      </c>
      <c r="D15" s="71">
        <f>IFERROR(C15/'Unit Mix_vm'!$G$15/12,0)</f>
        <v>0</v>
      </c>
      <c r="F15" s="56"/>
      <c r="G15" s="57"/>
      <c r="I15" s="189" t="s">
        <v>195</v>
      </c>
      <c r="J15" s="190"/>
      <c r="K15" s="191"/>
      <c r="L15" s="191"/>
      <c r="M15" s="191"/>
      <c r="N15" s="192"/>
    </row>
    <row r="16" spans="1:20" x14ac:dyDescent="0.3">
      <c r="B16" s="69" t="s">
        <v>196</v>
      </c>
      <c r="C16" s="65">
        <f>SUM(C14:C15,C12)</f>
        <v>4152435</v>
      </c>
      <c r="D16" s="72">
        <f>IFERROR(C16/'Unit Mix_vm'!$G$15/12,0)</f>
        <v>2768.2900000000004</v>
      </c>
      <c r="F16" s="56" t="s">
        <v>197</v>
      </c>
      <c r="G16" s="82">
        <f>(G11*G8/100+G12)*(1-G14)</f>
        <v>235727</v>
      </c>
      <c r="I16" s="179" t="s">
        <v>198</v>
      </c>
      <c r="J16" s="173"/>
      <c r="K16" s="174"/>
      <c r="L16" s="172">
        <v>4000</v>
      </c>
      <c r="M16" s="180">
        <f>L16*12</f>
        <v>48000</v>
      </c>
      <c r="N16" s="181">
        <f>M16/'Unit Mix_vm'!$G$15</f>
        <v>384</v>
      </c>
    </row>
    <row r="17" spans="2:14" x14ac:dyDescent="0.3">
      <c r="B17" s="68"/>
      <c r="C17" s="64"/>
      <c r="D17" s="57"/>
      <c r="F17" s="56" t="s">
        <v>199</v>
      </c>
      <c r="G17" s="82">
        <f>+G16/'Unit Mix_vm'!$G$15</f>
        <v>1885.816</v>
      </c>
      <c r="I17" s="179" t="s">
        <v>200</v>
      </c>
      <c r="J17" s="173"/>
      <c r="K17" s="174"/>
      <c r="L17" s="172">
        <v>450</v>
      </c>
      <c r="M17" s="180">
        <f t="shared" ref="M17" si="1">L17*12</f>
        <v>5400</v>
      </c>
      <c r="N17" s="181">
        <f>M17/'Unit Mix_vm'!$G$15</f>
        <v>43.2</v>
      </c>
    </row>
    <row r="18" spans="2:14" x14ac:dyDescent="0.3">
      <c r="B18" s="68" t="s">
        <v>36</v>
      </c>
      <c r="C18" s="73">
        <f>-D18*SUM(C9,C14)</f>
        <v>-209143.5</v>
      </c>
      <c r="D18" s="254">
        <v>0.05</v>
      </c>
      <c r="F18" s="56"/>
      <c r="G18" s="57"/>
      <c r="I18" s="179" t="s">
        <v>201</v>
      </c>
      <c r="J18" s="173"/>
      <c r="K18" s="174"/>
      <c r="L18" s="172">
        <v>125</v>
      </c>
      <c r="M18" s="180">
        <f>L18*12</f>
        <v>1500</v>
      </c>
      <c r="N18" s="181">
        <f>M18/'Unit Mix_vm'!$G$15</f>
        <v>12</v>
      </c>
    </row>
    <row r="19" spans="2:14" x14ac:dyDescent="0.3">
      <c r="B19" s="68" t="s">
        <v>202</v>
      </c>
      <c r="C19" s="73">
        <f>-D19*SUM(C9,C14,C18)</f>
        <v>-19868.6325</v>
      </c>
      <c r="D19" s="254">
        <v>5.0000000000000001E-3</v>
      </c>
      <c r="F19" s="56" t="s">
        <v>203</v>
      </c>
      <c r="G19" s="83">
        <v>0</v>
      </c>
      <c r="I19" s="179" t="s">
        <v>204</v>
      </c>
      <c r="J19" s="173"/>
      <c r="K19" s="174"/>
      <c r="L19" s="182">
        <v>0</v>
      </c>
      <c r="M19" s="180">
        <f>L19*'Unit Mix_vm'!$G$15*12</f>
        <v>0</v>
      </c>
      <c r="N19" s="181">
        <f>M19/'Unit Mix_vm'!$G$15</f>
        <v>0</v>
      </c>
    </row>
    <row r="20" spans="2:14" x14ac:dyDescent="0.3">
      <c r="B20" s="69" t="s">
        <v>205</v>
      </c>
      <c r="C20" s="65">
        <f>SUM(C18:C19,C16)</f>
        <v>3923422.8675000002</v>
      </c>
      <c r="D20" s="255">
        <f>IFERROR(C20/#REF!/12,0)</f>
        <v>0</v>
      </c>
      <c r="F20" s="56"/>
      <c r="G20" s="57"/>
      <c r="I20" s="179" t="s">
        <v>206</v>
      </c>
      <c r="J20" s="173"/>
      <c r="K20" s="174"/>
      <c r="L20" s="182">
        <v>35</v>
      </c>
      <c r="M20" s="180">
        <f>L20*'Unit Mix_vm'!$G$15*12</f>
        <v>52500</v>
      </c>
      <c r="N20" s="181">
        <f>M20/'Unit Mix_vm'!$G$15</f>
        <v>420</v>
      </c>
    </row>
    <row r="21" spans="2:14" x14ac:dyDescent="0.3">
      <c r="B21" s="68"/>
      <c r="C21" s="64"/>
      <c r="D21" s="57"/>
      <c r="F21" s="56" t="s">
        <v>207</v>
      </c>
      <c r="G21" s="84">
        <f>+G16+G19</f>
        <v>235727</v>
      </c>
      <c r="I21" s="179" t="s">
        <v>208</v>
      </c>
      <c r="J21" s="173"/>
      <c r="K21" s="174"/>
      <c r="L21" s="172">
        <v>0</v>
      </c>
      <c r="M21" s="180">
        <f>L21*12</f>
        <v>0</v>
      </c>
      <c r="N21" s="181">
        <f>M21/'Unit Mix_vm'!$G$15</f>
        <v>0</v>
      </c>
    </row>
    <row r="22" spans="2:14" x14ac:dyDescent="0.3">
      <c r="B22" s="68" t="s">
        <v>209</v>
      </c>
      <c r="C22" s="73">
        <f>D22*C20</f>
        <v>117702.686025</v>
      </c>
      <c r="D22" s="254">
        <v>0.03</v>
      </c>
      <c r="F22" s="59" t="s">
        <v>210</v>
      </c>
      <c r="G22" s="85">
        <f>+G21/'Unit Mix_vm'!$G$15</f>
        <v>1885.816</v>
      </c>
      <c r="I22" s="179" t="s">
        <v>211</v>
      </c>
      <c r="J22" s="173"/>
      <c r="K22" s="174"/>
      <c r="L22" s="172">
        <v>0</v>
      </c>
      <c r="M22" s="180">
        <f>L22*12</f>
        <v>0</v>
      </c>
      <c r="N22" s="181">
        <f>M22/'Unit Mix_vm'!$G$15</f>
        <v>0</v>
      </c>
    </row>
    <row r="23" spans="2:14" x14ac:dyDescent="0.3">
      <c r="B23" s="120" t="s">
        <v>212</v>
      </c>
      <c r="C23" s="130">
        <f>G21</f>
        <v>235727</v>
      </c>
      <c r="D23" s="82">
        <f>IFERROR(C23/'Unit Mix_vm'!$G$15,0)</f>
        <v>1885.816</v>
      </c>
      <c r="I23" s="179" t="s">
        <v>213</v>
      </c>
      <c r="J23" s="173"/>
      <c r="K23" s="174"/>
      <c r="L23" s="172">
        <v>0</v>
      </c>
      <c r="M23" s="180">
        <f t="shared" ref="M23" si="2">L23*12</f>
        <v>0</v>
      </c>
      <c r="N23" s="181">
        <f>M23/'Unit Mix_vm'!$G$15</f>
        <v>0</v>
      </c>
    </row>
    <row r="24" spans="2:14" x14ac:dyDescent="0.3">
      <c r="B24" s="68" t="s">
        <v>214</v>
      </c>
      <c r="C24" s="73">
        <f>+D24*'Unit Mix_vm'!$G$15</f>
        <v>93750</v>
      </c>
      <c r="D24" s="83">
        <v>750</v>
      </c>
      <c r="I24" s="187" t="s">
        <v>215</v>
      </c>
      <c r="J24" s="175"/>
      <c r="K24" s="176"/>
      <c r="L24" s="176"/>
      <c r="M24" s="177">
        <f>SUM(M16:M23)</f>
        <v>107400</v>
      </c>
      <c r="N24" s="188">
        <f>M24/'Unit Mix_vm'!$G$15</f>
        <v>859.2</v>
      </c>
    </row>
    <row r="25" spans="2:14" x14ac:dyDescent="0.3">
      <c r="B25" s="68" t="s">
        <v>216</v>
      </c>
      <c r="C25" s="73">
        <f>+D25*'Unit Mix_vm'!$G$15</f>
        <v>0</v>
      </c>
      <c r="D25" s="83">
        <v>0</v>
      </c>
      <c r="I25" s="189" t="s">
        <v>217</v>
      </c>
      <c r="J25" s="190"/>
      <c r="K25" s="191"/>
      <c r="L25" s="191"/>
      <c r="M25" s="191"/>
      <c r="N25" s="192"/>
    </row>
    <row r="26" spans="2:14" x14ac:dyDescent="0.3">
      <c r="B26" s="68" t="s">
        <v>218</v>
      </c>
      <c r="C26" s="73">
        <f>+D26*'Unit Mix_vm'!$G$15</f>
        <v>0</v>
      </c>
      <c r="D26" s="83">
        <v>0</v>
      </c>
      <c r="I26" s="179" t="s">
        <v>219</v>
      </c>
      <c r="J26" s="173"/>
      <c r="K26" s="174"/>
      <c r="L26" s="182">
        <v>75</v>
      </c>
      <c r="M26" s="180">
        <f>L26*'Unit Mix_vm'!$G$15*12*5%</f>
        <v>5625</v>
      </c>
      <c r="N26" s="181">
        <f>M26/'Unit Mix_vm'!$G$15</f>
        <v>45</v>
      </c>
    </row>
    <row r="27" spans="2:14" x14ac:dyDescent="0.3">
      <c r="B27" s="68" t="s">
        <v>217</v>
      </c>
      <c r="C27" s="73">
        <f>+D27*'Unit Mix_vm'!$G$15</f>
        <v>104625</v>
      </c>
      <c r="D27" s="129">
        <f>N32</f>
        <v>837</v>
      </c>
      <c r="I27" s="179" t="s">
        <v>220</v>
      </c>
      <c r="J27" s="173"/>
      <c r="K27" s="174"/>
      <c r="L27" s="182">
        <v>125</v>
      </c>
      <c r="M27" s="180">
        <f>L27*12</f>
        <v>1500</v>
      </c>
      <c r="N27" s="181">
        <f>M27/'Unit Mix_vm'!$G$15</f>
        <v>12</v>
      </c>
    </row>
    <row r="28" spans="2:14" x14ac:dyDescent="0.3">
      <c r="B28" s="68" t="s">
        <v>195</v>
      </c>
      <c r="C28" s="73">
        <f>+D28*'Unit Mix_vm'!$G$15</f>
        <v>107400</v>
      </c>
      <c r="D28" s="129">
        <f>N24</f>
        <v>859.2</v>
      </c>
      <c r="I28" s="179" t="s">
        <v>221</v>
      </c>
      <c r="J28" s="173"/>
      <c r="K28" s="174"/>
      <c r="L28" s="172">
        <v>0</v>
      </c>
      <c r="M28" s="180">
        <f>L28*12</f>
        <v>0</v>
      </c>
      <c r="N28" s="181">
        <f>M28/'Unit Mix_vm'!$G$15</f>
        <v>0</v>
      </c>
    </row>
    <row r="29" spans="2:14" x14ac:dyDescent="0.3">
      <c r="B29" s="68" t="s">
        <v>222</v>
      </c>
      <c r="C29" s="73">
        <f>+D29*'Unit Mix_vm'!$G$15</f>
        <v>37500</v>
      </c>
      <c r="D29" s="83">
        <v>300</v>
      </c>
      <c r="I29" s="179" t="s">
        <v>223</v>
      </c>
      <c r="J29" s="173"/>
      <c r="K29" s="174"/>
      <c r="L29" s="182">
        <v>35</v>
      </c>
      <c r="M29" s="180">
        <f>L29*'Unit Mix_vm'!$G$15*12</f>
        <v>52500</v>
      </c>
      <c r="N29" s="181">
        <f>M29/'Unit Mix_vm'!$G$15</f>
        <v>420</v>
      </c>
    </row>
    <row r="30" spans="2:14" x14ac:dyDescent="0.3">
      <c r="B30" s="68" t="s">
        <v>224</v>
      </c>
      <c r="C30" s="73">
        <f>+D30*'Unit Mix_vm'!$G$15</f>
        <v>31250</v>
      </c>
      <c r="D30" s="83">
        <v>250</v>
      </c>
      <c r="I30" s="179" t="s">
        <v>225</v>
      </c>
      <c r="J30" s="173"/>
      <c r="K30" s="174"/>
      <c r="L30" s="182">
        <v>30</v>
      </c>
      <c r="M30" s="180">
        <f>L30*'Unit Mix_vm'!$G$15*12</f>
        <v>45000</v>
      </c>
      <c r="N30" s="181">
        <f>M30/'Unit Mix_vm'!$G$15</f>
        <v>360</v>
      </c>
    </row>
    <row r="31" spans="2:14" x14ac:dyDescent="0.3">
      <c r="B31" s="68" t="s">
        <v>226</v>
      </c>
      <c r="C31" s="73">
        <f>+D31*'Unit Mix_vm'!$G$15</f>
        <v>0</v>
      </c>
      <c r="D31" s="83">
        <v>0</v>
      </c>
      <c r="I31" s="179" t="s">
        <v>213</v>
      </c>
      <c r="J31" s="173"/>
      <c r="K31" s="174"/>
      <c r="L31" s="172">
        <v>0</v>
      </c>
      <c r="M31" s="180">
        <f t="shared" ref="M31" si="3">L31*12</f>
        <v>0</v>
      </c>
      <c r="N31" s="181">
        <f>M31/'Unit Mix_vm'!$G$15</f>
        <v>0</v>
      </c>
    </row>
    <row r="32" spans="2:14" x14ac:dyDescent="0.3">
      <c r="B32" s="68" t="s">
        <v>227</v>
      </c>
      <c r="C32" s="73">
        <f>+D32*'Unit Mix_vm'!$G$15</f>
        <v>56250</v>
      </c>
      <c r="D32" s="83">
        <v>450</v>
      </c>
      <c r="I32" s="183" t="s">
        <v>228</v>
      </c>
      <c r="J32" s="184"/>
      <c r="K32" s="185"/>
      <c r="L32" s="185"/>
      <c r="M32" s="171">
        <f>SUM(M26:M31)</f>
        <v>104625</v>
      </c>
      <c r="N32" s="186">
        <f>M32/'Unit Mix_vm'!$G$15</f>
        <v>837</v>
      </c>
    </row>
    <row r="33" spans="2:15" x14ac:dyDescent="0.3">
      <c r="B33" s="68" t="s">
        <v>229</v>
      </c>
      <c r="C33" s="73">
        <f>+D33*'Unit Mix_vm'!$G$15</f>
        <v>274287.53999999998</v>
      </c>
      <c r="D33" s="129">
        <f>N46</f>
        <v>2194.3003199999998</v>
      </c>
      <c r="F33" s="30"/>
      <c r="I33" s="189" t="s">
        <v>229</v>
      </c>
      <c r="J33" s="190"/>
      <c r="K33" s="191"/>
      <c r="L33" s="191"/>
      <c r="M33" s="191"/>
      <c r="N33" s="192"/>
    </row>
    <row r="34" spans="2:15" x14ac:dyDescent="0.3">
      <c r="B34" s="68" t="s">
        <v>230</v>
      </c>
      <c r="C34" s="73">
        <f>+D34*'Unit Mix_vm'!$G$15</f>
        <v>31250</v>
      </c>
      <c r="D34" s="83">
        <v>250</v>
      </c>
      <c r="I34" s="193" t="s">
        <v>231</v>
      </c>
      <c r="J34" s="173"/>
      <c r="K34" s="194">
        <v>35</v>
      </c>
      <c r="L34" s="195">
        <v>2080</v>
      </c>
      <c r="M34" s="196">
        <f>K34*L34</f>
        <v>72800</v>
      </c>
      <c r="N34" s="197">
        <f>M34/'Unit Mix_vm'!$G$15</f>
        <v>582.4</v>
      </c>
    </row>
    <row r="35" spans="2:15" x14ac:dyDescent="0.3">
      <c r="B35" s="68" t="s">
        <v>232</v>
      </c>
      <c r="C35" s="73">
        <f>+D35*'Unit Mix_vm'!$G$15</f>
        <v>18750</v>
      </c>
      <c r="D35" s="83">
        <v>150</v>
      </c>
      <c r="I35" s="198" t="s">
        <v>233</v>
      </c>
      <c r="J35" s="173"/>
      <c r="K35" s="172"/>
      <c r="L35" s="199">
        <v>0.2</v>
      </c>
      <c r="M35" s="196">
        <f>M34*L35</f>
        <v>14560</v>
      </c>
      <c r="N35" s="197">
        <f>M35/'Unit Mix_vm'!$G$15</f>
        <v>116.48</v>
      </c>
    </row>
    <row r="36" spans="2:15" x14ac:dyDescent="0.3">
      <c r="B36" s="68" t="s">
        <v>234</v>
      </c>
      <c r="C36" s="73">
        <f>+D36*'Unit Mix_vm'!$G$15</f>
        <v>0</v>
      </c>
      <c r="D36" s="83">
        <v>0</v>
      </c>
      <c r="I36" s="193" t="s">
        <v>235</v>
      </c>
      <c r="J36" s="173"/>
      <c r="K36" s="194">
        <v>0</v>
      </c>
      <c r="L36" s="195">
        <v>0</v>
      </c>
      <c r="M36" s="196">
        <f>K36*L36</f>
        <v>0</v>
      </c>
      <c r="N36" s="197">
        <f>M36/'Unit Mix_vm'!$G$15</f>
        <v>0</v>
      </c>
    </row>
    <row r="37" spans="2:15" x14ac:dyDescent="0.3">
      <c r="B37" s="69" t="s">
        <v>236</v>
      </c>
      <c r="C37" s="65">
        <f>+SUM(C22:C36)</f>
        <v>1108492.226025</v>
      </c>
      <c r="D37" s="255">
        <f>IFERROR(C37/'Unit Mix_vm'!$G$15,0)</f>
        <v>8867.9378082000003</v>
      </c>
      <c r="I37" s="198" t="s">
        <v>233</v>
      </c>
      <c r="J37" s="173"/>
      <c r="K37" s="172"/>
      <c r="L37" s="199">
        <v>0</v>
      </c>
      <c r="M37" s="196">
        <f>M36*L37</f>
        <v>0</v>
      </c>
      <c r="N37" s="197">
        <f>M37/'Unit Mix_vm'!$G$15</f>
        <v>0</v>
      </c>
    </row>
    <row r="38" spans="2:15" x14ac:dyDescent="0.3">
      <c r="B38" s="56"/>
      <c r="C38" s="64"/>
      <c r="D38" s="57"/>
      <c r="I38" s="193" t="s">
        <v>237</v>
      </c>
      <c r="J38" s="173"/>
      <c r="K38" s="194">
        <v>20</v>
      </c>
      <c r="L38" s="195">
        <v>1040</v>
      </c>
      <c r="M38" s="196">
        <f>K38*L38</f>
        <v>20800</v>
      </c>
      <c r="N38" s="197">
        <f>M38/'Unit Mix_vm'!$G$15</f>
        <v>166.4</v>
      </c>
    </row>
    <row r="39" spans="2:15" x14ac:dyDescent="0.3">
      <c r="B39" s="68" t="s">
        <v>238</v>
      </c>
      <c r="C39" s="64">
        <f>+C20-C37</f>
        <v>2814930.6414750004</v>
      </c>
      <c r="D39" s="71">
        <f>IFERROR(C39/#REF!,0)</f>
        <v>0</v>
      </c>
      <c r="I39" s="193" t="s">
        <v>239</v>
      </c>
      <c r="J39" s="173"/>
      <c r="K39" s="194">
        <v>0</v>
      </c>
      <c r="L39" s="195">
        <v>0</v>
      </c>
      <c r="M39" s="196">
        <f>K39*L39</f>
        <v>0</v>
      </c>
      <c r="N39" s="197">
        <f>M39/'Unit Mix_vm'!$G$15</f>
        <v>0</v>
      </c>
    </row>
    <row r="40" spans="2:15" x14ac:dyDescent="0.3">
      <c r="B40" s="70" t="s">
        <v>240</v>
      </c>
      <c r="C40" s="66">
        <f>IFERROR(C39/C20,0)</f>
        <v>0.71746807227758003</v>
      </c>
      <c r="D40" s="57"/>
      <c r="I40" s="193" t="s">
        <v>241</v>
      </c>
      <c r="J40" s="173"/>
      <c r="K40" s="194">
        <v>32</v>
      </c>
      <c r="L40" s="195">
        <v>2080</v>
      </c>
      <c r="M40" s="196">
        <f>K40*L40</f>
        <v>66560</v>
      </c>
      <c r="N40" s="197">
        <f>M40/'Unit Mix_vm'!$G$15</f>
        <v>532.48</v>
      </c>
    </row>
    <row r="41" spans="2:15" x14ac:dyDescent="0.3">
      <c r="B41" s="56"/>
      <c r="C41" s="56"/>
      <c r="D41" s="57"/>
      <c r="I41" s="198" t="s">
        <v>233</v>
      </c>
      <c r="J41" s="173"/>
      <c r="K41" s="172"/>
      <c r="L41" s="199">
        <v>0.1</v>
      </c>
      <c r="M41" s="196">
        <f>M40*L41</f>
        <v>6656</v>
      </c>
      <c r="N41" s="197">
        <f>M41/'Unit Mix_vm'!$G$15</f>
        <v>53.247999999999998</v>
      </c>
    </row>
    <row r="42" spans="2:15" x14ac:dyDescent="0.3">
      <c r="B42" s="62" t="s">
        <v>242</v>
      </c>
      <c r="C42" s="67">
        <f ca="1">C39/Budget_vm!D86</f>
        <v>5.7459030757550621E-2</v>
      </c>
      <c r="D42" s="63"/>
      <c r="I42" s="193" t="s">
        <v>243</v>
      </c>
      <c r="J42" s="173"/>
      <c r="K42" s="194">
        <v>0</v>
      </c>
      <c r="L42" s="195">
        <v>0</v>
      </c>
      <c r="M42" s="196">
        <f>K42*L42</f>
        <v>0</v>
      </c>
      <c r="N42" s="197">
        <f>M42/'Unit Mix_vm'!$G$15</f>
        <v>0</v>
      </c>
    </row>
    <row r="43" spans="2:15" x14ac:dyDescent="0.3">
      <c r="I43" s="193" t="s">
        <v>244</v>
      </c>
      <c r="J43" s="173"/>
      <c r="K43" s="194">
        <v>0</v>
      </c>
      <c r="L43" s="195">
        <v>0</v>
      </c>
      <c r="M43" s="196">
        <f>K43*L43</f>
        <v>0</v>
      </c>
      <c r="N43" s="197">
        <f>M43/'Unit Mix_vm'!$G$15</f>
        <v>0</v>
      </c>
    </row>
    <row r="44" spans="2:15" x14ac:dyDescent="0.3">
      <c r="I44" s="193" t="s">
        <v>245</v>
      </c>
      <c r="J44" s="173"/>
      <c r="K44" s="172"/>
      <c r="L44" s="203">
        <v>250</v>
      </c>
      <c r="M44" s="196">
        <f>L44*'Unit Mix_vm'!G15</f>
        <v>31250</v>
      </c>
      <c r="N44" s="197">
        <f>M44/'Unit Mix_vm'!$G$15</f>
        <v>250</v>
      </c>
    </row>
    <row r="45" spans="2:15" x14ac:dyDescent="0.3">
      <c r="I45" s="193" t="s">
        <v>246</v>
      </c>
      <c r="J45" s="173"/>
      <c r="K45" s="172"/>
      <c r="L45" s="199">
        <v>0.28999999999999998</v>
      </c>
      <c r="M45" s="196">
        <f>SUM(M34:M44)*L45</f>
        <v>61661.539999999994</v>
      </c>
      <c r="N45" s="197">
        <f>M45/'Unit Mix_vm'!$G$15</f>
        <v>493.29231999999996</v>
      </c>
    </row>
    <row r="46" spans="2:15" x14ac:dyDescent="0.3">
      <c r="I46" s="200" t="s">
        <v>247</v>
      </c>
      <c r="J46" s="184"/>
      <c r="K46" s="184"/>
      <c r="L46" s="184"/>
      <c r="M46" s="201">
        <f>SUM(M34:M45)</f>
        <v>274287.53999999998</v>
      </c>
      <c r="N46" s="202">
        <f>M46/'Unit Mix_vm'!$G$15</f>
        <v>2194.3003199999998</v>
      </c>
      <c r="O46" s="233"/>
    </row>
    <row r="48" spans="2:15" x14ac:dyDescent="0.3">
      <c r="I48" s="189" t="s">
        <v>190</v>
      </c>
      <c r="J48" s="224" t="s">
        <v>19</v>
      </c>
      <c r="K48" s="224" t="s">
        <v>18</v>
      </c>
      <c r="L48" s="224" t="s">
        <v>193</v>
      </c>
      <c r="M48" s="224" t="s">
        <v>43</v>
      </c>
      <c r="N48" s="225" t="s">
        <v>248</v>
      </c>
    </row>
    <row r="49" spans="9:16" x14ac:dyDescent="0.3">
      <c r="I49" s="193" t="s">
        <v>249</v>
      </c>
      <c r="J49" s="245">
        <v>1</v>
      </c>
      <c r="K49" s="246">
        <f>'Unit Mix_vm'!$G$15</f>
        <v>125</v>
      </c>
      <c r="L49" s="182">
        <v>65</v>
      </c>
      <c r="M49" s="180">
        <f>L49*K49*J49*12</f>
        <v>97500</v>
      </c>
      <c r="N49" s="247">
        <f>M49/'Unit Mix_vm'!$G$15/12</f>
        <v>65</v>
      </c>
      <c r="O49" s="36"/>
      <c r="P49" s="234"/>
    </row>
    <row r="50" spans="9:16" x14ac:dyDescent="0.3">
      <c r="I50" s="193" t="s">
        <v>250</v>
      </c>
      <c r="J50" s="245">
        <v>1</v>
      </c>
      <c r="K50" s="246">
        <f>'Unit Mix_vm'!$G$15</f>
        <v>125</v>
      </c>
      <c r="L50" s="182">
        <v>70</v>
      </c>
      <c r="M50" s="180">
        <f t="shared" ref="M50:M51" si="4">L50*K50*J50*12</f>
        <v>105000</v>
      </c>
      <c r="N50" s="247">
        <f>M50/'Unit Mix_vm'!$G$15/12</f>
        <v>70</v>
      </c>
    </row>
    <row r="51" spans="9:16" x14ac:dyDescent="0.3">
      <c r="I51" s="193" t="s">
        <v>204</v>
      </c>
      <c r="J51" s="245">
        <v>1</v>
      </c>
      <c r="K51" s="246">
        <f>'Unit Mix_vm'!$G$15</f>
        <v>125</v>
      </c>
      <c r="L51" s="182">
        <v>30</v>
      </c>
      <c r="M51" s="180">
        <f t="shared" si="4"/>
        <v>45000</v>
      </c>
      <c r="N51" s="247">
        <f>M51/'Unit Mix_vm'!$G$15/12</f>
        <v>30</v>
      </c>
    </row>
    <row r="52" spans="9:16" x14ac:dyDescent="0.3">
      <c r="I52" s="193" t="s">
        <v>198</v>
      </c>
      <c r="J52" s="245">
        <v>1</v>
      </c>
      <c r="K52" s="246">
        <f>'Unit Mix_vm'!$G$15</f>
        <v>125</v>
      </c>
      <c r="L52" s="182">
        <v>35</v>
      </c>
      <c r="M52" s="180">
        <f t="shared" ref="M52" si="5">L52*K52*J52*12</f>
        <v>52500</v>
      </c>
      <c r="N52" s="247">
        <f>M52/'Unit Mix_vm'!$G$15/12</f>
        <v>35</v>
      </c>
    </row>
    <row r="53" spans="9:16" x14ac:dyDescent="0.3">
      <c r="I53" s="193" t="s">
        <v>200</v>
      </c>
      <c r="J53" s="245">
        <v>1</v>
      </c>
      <c r="K53" s="246">
        <f>'Unit Mix_vm'!$G$15</f>
        <v>125</v>
      </c>
      <c r="L53" s="182">
        <v>5</v>
      </c>
      <c r="M53" s="180">
        <f>L53*K53*J53*12</f>
        <v>7500</v>
      </c>
      <c r="N53" s="247">
        <f>M53/'Unit Mix_vm'!$G$15/12</f>
        <v>5</v>
      </c>
    </row>
    <row r="54" spans="9:16" x14ac:dyDescent="0.3">
      <c r="I54" s="193" t="s">
        <v>223</v>
      </c>
      <c r="J54" s="245">
        <v>0.95</v>
      </c>
      <c r="K54" s="246">
        <f>'Unit Mix_vm'!$G$15</f>
        <v>125</v>
      </c>
      <c r="L54" s="248">
        <f>$L$29</f>
        <v>35</v>
      </c>
      <c r="M54" s="180">
        <f>L54*K54*J54*12</f>
        <v>49875</v>
      </c>
      <c r="N54" s="247">
        <f>M54/'Unit Mix_vm'!$G$15/12</f>
        <v>33.25</v>
      </c>
    </row>
    <row r="55" spans="9:16" x14ac:dyDescent="0.3">
      <c r="I55" s="193" t="s">
        <v>251</v>
      </c>
      <c r="J55" s="245">
        <v>1</v>
      </c>
      <c r="K55" s="249">
        <v>32</v>
      </c>
      <c r="L55" s="250">
        <v>55</v>
      </c>
      <c r="M55" s="180">
        <f>L55*K55*J55*12</f>
        <v>21120</v>
      </c>
      <c r="N55" s="247">
        <f>M55/'Unit Mix_vm'!$G$15/12</f>
        <v>14.08</v>
      </c>
    </row>
    <row r="56" spans="9:16" x14ac:dyDescent="0.3">
      <c r="I56" s="193" t="s">
        <v>252</v>
      </c>
      <c r="J56" s="245">
        <v>1</v>
      </c>
      <c r="K56" s="249">
        <v>0</v>
      </c>
      <c r="L56" s="250">
        <v>200</v>
      </c>
      <c r="M56" s="180">
        <f>L56*K56*J56*12</f>
        <v>0</v>
      </c>
      <c r="N56" s="247">
        <f>M56/'Unit Mix_vm'!$G$15/12</f>
        <v>0</v>
      </c>
    </row>
    <row r="57" spans="9:16" x14ac:dyDescent="0.3">
      <c r="I57" s="193" t="s">
        <v>253</v>
      </c>
      <c r="J57" s="245">
        <v>1</v>
      </c>
      <c r="K57" s="246">
        <f>'Unit Mix_vm'!$G$15</f>
        <v>125</v>
      </c>
      <c r="L57" s="182">
        <v>0</v>
      </c>
      <c r="M57" s="180">
        <f t="shared" ref="M57" si="6">L57*K57*J57*12</f>
        <v>0</v>
      </c>
      <c r="N57" s="247">
        <f>M57/'Unit Mix_vm'!$G$15/12</f>
        <v>0</v>
      </c>
    </row>
    <row r="58" spans="9:16" x14ac:dyDescent="0.3">
      <c r="I58" s="227" t="s">
        <v>254</v>
      </c>
      <c r="J58" s="228"/>
      <c r="K58" s="229"/>
      <c r="L58" s="230"/>
      <c r="M58" s="128">
        <f>SUM(M49:M57)</f>
        <v>378495</v>
      </c>
      <c r="N58" s="231">
        <f>M58/'Unit Mix_vm'!$G$15/12</f>
        <v>252.33</v>
      </c>
    </row>
  </sheetData>
  <hyperlinks>
    <hyperlink ref="J10" r:id="rId1" location="/search/Cpiew%20Abode%20Arringdon%20Owner%20Llc" xr:uid="{985C8079-3600-4B07-9AF1-3652D4348710}"/>
    <hyperlink ref="J8" r:id="rId2" location="/search/AVAIL%20COMMUNITIES%20V%20LLC" xr:uid="{DD853342-D791-4234-886E-B0170D3CADE3}"/>
    <hyperlink ref="J9" r:id="rId3" location="/search/Porchlight%20Brier%20Creek%20LLC" xr:uid="{A1BAA15E-76AB-4D0F-82FD-DBA1246A35E4}"/>
  </hyperlinks>
  <pageMargins left="0.7" right="0.7" top="0.75" bottom="0.75" header="0.3" footer="0.3"/>
  <pageSetup orientation="portrait" verticalDpi="0" r:id="rId4"/>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88671875" defaultRowHeight="14.4" x14ac:dyDescent="0.3"/>
  <cols>
    <col min="1" max="1" width="3.6640625" customWidth="1"/>
  </cols>
  <sheetData>
    <row r="2" spans="2:2" ht="130.80000000000001" x14ac:dyDescent="2.4500000000000002">
      <c r="B2" s="77" t="s">
        <v>255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88671875" defaultRowHeight="14.4" x14ac:dyDescent="0.3"/>
  <cols>
    <col min="1" max="1" width="3.6640625" customWidth="1"/>
  </cols>
  <sheetData>
    <row r="2" spans="2:2" ht="130.80000000000001" x14ac:dyDescent="2.4500000000000002">
      <c r="B2" s="77" t="s">
        <v>256</v>
      </c>
    </row>
    <row r="3" spans="2:2" ht="130.80000000000001" x14ac:dyDescent="2.4500000000000002">
      <c r="B3" s="77" t="s">
        <v>257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topRight" activeCell="B1" sqref="B1"/>
      <selection pane="bottomLeft" activeCell="B1" sqref="B1"/>
      <selection pane="bottomRight" activeCell="B1" sqref="B1"/>
    </sheetView>
  </sheetViews>
  <sheetFormatPr defaultColWidth="8.88671875" defaultRowHeight="14.4" x14ac:dyDescent="0.3"/>
  <cols>
    <col min="1" max="1" width="3.6640625" style="4" customWidth="1"/>
    <col min="2" max="2" width="35.6640625" style="4" customWidth="1"/>
    <col min="3" max="11" width="14.6640625" style="4" customWidth="1"/>
    <col min="12" max="12" width="3.6640625" style="4" customWidth="1"/>
    <col min="13" max="72" width="14.6640625" style="4" customWidth="1"/>
    <col min="73" max="73" width="3.6640625" style="4" customWidth="1"/>
    <col min="74" max="16384" width="8.88671875" style="4"/>
  </cols>
  <sheetData>
    <row r="1" spans="1:74" ht="25.8" x14ac:dyDescent="0.5">
      <c r="A1" s="7" t="str">
        <f>TEXT(Global!$C$7,"")</f>
        <v>Grandle Drive</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399999999999999" thickBot="1" x14ac:dyDescent="0.45">
      <c r="A2" s="8" t="s">
        <v>258</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8.8" x14ac:dyDescent="0.3">
      <c r="A6"/>
      <c r="B6" s="10"/>
      <c r="C6" s="89" t="s">
        <v>259</v>
      </c>
      <c r="D6" s="89" t="s">
        <v>260</v>
      </c>
      <c r="E6" s="89" t="s">
        <v>261</v>
      </c>
      <c r="F6" s="89" t="s">
        <v>262</v>
      </c>
      <c r="G6" s="89" t="s">
        <v>263</v>
      </c>
      <c r="H6" s="89" t="s">
        <v>264</v>
      </c>
      <c r="I6" s="89" t="s">
        <v>265</v>
      </c>
      <c r="J6" s="89" t="s">
        <v>266</v>
      </c>
      <c r="K6" s="89" t="s">
        <v>267</v>
      </c>
      <c r="L6"/>
      <c r="M6" s="112">
        <v>45382</v>
      </c>
      <c r="N6" s="109">
        <f>EOMONTH(M6,1)</f>
        <v>45412</v>
      </c>
      <c r="O6" s="109">
        <f t="shared" ref="O6:AQ6" si="0">EOMONTH(N6,1)</f>
        <v>45443</v>
      </c>
      <c r="P6" s="109">
        <f t="shared" si="0"/>
        <v>45473</v>
      </c>
      <c r="Q6" s="109">
        <f t="shared" si="0"/>
        <v>45504</v>
      </c>
      <c r="R6" s="109">
        <f t="shared" si="0"/>
        <v>45535</v>
      </c>
      <c r="S6" s="109">
        <f t="shared" si="0"/>
        <v>45565</v>
      </c>
      <c r="T6" s="109">
        <f t="shared" si="0"/>
        <v>45596</v>
      </c>
      <c r="U6" s="109">
        <f t="shared" si="0"/>
        <v>45626</v>
      </c>
      <c r="V6" s="109">
        <f t="shared" si="0"/>
        <v>45657</v>
      </c>
      <c r="W6" s="109">
        <f t="shared" si="0"/>
        <v>45688</v>
      </c>
      <c r="X6" s="109">
        <f t="shared" si="0"/>
        <v>45716</v>
      </c>
      <c r="Y6" s="109">
        <f t="shared" si="0"/>
        <v>45747</v>
      </c>
      <c r="Z6" s="109">
        <f t="shared" si="0"/>
        <v>45777</v>
      </c>
      <c r="AA6" s="109">
        <f t="shared" si="0"/>
        <v>45808</v>
      </c>
      <c r="AB6" s="109">
        <f t="shared" si="0"/>
        <v>45838</v>
      </c>
      <c r="AC6" s="109">
        <f t="shared" si="0"/>
        <v>45869</v>
      </c>
      <c r="AD6" s="109">
        <f t="shared" si="0"/>
        <v>45900</v>
      </c>
      <c r="AE6" s="109">
        <f t="shared" si="0"/>
        <v>45930</v>
      </c>
      <c r="AF6" s="109">
        <f t="shared" si="0"/>
        <v>45961</v>
      </c>
      <c r="AG6" s="109">
        <f t="shared" si="0"/>
        <v>45991</v>
      </c>
      <c r="AH6" s="109">
        <f t="shared" si="0"/>
        <v>46022</v>
      </c>
      <c r="AI6" s="109">
        <f t="shared" si="0"/>
        <v>46053</v>
      </c>
      <c r="AJ6" s="109">
        <f t="shared" si="0"/>
        <v>46081</v>
      </c>
      <c r="AK6" s="109">
        <f t="shared" si="0"/>
        <v>46112</v>
      </c>
      <c r="AL6" s="109">
        <f t="shared" si="0"/>
        <v>46142</v>
      </c>
      <c r="AM6" s="109">
        <f t="shared" si="0"/>
        <v>46173</v>
      </c>
      <c r="AN6" s="109">
        <f t="shared" si="0"/>
        <v>46203</v>
      </c>
      <c r="AO6" s="109">
        <f t="shared" si="0"/>
        <v>46234</v>
      </c>
      <c r="AP6" s="109">
        <f t="shared" si="0"/>
        <v>46265</v>
      </c>
      <c r="AQ6" s="109">
        <f t="shared" si="0"/>
        <v>46295</v>
      </c>
      <c r="AR6" s="109">
        <f t="shared" ref="AR6:BI6" si="1">EOMONTH(AQ6,1)</f>
        <v>46326</v>
      </c>
      <c r="AS6" s="109">
        <f t="shared" si="1"/>
        <v>46356</v>
      </c>
      <c r="AT6" s="109">
        <f t="shared" si="1"/>
        <v>46387</v>
      </c>
      <c r="AU6" s="109">
        <f t="shared" si="1"/>
        <v>46418</v>
      </c>
      <c r="AV6" s="109">
        <f t="shared" si="1"/>
        <v>46446</v>
      </c>
      <c r="AW6" s="109">
        <f t="shared" si="1"/>
        <v>46477</v>
      </c>
      <c r="AX6" s="109">
        <f t="shared" si="1"/>
        <v>46507</v>
      </c>
      <c r="AY6" s="109">
        <f t="shared" si="1"/>
        <v>46538</v>
      </c>
      <c r="AZ6" s="109">
        <f t="shared" si="1"/>
        <v>46568</v>
      </c>
      <c r="BA6" s="109">
        <f t="shared" si="1"/>
        <v>46599</v>
      </c>
      <c r="BB6" s="109">
        <f t="shared" si="1"/>
        <v>46630</v>
      </c>
      <c r="BC6" s="109">
        <f t="shared" si="1"/>
        <v>46660</v>
      </c>
      <c r="BD6" s="109">
        <f t="shared" si="1"/>
        <v>46691</v>
      </c>
      <c r="BE6" s="109">
        <f t="shared" si="1"/>
        <v>46721</v>
      </c>
      <c r="BF6" s="109">
        <f t="shared" si="1"/>
        <v>46752</v>
      </c>
      <c r="BG6" s="109">
        <f t="shared" si="1"/>
        <v>46783</v>
      </c>
      <c r="BH6" s="109">
        <f t="shared" si="1"/>
        <v>46812</v>
      </c>
      <c r="BI6" s="109">
        <f t="shared" si="1"/>
        <v>46843</v>
      </c>
      <c r="BJ6" s="109">
        <f t="shared" ref="BJ6:BO6" si="2">EOMONTH(BI6,1)</f>
        <v>46873</v>
      </c>
      <c r="BK6" s="109">
        <f t="shared" si="2"/>
        <v>46904</v>
      </c>
      <c r="BL6" s="109">
        <f t="shared" si="2"/>
        <v>46934</v>
      </c>
      <c r="BM6" s="109">
        <f t="shared" si="2"/>
        <v>46965</v>
      </c>
      <c r="BN6" s="109">
        <f t="shared" si="2"/>
        <v>46996</v>
      </c>
      <c r="BO6" s="109">
        <f t="shared" si="2"/>
        <v>47026</v>
      </c>
      <c r="BP6" s="109">
        <f t="shared" ref="BP6:BS6" si="3">EOMONTH(BO6,1)</f>
        <v>47057</v>
      </c>
      <c r="BQ6" s="109">
        <f t="shared" si="3"/>
        <v>47087</v>
      </c>
      <c r="BR6" s="109">
        <f t="shared" si="3"/>
        <v>47118</v>
      </c>
      <c r="BS6" s="109">
        <f t="shared" si="3"/>
        <v>47149</v>
      </c>
      <c r="BT6" s="110">
        <f t="shared" ref="BT6" si="4">EOMONTH(BS6,1)</f>
        <v>47177</v>
      </c>
      <c r="BU6"/>
      <c r="BV6" s="5"/>
    </row>
    <row r="7" spans="1:74" x14ac:dyDescent="0.3">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x14ac:dyDescent="0.3">
      <c r="A8"/>
      <c r="B8" t="s">
        <v>268</v>
      </c>
      <c r="C8"/>
      <c r="D8"/>
      <c r="E8"/>
      <c r="F8"/>
      <c r="G8"/>
      <c r="H8"/>
      <c r="I8"/>
      <c r="J8"/>
      <c r="K8"/>
      <c r="L8"/>
      <c r="M8" s="111" t="s">
        <v>269</v>
      </c>
      <c r="N8" s="111" t="s">
        <v>269</v>
      </c>
      <c r="O8" s="111" t="s">
        <v>269</v>
      </c>
      <c r="P8" s="111" t="s">
        <v>269</v>
      </c>
      <c r="Q8" s="111" t="s">
        <v>269</v>
      </c>
      <c r="R8" s="111" t="s">
        <v>269</v>
      </c>
      <c r="S8" s="111" t="s">
        <v>269</v>
      </c>
      <c r="T8" s="111" t="s">
        <v>269</v>
      </c>
      <c r="U8" s="111" t="s">
        <v>269</v>
      </c>
      <c r="V8" s="111" t="s">
        <v>269</v>
      </c>
      <c r="W8" s="111" t="s">
        <v>269</v>
      </c>
      <c r="X8" s="111" t="s">
        <v>269</v>
      </c>
      <c r="Y8" s="111" t="s">
        <v>269</v>
      </c>
      <c r="Z8" s="111" t="s">
        <v>269</v>
      </c>
      <c r="AA8" s="111" t="s">
        <v>269</v>
      </c>
      <c r="AB8" s="111" t="s">
        <v>269</v>
      </c>
      <c r="AC8" s="111" t="s">
        <v>269</v>
      </c>
      <c r="AD8" s="111" t="s">
        <v>269</v>
      </c>
      <c r="AE8" s="111" t="s">
        <v>269</v>
      </c>
      <c r="AF8" s="111" t="s">
        <v>269</v>
      </c>
      <c r="AG8" s="111" t="s">
        <v>269</v>
      </c>
      <c r="AH8" s="111" t="s">
        <v>269</v>
      </c>
      <c r="AI8" s="111" t="s">
        <v>269</v>
      </c>
      <c r="AJ8" s="111" t="s">
        <v>269</v>
      </c>
      <c r="AK8" s="111" t="s">
        <v>269</v>
      </c>
      <c r="AL8" s="111" t="s">
        <v>269</v>
      </c>
      <c r="AM8" s="111" t="s">
        <v>269</v>
      </c>
      <c r="AN8" s="111" t="s">
        <v>269</v>
      </c>
      <c r="AO8" s="111" t="s">
        <v>269</v>
      </c>
      <c r="AP8" s="111" t="s">
        <v>269</v>
      </c>
      <c r="AQ8" s="111" t="s">
        <v>269</v>
      </c>
      <c r="AR8" s="111" t="s">
        <v>269</v>
      </c>
      <c r="AS8" s="111" t="s">
        <v>269</v>
      </c>
      <c r="AT8" s="111" t="s">
        <v>269</v>
      </c>
      <c r="AU8" s="111" t="s">
        <v>269</v>
      </c>
      <c r="AV8" s="111" t="s">
        <v>269</v>
      </c>
      <c r="AW8" s="111" t="s">
        <v>269</v>
      </c>
      <c r="AX8" s="111" t="s">
        <v>269</v>
      </c>
      <c r="AY8" s="111" t="s">
        <v>269</v>
      </c>
      <c r="AZ8" s="111" t="s">
        <v>269</v>
      </c>
      <c r="BA8" s="111" t="s">
        <v>269</v>
      </c>
      <c r="BB8" s="111" t="s">
        <v>269</v>
      </c>
      <c r="BC8" s="111" t="s">
        <v>269</v>
      </c>
      <c r="BD8" s="111" t="s">
        <v>269</v>
      </c>
      <c r="BE8" s="111" t="s">
        <v>269</v>
      </c>
      <c r="BF8" s="111" t="s">
        <v>269</v>
      </c>
      <c r="BG8" s="111" t="s">
        <v>269</v>
      </c>
      <c r="BH8" s="111" t="s">
        <v>269</v>
      </c>
      <c r="BI8" s="111" t="s">
        <v>269</v>
      </c>
      <c r="BJ8" s="111" t="s">
        <v>269</v>
      </c>
      <c r="BK8" s="111" t="s">
        <v>269</v>
      </c>
      <c r="BL8" s="111" t="s">
        <v>269</v>
      </c>
      <c r="BM8" s="111" t="s">
        <v>269</v>
      </c>
      <c r="BN8" s="111" t="s">
        <v>269</v>
      </c>
      <c r="BO8" s="111" t="s">
        <v>269</v>
      </c>
      <c r="BP8" s="111" t="s">
        <v>269</v>
      </c>
      <c r="BQ8" s="111" t="s">
        <v>269</v>
      </c>
      <c r="BR8" s="111" t="s">
        <v>269</v>
      </c>
      <c r="BS8" s="111" t="s">
        <v>269</v>
      </c>
      <c r="BT8" s="111" t="s">
        <v>269</v>
      </c>
      <c r="BU8"/>
      <c r="BV8" s="5"/>
    </row>
    <row r="9" spans="1:74" x14ac:dyDescent="0.3">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x14ac:dyDescent="0.3">
      <c r="A10"/>
      <c r="B10" s="55" t="s">
        <v>270</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x14ac:dyDescent="0.3">
      <c r="A11"/>
      <c r="B11" s="9" t="s">
        <v>271</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x14ac:dyDescent="0.3">
      <c r="A12"/>
      <c r="B12" s="9" t="s">
        <v>272</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x14ac:dyDescent="0.3">
      <c r="A13"/>
      <c r="B13" s="9" t="s">
        <v>64</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x14ac:dyDescent="0.3">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x14ac:dyDescent="0.3">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x14ac:dyDescent="0.3">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x14ac:dyDescent="0.3">
      <c r="A17"/>
      <c r="B17" s="3" t="s">
        <v>66</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x14ac:dyDescent="0.3">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x14ac:dyDescent="0.3">
      <c r="A19"/>
      <c r="B19" s="55" t="s">
        <v>273</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x14ac:dyDescent="0.3">
      <c r="A20"/>
      <c r="B20" s="9" t="s">
        <v>56</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x14ac:dyDescent="0.3">
      <c r="A21"/>
      <c r="B21" s="9" t="s">
        <v>61</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x14ac:dyDescent="0.3">
      <c r="A22"/>
      <c r="B22" s="9" t="s">
        <v>65</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x14ac:dyDescent="0.3">
      <c r="A23"/>
      <c r="B23" s="9" t="s">
        <v>67</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x14ac:dyDescent="0.3">
      <c r="A24"/>
      <c r="B24" s="9" t="s">
        <v>68</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x14ac:dyDescent="0.3">
      <c r="A25"/>
      <c r="B25" s="9" t="s">
        <v>71</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x14ac:dyDescent="0.3">
      <c r="A26"/>
      <c r="B26" s="9" t="s">
        <v>72</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x14ac:dyDescent="0.3">
      <c r="A27"/>
      <c r="B27" s="9" t="s">
        <v>74</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x14ac:dyDescent="0.3">
      <c r="A28"/>
      <c r="B28" s="9" t="s">
        <v>76</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x14ac:dyDescent="0.3">
      <c r="A29"/>
      <c r="B29" s="9" t="s">
        <v>78</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x14ac:dyDescent="0.3">
      <c r="A30"/>
      <c r="B30" s="9" t="s">
        <v>79</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x14ac:dyDescent="0.3">
      <c r="A31"/>
      <c r="B31" s="9" t="s">
        <v>80</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x14ac:dyDescent="0.3">
      <c r="A32"/>
      <c r="B32" s="9" t="s">
        <v>82</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x14ac:dyDescent="0.3">
      <c r="A33"/>
      <c r="B33" s="9" t="s">
        <v>83</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x14ac:dyDescent="0.3">
      <c r="A34"/>
      <c r="B34" s="9" t="s">
        <v>88</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x14ac:dyDescent="0.3">
      <c r="A35"/>
      <c r="B35" s="9" t="s">
        <v>91</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x14ac:dyDescent="0.3">
      <c r="A36"/>
      <c r="B36" s="9" t="s">
        <v>274</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x14ac:dyDescent="0.3">
      <c r="A37"/>
      <c r="B37" s="9" t="s">
        <v>100</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x14ac:dyDescent="0.3">
      <c r="A38"/>
      <c r="B38" s="9" t="s">
        <v>102</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x14ac:dyDescent="0.3">
      <c r="A39"/>
      <c r="B39" s="9" t="s">
        <v>275</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x14ac:dyDescent="0.3">
      <c r="A40"/>
      <c r="B40" s="9" t="s">
        <v>106</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x14ac:dyDescent="0.3">
      <c r="A41"/>
      <c r="B41" s="9" t="s">
        <v>107</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x14ac:dyDescent="0.3">
      <c r="A42"/>
      <c r="B42" s="9" t="s">
        <v>110</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x14ac:dyDescent="0.3">
      <c r="A43"/>
      <c r="B43" s="9" t="s">
        <v>115</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x14ac:dyDescent="0.3">
      <c r="A44"/>
      <c r="B44" s="9" t="s">
        <v>116</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x14ac:dyDescent="0.3">
      <c r="A45"/>
      <c r="B45" s="9" t="s">
        <v>118</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x14ac:dyDescent="0.3">
      <c r="A46"/>
      <c r="B46" s="9" t="s">
        <v>126</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x14ac:dyDescent="0.3">
      <c r="A47"/>
      <c r="B47" s="9" t="s">
        <v>129</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x14ac:dyDescent="0.3">
      <c r="A48"/>
      <c r="B48" s="9" t="s">
        <v>128</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x14ac:dyDescent="0.3">
      <c r="A49"/>
      <c r="B49" s="9" t="s">
        <v>127</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x14ac:dyDescent="0.3">
      <c r="A50"/>
      <c r="B50" s="9" t="s">
        <v>130</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x14ac:dyDescent="0.3">
      <c r="A51"/>
      <c r="B51" s="9" t="s">
        <v>131</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x14ac:dyDescent="0.3">
      <c r="A52"/>
      <c r="B52" s="9" t="s">
        <v>132</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x14ac:dyDescent="0.3">
      <c r="A53"/>
      <c r="B53" s="9" t="s">
        <v>133</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x14ac:dyDescent="0.3">
      <c r="A54"/>
      <c r="B54" s="9" t="s">
        <v>134</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x14ac:dyDescent="0.3">
      <c r="A55"/>
      <c r="B55" s="9" t="s">
        <v>135</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x14ac:dyDescent="0.3">
      <c r="A56"/>
      <c r="B56" s="9" t="s">
        <v>136</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x14ac:dyDescent="0.3">
      <c r="A57"/>
      <c r="B57" s="9" t="s">
        <v>137</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x14ac:dyDescent="0.3">
      <c r="A58"/>
      <c r="B58" s="9" t="s">
        <v>138</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x14ac:dyDescent="0.3">
      <c r="A59"/>
      <c r="B59" s="9" t="s">
        <v>139</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x14ac:dyDescent="0.3">
      <c r="A60"/>
      <c r="B60" s="9" t="s">
        <v>140</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x14ac:dyDescent="0.3">
      <c r="A61"/>
      <c r="B61" s="9" t="s">
        <v>141</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x14ac:dyDescent="0.3">
      <c r="A62"/>
      <c r="B62" s="9" t="s">
        <v>142</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x14ac:dyDescent="0.3">
      <c r="A63"/>
      <c r="B63" s="9" t="s">
        <v>276</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x14ac:dyDescent="0.3">
      <c r="A64"/>
      <c r="B64" s="9" t="s">
        <v>147</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x14ac:dyDescent="0.3">
      <c r="A65"/>
      <c r="B65" s="9" t="s">
        <v>148</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x14ac:dyDescent="0.3">
      <c r="A66"/>
      <c r="B66" s="9" t="s">
        <v>149</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x14ac:dyDescent="0.3">
      <c r="A67"/>
      <c r="B67" s="9" t="s">
        <v>277</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x14ac:dyDescent="0.3">
      <c r="A68"/>
      <c r="B68" s="9" t="s">
        <v>278</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x14ac:dyDescent="0.3">
      <c r="A69"/>
      <c r="B69" s="9" t="s">
        <v>155</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x14ac:dyDescent="0.3">
      <c r="A70"/>
      <c r="B70" s="9" t="s">
        <v>156</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x14ac:dyDescent="0.3">
      <c r="A71"/>
      <c r="B71" s="9" t="s">
        <v>157</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x14ac:dyDescent="0.3">
      <c r="A72"/>
      <c r="B72" s="9" t="s">
        <v>160</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x14ac:dyDescent="0.3">
      <c r="A73"/>
      <c r="B73" s="9" t="s">
        <v>162</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x14ac:dyDescent="0.3">
      <c r="A74"/>
      <c r="B74" s="9" t="s">
        <v>164</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x14ac:dyDescent="0.3">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x14ac:dyDescent="0.3">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x14ac:dyDescent="0.3">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x14ac:dyDescent="0.3">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x14ac:dyDescent="0.3">
      <c r="A79"/>
      <c r="B79" s="3" t="s">
        <v>77</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x14ac:dyDescent="0.3">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x14ac:dyDescent="0.3">
      <c r="A81"/>
      <c r="B81" t="s">
        <v>279</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x14ac:dyDescent="0.3">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topRight" activeCell="B1" sqref="B1"/>
      <selection pane="bottomLeft" activeCell="B1" sqref="B1"/>
      <selection pane="bottomRight" activeCell="B1" sqref="B1"/>
    </sheetView>
  </sheetViews>
  <sheetFormatPr defaultColWidth="8.88671875" defaultRowHeight="14.4" x14ac:dyDescent="0.3"/>
  <cols>
    <col min="1" max="1" width="3.6640625" style="4" customWidth="1"/>
    <col min="2" max="2" width="35.6640625" style="4" customWidth="1"/>
    <col min="3" max="62" width="14.6640625" style="4" customWidth="1"/>
    <col min="63" max="63" width="3.6640625" style="4" customWidth="1"/>
    <col min="64" max="16384" width="8.88671875" style="4"/>
  </cols>
  <sheetData>
    <row r="1" spans="1:64" ht="25.8" x14ac:dyDescent="0.5">
      <c r="A1" s="7" t="str">
        <f>TEXT(Global!$C$7,"")</f>
        <v>Grandle Drive</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399999999999999" thickBot="1" x14ac:dyDescent="0.45">
      <c r="A2" s="8" t="s">
        <v>280</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x14ac:dyDescent="0.3">
      <c r="A6"/>
      <c r="B6" s="90" t="s">
        <v>281</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x14ac:dyDescent="0.3">
      <c r="A7"/>
      <c r="B7" s="91" t="s">
        <v>282</v>
      </c>
      <c r="C7" s="102" t="str">
        <f>IF(ISBLANK(C6),"",0)</f>
        <v/>
      </c>
      <c r="D7" s="102" t="str">
        <f>IF(ISBLANK(D6),"",D6-C6)</f>
        <v/>
      </c>
      <c r="E7" s="102" t="str">
        <f t="shared" ref="E7:F7" si="0">IF(ISBLANK(E6),"",E6-D6)</f>
        <v/>
      </c>
      <c r="F7" s="102" t="str">
        <f t="shared" si="0"/>
        <v/>
      </c>
      <c r="G7" s="102" t="str">
        <f t="shared" ref="G7" si="1">IF(ISBLANK(G6),"",G6-F6)</f>
        <v/>
      </c>
      <c r="H7" s="102" t="str">
        <f t="shared" ref="H7" si="2">IF(ISBLANK(H6),"",H6-G6)</f>
        <v/>
      </c>
      <c r="I7" s="102" t="str">
        <f t="shared" ref="I7" si="3">IF(ISBLANK(I6),"",I6-H6)</f>
        <v/>
      </c>
      <c r="J7" s="102" t="str">
        <f t="shared" ref="J7" si="4">IF(ISBLANK(J6),"",J6-I6)</f>
        <v/>
      </c>
      <c r="K7" s="102" t="str">
        <f t="shared" ref="K7" si="5">IF(ISBLANK(K6),"",K6-J6)</f>
        <v/>
      </c>
      <c r="L7" s="102" t="str">
        <f t="shared" ref="L7" si="6">IF(ISBLANK(L6),"",L6-K6)</f>
        <v/>
      </c>
      <c r="M7" s="102" t="str">
        <f t="shared" ref="M7" si="7">IF(ISBLANK(M6),"",M6-L6)</f>
        <v/>
      </c>
      <c r="N7" s="102" t="str">
        <f t="shared" ref="N7" si="8">IF(ISBLANK(N6),"",N6-M6)</f>
        <v/>
      </c>
      <c r="O7" s="102" t="str">
        <f t="shared" ref="O7" si="9">IF(ISBLANK(O6),"",O6-N6)</f>
        <v/>
      </c>
      <c r="P7" s="102" t="str">
        <f t="shared" ref="P7" si="10">IF(ISBLANK(P6),"",P6-O6)</f>
        <v/>
      </c>
      <c r="Q7" s="102" t="str">
        <f t="shared" ref="Q7" si="11">IF(ISBLANK(Q6),"",Q6-P6)</f>
        <v/>
      </c>
      <c r="R7" s="102" t="str">
        <f t="shared" ref="R7" si="12">IF(ISBLANK(R6),"",R6-Q6)</f>
        <v/>
      </c>
      <c r="S7" s="102" t="str">
        <f t="shared" ref="S7" si="13">IF(ISBLANK(S6),"",S6-R6)</f>
        <v/>
      </c>
      <c r="T7" s="102" t="str">
        <f t="shared" ref="T7" si="14">IF(ISBLANK(T6),"",T6-S6)</f>
        <v/>
      </c>
      <c r="U7" s="102" t="str">
        <f t="shared" ref="U7" si="15">IF(ISBLANK(U6),"",U6-T6)</f>
        <v/>
      </c>
      <c r="V7" s="102" t="str">
        <f t="shared" ref="V7" si="16">IF(ISBLANK(V6),"",V6-U6)</f>
        <v/>
      </c>
      <c r="W7" s="102" t="str">
        <f t="shared" ref="W7" si="17">IF(ISBLANK(W6),"",W6-V6)</f>
        <v/>
      </c>
      <c r="X7" s="102" t="str">
        <f t="shared" ref="X7" si="18">IF(ISBLANK(X6),"",X6-W6)</f>
        <v/>
      </c>
      <c r="Y7" s="102" t="str">
        <f t="shared" ref="Y7" si="19">IF(ISBLANK(Y6),"",Y6-X6)</f>
        <v/>
      </c>
      <c r="Z7" s="102" t="str">
        <f t="shared" ref="Z7" si="20">IF(ISBLANK(Z6),"",Z6-Y6)</f>
        <v/>
      </c>
      <c r="AA7" s="102" t="str">
        <f t="shared" ref="AA7" si="21">IF(ISBLANK(AA6),"",AA6-Z6)</f>
        <v/>
      </c>
      <c r="AB7" s="102" t="str">
        <f t="shared" ref="AB7" si="22">IF(ISBLANK(AB6),"",AB6-AA6)</f>
        <v/>
      </c>
      <c r="AC7" s="102" t="str">
        <f t="shared" ref="AC7" si="23">IF(ISBLANK(AC6),"",AC6-AB6)</f>
        <v/>
      </c>
      <c r="AD7" s="102" t="str">
        <f t="shared" ref="AD7" si="24">IF(ISBLANK(AD6),"",AD6-AC6)</f>
        <v/>
      </c>
      <c r="AE7" s="102" t="str">
        <f t="shared" ref="AE7" si="25">IF(ISBLANK(AE6),"",AE6-AD6)</f>
        <v/>
      </c>
      <c r="AF7" s="102" t="str">
        <f t="shared" ref="AF7" si="26">IF(ISBLANK(AF6),"",AF6-AE6)</f>
        <v/>
      </c>
      <c r="AG7" s="102" t="str">
        <f t="shared" ref="AG7" si="27">IF(ISBLANK(AG6),"",AG6-AF6)</f>
        <v/>
      </c>
      <c r="AH7" s="102" t="str">
        <f t="shared" ref="AH7" si="28">IF(ISBLANK(AH6),"",AH6-AG6)</f>
        <v/>
      </c>
      <c r="AI7" s="102" t="str">
        <f t="shared" ref="AI7" si="29">IF(ISBLANK(AI6),"",AI6-AH6)</f>
        <v/>
      </c>
      <c r="AJ7" s="102" t="str">
        <f t="shared" ref="AJ7" si="30">IF(ISBLANK(AJ6),"",AJ6-AI6)</f>
        <v/>
      </c>
      <c r="AK7" s="102" t="str">
        <f t="shared" ref="AK7" si="31">IF(ISBLANK(AK6),"",AK6-AJ6)</f>
        <v/>
      </c>
      <c r="AL7" s="102" t="str">
        <f t="shared" ref="AL7" si="32">IF(ISBLANK(AL6),"",AL6-AK6)</f>
        <v/>
      </c>
      <c r="AM7" s="102" t="str">
        <f t="shared" ref="AM7" si="33">IF(ISBLANK(AM6),"",AM6-AL6)</f>
        <v/>
      </c>
      <c r="AN7" s="102" t="str">
        <f t="shared" ref="AN7" si="34">IF(ISBLANK(AN6),"",AN6-AM6)</f>
        <v/>
      </c>
      <c r="AO7" s="102" t="str">
        <f t="shared" ref="AO7" si="35">IF(ISBLANK(AO6),"",AO6-AN6)</f>
        <v/>
      </c>
      <c r="AP7" s="102" t="str">
        <f t="shared" ref="AP7" si="36">IF(ISBLANK(AP6),"",AP6-AO6)</f>
        <v/>
      </c>
      <c r="AQ7" s="102" t="str">
        <f t="shared" ref="AQ7" si="37">IF(ISBLANK(AQ6),"",AQ6-AP6)</f>
        <v/>
      </c>
      <c r="AR7" s="102" t="str">
        <f t="shared" ref="AR7" si="38">IF(ISBLANK(AR6),"",AR6-AQ6)</f>
        <v/>
      </c>
      <c r="AS7" s="102" t="str">
        <f t="shared" ref="AS7" si="39">IF(ISBLANK(AS6),"",AS6-AR6)</f>
        <v/>
      </c>
      <c r="AT7" s="102" t="str">
        <f t="shared" ref="AT7" si="40">IF(ISBLANK(AT6),"",AT6-AS6)</f>
        <v/>
      </c>
      <c r="AU7" s="102" t="str">
        <f t="shared" ref="AU7" si="41">IF(ISBLANK(AU6),"",AU6-AT6)</f>
        <v/>
      </c>
      <c r="AV7" s="102" t="str">
        <f t="shared" ref="AV7" si="42">IF(ISBLANK(AV6),"",AV6-AU6)</f>
        <v/>
      </c>
      <c r="AW7" s="102" t="str">
        <f t="shared" ref="AW7" si="43">IF(ISBLANK(AW6),"",AW6-AV6)</f>
        <v/>
      </c>
      <c r="AX7" s="102" t="str">
        <f t="shared" ref="AX7" si="44">IF(ISBLANK(AX6),"",AX6-AW6)</f>
        <v/>
      </c>
      <c r="AY7" s="102" t="str">
        <f t="shared" ref="AY7" si="45">IF(ISBLANK(AY6),"",AY6-AX6)</f>
        <v/>
      </c>
      <c r="AZ7" s="102" t="str">
        <f t="shared" ref="AZ7" si="46">IF(ISBLANK(AZ6),"",AZ6-AY6)</f>
        <v/>
      </c>
      <c r="BA7" s="102" t="str">
        <f t="shared" ref="BA7" si="47">IF(ISBLANK(BA6),"",BA6-AZ6)</f>
        <v/>
      </c>
      <c r="BB7" s="102" t="str">
        <f t="shared" ref="BB7" si="48">IF(ISBLANK(BB6),"",BB6-BA6)</f>
        <v/>
      </c>
      <c r="BC7" s="102" t="str">
        <f t="shared" ref="BC7" si="49">IF(ISBLANK(BC6),"",BC6-BB6)</f>
        <v/>
      </c>
      <c r="BD7" s="102" t="str">
        <f t="shared" ref="BD7" si="50">IF(ISBLANK(BD6),"",BD6-BC6)</f>
        <v/>
      </c>
      <c r="BE7" s="102" t="str">
        <f t="shared" ref="BE7" si="51">IF(ISBLANK(BE6),"",BE6-BD6)</f>
        <v/>
      </c>
      <c r="BF7" s="102" t="str">
        <f t="shared" ref="BF7" si="52">IF(ISBLANK(BF6),"",BF6-BE6)</f>
        <v/>
      </c>
      <c r="BG7" s="102" t="str">
        <f t="shared" ref="BG7" si="53">IF(ISBLANK(BG6),"",BG6-BF6)</f>
        <v/>
      </c>
      <c r="BH7" s="102" t="str">
        <f t="shared" ref="BH7" si="54">IF(ISBLANK(BH6),"",BH6-BG6)</f>
        <v/>
      </c>
      <c r="BI7" s="102" t="str">
        <f t="shared" ref="BI7" si="55">IF(ISBLANK(BI6),"",BI6-BH6)</f>
        <v/>
      </c>
      <c r="BJ7" s="103" t="str">
        <f t="shared" ref="BJ7" si="56">IF(ISBLANK(BJ6),"",BJ6-BI6)</f>
        <v/>
      </c>
      <c r="BK7"/>
      <c r="BL7" s="5"/>
    </row>
    <row r="8" spans="1:64" x14ac:dyDescent="0.3">
      <c r="A8"/>
      <c r="B8" s="91" t="s">
        <v>283</v>
      </c>
      <c r="C8" s="101" t="str">
        <f t="shared" ref="C8:AH8" si="57">IFERROR(C7/365,"")</f>
        <v/>
      </c>
      <c r="D8" s="101" t="str">
        <f t="shared" si="57"/>
        <v/>
      </c>
      <c r="E8" s="101" t="str">
        <f t="shared" si="57"/>
        <v/>
      </c>
      <c r="F8" s="101" t="str">
        <f t="shared" si="57"/>
        <v/>
      </c>
      <c r="G8" s="101" t="str">
        <f t="shared" si="57"/>
        <v/>
      </c>
      <c r="H8" s="101" t="str">
        <f t="shared" si="57"/>
        <v/>
      </c>
      <c r="I8" s="101" t="str">
        <f t="shared" si="57"/>
        <v/>
      </c>
      <c r="J8" s="101" t="str">
        <f t="shared" si="57"/>
        <v/>
      </c>
      <c r="K8" s="101" t="str">
        <f t="shared" si="57"/>
        <v/>
      </c>
      <c r="L8" s="101" t="str">
        <f t="shared" si="57"/>
        <v/>
      </c>
      <c r="M8" s="101" t="str">
        <f t="shared" si="57"/>
        <v/>
      </c>
      <c r="N8" s="101" t="str">
        <f t="shared" si="57"/>
        <v/>
      </c>
      <c r="O8" s="101" t="str">
        <f t="shared" si="57"/>
        <v/>
      </c>
      <c r="P8" s="101" t="str">
        <f t="shared" si="57"/>
        <v/>
      </c>
      <c r="Q8" s="101" t="str">
        <f t="shared" si="57"/>
        <v/>
      </c>
      <c r="R8" s="101" t="str">
        <f t="shared" si="57"/>
        <v/>
      </c>
      <c r="S8" s="101" t="str">
        <f t="shared" si="57"/>
        <v/>
      </c>
      <c r="T8" s="101" t="str">
        <f t="shared" si="57"/>
        <v/>
      </c>
      <c r="U8" s="101" t="str">
        <f t="shared" si="57"/>
        <v/>
      </c>
      <c r="V8" s="101" t="str">
        <f t="shared" si="57"/>
        <v/>
      </c>
      <c r="W8" s="101" t="str">
        <f t="shared" si="57"/>
        <v/>
      </c>
      <c r="X8" s="101" t="str">
        <f t="shared" si="57"/>
        <v/>
      </c>
      <c r="Y8" s="101" t="str">
        <f t="shared" si="57"/>
        <v/>
      </c>
      <c r="Z8" s="101" t="str">
        <f t="shared" si="57"/>
        <v/>
      </c>
      <c r="AA8" s="101" t="str">
        <f t="shared" si="57"/>
        <v/>
      </c>
      <c r="AB8" s="101" t="str">
        <f t="shared" si="57"/>
        <v/>
      </c>
      <c r="AC8" s="101" t="str">
        <f t="shared" si="57"/>
        <v/>
      </c>
      <c r="AD8" s="101" t="str">
        <f t="shared" si="57"/>
        <v/>
      </c>
      <c r="AE8" s="101" t="str">
        <f t="shared" si="57"/>
        <v/>
      </c>
      <c r="AF8" s="101" t="str">
        <f t="shared" si="57"/>
        <v/>
      </c>
      <c r="AG8" s="101" t="str">
        <f t="shared" si="57"/>
        <v/>
      </c>
      <c r="AH8" s="101" t="str">
        <f t="shared" si="57"/>
        <v/>
      </c>
      <c r="AI8" s="101" t="str">
        <f t="shared" ref="AI8:BJ8" si="58">IFERROR(AI7/365,"")</f>
        <v/>
      </c>
      <c r="AJ8" s="101" t="str">
        <f t="shared" si="58"/>
        <v/>
      </c>
      <c r="AK8" s="101" t="str">
        <f t="shared" si="58"/>
        <v/>
      </c>
      <c r="AL8" s="101" t="str">
        <f t="shared" si="58"/>
        <v/>
      </c>
      <c r="AM8" s="101" t="str">
        <f t="shared" si="58"/>
        <v/>
      </c>
      <c r="AN8" s="101" t="str">
        <f t="shared" si="58"/>
        <v/>
      </c>
      <c r="AO8" s="101" t="str">
        <f t="shared" si="58"/>
        <v/>
      </c>
      <c r="AP8" s="101" t="str">
        <f t="shared" si="58"/>
        <v/>
      </c>
      <c r="AQ8" s="101" t="str">
        <f t="shared" si="58"/>
        <v/>
      </c>
      <c r="AR8" s="101" t="str">
        <f t="shared" si="58"/>
        <v/>
      </c>
      <c r="AS8" s="101" t="str">
        <f t="shared" si="58"/>
        <v/>
      </c>
      <c r="AT8" s="101" t="str">
        <f t="shared" si="58"/>
        <v/>
      </c>
      <c r="AU8" s="101" t="str">
        <f t="shared" si="58"/>
        <v/>
      </c>
      <c r="AV8" s="101" t="str">
        <f t="shared" si="58"/>
        <v/>
      </c>
      <c r="AW8" s="101" t="str">
        <f t="shared" si="58"/>
        <v/>
      </c>
      <c r="AX8" s="101" t="str">
        <f t="shared" si="58"/>
        <v/>
      </c>
      <c r="AY8" s="101" t="str">
        <f t="shared" si="58"/>
        <v/>
      </c>
      <c r="AZ8" s="101" t="str">
        <f t="shared" si="58"/>
        <v/>
      </c>
      <c r="BA8" s="101" t="str">
        <f t="shared" si="58"/>
        <v/>
      </c>
      <c r="BB8" s="101" t="str">
        <f t="shared" si="58"/>
        <v/>
      </c>
      <c r="BC8" s="101" t="str">
        <f t="shared" si="58"/>
        <v/>
      </c>
      <c r="BD8" s="101" t="str">
        <f t="shared" si="58"/>
        <v/>
      </c>
      <c r="BE8" s="101" t="str">
        <f t="shared" si="58"/>
        <v/>
      </c>
      <c r="BF8" s="101" t="str">
        <f t="shared" si="58"/>
        <v/>
      </c>
      <c r="BG8" s="101" t="str">
        <f t="shared" si="58"/>
        <v/>
      </c>
      <c r="BH8" s="101" t="str">
        <f t="shared" si="58"/>
        <v/>
      </c>
      <c r="BI8" s="101" t="str">
        <f t="shared" si="58"/>
        <v/>
      </c>
      <c r="BJ8" s="104" t="str">
        <f t="shared" si="58"/>
        <v/>
      </c>
      <c r="BK8"/>
      <c r="BL8" s="5"/>
    </row>
    <row r="9" spans="1:64" x14ac:dyDescent="0.3">
      <c r="A9"/>
      <c r="B9" s="92" t="s">
        <v>268</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x14ac:dyDescent="0.3">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x14ac:dyDescent="0.3">
      <c r="A11"/>
      <c r="B11" s="81" t="s">
        <v>284</v>
      </c>
      <c r="C11" s="96" t="s">
        <v>285</v>
      </c>
      <c r="D11" s="96" t="s">
        <v>286</v>
      </c>
      <c r="E11" s="96" t="s">
        <v>58</v>
      </c>
      <c r="F11" s="96" t="s">
        <v>287</v>
      </c>
      <c r="G11" s="96" t="s">
        <v>288</v>
      </c>
      <c r="H11" s="97" t="s">
        <v>289</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x14ac:dyDescent="0.3">
      <c r="A12"/>
      <c r="B12" t="s">
        <v>290</v>
      </c>
      <c r="C12" s="49">
        <f>IFERROR(XIRR(C66:BJ66,C6:BJ6,0),0)</f>
        <v>0</v>
      </c>
      <c r="D12" s="49">
        <f>IFERROR(XIRR(C112:BJ112,C6:BJ6,0),0)</f>
        <v>0</v>
      </c>
      <c r="E12" s="49">
        <f>IFERROR(XIRR(C122:BJ122,C6:BJ6,0),0)</f>
        <v>0</v>
      </c>
      <c r="F12" s="49">
        <f>IFERROR(XIRR(C256:BJ256,C6:BJ6,0),0)</f>
        <v>0</v>
      </c>
      <c r="G12" s="49">
        <f>IFERROR(XIRR(C247:BJ247,C6:BJ6,0),0)</f>
        <v>0</v>
      </c>
      <c r="H12" s="49" t="s">
        <v>291</v>
      </c>
      <c r="I12"/>
      <c r="J12" s="113" t="s">
        <v>292</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x14ac:dyDescent="0.3">
      <c r="A13"/>
      <c r="B13" t="s">
        <v>293</v>
      </c>
      <c r="C13" s="98">
        <f>IFERROR(C15/C14,0)</f>
        <v>0</v>
      </c>
      <c r="D13" s="98">
        <f t="shared" ref="D13:G13" si="59">IFERROR(D15/D14,0)</f>
        <v>0</v>
      </c>
      <c r="E13" s="98">
        <f t="shared" si="59"/>
        <v>0</v>
      </c>
      <c r="F13" s="98">
        <f t="shared" si="59"/>
        <v>0</v>
      </c>
      <c r="G13" s="98">
        <f t="shared" si="59"/>
        <v>0</v>
      </c>
      <c r="H13" s="98" t="s">
        <v>291</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x14ac:dyDescent="0.3">
      <c r="A14"/>
      <c r="B14" t="s">
        <v>294</v>
      </c>
      <c r="C14" s="36" t="e">
        <f>-SUM(C58:BJ58)</f>
        <v>#REF!</v>
      </c>
      <c r="D14" s="36" t="e">
        <f>-SUM(C108:BJ108)</f>
        <v>#REF!</v>
      </c>
      <c r="E14" s="36">
        <f>-SUM(C118:BJ118)</f>
        <v>0</v>
      </c>
      <c r="F14" s="36">
        <f>-SUM(C250:BJ250)</f>
        <v>0</v>
      </c>
      <c r="G14" s="36">
        <f>-SUM(C241:BJ241)</f>
        <v>0</v>
      </c>
      <c r="H14" s="36" t="s">
        <v>291</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x14ac:dyDescent="0.3">
      <c r="A15"/>
      <c r="B15" t="s">
        <v>295</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x14ac:dyDescent="0.3">
      <c r="A16"/>
      <c r="B16" t="s">
        <v>296</v>
      </c>
      <c r="C16" s="36" t="e">
        <f>+C15-C14</f>
        <v>#REF!</v>
      </c>
      <c r="D16" s="36" t="e">
        <f t="shared" ref="D16:G16" si="60">+D15-D14</f>
        <v>#REF!</v>
      </c>
      <c r="E16" s="36" t="e">
        <f t="shared" si="60"/>
        <v>#REF!</v>
      </c>
      <c r="F16" s="36" t="e">
        <f t="shared" si="60"/>
        <v>#REF!</v>
      </c>
      <c r="G16" s="36" t="e">
        <f t="shared" si="60"/>
        <v>#REF!</v>
      </c>
      <c r="H16" s="36" t="s">
        <v>291</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x14ac:dyDescent="0.3">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x14ac:dyDescent="0.3">
      <c r="A18"/>
      <c r="B18" s="55" t="s">
        <v>297</v>
      </c>
      <c r="C18" s="74" t="s">
        <v>298</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x14ac:dyDescent="0.3">
      <c r="A19"/>
      <c r="B19" t="s">
        <v>299</v>
      </c>
      <c r="C19" s="44">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x14ac:dyDescent="0.3">
      <c r="A20"/>
      <c r="B20" t="s">
        <v>300</v>
      </c>
      <c r="C20" s="23" t="s">
        <v>301</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x14ac:dyDescent="0.3">
      <c r="A21"/>
      <c r="B21" t="s">
        <v>302</v>
      </c>
      <c r="C21" s="50">
        <v>1</v>
      </c>
      <c r="D21" s="24" t="s">
        <v>303</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x14ac:dyDescent="0.3">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x14ac:dyDescent="0.3">
      <c r="A23"/>
      <c r="B23" s="55" t="s">
        <v>304</v>
      </c>
      <c r="C23" s="74" t="e">
        <f>+TEXT(#REF!,"")</f>
        <v>#REF!</v>
      </c>
      <c r="D23" s="74" t="e">
        <f>+TEXT(#REF!,"")</f>
        <v>#REF!</v>
      </c>
      <c r="E23" s="74" t="e">
        <f>+TEXT(#REF!,"")</f>
        <v>#REF!</v>
      </c>
      <c r="F23" s="74" t="e">
        <f>+TEXT(#REF!,"")</f>
        <v>#REF!</v>
      </c>
      <c r="G23" s="74" t="e">
        <f>+TEXT(#REF!,"")</f>
        <v>#REF!</v>
      </c>
      <c r="H23" s="74"/>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x14ac:dyDescent="0.3">
      <c r="A24"/>
      <c r="B24" t="e">
        <f>TEXT(#REF!,"")</f>
        <v>#REF!</v>
      </c>
      <c r="C24"/>
      <c r="D24" s="88" t="e">
        <f>+#REF!</f>
        <v>#REF!</v>
      </c>
      <c r="E24" s="88" t="e">
        <f>+#REF!</f>
        <v>#REF!</v>
      </c>
      <c r="F24" s="88" t="e">
        <f>+#REF!</f>
        <v>#REF!</v>
      </c>
      <c r="G24" s="43"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x14ac:dyDescent="0.3">
      <c r="A25"/>
      <c r="B25" t="e">
        <f>TEXT(#REF!,"")</f>
        <v>#REF!</v>
      </c>
      <c r="C25"/>
      <c r="D25" s="88" t="e">
        <f>+#REF!</f>
        <v>#REF!</v>
      </c>
      <c r="E25" s="88" t="e">
        <f>+#REF!</f>
        <v>#REF!</v>
      </c>
      <c r="F25" s="88" t="e">
        <f>+#REF!</f>
        <v>#REF!</v>
      </c>
      <c r="G25" s="43"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x14ac:dyDescent="0.3">
      <c r="A26"/>
      <c r="B26" t="e">
        <f>TEXT(#REF!,"")</f>
        <v>#REF!</v>
      </c>
      <c r="C26" s="24" t="s">
        <v>305</v>
      </c>
      <c r="D26" s="88" t="e">
        <f>+#REF!</f>
        <v>#REF!</v>
      </c>
      <c r="E26" s="88" t="e">
        <f>+#REF!</f>
        <v>#REF!</v>
      </c>
      <c r="F26" s="88" t="e">
        <f>+#REF!</f>
        <v>#REF!</v>
      </c>
      <c r="G26" s="43"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x14ac:dyDescent="0.3">
      <c r="A27"/>
      <c r="B27" t="e">
        <f>TEXT(#REF!,"")</f>
        <v>#REF!</v>
      </c>
      <c r="C27" s="24" t="s">
        <v>305</v>
      </c>
      <c r="D27" s="88" t="e">
        <f>+#REF!</f>
        <v>#REF!</v>
      </c>
      <c r="E27" s="88" t="e">
        <f>+#REF!</f>
        <v>#REF!</v>
      </c>
      <c r="F27" s="88" t="e">
        <f>+#REF!</f>
        <v>#REF!</v>
      </c>
      <c r="G27" s="43"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x14ac:dyDescent="0.3">
      <c r="A28"/>
      <c r="B28" t="e">
        <f>TEXT(#REF!,"")</f>
        <v>#REF!</v>
      </c>
      <c r="C28"/>
      <c r="D28" s="88" t="e">
        <f>+#REF!</f>
        <v>#REF!</v>
      </c>
      <c r="E28" s="88" t="e">
        <f>+#REF!</f>
        <v>#REF!</v>
      </c>
      <c r="F28" s="88" t="e">
        <f>+#REF!</f>
        <v>#REF!</v>
      </c>
      <c r="G28" s="43"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x14ac:dyDescent="0.3">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x14ac:dyDescent="0.3">
      <c r="A30"/>
      <c r="B30" s="55" t="s">
        <v>306</v>
      </c>
      <c r="C30" s="74" t="s">
        <v>50</v>
      </c>
      <c r="D30" s="74" t="s">
        <v>19</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x14ac:dyDescent="0.3">
      <c r="A31"/>
      <c r="B31" t="s">
        <v>288</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x14ac:dyDescent="0.3">
      <c r="A32"/>
      <c r="B32" t="s">
        <v>287</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x14ac:dyDescent="0.3">
      <c r="A33"/>
      <c r="B33" s="3" t="s">
        <v>43</v>
      </c>
      <c r="C33" s="35">
        <f>SUM(C31:C32)</f>
        <v>0</v>
      </c>
      <c r="D33" s="99">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x14ac:dyDescent="0.3">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x14ac:dyDescent="0.3">
      <c r="A35"/>
      <c r="B35" s="55" t="s">
        <v>307</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x14ac:dyDescent="0.3">
      <c r="A36"/>
      <c r="B36" t="s">
        <v>308</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x14ac:dyDescent="0.3">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x14ac:dyDescent="0.3">
      <c r="A38"/>
      <c r="B38" s="41" t="s">
        <v>309</v>
      </c>
      <c r="C38" s="74" t="s">
        <v>50</v>
      </c>
      <c r="D38" s="74" t="s">
        <v>51</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x14ac:dyDescent="0.3">
      <c r="A39"/>
      <c r="B39" t="s">
        <v>310</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x14ac:dyDescent="0.3">
      <c r="A40"/>
      <c r="B40" t="s">
        <v>311</v>
      </c>
      <c r="C40" s="14">
        <f>-E40*C39</f>
        <v>-572000</v>
      </c>
      <c r="D40" s="14">
        <f t="shared" ref="D40:D48" si="62">IFERROR(C40/$C$51,0)</f>
        <v>0</v>
      </c>
      <c r="E40" s="48">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x14ac:dyDescent="0.3">
      <c r="A41"/>
      <c r="B41" t="s">
        <v>102</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x14ac:dyDescent="0.3">
      <c r="A42"/>
      <c r="B42" t="s">
        <v>312</v>
      </c>
      <c r="C42" s="14">
        <f>-E42*C39</f>
        <v>-228800</v>
      </c>
      <c r="D42" s="14">
        <f t="shared" si="62"/>
        <v>0</v>
      </c>
      <c r="E42" s="48">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x14ac:dyDescent="0.3">
      <c r="A43"/>
      <c r="B43" t="s">
        <v>313</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x14ac:dyDescent="0.3">
      <c r="A44"/>
      <c r="B44" t="s">
        <v>253</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x14ac:dyDescent="0.3">
      <c r="A45"/>
      <c r="B45" t="s">
        <v>314</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x14ac:dyDescent="0.3">
      <c r="A46"/>
      <c r="B46" t="s">
        <v>315</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x14ac:dyDescent="0.3">
      <c r="A47"/>
      <c r="B47" t="s">
        <v>316</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x14ac:dyDescent="0.3">
      <c r="A48"/>
      <c r="B48" t="s">
        <v>317</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x14ac:dyDescent="0.3">
      <c r="A49"/>
      <c r="B49" s="3" t="s">
        <v>318</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x14ac:dyDescent="0.3">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x14ac:dyDescent="0.3">
      <c r="A51"/>
      <c r="B51" t="s">
        <v>173</v>
      </c>
      <c r="C51" s="100"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x14ac:dyDescent="0.3">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x14ac:dyDescent="0.3">
      <c r="A53"/>
      <c r="B53" s="55" t="s">
        <v>319</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x14ac:dyDescent="0.3">
      <c r="A54"/>
      <c r="B54" s="41" t="s">
        <v>320</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x14ac:dyDescent="0.3">
      <c r="A55"/>
      <c r="B55" t="s">
        <v>288</v>
      </c>
      <c r="C55" s="100">
        <v>0</v>
      </c>
      <c r="D55" s="100">
        <v>0</v>
      </c>
      <c r="E55" s="100">
        <v>0</v>
      </c>
      <c r="F55" s="100">
        <v>0</v>
      </c>
      <c r="G55" s="100">
        <v>0</v>
      </c>
      <c r="H55" s="100">
        <v>0</v>
      </c>
      <c r="I55" s="100">
        <v>0</v>
      </c>
      <c r="J55" s="100">
        <v>0</v>
      </c>
      <c r="K55" s="100">
        <v>0</v>
      </c>
      <c r="L55" s="100">
        <v>0</v>
      </c>
      <c r="M55" s="100">
        <v>0</v>
      </c>
      <c r="N55" s="100">
        <v>0</v>
      </c>
      <c r="O55" s="100">
        <v>0</v>
      </c>
      <c r="P55" s="100">
        <v>0</v>
      </c>
      <c r="Q55" s="100">
        <v>0</v>
      </c>
      <c r="R55" s="100">
        <v>0</v>
      </c>
      <c r="S55" s="100">
        <v>0</v>
      </c>
      <c r="T55" s="100">
        <v>0</v>
      </c>
      <c r="U55" s="100">
        <v>0</v>
      </c>
      <c r="V55" s="100">
        <v>0</v>
      </c>
      <c r="W55" s="100">
        <v>0</v>
      </c>
      <c r="X55" s="100">
        <v>0</v>
      </c>
      <c r="Y55" s="100">
        <v>0</v>
      </c>
      <c r="Z55" s="100">
        <v>0</v>
      </c>
      <c r="AA55" s="100">
        <v>0</v>
      </c>
      <c r="AB55" s="100">
        <v>0</v>
      </c>
      <c r="AC55" s="100">
        <v>0</v>
      </c>
      <c r="AD55" s="100">
        <v>0</v>
      </c>
      <c r="AE55" s="100">
        <v>0</v>
      </c>
      <c r="AF55" s="100">
        <v>0</v>
      </c>
      <c r="AG55" s="100">
        <v>0</v>
      </c>
      <c r="AH55" s="100">
        <v>0</v>
      </c>
      <c r="AI55" s="100">
        <v>0</v>
      </c>
      <c r="AJ55" s="100">
        <v>0</v>
      </c>
      <c r="AK55" s="100">
        <v>0</v>
      </c>
      <c r="AL55" s="100">
        <v>0</v>
      </c>
      <c r="AM55" s="100">
        <v>0</v>
      </c>
      <c r="AN55" s="100">
        <v>0</v>
      </c>
      <c r="AO55" s="100">
        <v>0</v>
      </c>
      <c r="AP55" s="100">
        <v>0</v>
      </c>
      <c r="AQ55" s="100">
        <v>0</v>
      </c>
      <c r="AR55" s="100">
        <v>0</v>
      </c>
      <c r="AS55" s="100">
        <v>0</v>
      </c>
      <c r="AT55" s="100">
        <v>0</v>
      </c>
      <c r="AU55" s="100">
        <v>0</v>
      </c>
      <c r="AV55" s="100">
        <v>0</v>
      </c>
      <c r="AW55" s="100">
        <v>0</v>
      </c>
      <c r="AX55" s="100">
        <v>0</v>
      </c>
      <c r="AY55" s="100">
        <v>0</v>
      </c>
      <c r="AZ55" s="100">
        <v>0</v>
      </c>
      <c r="BA55" s="100">
        <v>0</v>
      </c>
      <c r="BB55" s="100">
        <v>0</v>
      </c>
      <c r="BC55" s="100">
        <v>0</v>
      </c>
      <c r="BD55" s="100">
        <v>0</v>
      </c>
      <c r="BE55" s="100">
        <v>0</v>
      </c>
      <c r="BF55" s="100">
        <v>0</v>
      </c>
      <c r="BG55" s="100">
        <v>0</v>
      </c>
      <c r="BH55" s="100">
        <v>0</v>
      </c>
      <c r="BI55" s="100">
        <v>0</v>
      </c>
      <c r="BJ55" s="100">
        <v>0</v>
      </c>
      <c r="BK55"/>
      <c r="BL55" s="5"/>
    </row>
    <row r="56" spans="1:64" x14ac:dyDescent="0.3">
      <c r="A56"/>
      <c r="B56" t="s">
        <v>287</v>
      </c>
      <c r="C56" s="100">
        <v>0</v>
      </c>
      <c r="D56" s="100">
        <v>0</v>
      </c>
      <c r="E56" s="100">
        <v>0</v>
      </c>
      <c r="F56" s="100">
        <v>0</v>
      </c>
      <c r="G56" s="100">
        <v>0</v>
      </c>
      <c r="H56" s="100">
        <v>0</v>
      </c>
      <c r="I56" s="100">
        <v>0</v>
      </c>
      <c r="J56" s="100">
        <v>0</v>
      </c>
      <c r="K56" s="100">
        <v>0</v>
      </c>
      <c r="L56" s="100">
        <v>0</v>
      </c>
      <c r="M56" s="100">
        <v>0</v>
      </c>
      <c r="N56" s="100">
        <v>0</v>
      </c>
      <c r="O56" s="100">
        <v>0</v>
      </c>
      <c r="P56" s="100">
        <v>0</v>
      </c>
      <c r="Q56" s="100">
        <v>0</v>
      </c>
      <c r="R56" s="100">
        <v>0</v>
      </c>
      <c r="S56" s="100">
        <v>0</v>
      </c>
      <c r="T56" s="100">
        <v>0</v>
      </c>
      <c r="U56" s="100">
        <v>0</v>
      </c>
      <c r="V56" s="100">
        <v>0</v>
      </c>
      <c r="W56" s="100">
        <v>0</v>
      </c>
      <c r="X56" s="100">
        <v>0</v>
      </c>
      <c r="Y56" s="100">
        <v>0</v>
      </c>
      <c r="Z56" s="100">
        <v>0</v>
      </c>
      <c r="AA56" s="100">
        <v>0</v>
      </c>
      <c r="AB56" s="100">
        <v>0</v>
      </c>
      <c r="AC56" s="100">
        <v>0</v>
      </c>
      <c r="AD56" s="100">
        <v>0</v>
      </c>
      <c r="AE56" s="100">
        <v>0</v>
      </c>
      <c r="AF56" s="100">
        <v>0</v>
      </c>
      <c r="AG56" s="100">
        <v>0</v>
      </c>
      <c r="AH56" s="100">
        <v>0</v>
      </c>
      <c r="AI56" s="100">
        <v>0</v>
      </c>
      <c r="AJ56" s="100">
        <v>0</v>
      </c>
      <c r="AK56" s="100">
        <v>0</v>
      </c>
      <c r="AL56" s="100">
        <v>0</v>
      </c>
      <c r="AM56" s="100">
        <v>0</v>
      </c>
      <c r="AN56" s="100">
        <v>0</v>
      </c>
      <c r="AO56" s="100">
        <v>0</v>
      </c>
      <c r="AP56" s="100">
        <v>0</v>
      </c>
      <c r="AQ56" s="100">
        <v>0</v>
      </c>
      <c r="AR56" s="100">
        <v>0</v>
      </c>
      <c r="AS56" s="100">
        <v>0</v>
      </c>
      <c r="AT56" s="100">
        <v>0</v>
      </c>
      <c r="AU56" s="100">
        <v>0</v>
      </c>
      <c r="AV56" s="100">
        <v>0</v>
      </c>
      <c r="AW56" s="100">
        <v>0</v>
      </c>
      <c r="AX56" s="100">
        <v>0</v>
      </c>
      <c r="AY56" s="100">
        <v>0</v>
      </c>
      <c r="AZ56" s="100">
        <v>0</v>
      </c>
      <c r="BA56" s="100">
        <v>0</v>
      </c>
      <c r="BB56" s="100">
        <v>0</v>
      </c>
      <c r="BC56" s="100">
        <v>0</v>
      </c>
      <c r="BD56" s="100">
        <v>0</v>
      </c>
      <c r="BE56" s="100">
        <v>0</v>
      </c>
      <c r="BF56" s="100">
        <v>0</v>
      </c>
      <c r="BG56" s="100">
        <v>0</v>
      </c>
      <c r="BH56" s="100">
        <v>0</v>
      </c>
      <c r="BI56" s="100">
        <v>0</v>
      </c>
      <c r="BJ56" s="100">
        <v>0</v>
      </c>
      <c r="BK56"/>
      <c r="BL56" s="5"/>
    </row>
    <row r="57" spans="1:64" x14ac:dyDescent="0.3">
      <c r="A57"/>
      <c r="B57" t="s">
        <v>60</v>
      </c>
      <c r="C57" s="100" t="e">
        <f>-#REF!</f>
        <v>#REF!</v>
      </c>
      <c r="D57" s="100">
        <v>0</v>
      </c>
      <c r="E57" s="100">
        <v>0</v>
      </c>
      <c r="F57" s="100">
        <v>0</v>
      </c>
      <c r="G57" s="100">
        <v>0</v>
      </c>
      <c r="H57" s="100">
        <v>0</v>
      </c>
      <c r="I57" s="100">
        <v>0</v>
      </c>
      <c r="J57" s="100">
        <v>0</v>
      </c>
      <c r="K57" s="100">
        <v>0</v>
      </c>
      <c r="L57" s="100">
        <v>0</v>
      </c>
      <c r="M57" s="100">
        <v>0</v>
      </c>
      <c r="N57" s="100">
        <v>0</v>
      </c>
      <c r="O57" s="100">
        <v>0</v>
      </c>
      <c r="P57" s="100">
        <v>0</v>
      </c>
      <c r="Q57" s="100">
        <v>0</v>
      </c>
      <c r="R57" s="100">
        <v>0</v>
      </c>
      <c r="S57" s="100">
        <v>0</v>
      </c>
      <c r="T57" s="100">
        <v>0</v>
      </c>
      <c r="U57" s="100">
        <v>0</v>
      </c>
      <c r="V57" s="100">
        <v>0</v>
      </c>
      <c r="W57" s="100">
        <v>0</v>
      </c>
      <c r="X57" s="100">
        <v>0</v>
      </c>
      <c r="Y57" s="100">
        <v>0</v>
      </c>
      <c r="Z57" s="100">
        <v>0</v>
      </c>
      <c r="AA57" s="100">
        <v>0</v>
      </c>
      <c r="AB57" s="100">
        <v>0</v>
      </c>
      <c r="AC57" s="100">
        <v>0</v>
      </c>
      <c r="AD57" s="100">
        <v>0</v>
      </c>
      <c r="AE57" s="100">
        <v>0</v>
      </c>
      <c r="AF57" s="100">
        <v>0</v>
      </c>
      <c r="AG57" s="100">
        <v>0</v>
      </c>
      <c r="AH57" s="100">
        <v>0</v>
      </c>
      <c r="AI57" s="100">
        <v>0</v>
      </c>
      <c r="AJ57" s="100">
        <v>0</v>
      </c>
      <c r="AK57" s="100">
        <v>0</v>
      </c>
      <c r="AL57" s="100">
        <v>0</v>
      </c>
      <c r="AM57" s="100">
        <v>0</v>
      </c>
      <c r="AN57" s="100">
        <v>0</v>
      </c>
      <c r="AO57" s="100">
        <v>0</v>
      </c>
      <c r="AP57" s="100">
        <v>0</v>
      </c>
      <c r="AQ57" s="100">
        <v>0</v>
      </c>
      <c r="AR57" s="100">
        <v>0</v>
      </c>
      <c r="AS57" s="100">
        <v>0</v>
      </c>
      <c r="AT57" s="100">
        <v>0</v>
      </c>
      <c r="AU57" s="100">
        <v>0</v>
      </c>
      <c r="AV57" s="100">
        <v>0</v>
      </c>
      <c r="AW57" s="100">
        <v>0</v>
      </c>
      <c r="AX57" s="100">
        <v>0</v>
      </c>
      <c r="AY57" s="100">
        <v>0</v>
      </c>
      <c r="AZ57" s="100">
        <v>0</v>
      </c>
      <c r="BA57" s="100">
        <v>0</v>
      </c>
      <c r="BB57" s="100">
        <v>0</v>
      </c>
      <c r="BC57" s="100">
        <v>0</v>
      </c>
      <c r="BD57" s="100">
        <v>0</v>
      </c>
      <c r="BE57" s="100">
        <v>0</v>
      </c>
      <c r="BF57" s="100">
        <v>0</v>
      </c>
      <c r="BG57" s="100">
        <v>0</v>
      </c>
      <c r="BH57" s="100">
        <v>0</v>
      </c>
      <c r="BI57" s="100">
        <v>0</v>
      </c>
      <c r="BJ57" s="100">
        <v>0</v>
      </c>
      <c r="BK57"/>
      <c r="BL57" s="5"/>
    </row>
    <row r="58" spans="1:64" x14ac:dyDescent="0.3">
      <c r="A58"/>
      <c r="B58" s="3" t="s">
        <v>321</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x14ac:dyDescent="0.3">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x14ac:dyDescent="0.3">
      <c r="A60"/>
      <c r="B60" s="41" t="s">
        <v>322</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x14ac:dyDescent="0.3">
      <c r="A61"/>
      <c r="B61" t="s">
        <v>318</v>
      </c>
      <c r="C61" s="100">
        <v>0</v>
      </c>
      <c r="D61" s="100">
        <v>0</v>
      </c>
      <c r="E61" s="100">
        <v>0</v>
      </c>
      <c r="F61" s="100">
        <v>0</v>
      </c>
      <c r="G61" s="100">
        <v>0</v>
      </c>
      <c r="H61" s="100">
        <v>0</v>
      </c>
      <c r="I61" s="100">
        <v>0</v>
      </c>
      <c r="J61" s="100">
        <v>0</v>
      </c>
      <c r="K61" s="100">
        <v>0</v>
      </c>
      <c r="L61" s="100">
        <v>0</v>
      </c>
      <c r="M61" s="100">
        <v>0</v>
      </c>
      <c r="N61" s="100">
        <v>0</v>
      </c>
      <c r="O61" s="100">
        <v>0</v>
      </c>
      <c r="P61" s="100">
        <v>0</v>
      </c>
      <c r="Q61" s="100">
        <v>0</v>
      </c>
      <c r="R61" s="100">
        <v>0</v>
      </c>
      <c r="S61" s="100">
        <v>0</v>
      </c>
      <c r="T61" s="100">
        <v>0</v>
      </c>
      <c r="U61" s="100">
        <v>0</v>
      </c>
      <c r="V61" s="100">
        <v>0</v>
      </c>
      <c r="W61" s="100">
        <v>0</v>
      </c>
      <c r="X61" s="100">
        <v>0</v>
      </c>
      <c r="Y61" s="100">
        <v>0</v>
      </c>
      <c r="Z61" s="100">
        <v>0</v>
      </c>
      <c r="AA61" s="100">
        <v>0</v>
      </c>
      <c r="AB61" s="100">
        <v>0</v>
      </c>
      <c r="AC61" s="100">
        <v>0</v>
      </c>
      <c r="AD61" s="100">
        <v>0</v>
      </c>
      <c r="AE61" s="100">
        <v>0</v>
      </c>
      <c r="AF61" s="100">
        <v>0</v>
      </c>
      <c r="AG61" s="100">
        <v>0</v>
      </c>
      <c r="AH61" s="100">
        <v>0</v>
      </c>
      <c r="AI61" s="100">
        <v>0</v>
      </c>
      <c r="AJ61" s="100">
        <v>0</v>
      </c>
      <c r="AK61" s="100">
        <v>0</v>
      </c>
      <c r="AL61" s="100">
        <v>0</v>
      </c>
      <c r="AM61" s="100">
        <v>0</v>
      </c>
      <c r="AN61" s="100">
        <v>0</v>
      </c>
      <c r="AO61" s="100">
        <v>0</v>
      </c>
      <c r="AP61" s="100">
        <v>0</v>
      </c>
      <c r="AQ61" s="100">
        <v>0</v>
      </c>
      <c r="AR61" s="100">
        <v>0</v>
      </c>
      <c r="AS61" s="100">
        <v>0</v>
      </c>
      <c r="AT61" s="100">
        <v>0</v>
      </c>
      <c r="AU61" s="100">
        <v>0</v>
      </c>
      <c r="AV61" s="100">
        <v>0</v>
      </c>
      <c r="AW61" s="100">
        <v>0</v>
      </c>
      <c r="AX61" s="100">
        <v>0</v>
      </c>
      <c r="AY61" s="100">
        <v>0</v>
      </c>
      <c r="AZ61" s="100">
        <v>0</v>
      </c>
      <c r="BA61" s="100">
        <v>0</v>
      </c>
      <c r="BB61" s="100">
        <v>0</v>
      </c>
      <c r="BC61" s="100">
        <v>0</v>
      </c>
      <c r="BD61" s="100">
        <v>0</v>
      </c>
      <c r="BE61" s="100">
        <v>0</v>
      </c>
      <c r="BF61" s="100">
        <v>0</v>
      </c>
      <c r="BG61" s="100">
        <v>0</v>
      </c>
      <c r="BH61" s="100">
        <v>0</v>
      </c>
      <c r="BI61" s="100">
        <v>0</v>
      </c>
      <c r="BJ61" s="100">
        <v>0</v>
      </c>
      <c r="BK61"/>
      <c r="BL61" s="5"/>
    </row>
    <row r="62" spans="1:64" x14ac:dyDescent="0.3">
      <c r="A62"/>
      <c r="B62" t="s">
        <v>323</v>
      </c>
      <c r="C62" s="100">
        <v>0</v>
      </c>
      <c r="D62" s="100">
        <v>0</v>
      </c>
      <c r="E62" s="100">
        <v>0</v>
      </c>
      <c r="F62" s="100">
        <v>0</v>
      </c>
      <c r="G62" s="100">
        <v>0</v>
      </c>
      <c r="H62" s="100">
        <v>0</v>
      </c>
      <c r="I62" s="100">
        <v>0</v>
      </c>
      <c r="J62" s="100">
        <v>0</v>
      </c>
      <c r="K62" s="100">
        <v>0</v>
      </c>
      <c r="L62" s="100">
        <v>0</v>
      </c>
      <c r="M62" s="100">
        <v>0</v>
      </c>
      <c r="N62" s="100">
        <v>0</v>
      </c>
      <c r="O62" s="100">
        <v>0</v>
      </c>
      <c r="P62" s="100">
        <v>0</v>
      </c>
      <c r="Q62" s="100">
        <v>0</v>
      </c>
      <c r="R62" s="100">
        <v>0</v>
      </c>
      <c r="S62" s="100">
        <v>0</v>
      </c>
      <c r="T62" s="100">
        <v>0</v>
      </c>
      <c r="U62" s="100">
        <v>0</v>
      </c>
      <c r="V62" s="100">
        <v>0</v>
      </c>
      <c r="W62" s="100">
        <v>0</v>
      </c>
      <c r="X62" s="100">
        <v>0</v>
      </c>
      <c r="Y62" s="100">
        <v>0</v>
      </c>
      <c r="Z62" s="100">
        <v>0</v>
      </c>
      <c r="AA62" s="100">
        <v>0</v>
      </c>
      <c r="AB62" s="100">
        <v>0</v>
      </c>
      <c r="AC62" s="100">
        <v>0</v>
      </c>
      <c r="AD62" s="100">
        <v>0</v>
      </c>
      <c r="AE62" s="100">
        <v>0</v>
      </c>
      <c r="AF62" s="100">
        <v>0</v>
      </c>
      <c r="AG62" s="100">
        <v>0</v>
      </c>
      <c r="AH62" s="100">
        <v>0</v>
      </c>
      <c r="AI62" s="100">
        <v>0</v>
      </c>
      <c r="AJ62" s="100">
        <v>0</v>
      </c>
      <c r="AK62" s="100">
        <v>0</v>
      </c>
      <c r="AL62" s="100">
        <v>0</v>
      </c>
      <c r="AM62" s="100">
        <v>0</v>
      </c>
      <c r="AN62" s="100">
        <v>0</v>
      </c>
      <c r="AO62" s="100">
        <v>0</v>
      </c>
      <c r="AP62" s="100">
        <v>0</v>
      </c>
      <c r="AQ62" s="100">
        <v>0</v>
      </c>
      <c r="AR62" s="100">
        <v>0</v>
      </c>
      <c r="AS62" s="100">
        <v>0</v>
      </c>
      <c r="AT62" s="100">
        <v>0</v>
      </c>
      <c r="AU62" s="100">
        <v>0</v>
      </c>
      <c r="AV62" s="100">
        <v>0</v>
      </c>
      <c r="AW62" s="100">
        <v>0</v>
      </c>
      <c r="AX62" s="100">
        <v>0</v>
      </c>
      <c r="AY62" s="100">
        <v>0</v>
      </c>
      <c r="AZ62" s="100">
        <v>0</v>
      </c>
      <c r="BA62" s="100">
        <v>0</v>
      </c>
      <c r="BB62" s="100">
        <v>0</v>
      </c>
      <c r="BC62" s="100">
        <v>0</v>
      </c>
      <c r="BD62" s="100">
        <v>0</v>
      </c>
      <c r="BE62" s="100">
        <v>0</v>
      </c>
      <c r="BF62" s="100">
        <v>0</v>
      </c>
      <c r="BG62" s="100">
        <v>0</v>
      </c>
      <c r="BH62" s="100">
        <v>0</v>
      </c>
      <c r="BI62" s="100">
        <v>0</v>
      </c>
      <c r="BJ62" s="100">
        <v>0</v>
      </c>
      <c r="BK62"/>
      <c r="BL62" s="5"/>
    </row>
    <row r="63" spans="1:64" x14ac:dyDescent="0.3">
      <c r="A63"/>
      <c r="B63" t="s">
        <v>324</v>
      </c>
      <c r="C63" s="100">
        <v>0</v>
      </c>
      <c r="D63" s="100">
        <v>0</v>
      </c>
      <c r="E63" s="100">
        <v>0</v>
      </c>
      <c r="F63" s="100">
        <v>0</v>
      </c>
      <c r="G63" s="100">
        <v>0</v>
      </c>
      <c r="H63" s="100">
        <v>0</v>
      </c>
      <c r="I63" s="100">
        <v>0</v>
      </c>
      <c r="J63" s="100">
        <v>0</v>
      </c>
      <c r="K63" s="100">
        <v>0</v>
      </c>
      <c r="L63" s="100">
        <v>0</v>
      </c>
      <c r="M63" s="100">
        <v>0</v>
      </c>
      <c r="N63" s="100">
        <v>0</v>
      </c>
      <c r="O63" s="100">
        <v>0</v>
      </c>
      <c r="P63" s="100">
        <v>0</v>
      </c>
      <c r="Q63" s="100">
        <v>0</v>
      </c>
      <c r="R63" s="100">
        <v>0</v>
      </c>
      <c r="S63" s="100">
        <v>0</v>
      </c>
      <c r="T63" s="100">
        <v>0</v>
      </c>
      <c r="U63" s="100">
        <v>0</v>
      </c>
      <c r="V63" s="100">
        <v>0</v>
      </c>
      <c r="W63" s="100">
        <v>0</v>
      </c>
      <c r="X63" s="100">
        <v>0</v>
      </c>
      <c r="Y63" s="100">
        <v>0</v>
      </c>
      <c r="Z63" s="100">
        <v>0</v>
      </c>
      <c r="AA63" s="100">
        <v>0</v>
      </c>
      <c r="AB63" s="100">
        <v>0</v>
      </c>
      <c r="AC63" s="100">
        <v>0</v>
      </c>
      <c r="AD63" s="100">
        <v>0</v>
      </c>
      <c r="AE63" s="100">
        <v>0</v>
      </c>
      <c r="AF63" s="100">
        <v>0</v>
      </c>
      <c r="AG63" s="100">
        <v>0</v>
      </c>
      <c r="AH63" s="100">
        <v>0</v>
      </c>
      <c r="AI63" s="100">
        <v>0</v>
      </c>
      <c r="AJ63" s="100">
        <v>0</v>
      </c>
      <c r="AK63" s="100">
        <v>0</v>
      </c>
      <c r="AL63" s="100">
        <v>0</v>
      </c>
      <c r="AM63" s="100">
        <v>0</v>
      </c>
      <c r="AN63" s="100">
        <v>0</v>
      </c>
      <c r="AO63" s="100">
        <v>0</v>
      </c>
      <c r="AP63" s="100">
        <v>0</v>
      </c>
      <c r="AQ63" s="100">
        <v>0</v>
      </c>
      <c r="AR63" s="100">
        <v>0</v>
      </c>
      <c r="AS63" s="100">
        <v>0</v>
      </c>
      <c r="AT63" s="100">
        <v>0</v>
      </c>
      <c r="AU63" s="100">
        <v>0</v>
      </c>
      <c r="AV63" s="100">
        <v>0</v>
      </c>
      <c r="AW63" s="100">
        <v>0</v>
      </c>
      <c r="AX63" s="100">
        <v>0</v>
      </c>
      <c r="AY63" s="100">
        <v>0</v>
      </c>
      <c r="AZ63" s="100">
        <v>0</v>
      </c>
      <c r="BA63" s="100">
        <v>0</v>
      </c>
      <c r="BB63" s="100">
        <v>0</v>
      </c>
      <c r="BC63" s="100">
        <v>0</v>
      </c>
      <c r="BD63" s="100">
        <v>0</v>
      </c>
      <c r="BE63" s="100">
        <v>0</v>
      </c>
      <c r="BF63" s="100">
        <v>0</v>
      </c>
      <c r="BG63" s="100">
        <v>0</v>
      </c>
      <c r="BH63" s="100">
        <v>0</v>
      </c>
      <c r="BI63" s="100">
        <v>0</v>
      </c>
      <c r="BJ63" s="100">
        <v>0</v>
      </c>
      <c r="BK63"/>
      <c r="BL63" s="5"/>
    </row>
    <row r="64" spans="1:64" x14ac:dyDescent="0.3">
      <c r="A64"/>
      <c r="B64" s="3" t="s">
        <v>325</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x14ac:dyDescent="0.3">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x14ac:dyDescent="0.3">
      <c r="A66"/>
      <c r="B66" t="s">
        <v>319</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x14ac:dyDescent="0.3">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x14ac:dyDescent="0.3">
      <c r="A68"/>
      <c r="B68" s="55" t="s">
        <v>60</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x14ac:dyDescent="0.3">
      <c r="A69"/>
      <c r="B69" s="28" t="s">
        <v>326</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x14ac:dyDescent="0.3">
      <c r="A70"/>
      <c r="B70" t="s">
        <v>327</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x14ac:dyDescent="0.3">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x14ac:dyDescent="0.3">
      <c r="A72"/>
      <c r="B72" t="s">
        <v>328</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x14ac:dyDescent="0.3">
      <c r="A73"/>
      <c r="B73" t="s">
        <v>329</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x14ac:dyDescent="0.3">
      <c r="A74"/>
      <c r="B74" t="s">
        <v>330</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x14ac:dyDescent="0.3">
      <c r="A75"/>
      <c r="B75" s="3" t="s">
        <v>331</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x14ac:dyDescent="0.3">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x14ac:dyDescent="0.3">
      <c r="A77"/>
      <c r="B77" t="s">
        <v>332</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x14ac:dyDescent="0.3">
      <c r="A78"/>
      <c r="B78" t="s">
        <v>329</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x14ac:dyDescent="0.3">
      <c r="A79"/>
      <c r="B79" t="s">
        <v>333</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x14ac:dyDescent="0.3">
      <c r="A80"/>
      <c r="B80" t="s">
        <v>330</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x14ac:dyDescent="0.3">
      <c r="A81"/>
      <c r="B81" t="s">
        <v>334</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x14ac:dyDescent="0.3">
      <c r="A82"/>
      <c r="B82" s="3" t="s">
        <v>335</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x14ac:dyDescent="0.3">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x14ac:dyDescent="0.3">
      <c r="A84"/>
      <c r="B84" t="s">
        <v>336</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x14ac:dyDescent="0.3">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x14ac:dyDescent="0.3">
      <c r="A86"/>
      <c r="B86" s="28" t="s">
        <v>337</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x14ac:dyDescent="0.3">
      <c r="A87"/>
      <c r="B87" t="s">
        <v>327</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x14ac:dyDescent="0.3">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x14ac:dyDescent="0.3">
      <c r="A89"/>
      <c r="B89" t="s">
        <v>338</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x14ac:dyDescent="0.3">
      <c r="A90"/>
      <c r="B90" t="s">
        <v>333</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x14ac:dyDescent="0.3">
      <c r="A91"/>
      <c r="B91" t="s">
        <v>334</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x14ac:dyDescent="0.3">
      <c r="A92"/>
      <c r="B92" s="3" t="s">
        <v>339</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x14ac:dyDescent="0.3">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x14ac:dyDescent="0.3">
      <c r="A94"/>
      <c r="B94" t="s">
        <v>340</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x14ac:dyDescent="0.3">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x14ac:dyDescent="0.3">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x14ac:dyDescent="0.3">
      <c r="A97"/>
      <c r="B97" t="s">
        <v>327</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x14ac:dyDescent="0.3">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x14ac:dyDescent="0.3">
      <c r="A99"/>
      <c r="B99" t="s">
        <v>341</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x14ac:dyDescent="0.3">
      <c r="A100"/>
      <c r="B100" t="s">
        <v>336</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x14ac:dyDescent="0.3">
      <c r="A101"/>
      <c r="B101" t="s">
        <v>340</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x14ac:dyDescent="0.3">
      <c r="A102"/>
      <c r="B102" t="s">
        <v>342</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x14ac:dyDescent="0.3">
      <c r="A103"/>
      <c r="B103" s="3" t="s">
        <v>343</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x14ac:dyDescent="0.3">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x14ac:dyDescent="0.3">
      <c r="A105"/>
      <c r="B105" t="s">
        <v>342</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x14ac:dyDescent="0.3">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x14ac:dyDescent="0.3">
      <c r="A107"/>
      <c r="B107" s="28" t="s">
        <v>344</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x14ac:dyDescent="0.3">
      <c r="A108"/>
      <c r="B108" t="s">
        <v>294</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x14ac:dyDescent="0.3">
      <c r="A109"/>
      <c r="B109" t="s">
        <v>345</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x14ac:dyDescent="0.3">
      <c r="A110"/>
      <c r="B110" t="s">
        <v>346</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x14ac:dyDescent="0.3">
      <c r="A111"/>
      <c r="B111" t="s">
        <v>347</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x14ac:dyDescent="0.3">
      <c r="A112"/>
      <c r="B112" s="3" t="s">
        <v>43</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x14ac:dyDescent="0.3">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x14ac:dyDescent="0.3">
      <c r="A114"/>
      <c r="B114" s="55" t="s">
        <v>348</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x14ac:dyDescent="0.3">
      <c r="A115"/>
      <c r="B115" s="41" t="s">
        <v>320</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x14ac:dyDescent="0.3">
      <c r="A116"/>
      <c r="B116" t="s">
        <v>288</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x14ac:dyDescent="0.3">
      <c r="A117"/>
      <c r="B117" t="s">
        <v>287</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x14ac:dyDescent="0.3">
      <c r="A118"/>
      <c r="B118" s="3" t="s">
        <v>321</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x14ac:dyDescent="0.3">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x14ac:dyDescent="0.3">
      <c r="A120"/>
      <c r="B120" t="s">
        <v>325</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x14ac:dyDescent="0.3">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x14ac:dyDescent="0.3">
      <c r="A122"/>
      <c r="B122" t="s">
        <v>349</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x14ac:dyDescent="0.3">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x14ac:dyDescent="0.3">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x14ac:dyDescent="0.3">
      <c r="A125"/>
      <c r="B125" t="s">
        <v>327</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x14ac:dyDescent="0.3">
      <c r="A126"/>
      <c r="B126" s="75" t="s">
        <v>350</v>
      </c>
      <c r="C126" s="107" t="e">
        <f>C125*$F$24</f>
        <v>#REF!</v>
      </c>
      <c r="D126" s="107" t="e">
        <f t="shared" ref="D126:BJ126" si="106">D125*$F$24</f>
        <v>#REF!</v>
      </c>
      <c r="E126" s="107" t="e">
        <f t="shared" si="106"/>
        <v>#REF!</v>
      </c>
      <c r="F126" s="107" t="e">
        <f t="shared" si="106"/>
        <v>#REF!</v>
      </c>
      <c r="G126" s="107" t="e">
        <f t="shared" si="106"/>
        <v>#REF!</v>
      </c>
      <c r="H126" s="107" t="e">
        <f t="shared" si="106"/>
        <v>#REF!</v>
      </c>
      <c r="I126" s="107" t="e">
        <f t="shared" si="106"/>
        <v>#REF!</v>
      </c>
      <c r="J126" s="107" t="e">
        <f t="shared" si="106"/>
        <v>#REF!</v>
      </c>
      <c r="K126" s="107" t="e">
        <f t="shared" si="106"/>
        <v>#REF!</v>
      </c>
      <c r="L126" s="107" t="e">
        <f t="shared" si="106"/>
        <v>#REF!</v>
      </c>
      <c r="M126" s="107" t="e">
        <f t="shared" si="106"/>
        <v>#REF!</v>
      </c>
      <c r="N126" s="107" t="e">
        <f t="shared" si="106"/>
        <v>#REF!</v>
      </c>
      <c r="O126" s="107" t="e">
        <f t="shared" si="106"/>
        <v>#REF!</v>
      </c>
      <c r="P126" s="107" t="e">
        <f t="shared" si="106"/>
        <v>#REF!</v>
      </c>
      <c r="Q126" s="107" t="e">
        <f t="shared" si="106"/>
        <v>#REF!</v>
      </c>
      <c r="R126" s="107" t="e">
        <f t="shared" si="106"/>
        <v>#REF!</v>
      </c>
      <c r="S126" s="107" t="e">
        <f t="shared" si="106"/>
        <v>#REF!</v>
      </c>
      <c r="T126" s="107" t="e">
        <f t="shared" si="106"/>
        <v>#REF!</v>
      </c>
      <c r="U126" s="107" t="e">
        <f t="shared" si="106"/>
        <v>#REF!</v>
      </c>
      <c r="V126" s="107" t="e">
        <f t="shared" si="106"/>
        <v>#REF!</v>
      </c>
      <c r="W126" s="107" t="e">
        <f t="shared" si="106"/>
        <v>#REF!</v>
      </c>
      <c r="X126" s="107" t="e">
        <f t="shared" si="106"/>
        <v>#REF!</v>
      </c>
      <c r="Y126" s="107" t="e">
        <f t="shared" si="106"/>
        <v>#REF!</v>
      </c>
      <c r="Z126" s="107" t="e">
        <f t="shared" si="106"/>
        <v>#REF!</v>
      </c>
      <c r="AA126" s="107" t="e">
        <f t="shared" si="106"/>
        <v>#REF!</v>
      </c>
      <c r="AB126" s="107" t="e">
        <f t="shared" si="106"/>
        <v>#REF!</v>
      </c>
      <c r="AC126" s="107" t="e">
        <f t="shared" si="106"/>
        <v>#REF!</v>
      </c>
      <c r="AD126" s="107" t="e">
        <f t="shared" si="106"/>
        <v>#REF!</v>
      </c>
      <c r="AE126" s="107" t="e">
        <f t="shared" si="106"/>
        <v>#REF!</v>
      </c>
      <c r="AF126" s="107" t="e">
        <f t="shared" si="106"/>
        <v>#REF!</v>
      </c>
      <c r="AG126" s="107" t="e">
        <f t="shared" si="106"/>
        <v>#REF!</v>
      </c>
      <c r="AH126" s="107" t="e">
        <f t="shared" si="106"/>
        <v>#REF!</v>
      </c>
      <c r="AI126" s="107" t="e">
        <f t="shared" si="106"/>
        <v>#REF!</v>
      </c>
      <c r="AJ126" s="107" t="e">
        <f t="shared" si="106"/>
        <v>#REF!</v>
      </c>
      <c r="AK126" s="107" t="e">
        <f t="shared" si="106"/>
        <v>#REF!</v>
      </c>
      <c r="AL126" s="107" t="e">
        <f t="shared" si="106"/>
        <v>#REF!</v>
      </c>
      <c r="AM126" s="107" t="e">
        <f t="shared" si="106"/>
        <v>#REF!</v>
      </c>
      <c r="AN126" s="107" t="e">
        <f t="shared" si="106"/>
        <v>#REF!</v>
      </c>
      <c r="AO126" s="107" t="e">
        <f t="shared" si="106"/>
        <v>#REF!</v>
      </c>
      <c r="AP126" s="107" t="e">
        <f t="shared" si="106"/>
        <v>#REF!</v>
      </c>
      <c r="AQ126" s="107" t="e">
        <f t="shared" si="106"/>
        <v>#REF!</v>
      </c>
      <c r="AR126" s="107" t="e">
        <f t="shared" si="106"/>
        <v>#REF!</v>
      </c>
      <c r="AS126" s="107" t="e">
        <f t="shared" si="106"/>
        <v>#REF!</v>
      </c>
      <c r="AT126" s="107" t="e">
        <f t="shared" si="106"/>
        <v>#REF!</v>
      </c>
      <c r="AU126" s="107" t="e">
        <f t="shared" si="106"/>
        <v>#REF!</v>
      </c>
      <c r="AV126" s="107" t="e">
        <f t="shared" si="106"/>
        <v>#REF!</v>
      </c>
      <c r="AW126" s="107" t="e">
        <f t="shared" si="106"/>
        <v>#REF!</v>
      </c>
      <c r="AX126" s="107" t="e">
        <f t="shared" si="106"/>
        <v>#REF!</v>
      </c>
      <c r="AY126" s="107" t="e">
        <f t="shared" si="106"/>
        <v>#REF!</v>
      </c>
      <c r="AZ126" s="107" t="e">
        <f t="shared" si="106"/>
        <v>#REF!</v>
      </c>
      <c r="BA126" s="107" t="e">
        <f t="shared" si="106"/>
        <v>#REF!</v>
      </c>
      <c r="BB126" s="107" t="e">
        <f t="shared" si="106"/>
        <v>#REF!</v>
      </c>
      <c r="BC126" s="107" t="e">
        <f t="shared" si="106"/>
        <v>#REF!</v>
      </c>
      <c r="BD126" s="107" t="e">
        <f t="shared" si="106"/>
        <v>#REF!</v>
      </c>
      <c r="BE126" s="107" t="e">
        <f t="shared" si="106"/>
        <v>#REF!</v>
      </c>
      <c r="BF126" s="107" t="e">
        <f t="shared" si="106"/>
        <v>#REF!</v>
      </c>
      <c r="BG126" s="107" t="e">
        <f t="shared" si="106"/>
        <v>#REF!</v>
      </c>
      <c r="BH126" s="107" t="e">
        <f t="shared" si="106"/>
        <v>#REF!</v>
      </c>
      <c r="BI126" s="107" t="e">
        <f t="shared" si="106"/>
        <v>#REF!</v>
      </c>
      <c r="BJ126" s="107" t="e">
        <f t="shared" si="106"/>
        <v>#REF!</v>
      </c>
      <c r="BK126"/>
      <c r="BL126" s="5"/>
    </row>
    <row r="127" spans="1:64" x14ac:dyDescent="0.3">
      <c r="A127"/>
      <c r="B127" s="75" t="s">
        <v>351</v>
      </c>
      <c r="C127" s="107" t="e">
        <f>+C125*$G$24</f>
        <v>#REF!</v>
      </c>
      <c r="D127" s="107" t="e">
        <f t="shared" ref="D127" si="107">+D125*$G$24</f>
        <v>#REF!</v>
      </c>
      <c r="E127" s="107" t="e">
        <f t="shared" ref="E127:BJ127" si="108">+E125*$G$24</f>
        <v>#REF!</v>
      </c>
      <c r="F127" s="107" t="e">
        <f t="shared" si="108"/>
        <v>#REF!</v>
      </c>
      <c r="G127" s="107" t="e">
        <f t="shared" si="108"/>
        <v>#REF!</v>
      </c>
      <c r="H127" s="107" t="e">
        <f t="shared" si="108"/>
        <v>#REF!</v>
      </c>
      <c r="I127" s="107" t="e">
        <f t="shared" si="108"/>
        <v>#REF!</v>
      </c>
      <c r="J127" s="107" t="e">
        <f t="shared" si="108"/>
        <v>#REF!</v>
      </c>
      <c r="K127" s="107" t="e">
        <f t="shared" si="108"/>
        <v>#REF!</v>
      </c>
      <c r="L127" s="107" t="e">
        <f t="shared" si="108"/>
        <v>#REF!</v>
      </c>
      <c r="M127" s="107" t="e">
        <f t="shared" si="108"/>
        <v>#REF!</v>
      </c>
      <c r="N127" s="107" t="e">
        <f t="shared" si="108"/>
        <v>#REF!</v>
      </c>
      <c r="O127" s="107" t="e">
        <f t="shared" si="108"/>
        <v>#REF!</v>
      </c>
      <c r="P127" s="107" t="e">
        <f t="shared" si="108"/>
        <v>#REF!</v>
      </c>
      <c r="Q127" s="107" t="e">
        <f t="shared" si="108"/>
        <v>#REF!</v>
      </c>
      <c r="R127" s="107" t="e">
        <f t="shared" si="108"/>
        <v>#REF!</v>
      </c>
      <c r="S127" s="107" t="e">
        <f t="shared" si="108"/>
        <v>#REF!</v>
      </c>
      <c r="T127" s="107" t="e">
        <f t="shared" si="108"/>
        <v>#REF!</v>
      </c>
      <c r="U127" s="107" t="e">
        <f t="shared" si="108"/>
        <v>#REF!</v>
      </c>
      <c r="V127" s="107" t="e">
        <f t="shared" si="108"/>
        <v>#REF!</v>
      </c>
      <c r="W127" s="107" t="e">
        <f t="shared" si="108"/>
        <v>#REF!</v>
      </c>
      <c r="X127" s="107" t="e">
        <f t="shared" si="108"/>
        <v>#REF!</v>
      </c>
      <c r="Y127" s="107" t="e">
        <f t="shared" si="108"/>
        <v>#REF!</v>
      </c>
      <c r="Z127" s="107" t="e">
        <f t="shared" si="108"/>
        <v>#REF!</v>
      </c>
      <c r="AA127" s="107" t="e">
        <f t="shared" si="108"/>
        <v>#REF!</v>
      </c>
      <c r="AB127" s="107" t="e">
        <f t="shared" si="108"/>
        <v>#REF!</v>
      </c>
      <c r="AC127" s="107" t="e">
        <f t="shared" si="108"/>
        <v>#REF!</v>
      </c>
      <c r="AD127" s="107" t="e">
        <f t="shared" si="108"/>
        <v>#REF!</v>
      </c>
      <c r="AE127" s="107" t="e">
        <f t="shared" si="108"/>
        <v>#REF!</v>
      </c>
      <c r="AF127" s="107" t="e">
        <f t="shared" si="108"/>
        <v>#REF!</v>
      </c>
      <c r="AG127" s="107" t="e">
        <f t="shared" si="108"/>
        <v>#REF!</v>
      </c>
      <c r="AH127" s="107" t="e">
        <f t="shared" si="108"/>
        <v>#REF!</v>
      </c>
      <c r="AI127" s="107" t="e">
        <f t="shared" si="108"/>
        <v>#REF!</v>
      </c>
      <c r="AJ127" s="107" t="e">
        <f t="shared" si="108"/>
        <v>#REF!</v>
      </c>
      <c r="AK127" s="107" t="e">
        <f t="shared" si="108"/>
        <v>#REF!</v>
      </c>
      <c r="AL127" s="107" t="e">
        <f t="shared" si="108"/>
        <v>#REF!</v>
      </c>
      <c r="AM127" s="107" t="e">
        <f t="shared" si="108"/>
        <v>#REF!</v>
      </c>
      <c r="AN127" s="107" t="e">
        <f t="shared" si="108"/>
        <v>#REF!</v>
      </c>
      <c r="AO127" s="107" t="e">
        <f t="shared" si="108"/>
        <v>#REF!</v>
      </c>
      <c r="AP127" s="107" t="e">
        <f t="shared" si="108"/>
        <v>#REF!</v>
      </c>
      <c r="AQ127" s="107" t="e">
        <f t="shared" si="108"/>
        <v>#REF!</v>
      </c>
      <c r="AR127" s="107" t="e">
        <f t="shared" si="108"/>
        <v>#REF!</v>
      </c>
      <c r="AS127" s="107" t="e">
        <f t="shared" si="108"/>
        <v>#REF!</v>
      </c>
      <c r="AT127" s="107" t="e">
        <f t="shared" si="108"/>
        <v>#REF!</v>
      </c>
      <c r="AU127" s="107" t="e">
        <f t="shared" si="108"/>
        <v>#REF!</v>
      </c>
      <c r="AV127" s="107" t="e">
        <f t="shared" si="108"/>
        <v>#REF!</v>
      </c>
      <c r="AW127" s="107" t="e">
        <f t="shared" si="108"/>
        <v>#REF!</v>
      </c>
      <c r="AX127" s="107" t="e">
        <f t="shared" si="108"/>
        <v>#REF!</v>
      </c>
      <c r="AY127" s="107" t="e">
        <f t="shared" si="108"/>
        <v>#REF!</v>
      </c>
      <c r="AZ127" s="107" t="e">
        <f t="shared" si="108"/>
        <v>#REF!</v>
      </c>
      <c r="BA127" s="107" t="e">
        <f t="shared" si="108"/>
        <v>#REF!</v>
      </c>
      <c r="BB127" s="107" t="e">
        <f t="shared" si="108"/>
        <v>#REF!</v>
      </c>
      <c r="BC127" s="107" t="e">
        <f t="shared" si="108"/>
        <v>#REF!</v>
      </c>
      <c r="BD127" s="107" t="e">
        <f t="shared" si="108"/>
        <v>#REF!</v>
      </c>
      <c r="BE127" s="107" t="e">
        <f t="shared" si="108"/>
        <v>#REF!</v>
      </c>
      <c r="BF127" s="107" t="e">
        <f t="shared" si="108"/>
        <v>#REF!</v>
      </c>
      <c r="BG127" s="107" t="e">
        <f t="shared" si="108"/>
        <v>#REF!</v>
      </c>
      <c r="BH127" s="107" t="e">
        <f t="shared" si="108"/>
        <v>#REF!</v>
      </c>
      <c r="BI127" s="107" t="e">
        <f t="shared" si="108"/>
        <v>#REF!</v>
      </c>
      <c r="BJ127" s="107" t="e">
        <f t="shared" si="108"/>
        <v>#REF!</v>
      </c>
      <c r="BK127"/>
      <c r="BL127" s="5"/>
    </row>
    <row r="128" spans="1:64" x14ac:dyDescent="0.3">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x14ac:dyDescent="0.3">
      <c r="A129"/>
      <c r="B129" t="s">
        <v>352</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x14ac:dyDescent="0.3">
      <c r="A130"/>
      <c r="B130" t="s">
        <v>329</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x14ac:dyDescent="0.3">
      <c r="A131"/>
      <c r="B131" t="s">
        <v>330</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x14ac:dyDescent="0.3">
      <c r="A132"/>
      <c r="B132" s="3" t="s">
        <v>353</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x14ac:dyDescent="0.3">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x14ac:dyDescent="0.3">
      <c r="A134"/>
      <c r="B134" t="s">
        <v>354</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x14ac:dyDescent="0.3">
      <c r="A135"/>
      <c r="B135" t="s">
        <v>329</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x14ac:dyDescent="0.3">
      <c r="A136"/>
      <c r="B136" t="s">
        <v>355</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x14ac:dyDescent="0.3">
      <c r="A137"/>
      <c r="B137" t="s">
        <v>330</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x14ac:dyDescent="0.3">
      <c r="A138"/>
      <c r="B138" t="s">
        <v>356</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x14ac:dyDescent="0.3">
      <c r="A139"/>
      <c r="B139" s="3" t="s">
        <v>357</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x14ac:dyDescent="0.3">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x14ac:dyDescent="0.3">
      <c r="A141"/>
      <c r="B141" t="s">
        <v>358</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x14ac:dyDescent="0.3">
      <c r="A142"/>
      <c r="B142" t="s">
        <v>329</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x14ac:dyDescent="0.3">
      <c r="A143"/>
      <c r="B143" t="s">
        <v>330</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x14ac:dyDescent="0.3">
      <c r="A144"/>
      <c r="B144" s="3" t="s">
        <v>359</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x14ac:dyDescent="0.3">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x14ac:dyDescent="0.3">
      <c r="A146"/>
      <c r="B146" t="s">
        <v>360</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x14ac:dyDescent="0.3">
      <c r="A147"/>
      <c r="B147" t="s">
        <v>329</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x14ac:dyDescent="0.3">
      <c r="A148"/>
      <c r="B148" t="s">
        <v>355</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x14ac:dyDescent="0.3">
      <c r="A149"/>
      <c r="B149" t="s">
        <v>330</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x14ac:dyDescent="0.3">
      <c r="A150"/>
      <c r="B150" t="s">
        <v>356</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x14ac:dyDescent="0.3">
      <c r="A151"/>
      <c r="B151" s="3" t="s">
        <v>361</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x14ac:dyDescent="0.3">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x14ac:dyDescent="0.3">
      <c r="A153"/>
      <c r="B153" t="s">
        <v>362</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x14ac:dyDescent="0.3">
      <c r="A154"/>
      <c r="B154" t="s">
        <v>363</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x14ac:dyDescent="0.3">
      <c r="A155"/>
      <c r="B155" s="3" t="s">
        <v>364</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x14ac:dyDescent="0.3">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x14ac:dyDescent="0.3">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x14ac:dyDescent="0.3">
      <c r="A158"/>
      <c r="B158" t="s">
        <v>327</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x14ac:dyDescent="0.3">
      <c r="A159"/>
      <c r="B159" s="75" t="s">
        <v>350</v>
      </c>
      <c r="C159" s="107" t="e">
        <f>C158*$F$25</f>
        <v>#REF!</v>
      </c>
      <c r="D159" s="107" t="e">
        <f t="shared" ref="D159:BJ159" si="133">D158*$F$25</f>
        <v>#REF!</v>
      </c>
      <c r="E159" s="107" t="e">
        <f t="shared" si="133"/>
        <v>#REF!</v>
      </c>
      <c r="F159" s="107" t="e">
        <f t="shared" si="133"/>
        <v>#REF!</v>
      </c>
      <c r="G159" s="107" t="e">
        <f t="shared" si="133"/>
        <v>#REF!</v>
      </c>
      <c r="H159" s="107" t="e">
        <f t="shared" si="133"/>
        <v>#REF!</v>
      </c>
      <c r="I159" s="107" t="e">
        <f t="shared" si="133"/>
        <v>#REF!</v>
      </c>
      <c r="J159" s="107" t="e">
        <f t="shared" si="133"/>
        <v>#REF!</v>
      </c>
      <c r="K159" s="107" t="e">
        <f t="shared" si="133"/>
        <v>#REF!</v>
      </c>
      <c r="L159" s="107" t="e">
        <f t="shared" si="133"/>
        <v>#REF!</v>
      </c>
      <c r="M159" s="107" t="e">
        <f t="shared" si="133"/>
        <v>#REF!</v>
      </c>
      <c r="N159" s="107" t="e">
        <f t="shared" si="133"/>
        <v>#REF!</v>
      </c>
      <c r="O159" s="107" t="e">
        <f t="shared" si="133"/>
        <v>#REF!</v>
      </c>
      <c r="P159" s="107" t="e">
        <f t="shared" si="133"/>
        <v>#REF!</v>
      </c>
      <c r="Q159" s="107" t="e">
        <f t="shared" si="133"/>
        <v>#REF!</v>
      </c>
      <c r="R159" s="107" t="e">
        <f t="shared" si="133"/>
        <v>#REF!</v>
      </c>
      <c r="S159" s="107" t="e">
        <f t="shared" si="133"/>
        <v>#REF!</v>
      </c>
      <c r="T159" s="107" t="e">
        <f t="shared" si="133"/>
        <v>#REF!</v>
      </c>
      <c r="U159" s="107" t="e">
        <f t="shared" si="133"/>
        <v>#REF!</v>
      </c>
      <c r="V159" s="107" t="e">
        <f t="shared" si="133"/>
        <v>#REF!</v>
      </c>
      <c r="W159" s="107" t="e">
        <f t="shared" si="133"/>
        <v>#REF!</v>
      </c>
      <c r="X159" s="107" t="e">
        <f t="shared" si="133"/>
        <v>#REF!</v>
      </c>
      <c r="Y159" s="107" t="e">
        <f t="shared" si="133"/>
        <v>#REF!</v>
      </c>
      <c r="Z159" s="107" t="e">
        <f t="shared" si="133"/>
        <v>#REF!</v>
      </c>
      <c r="AA159" s="107" t="e">
        <f t="shared" si="133"/>
        <v>#REF!</v>
      </c>
      <c r="AB159" s="107" t="e">
        <f t="shared" si="133"/>
        <v>#REF!</v>
      </c>
      <c r="AC159" s="107" t="e">
        <f t="shared" si="133"/>
        <v>#REF!</v>
      </c>
      <c r="AD159" s="107" t="e">
        <f t="shared" si="133"/>
        <v>#REF!</v>
      </c>
      <c r="AE159" s="107" t="e">
        <f t="shared" si="133"/>
        <v>#REF!</v>
      </c>
      <c r="AF159" s="107" t="e">
        <f t="shared" si="133"/>
        <v>#REF!</v>
      </c>
      <c r="AG159" s="107" t="e">
        <f t="shared" si="133"/>
        <v>#REF!</v>
      </c>
      <c r="AH159" s="107" t="e">
        <f t="shared" si="133"/>
        <v>#REF!</v>
      </c>
      <c r="AI159" s="107" t="e">
        <f t="shared" si="133"/>
        <v>#REF!</v>
      </c>
      <c r="AJ159" s="107" t="e">
        <f t="shared" si="133"/>
        <v>#REF!</v>
      </c>
      <c r="AK159" s="107" t="e">
        <f t="shared" si="133"/>
        <v>#REF!</v>
      </c>
      <c r="AL159" s="107" t="e">
        <f t="shared" si="133"/>
        <v>#REF!</v>
      </c>
      <c r="AM159" s="107" t="e">
        <f t="shared" si="133"/>
        <v>#REF!</v>
      </c>
      <c r="AN159" s="107" t="e">
        <f t="shared" si="133"/>
        <v>#REF!</v>
      </c>
      <c r="AO159" s="107" t="e">
        <f t="shared" si="133"/>
        <v>#REF!</v>
      </c>
      <c r="AP159" s="107" t="e">
        <f t="shared" si="133"/>
        <v>#REF!</v>
      </c>
      <c r="AQ159" s="107" t="e">
        <f t="shared" si="133"/>
        <v>#REF!</v>
      </c>
      <c r="AR159" s="107" t="e">
        <f t="shared" si="133"/>
        <v>#REF!</v>
      </c>
      <c r="AS159" s="107" t="e">
        <f t="shared" si="133"/>
        <v>#REF!</v>
      </c>
      <c r="AT159" s="107" t="e">
        <f t="shared" si="133"/>
        <v>#REF!</v>
      </c>
      <c r="AU159" s="107" t="e">
        <f t="shared" si="133"/>
        <v>#REF!</v>
      </c>
      <c r="AV159" s="107" t="e">
        <f t="shared" si="133"/>
        <v>#REF!</v>
      </c>
      <c r="AW159" s="107" t="e">
        <f t="shared" si="133"/>
        <v>#REF!</v>
      </c>
      <c r="AX159" s="107" t="e">
        <f t="shared" si="133"/>
        <v>#REF!</v>
      </c>
      <c r="AY159" s="107" t="e">
        <f t="shared" si="133"/>
        <v>#REF!</v>
      </c>
      <c r="AZ159" s="107" t="e">
        <f t="shared" si="133"/>
        <v>#REF!</v>
      </c>
      <c r="BA159" s="107" t="e">
        <f t="shared" si="133"/>
        <v>#REF!</v>
      </c>
      <c r="BB159" s="107" t="e">
        <f t="shared" si="133"/>
        <v>#REF!</v>
      </c>
      <c r="BC159" s="107" t="e">
        <f t="shared" si="133"/>
        <v>#REF!</v>
      </c>
      <c r="BD159" s="107" t="e">
        <f t="shared" si="133"/>
        <v>#REF!</v>
      </c>
      <c r="BE159" s="107" t="e">
        <f t="shared" si="133"/>
        <v>#REF!</v>
      </c>
      <c r="BF159" s="107" t="e">
        <f t="shared" si="133"/>
        <v>#REF!</v>
      </c>
      <c r="BG159" s="107" t="e">
        <f t="shared" si="133"/>
        <v>#REF!</v>
      </c>
      <c r="BH159" s="107" t="e">
        <f t="shared" si="133"/>
        <v>#REF!</v>
      </c>
      <c r="BI159" s="107" t="e">
        <f t="shared" si="133"/>
        <v>#REF!</v>
      </c>
      <c r="BJ159" s="107" t="e">
        <f t="shared" si="133"/>
        <v>#REF!</v>
      </c>
      <c r="BK159"/>
      <c r="BL159" s="5"/>
    </row>
    <row r="160" spans="1:64" x14ac:dyDescent="0.3">
      <c r="A160"/>
      <c r="B160" s="75" t="s">
        <v>351</v>
      </c>
      <c r="C160" s="107" t="e">
        <f>+C158*$G$25</f>
        <v>#REF!</v>
      </c>
      <c r="D160" s="107" t="e">
        <f t="shared" ref="D160" si="134">+D158*$G$25</f>
        <v>#REF!</v>
      </c>
      <c r="E160" s="107" t="e">
        <f t="shared" ref="E160:BJ160" si="135">+E158*$G$25</f>
        <v>#REF!</v>
      </c>
      <c r="F160" s="107" t="e">
        <f t="shared" si="135"/>
        <v>#REF!</v>
      </c>
      <c r="G160" s="107" t="e">
        <f t="shared" si="135"/>
        <v>#REF!</v>
      </c>
      <c r="H160" s="107" t="e">
        <f t="shared" si="135"/>
        <v>#REF!</v>
      </c>
      <c r="I160" s="107" t="e">
        <f t="shared" si="135"/>
        <v>#REF!</v>
      </c>
      <c r="J160" s="107" t="e">
        <f t="shared" si="135"/>
        <v>#REF!</v>
      </c>
      <c r="K160" s="107" t="e">
        <f t="shared" si="135"/>
        <v>#REF!</v>
      </c>
      <c r="L160" s="107" t="e">
        <f t="shared" si="135"/>
        <v>#REF!</v>
      </c>
      <c r="M160" s="107" t="e">
        <f t="shared" si="135"/>
        <v>#REF!</v>
      </c>
      <c r="N160" s="107" t="e">
        <f t="shared" si="135"/>
        <v>#REF!</v>
      </c>
      <c r="O160" s="107" t="e">
        <f t="shared" si="135"/>
        <v>#REF!</v>
      </c>
      <c r="P160" s="107" t="e">
        <f t="shared" si="135"/>
        <v>#REF!</v>
      </c>
      <c r="Q160" s="107" t="e">
        <f t="shared" si="135"/>
        <v>#REF!</v>
      </c>
      <c r="R160" s="107" t="e">
        <f t="shared" si="135"/>
        <v>#REF!</v>
      </c>
      <c r="S160" s="107" t="e">
        <f t="shared" si="135"/>
        <v>#REF!</v>
      </c>
      <c r="T160" s="107" t="e">
        <f t="shared" si="135"/>
        <v>#REF!</v>
      </c>
      <c r="U160" s="107" t="e">
        <f t="shared" si="135"/>
        <v>#REF!</v>
      </c>
      <c r="V160" s="107" t="e">
        <f t="shared" si="135"/>
        <v>#REF!</v>
      </c>
      <c r="W160" s="107" t="e">
        <f t="shared" si="135"/>
        <v>#REF!</v>
      </c>
      <c r="X160" s="107" t="e">
        <f t="shared" si="135"/>
        <v>#REF!</v>
      </c>
      <c r="Y160" s="107" t="e">
        <f t="shared" si="135"/>
        <v>#REF!</v>
      </c>
      <c r="Z160" s="107" t="e">
        <f t="shared" si="135"/>
        <v>#REF!</v>
      </c>
      <c r="AA160" s="107" t="e">
        <f t="shared" si="135"/>
        <v>#REF!</v>
      </c>
      <c r="AB160" s="107" t="e">
        <f t="shared" si="135"/>
        <v>#REF!</v>
      </c>
      <c r="AC160" s="107" t="e">
        <f t="shared" si="135"/>
        <v>#REF!</v>
      </c>
      <c r="AD160" s="107" t="e">
        <f t="shared" si="135"/>
        <v>#REF!</v>
      </c>
      <c r="AE160" s="107" t="e">
        <f t="shared" si="135"/>
        <v>#REF!</v>
      </c>
      <c r="AF160" s="107" t="e">
        <f t="shared" si="135"/>
        <v>#REF!</v>
      </c>
      <c r="AG160" s="107" t="e">
        <f t="shared" si="135"/>
        <v>#REF!</v>
      </c>
      <c r="AH160" s="107" t="e">
        <f t="shared" si="135"/>
        <v>#REF!</v>
      </c>
      <c r="AI160" s="107" t="e">
        <f t="shared" si="135"/>
        <v>#REF!</v>
      </c>
      <c r="AJ160" s="107" t="e">
        <f t="shared" si="135"/>
        <v>#REF!</v>
      </c>
      <c r="AK160" s="107" t="e">
        <f t="shared" si="135"/>
        <v>#REF!</v>
      </c>
      <c r="AL160" s="107" t="e">
        <f t="shared" si="135"/>
        <v>#REF!</v>
      </c>
      <c r="AM160" s="107" t="e">
        <f t="shared" si="135"/>
        <v>#REF!</v>
      </c>
      <c r="AN160" s="107" t="e">
        <f t="shared" si="135"/>
        <v>#REF!</v>
      </c>
      <c r="AO160" s="107" t="e">
        <f t="shared" si="135"/>
        <v>#REF!</v>
      </c>
      <c r="AP160" s="107" t="e">
        <f t="shared" si="135"/>
        <v>#REF!</v>
      </c>
      <c r="AQ160" s="107" t="e">
        <f t="shared" si="135"/>
        <v>#REF!</v>
      </c>
      <c r="AR160" s="107" t="e">
        <f t="shared" si="135"/>
        <v>#REF!</v>
      </c>
      <c r="AS160" s="107" t="e">
        <f t="shared" si="135"/>
        <v>#REF!</v>
      </c>
      <c r="AT160" s="107" t="e">
        <f t="shared" si="135"/>
        <v>#REF!</v>
      </c>
      <c r="AU160" s="107" t="e">
        <f t="shared" si="135"/>
        <v>#REF!</v>
      </c>
      <c r="AV160" s="107" t="e">
        <f t="shared" si="135"/>
        <v>#REF!</v>
      </c>
      <c r="AW160" s="107" t="e">
        <f t="shared" si="135"/>
        <v>#REF!</v>
      </c>
      <c r="AX160" s="107" t="e">
        <f t="shared" si="135"/>
        <v>#REF!</v>
      </c>
      <c r="AY160" s="107" t="e">
        <f t="shared" si="135"/>
        <v>#REF!</v>
      </c>
      <c r="AZ160" s="107" t="e">
        <f t="shared" si="135"/>
        <v>#REF!</v>
      </c>
      <c r="BA160" s="107" t="e">
        <f t="shared" si="135"/>
        <v>#REF!</v>
      </c>
      <c r="BB160" s="107" t="e">
        <f t="shared" si="135"/>
        <v>#REF!</v>
      </c>
      <c r="BC160" s="107" t="e">
        <f t="shared" si="135"/>
        <v>#REF!</v>
      </c>
      <c r="BD160" s="107" t="e">
        <f t="shared" si="135"/>
        <v>#REF!</v>
      </c>
      <c r="BE160" s="107" t="e">
        <f t="shared" si="135"/>
        <v>#REF!</v>
      </c>
      <c r="BF160" s="107" t="e">
        <f t="shared" si="135"/>
        <v>#REF!</v>
      </c>
      <c r="BG160" s="107" t="e">
        <f t="shared" si="135"/>
        <v>#REF!</v>
      </c>
      <c r="BH160" s="107" t="e">
        <f t="shared" si="135"/>
        <v>#REF!</v>
      </c>
      <c r="BI160" s="107" t="e">
        <f t="shared" si="135"/>
        <v>#REF!</v>
      </c>
      <c r="BJ160" s="107" t="e">
        <f t="shared" si="135"/>
        <v>#REF!</v>
      </c>
      <c r="BK160"/>
      <c r="BL160" s="5"/>
    </row>
    <row r="161" spans="1:64" x14ac:dyDescent="0.3">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x14ac:dyDescent="0.3">
      <c r="A162"/>
      <c r="B162" t="s">
        <v>365</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x14ac:dyDescent="0.3">
      <c r="A163"/>
      <c r="B163" t="s">
        <v>355</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x14ac:dyDescent="0.3">
      <c r="A164"/>
      <c r="B164" t="s">
        <v>356</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x14ac:dyDescent="0.3">
      <c r="A165"/>
      <c r="B165" s="3" t="s">
        <v>366</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x14ac:dyDescent="0.3">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x14ac:dyDescent="0.3">
      <c r="A167"/>
      <c r="B167" t="s">
        <v>367</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x14ac:dyDescent="0.3">
      <c r="A168"/>
      <c r="B168" t="s">
        <v>355</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x14ac:dyDescent="0.3">
      <c r="A169"/>
      <c r="B169" t="s">
        <v>356</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x14ac:dyDescent="0.3">
      <c r="A170"/>
      <c r="B170" s="3" t="s">
        <v>368</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x14ac:dyDescent="0.3">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x14ac:dyDescent="0.3">
      <c r="A172"/>
      <c r="B172" t="s">
        <v>369</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x14ac:dyDescent="0.3">
      <c r="A173"/>
      <c r="B173" t="s">
        <v>370</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x14ac:dyDescent="0.3">
      <c r="A174"/>
      <c r="B174" s="3" t="s">
        <v>371</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x14ac:dyDescent="0.3">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x14ac:dyDescent="0.3">
      <c r="A176"/>
      <c r="B176" t="s">
        <v>372</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x14ac:dyDescent="0.3">
      <c r="A177"/>
      <c r="B177" t="s">
        <v>362</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x14ac:dyDescent="0.3">
      <c r="A178"/>
      <c r="B178" t="s">
        <v>369</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x14ac:dyDescent="0.3">
      <c r="A179"/>
      <c r="B179" s="3" t="s">
        <v>373</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x14ac:dyDescent="0.3">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x14ac:dyDescent="0.3">
      <c r="A181"/>
      <c r="B181" t="s">
        <v>374</v>
      </c>
      <c r="C181" s="108">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x14ac:dyDescent="0.3">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x14ac:dyDescent="0.3">
      <c r="A183"/>
      <c r="B183" t="s">
        <v>375</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x14ac:dyDescent="0.3">
      <c r="A184"/>
      <c r="B184" t="s">
        <v>363</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x14ac:dyDescent="0.3">
      <c r="A185"/>
      <c r="B185" t="s">
        <v>370</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x14ac:dyDescent="0.3">
      <c r="A186"/>
      <c r="B186" s="3" t="s">
        <v>376</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x14ac:dyDescent="0.3">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x14ac:dyDescent="0.3">
      <c r="A188"/>
      <c r="B188" t="s">
        <v>374</v>
      </c>
      <c r="C188" s="108">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x14ac:dyDescent="0.3">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x14ac:dyDescent="0.3">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x14ac:dyDescent="0.3">
      <c r="A191"/>
      <c r="B191" t="s">
        <v>327</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x14ac:dyDescent="0.3">
      <c r="A192"/>
      <c r="B192" s="75" t="s">
        <v>350</v>
      </c>
      <c r="C192" s="107" t="e">
        <f>C191*$F$26</f>
        <v>#REF!</v>
      </c>
      <c r="D192" s="107" t="e">
        <f t="shared" ref="D192:BJ192" si="272">D191*$F$26</f>
        <v>#REF!</v>
      </c>
      <c r="E192" s="107" t="e">
        <f t="shared" si="272"/>
        <v>#REF!</v>
      </c>
      <c r="F192" s="107" t="e">
        <f t="shared" si="272"/>
        <v>#REF!</v>
      </c>
      <c r="G192" s="107" t="e">
        <f t="shared" si="272"/>
        <v>#REF!</v>
      </c>
      <c r="H192" s="107" t="e">
        <f t="shared" si="272"/>
        <v>#REF!</v>
      </c>
      <c r="I192" s="107" t="e">
        <f t="shared" si="272"/>
        <v>#REF!</v>
      </c>
      <c r="J192" s="107" t="e">
        <f t="shared" si="272"/>
        <v>#REF!</v>
      </c>
      <c r="K192" s="107" t="e">
        <f t="shared" si="272"/>
        <v>#REF!</v>
      </c>
      <c r="L192" s="107" t="e">
        <f t="shared" si="272"/>
        <v>#REF!</v>
      </c>
      <c r="M192" s="107" t="e">
        <f t="shared" si="272"/>
        <v>#REF!</v>
      </c>
      <c r="N192" s="107" t="e">
        <f t="shared" si="272"/>
        <v>#REF!</v>
      </c>
      <c r="O192" s="107" t="e">
        <f t="shared" si="272"/>
        <v>#REF!</v>
      </c>
      <c r="P192" s="107" t="e">
        <f t="shared" si="272"/>
        <v>#REF!</v>
      </c>
      <c r="Q192" s="107" t="e">
        <f t="shared" si="272"/>
        <v>#REF!</v>
      </c>
      <c r="R192" s="107" t="e">
        <f t="shared" si="272"/>
        <v>#REF!</v>
      </c>
      <c r="S192" s="107" t="e">
        <f t="shared" si="272"/>
        <v>#REF!</v>
      </c>
      <c r="T192" s="107" t="e">
        <f t="shared" si="272"/>
        <v>#REF!</v>
      </c>
      <c r="U192" s="107" t="e">
        <f t="shared" si="272"/>
        <v>#REF!</v>
      </c>
      <c r="V192" s="107" t="e">
        <f t="shared" si="272"/>
        <v>#REF!</v>
      </c>
      <c r="W192" s="107" t="e">
        <f t="shared" si="272"/>
        <v>#REF!</v>
      </c>
      <c r="X192" s="107" t="e">
        <f t="shared" si="272"/>
        <v>#REF!</v>
      </c>
      <c r="Y192" s="107" t="e">
        <f t="shared" si="272"/>
        <v>#REF!</v>
      </c>
      <c r="Z192" s="107" t="e">
        <f t="shared" si="272"/>
        <v>#REF!</v>
      </c>
      <c r="AA192" s="107" t="e">
        <f t="shared" si="272"/>
        <v>#REF!</v>
      </c>
      <c r="AB192" s="107" t="e">
        <f t="shared" si="272"/>
        <v>#REF!</v>
      </c>
      <c r="AC192" s="107" t="e">
        <f t="shared" si="272"/>
        <v>#REF!</v>
      </c>
      <c r="AD192" s="107" t="e">
        <f t="shared" si="272"/>
        <v>#REF!</v>
      </c>
      <c r="AE192" s="107" t="e">
        <f t="shared" si="272"/>
        <v>#REF!</v>
      </c>
      <c r="AF192" s="107" t="e">
        <f t="shared" si="272"/>
        <v>#REF!</v>
      </c>
      <c r="AG192" s="107" t="e">
        <f t="shared" si="272"/>
        <v>#REF!</v>
      </c>
      <c r="AH192" s="107" t="e">
        <f t="shared" si="272"/>
        <v>#REF!</v>
      </c>
      <c r="AI192" s="107" t="e">
        <f t="shared" si="272"/>
        <v>#REF!</v>
      </c>
      <c r="AJ192" s="107" t="e">
        <f t="shared" si="272"/>
        <v>#REF!</v>
      </c>
      <c r="AK192" s="107" t="e">
        <f t="shared" si="272"/>
        <v>#REF!</v>
      </c>
      <c r="AL192" s="107" t="e">
        <f t="shared" si="272"/>
        <v>#REF!</v>
      </c>
      <c r="AM192" s="107" t="e">
        <f t="shared" si="272"/>
        <v>#REF!</v>
      </c>
      <c r="AN192" s="107" t="e">
        <f t="shared" si="272"/>
        <v>#REF!</v>
      </c>
      <c r="AO192" s="107" t="e">
        <f t="shared" si="272"/>
        <v>#REF!</v>
      </c>
      <c r="AP192" s="107" t="e">
        <f t="shared" si="272"/>
        <v>#REF!</v>
      </c>
      <c r="AQ192" s="107" t="e">
        <f t="shared" si="272"/>
        <v>#REF!</v>
      </c>
      <c r="AR192" s="107" t="e">
        <f t="shared" si="272"/>
        <v>#REF!</v>
      </c>
      <c r="AS192" s="107" t="e">
        <f t="shared" si="272"/>
        <v>#REF!</v>
      </c>
      <c r="AT192" s="107" t="e">
        <f t="shared" si="272"/>
        <v>#REF!</v>
      </c>
      <c r="AU192" s="107" t="e">
        <f t="shared" si="272"/>
        <v>#REF!</v>
      </c>
      <c r="AV192" s="107" t="e">
        <f t="shared" si="272"/>
        <v>#REF!</v>
      </c>
      <c r="AW192" s="107" t="e">
        <f t="shared" si="272"/>
        <v>#REF!</v>
      </c>
      <c r="AX192" s="107" t="e">
        <f t="shared" si="272"/>
        <v>#REF!</v>
      </c>
      <c r="AY192" s="107" t="e">
        <f t="shared" si="272"/>
        <v>#REF!</v>
      </c>
      <c r="AZ192" s="107" t="e">
        <f t="shared" si="272"/>
        <v>#REF!</v>
      </c>
      <c r="BA192" s="107" t="e">
        <f t="shared" si="272"/>
        <v>#REF!</v>
      </c>
      <c r="BB192" s="107" t="e">
        <f t="shared" si="272"/>
        <v>#REF!</v>
      </c>
      <c r="BC192" s="107" t="e">
        <f t="shared" si="272"/>
        <v>#REF!</v>
      </c>
      <c r="BD192" s="107" t="e">
        <f t="shared" si="272"/>
        <v>#REF!</v>
      </c>
      <c r="BE192" s="107" t="e">
        <f t="shared" si="272"/>
        <v>#REF!</v>
      </c>
      <c r="BF192" s="107" t="e">
        <f t="shared" si="272"/>
        <v>#REF!</v>
      </c>
      <c r="BG192" s="107" t="e">
        <f t="shared" si="272"/>
        <v>#REF!</v>
      </c>
      <c r="BH192" s="107" t="e">
        <f t="shared" si="272"/>
        <v>#REF!</v>
      </c>
      <c r="BI192" s="107" t="e">
        <f t="shared" si="272"/>
        <v>#REF!</v>
      </c>
      <c r="BJ192" s="107" t="e">
        <f t="shared" si="272"/>
        <v>#REF!</v>
      </c>
      <c r="BK192"/>
      <c r="BL192" s="5"/>
    </row>
    <row r="193" spans="1:64" x14ac:dyDescent="0.3">
      <c r="A193"/>
      <c r="B193" s="75" t="s">
        <v>351</v>
      </c>
      <c r="C193" s="107" t="e">
        <f>+C191*$G$26</f>
        <v>#REF!</v>
      </c>
      <c r="D193" s="107" t="e">
        <f t="shared" ref="D193" si="273">+D191*$G$26</f>
        <v>#REF!</v>
      </c>
      <c r="E193" s="107" t="e">
        <f t="shared" ref="E193:BJ193" si="274">+E191*$G$26</f>
        <v>#REF!</v>
      </c>
      <c r="F193" s="107" t="e">
        <f t="shared" si="274"/>
        <v>#REF!</v>
      </c>
      <c r="G193" s="107" t="e">
        <f t="shared" si="274"/>
        <v>#REF!</v>
      </c>
      <c r="H193" s="107" t="e">
        <f t="shared" si="274"/>
        <v>#REF!</v>
      </c>
      <c r="I193" s="107" t="e">
        <f t="shared" si="274"/>
        <v>#REF!</v>
      </c>
      <c r="J193" s="107" t="e">
        <f t="shared" si="274"/>
        <v>#REF!</v>
      </c>
      <c r="K193" s="107" t="e">
        <f t="shared" si="274"/>
        <v>#REF!</v>
      </c>
      <c r="L193" s="107" t="e">
        <f t="shared" si="274"/>
        <v>#REF!</v>
      </c>
      <c r="M193" s="107" t="e">
        <f t="shared" si="274"/>
        <v>#REF!</v>
      </c>
      <c r="N193" s="107" t="e">
        <f t="shared" si="274"/>
        <v>#REF!</v>
      </c>
      <c r="O193" s="107" t="e">
        <f t="shared" si="274"/>
        <v>#REF!</v>
      </c>
      <c r="P193" s="107" t="e">
        <f t="shared" si="274"/>
        <v>#REF!</v>
      </c>
      <c r="Q193" s="107" t="e">
        <f t="shared" si="274"/>
        <v>#REF!</v>
      </c>
      <c r="R193" s="107" t="e">
        <f t="shared" si="274"/>
        <v>#REF!</v>
      </c>
      <c r="S193" s="107" t="e">
        <f t="shared" si="274"/>
        <v>#REF!</v>
      </c>
      <c r="T193" s="107" t="e">
        <f t="shared" si="274"/>
        <v>#REF!</v>
      </c>
      <c r="U193" s="107" t="e">
        <f t="shared" si="274"/>
        <v>#REF!</v>
      </c>
      <c r="V193" s="107" t="e">
        <f t="shared" si="274"/>
        <v>#REF!</v>
      </c>
      <c r="W193" s="107" t="e">
        <f t="shared" si="274"/>
        <v>#REF!</v>
      </c>
      <c r="X193" s="107" t="e">
        <f t="shared" si="274"/>
        <v>#REF!</v>
      </c>
      <c r="Y193" s="107" t="e">
        <f t="shared" si="274"/>
        <v>#REF!</v>
      </c>
      <c r="Z193" s="107" t="e">
        <f t="shared" si="274"/>
        <v>#REF!</v>
      </c>
      <c r="AA193" s="107" t="e">
        <f t="shared" si="274"/>
        <v>#REF!</v>
      </c>
      <c r="AB193" s="107" t="e">
        <f t="shared" si="274"/>
        <v>#REF!</v>
      </c>
      <c r="AC193" s="107" t="e">
        <f t="shared" si="274"/>
        <v>#REF!</v>
      </c>
      <c r="AD193" s="107" t="e">
        <f t="shared" si="274"/>
        <v>#REF!</v>
      </c>
      <c r="AE193" s="107" t="e">
        <f t="shared" si="274"/>
        <v>#REF!</v>
      </c>
      <c r="AF193" s="107" t="e">
        <f t="shared" si="274"/>
        <v>#REF!</v>
      </c>
      <c r="AG193" s="107" t="e">
        <f t="shared" si="274"/>
        <v>#REF!</v>
      </c>
      <c r="AH193" s="107" t="e">
        <f t="shared" si="274"/>
        <v>#REF!</v>
      </c>
      <c r="AI193" s="107" t="e">
        <f t="shared" si="274"/>
        <v>#REF!</v>
      </c>
      <c r="AJ193" s="107" t="e">
        <f t="shared" si="274"/>
        <v>#REF!</v>
      </c>
      <c r="AK193" s="107" t="e">
        <f t="shared" si="274"/>
        <v>#REF!</v>
      </c>
      <c r="AL193" s="107" t="e">
        <f t="shared" si="274"/>
        <v>#REF!</v>
      </c>
      <c r="AM193" s="107" t="e">
        <f t="shared" si="274"/>
        <v>#REF!</v>
      </c>
      <c r="AN193" s="107" t="e">
        <f t="shared" si="274"/>
        <v>#REF!</v>
      </c>
      <c r="AO193" s="107" t="e">
        <f t="shared" si="274"/>
        <v>#REF!</v>
      </c>
      <c r="AP193" s="107" t="e">
        <f t="shared" si="274"/>
        <v>#REF!</v>
      </c>
      <c r="AQ193" s="107" t="e">
        <f t="shared" si="274"/>
        <v>#REF!</v>
      </c>
      <c r="AR193" s="107" t="e">
        <f t="shared" si="274"/>
        <v>#REF!</v>
      </c>
      <c r="AS193" s="107" t="e">
        <f t="shared" si="274"/>
        <v>#REF!</v>
      </c>
      <c r="AT193" s="107" t="e">
        <f t="shared" si="274"/>
        <v>#REF!</v>
      </c>
      <c r="AU193" s="107" t="e">
        <f t="shared" si="274"/>
        <v>#REF!</v>
      </c>
      <c r="AV193" s="107" t="e">
        <f t="shared" si="274"/>
        <v>#REF!</v>
      </c>
      <c r="AW193" s="107" t="e">
        <f t="shared" si="274"/>
        <v>#REF!</v>
      </c>
      <c r="AX193" s="107" t="e">
        <f t="shared" si="274"/>
        <v>#REF!</v>
      </c>
      <c r="AY193" s="107" t="e">
        <f t="shared" si="274"/>
        <v>#REF!</v>
      </c>
      <c r="AZ193" s="107" t="e">
        <f t="shared" si="274"/>
        <v>#REF!</v>
      </c>
      <c r="BA193" s="107" t="e">
        <f t="shared" si="274"/>
        <v>#REF!</v>
      </c>
      <c r="BB193" s="107" t="e">
        <f t="shared" si="274"/>
        <v>#REF!</v>
      </c>
      <c r="BC193" s="107" t="e">
        <f t="shared" si="274"/>
        <v>#REF!</v>
      </c>
      <c r="BD193" s="107" t="e">
        <f t="shared" si="274"/>
        <v>#REF!</v>
      </c>
      <c r="BE193" s="107" t="e">
        <f t="shared" si="274"/>
        <v>#REF!</v>
      </c>
      <c r="BF193" s="107" t="e">
        <f t="shared" si="274"/>
        <v>#REF!</v>
      </c>
      <c r="BG193" s="107" t="e">
        <f t="shared" si="274"/>
        <v>#REF!</v>
      </c>
      <c r="BH193" s="107" t="e">
        <f t="shared" si="274"/>
        <v>#REF!</v>
      </c>
      <c r="BI193" s="107" t="e">
        <f t="shared" si="274"/>
        <v>#REF!</v>
      </c>
      <c r="BJ193" s="107" t="e">
        <f t="shared" si="274"/>
        <v>#REF!</v>
      </c>
      <c r="BK193"/>
      <c r="BL193" s="5"/>
    </row>
    <row r="194" spans="1:64" x14ac:dyDescent="0.3">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x14ac:dyDescent="0.3">
      <c r="A195"/>
      <c r="B195" t="s">
        <v>377</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x14ac:dyDescent="0.3">
      <c r="A196"/>
      <c r="B196" t="s">
        <v>378</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x14ac:dyDescent="0.3">
      <c r="A197"/>
      <c r="B197" t="s">
        <v>355</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x14ac:dyDescent="0.3">
      <c r="A198"/>
      <c r="B198" t="s">
        <v>336</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x14ac:dyDescent="0.3">
      <c r="A199"/>
      <c r="B199" t="s">
        <v>340</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x14ac:dyDescent="0.3">
      <c r="A200"/>
      <c r="B200" t="s">
        <v>342</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x14ac:dyDescent="0.3">
      <c r="A201"/>
      <c r="B201" s="3" t="s">
        <v>379</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x14ac:dyDescent="0.3">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x14ac:dyDescent="0.3">
      <c r="A203"/>
      <c r="B203" t="s">
        <v>380</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x14ac:dyDescent="0.3">
      <c r="A204"/>
      <c r="B204" t="s">
        <v>381</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x14ac:dyDescent="0.3">
      <c r="A205"/>
      <c r="B205" s="3" t="s">
        <v>382</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x14ac:dyDescent="0.3">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x14ac:dyDescent="0.3">
      <c r="A207"/>
      <c r="B207" t="s">
        <v>383</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x14ac:dyDescent="0.3">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x14ac:dyDescent="0.3">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x14ac:dyDescent="0.3">
      <c r="A210"/>
      <c r="B210" t="s">
        <v>327</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x14ac:dyDescent="0.3">
      <c r="A211"/>
      <c r="B211" s="75" t="s">
        <v>350</v>
      </c>
      <c r="C211" s="107" t="e">
        <f>C210*$F$27</f>
        <v>#REF!</v>
      </c>
      <c r="D211" s="107" t="e">
        <f t="shared" ref="D211:BJ211" si="289">D210*$F$27</f>
        <v>#REF!</v>
      </c>
      <c r="E211" s="107" t="e">
        <f t="shared" si="289"/>
        <v>#REF!</v>
      </c>
      <c r="F211" s="107" t="e">
        <f t="shared" si="289"/>
        <v>#REF!</v>
      </c>
      <c r="G211" s="107" t="e">
        <f t="shared" si="289"/>
        <v>#REF!</v>
      </c>
      <c r="H211" s="107" t="e">
        <f t="shared" si="289"/>
        <v>#REF!</v>
      </c>
      <c r="I211" s="107" t="e">
        <f t="shared" si="289"/>
        <v>#REF!</v>
      </c>
      <c r="J211" s="107" t="e">
        <f t="shared" si="289"/>
        <v>#REF!</v>
      </c>
      <c r="K211" s="107" t="e">
        <f t="shared" si="289"/>
        <v>#REF!</v>
      </c>
      <c r="L211" s="107" t="e">
        <f t="shared" si="289"/>
        <v>#REF!</v>
      </c>
      <c r="M211" s="107" t="e">
        <f t="shared" si="289"/>
        <v>#REF!</v>
      </c>
      <c r="N211" s="107" t="e">
        <f t="shared" si="289"/>
        <v>#REF!</v>
      </c>
      <c r="O211" s="107" t="e">
        <f t="shared" si="289"/>
        <v>#REF!</v>
      </c>
      <c r="P211" s="107" t="e">
        <f t="shared" si="289"/>
        <v>#REF!</v>
      </c>
      <c r="Q211" s="107" t="e">
        <f t="shared" si="289"/>
        <v>#REF!</v>
      </c>
      <c r="R211" s="107" t="e">
        <f t="shared" si="289"/>
        <v>#REF!</v>
      </c>
      <c r="S211" s="107" t="e">
        <f t="shared" si="289"/>
        <v>#REF!</v>
      </c>
      <c r="T211" s="107" t="e">
        <f t="shared" si="289"/>
        <v>#REF!</v>
      </c>
      <c r="U211" s="107" t="e">
        <f t="shared" si="289"/>
        <v>#REF!</v>
      </c>
      <c r="V211" s="107" t="e">
        <f t="shared" si="289"/>
        <v>#REF!</v>
      </c>
      <c r="W211" s="107" t="e">
        <f t="shared" si="289"/>
        <v>#REF!</v>
      </c>
      <c r="X211" s="107" t="e">
        <f t="shared" si="289"/>
        <v>#REF!</v>
      </c>
      <c r="Y211" s="107" t="e">
        <f t="shared" si="289"/>
        <v>#REF!</v>
      </c>
      <c r="Z211" s="107" t="e">
        <f t="shared" si="289"/>
        <v>#REF!</v>
      </c>
      <c r="AA211" s="107" t="e">
        <f t="shared" si="289"/>
        <v>#REF!</v>
      </c>
      <c r="AB211" s="107" t="e">
        <f t="shared" si="289"/>
        <v>#REF!</v>
      </c>
      <c r="AC211" s="107" t="e">
        <f t="shared" si="289"/>
        <v>#REF!</v>
      </c>
      <c r="AD211" s="107" t="e">
        <f t="shared" si="289"/>
        <v>#REF!</v>
      </c>
      <c r="AE211" s="107" t="e">
        <f t="shared" si="289"/>
        <v>#REF!</v>
      </c>
      <c r="AF211" s="107" t="e">
        <f t="shared" si="289"/>
        <v>#REF!</v>
      </c>
      <c r="AG211" s="107" t="e">
        <f t="shared" si="289"/>
        <v>#REF!</v>
      </c>
      <c r="AH211" s="107" t="e">
        <f t="shared" si="289"/>
        <v>#REF!</v>
      </c>
      <c r="AI211" s="107" t="e">
        <f t="shared" si="289"/>
        <v>#REF!</v>
      </c>
      <c r="AJ211" s="107" t="e">
        <f t="shared" si="289"/>
        <v>#REF!</v>
      </c>
      <c r="AK211" s="107" t="e">
        <f t="shared" si="289"/>
        <v>#REF!</v>
      </c>
      <c r="AL211" s="107" t="e">
        <f t="shared" si="289"/>
        <v>#REF!</v>
      </c>
      <c r="AM211" s="107" t="e">
        <f t="shared" si="289"/>
        <v>#REF!</v>
      </c>
      <c r="AN211" s="107" t="e">
        <f t="shared" si="289"/>
        <v>#REF!</v>
      </c>
      <c r="AO211" s="107" t="e">
        <f t="shared" si="289"/>
        <v>#REF!</v>
      </c>
      <c r="AP211" s="107" t="e">
        <f t="shared" si="289"/>
        <v>#REF!</v>
      </c>
      <c r="AQ211" s="107" t="e">
        <f t="shared" si="289"/>
        <v>#REF!</v>
      </c>
      <c r="AR211" s="107" t="e">
        <f t="shared" si="289"/>
        <v>#REF!</v>
      </c>
      <c r="AS211" s="107" t="e">
        <f t="shared" si="289"/>
        <v>#REF!</v>
      </c>
      <c r="AT211" s="107" t="e">
        <f t="shared" si="289"/>
        <v>#REF!</v>
      </c>
      <c r="AU211" s="107" t="e">
        <f t="shared" si="289"/>
        <v>#REF!</v>
      </c>
      <c r="AV211" s="107" t="e">
        <f t="shared" si="289"/>
        <v>#REF!</v>
      </c>
      <c r="AW211" s="107" t="e">
        <f t="shared" si="289"/>
        <v>#REF!</v>
      </c>
      <c r="AX211" s="107" t="e">
        <f t="shared" si="289"/>
        <v>#REF!</v>
      </c>
      <c r="AY211" s="107" t="e">
        <f t="shared" si="289"/>
        <v>#REF!</v>
      </c>
      <c r="AZ211" s="107" t="e">
        <f t="shared" si="289"/>
        <v>#REF!</v>
      </c>
      <c r="BA211" s="107" t="e">
        <f t="shared" si="289"/>
        <v>#REF!</v>
      </c>
      <c r="BB211" s="107" t="e">
        <f t="shared" si="289"/>
        <v>#REF!</v>
      </c>
      <c r="BC211" s="107" t="e">
        <f t="shared" si="289"/>
        <v>#REF!</v>
      </c>
      <c r="BD211" s="107" t="e">
        <f t="shared" si="289"/>
        <v>#REF!</v>
      </c>
      <c r="BE211" s="107" t="e">
        <f t="shared" si="289"/>
        <v>#REF!</v>
      </c>
      <c r="BF211" s="107" t="e">
        <f t="shared" si="289"/>
        <v>#REF!</v>
      </c>
      <c r="BG211" s="107" t="e">
        <f t="shared" si="289"/>
        <v>#REF!</v>
      </c>
      <c r="BH211" s="107" t="e">
        <f t="shared" si="289"/>
        <v>#REF!</v>
      </c>
      <c r="BI211" s="107" t="e">
        <f t="shared" si="289"/>
        <v>#REF!</v>
      </c>
      <c r="BJ211" s="107" t="e">
        <f t="shared" si="289"/>
        <v>#REF!</v>
      </c>
      <c r="BK211"/>
      <c r="BL211" s="5"/>
    </row>
    <row r="212" spans="1:64" x14ac:dyDescent="0.3">
      <c r="A212"/>
      <c r="B212" s="75" t="s">
        <v>351</v>
      </c>
      <c r="C212" s="107" t="e">
        <f>+C210*$G$27</f>
        <v>#REF!</v>
      </c>
      <c r="D212" s="107" t="e">
        <f t="shared" ref="D212:BJ212" si="290">+D210*$G$27</f>
        <v>#REF!</v>
      </c>
      <c r="E212" s="107" t="e">
        <f t="shared" si="290"/>
        <v>#REF!</v>
      </c>
      <c r="F212" s="107" t="e">
        <f t="shared" si="290"/>
        <v>#REF!</v>
      </c>
      <c r="G212" s="107" t="e">
        <f t="shared" si="290"/>
        <v>#REF!</v>
      </c>
      <c r="H212" s="107" t="e">
        <f t="shared" si="290"/>
        <v>#REF!</v>
      </c>
      <c r="I212" s="107" t="e">
        <f t="shared" si="290"/>
        <v>#REF!</v>
      </c>
      <c r="J212" s="107" t="e">
        <f t="shared" si="290"/>
        <v>#REF!</v>
      </c>
      <c r="K212" s="107" t="e">
        <f t="shared" si="290"/>
        <v>#REF!</v>
      </c>
      <c r="L212" s="107" t="e">
        <f t="shared" si="290"/>
        <v>#REF!</v>
      </c>
      <c r="M212" s="107" t="e">
        <f t="shared" si="290"/>
        <v>#REF!</v>
      </c>
      <c r="N212" s="107" t="e">
        <f t="shared" si="290"/>
        <v>#REF!</v>
      </c>
      <c r="O212" s="107" t="e">
        <f t="shared" si="290"/>
        <v>#REF!</v>
      </c>
      <c r="P212" s="107" t="e">
        <f t="shared" si="290"/>
        <v>#REF!</v>
      </c>
      <c r="Q212" s="107" t="e">
        <f t="shared" si="290"/>
        <v>#REF!</v>
      </c>
      <c r="R212" s="107" t="e">
        <f t="shared" si="290"/>
        <v>#REF!</v>
      </c>
      <c r="S212" s="107" t="e">
        <f t="shared" si="290"/>
        <v>#REF!</v>
      </c>
      <c r="T212" s="107" t="e">
        <f t="shared" si="290"/>
        <v>#REF!</v>
      </c>
      <c r="U212" s="107" t="e">
        <f t="shared" si="290"/>
        <v>#REF!</v>
      </c>
      <c r="V212" s="107" t="e">
        <f t="shared" si="290"/>
        <v>#REF!</v>
      </c>
      <c r="W212" s="107" t="e">
        <f t="shared" si="290"/>
        <v>#REF!</v>
      </c>
      <c r="X212" s="107" t="e">
        <f t="shared" si="290"/>
        <v>#REF!</v>
      </c>
      <c r="Y212" s="107" t="e">
        <f t="shared" si="290"/>
        <v>#REF!</v>
      </c>
      <c r="Z212" s="107" t="e">
        <f t="shared" si="290"/>
        <v>#REF!</v>
      </c>
      <c r="AA212" s="107" t="e">
        <f t="shared" si="290"/>
        <v>#REF!</v>
      </c>
      <c r="AB212" s="107" t="e">
        <f t="shared" si="290"/>
        <v>#REF!</v>
      </c>
      <c r="AC212" s="107" t="e">
        <f t="shared" si="290"/>
        <v>#REF!</v>
      </c>
      <c r="AD212" s="107" t="e">
        <f t="shared" si="290"/>
        <v>#REF!</v>
      </c>
      <c r="AE212" s="107" t="e">
        <f t="shared" si="290"/>
        <v>#REF!</v>
      </c>
      <c r="AF212" s="107" t="e">
        <f t="shared" si="290"/>
        <v>#REF!</v>
      </c>
      <c r="AG212" s="107" t="e">
        <f t="shared" si="290"/>
        <v>#REF!</v>
      </c>
      <c r="AH212" s="107" t="e">
        <f t="shared" si="290"/>
        <v>#REF!</v>
      </c>
      <c r="AI212" s="107" t="e">
        <f t="shared" si="290"/>
        <v>#REF!</v>
      </c>
      <c r="AJ212" s="107" t="e">
        <f t="shared" si="290"/>
        <v>#REF!</v>
      </c>
      <c r="AK212" s="107" t="e">
        <f t="shared" si="290"/>
        <v>#REF!</v>
      </c>
      <c r="AL212" s="107" t="e">
        <f t="shared" si="290"/>
        <v>#REF!</v>
      </c>
      <c r="AM212" s="107" t="e">
        <f t="shared" si="290"/>
        <v>#REF!</v>
      </c>
      <c r="AN212" s="107" t="e">
        <f t="shared" si="290"/>
        <v>#REF!</v>
      </c>
      <c r="AO212" s="107" t="e">
        <f t="shared" si="290"/>
        <v>#REF!</v>
      </c>
      <c r="AP212" s="107" t="e">
        <f t="shared" si="290"/>
        <v>#REF!</v>
      </c>
      <c r="AQ212" s="107" t="e">
        <f t="shared" si="290"/>
        <v>#REF!</v>
      </c>
      <c r="AR212" s="107" t="e">
        <f t="shared" si="290"/>
        <v>#REF!</v>
      </c>
      <c r="AS212" s="107" t="e">
        <f t="shared" si="290"/>
        <v>#REF!</v>
      </c>
      <c r="AT212" s="107" t="e">
        <f t="shared" si="290"/>
        <v>#REF!</v>
      </c>
      <c r="AU212" s="107" t="e">
        <f t="shared" si="290"/>
        <v>#REF!</v>
      </c>
      <c r="AV212" s="107" t="e">
        <f t="shared" si="290"/>
        <v>#REF!</v>
      </c>
      <c r="AW212" s="107" t="e">
        <f t="shared" si="290"/>
        <v>#REF!</v>
      </c>
      <c r="AX212" s="107" t="e">
        <f t="shared" si="290"/>
        <v>#REF!</v>
      </c>
      <c r="AY212" s="107" t="e">
        <f t="shared" si="290"/>
        <v>#REF!</v>
      </c>
      <c r="AZ212" s="107" t="e">
        <f t="shared" si="290"/>
        <v>#REF!</v>
      </c>
      <c r="BA212" s="107" t="e">
        <f t="shared" si="290"/>
        <v>#REF!</v>
      </c>
      <c r="BB212" s="107" t="e">
        <f t="shared" si="290"/>
        <v>#REF!</v>
      </c>
      <c r="BC212" s="107" t="e">
        <f t="shared" si="290"/>
        <v>#REF!</v>
      </c>
      <c r="BD212" s="107" t="e">
        <f t="shared" si="290"/>
        <v>#REF!</v>
      </c>
      <c r="BE212" s="107" t="e">
        <f t="shared" si="290"/>
        <v>#REF!</v>
      </c>
      <c r="BF212" s="107" t="e">
        <f t="shared" si="290"/>
        <v>#REF!</v>
      </c>
      <c r="BG212" s="107" t="e">
        <f t="shared" si="290"/>
        <v>#REF!</v>
      </c>
      <c r="BH212" s="107" t="e">
        <f t="shared" si="290"/>
        <v>#REF!</v>
      </c>
      <c r="BI212" s="107" t="e">
        <f t="shared" si="290"/>
        <v>#REF!</v>
      </c>
      <c r="BJ212" s="107" t="e">
        <f t="shared" si="290"/>
        <v>#REF!</v>
      </c>
      <c r="BK212"/>
      <c r="BL212" s="5"/>
    </row>
    <row r="213" spans="1:64" x14ac:dyDescent="0.3">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x14ac:dyDescent="0.3">
      <c r="A214"/>
      <c r="B214" t="s">
        <v>384</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x14ac:dyDescent="0.3">
      <c r="A215"/>
      <c r="B215" t="s">
        <v>378</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x14ac:dyDescent="0.3">
      <c r="A216"/>
      <c r="B216" t="s">
        <v>355</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x14ac:dyDescent="0.3">
      <c r="A217"/>
      <c r="B217" t="s">
        <v>336</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x14ac:dyDescent="0.3">
      <c r="A218"/>
      <c r="B218" t="s">
        <v>340</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x14ac:dyDescent="0.3">
      <c r="A219"/>
      <c r="B219" t="s">
        <v>342</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x14ac:dyDescent="0.3">
      <c r="A220"/>
      <c r="B220" t="s">
        <v>385</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x14ac:dyDescent="0.3">
      <c r="A221"/>
      <c r="B221" s="3" t="s">
        <v>379</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x14ac:dyDescent="0.3">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x14ac:dyDescent="0.3">
      <c r="A223"/>
      <c r="B223" t="s">
        <v>386</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x14ac:dyDescent="0.3">
      <c r="A224"/>
      <c r="B224" t="s">
        <v>387</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x14ac:dyDescent="0.3">
      <c r="A225"/>
      <c r="B225" s="3" t="s">
        <v>388</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x14ac:dyDescent="0.3">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x14ac:dyDescent="0.3">
      <c r="A227"/>
      <c r="B227" t="s">
        <v>389</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x14ac:dyDescent="0.3">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x14ac:dyDescent="0.3">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x14ac:dyDescent="0.3">
      <c r="A230"/>
      <c r="B230" t="s">
        <v>327</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x14ac:dyDescent="0.3">
      <c r="A231"/>
      <c r="B231" s="75" t="s">
        <v>350</v>
      </c>
      <c r="C231" s="107" t="e">
        <f>C230*$F$28</f>
        <v>#REF!</v>
      </c>
      <c r="D231" s="107" t="e">
        <f t="shared" ref="D231:BJ231" si="417">D230*$F$28</f>
        <v>#REF!</v>
      </c>
      <c r="E231" s="107" t="e">
        <f t="shared" si="417"/>
        <v>#REF!</v>
      </c>
      <c r="F231" s="107" t="e">
        <f t="shared" si="417"/>
        <v>#REF!</v>
      </c>
      <c r="G231" s="107" t="e">
        <f t="shared" si="417"/>
        <v>#REF!</v>
      </c>
      <c r="H231" s="107" t="e">
        <f t="shared" si="417"/>
        <v>#REF!</v>
      </c>
      <c r="I231" s="107" t="e">
        <f t="shared" si="417"/>
        <v>#REF!</v>
      </c>
      <c r="J231" s="107" t="e">
        <f t="shared" si="417"/>
        <v>#REF!</v>
      </c>
      <c r="K231" s="107" t="e">
        <f t="shared" si="417"/>
        <v>#REF!</v>
      </c>
      <c r="L231" s="107" t="e">
        <f t="shared" si="417"/>
        <v>#REF!</v>
      </c>
      <c r="M231" s="107" t="e">
        <f t="shared" si="417"/>
        <v>#REF!</v>
      </c>
      <c r="N231" s="107" t="e">
        <f t="shared" si="417"/>
        <v>#REF!</v>
      </c>
      <c r="O231" s="107" t="e">
        <f t="shared" si="417"/>
        <v>#REF!</v>
      </c>
      <c r="P231" s="107" t="e">
        <f t="shared" si="417"/>
        <v>#REF!</v>
      </c>
      <c r="Q231" s="107" t="e">
        <f t="shared" si="417"/>
        <v>#REF!</v>
      </c>
      <c r="R231" s="107" t="e">
        <f t="shared" si="417"/>
        <v>#REF!</v>
      </c>
      <c r="S231" s="107" t="e">
        <f t="shared" si="417"/>
        <v>#REF!</v>
      </c>
      <c r="T231" s="107" t="e">
        <f t="shared" si="417"/>
        <v>#REF!</v>
      </c>
      <c r="U231" s="107" t="e">
        <f t="shared" si="417"/>
        <v>#REF!</v>
      </c>
      <c r="V231" s="107" t="e">
        <f t="shared" si="417"/>
        <v>#REF!</v>
      </c>
      <c r="W231" s="107" t="e">
        <f t="shared" si="417"/>
        <v>#REF!</v>
      </c>
      <c r="X231" s="107" t="e">
        <f t="shared" si="417"/>
        <v>#REF!</v>
      </c>
      <c r="Y231" s="107" t="e">
        <f t="shared" si="417"/>
        <v>#REF!</v>
      </c>
      <c r="Z231" s="107" t="e">
        <f t="shared" si="417"/>
        <v>#REF!</v>
      </c>
      <c r="AA231" s="107" t="e">
        <f t="shared" si="417"/>
        <v>#REF!</v>
      </c>
      <c r="AB231" s="107" t="e">
        <f t="shared" si="417"/>
        <v>#REF!</v>
      </c>
      <c r="AC231" s="107" t="e">
        <f t="shared" si="417"/>
        <v>#REF!</v>
      </c>
      <c r="AD231" s="107" t="e">
        <f t="shared" si="417"/>
        <v>#REF!</v>
      </c>
      <c r="AE231" s="107" t="e">
        <f t="shared" si="417"/>
        <v>#REF!</v>
      </c>
      <c r="AF231" s="107" t="e">
        <f t="shared" si="417"/>
        <v>#REF!</v>
      </c>
      <c r="AG231" s="107" t="e">
        <f t="shared" si="417"/>
        <v>#REF!</v>
      </c>
      <c r="AH231" s="107" t="e">
        <f t="shared" si="417"/>
        <v>#REF!</v>
      </c>
      <c r="AI231" s="107" t="e">
        <f t="shared" si="417"/>
        <v>#REF!</v>
      </c>
      <c r="AJ231" s="107" t="e">
        <f t="shared" si="417"/>
        <v>#REF!</v>
      </c>
      <c r="AK231" s="107" t="e">
        <f t="shared" si="417"/>
        <v>#REF!</v>
      </c>
      <c r="AL231" s="107" t="e">
        <f t="shared" si="417"/>
        <v>#REF!</v>
      </c>
      <c r="AM231" s="107" t="e">
        <f t="shared" si="417"/>
        <v>#REF!</v>
      </c>
      <c r="AN231" s="107" t="e">
        <f t="shared" si="417"/>
        <v>#REF!</v>
      </c>
      <c r="AO231" s="107" t="e">
        <f t="shared" si="417"/>
        <v>#REF!</v>
      </c>
      <c r="AP231" s="107" t="e">
        <f t="shared" si="417"/>
        <v>#REF!</v>
      </c>
      <c r="AQ231" s="107" t="e">
        <f t="shared" si="417"/>
        <v>#REF!</v>
      </c>
      <c r="AR231" s="107" t="e">
        <f t="shared" si="417"/>
        <v>#REF!</v>
      </c>
      <c r="AS231" s="107" t="e">
        <f t="shared" si="417"/>
        <v>#REF!</v>
      </c>
      <c r="AT231" s="107" t="e">
        <f t="shared" si="417"/>
        <v>#REF!</v>
      </c>
      <c r="AU231" s="107" t="e">
        <f t="shared" si="417"/>
        <v>#REF!</v>
      </c>
      <c r="AV231" s="107" t="e">
        <f t="shared" si="417"/>
        <v>#REF!</v>
      </c>
      <c r="AW231" s="107" t="e">
        <f t="shared" si="417"/>
        <v>#REF!</v>
      </c>
      <c r="AX231" s="107" t="e">
        <f t="shared" si="417"/>
        <v>#REF!</v>
      </c>
      <c r="AY231" s="107" t="e">
        <f t="shared" si="417"/>
        <v>#REF!</v>
      </c>
      <c r="AZ231" s="107" t="e">
        <f t="shared" si="417"/>
        <v>#REF!</v>
      </c>
      <c r="BA231" s="107" t="e">
        <f t="shared" si="417"/>
        <v>#REF!</v>
      </c>
      <c r="BB231" s="107" t="e">
        <f t="shared" si="417"/>
        <v>#REF!</v>
      </c>
      <c r="BC231" s="107" t="e">
        <f t="shared" si="417"/>
        <v>#REF!</v>
      </c>
      <c r="BD231" s="107" t="e">
        <f t="shared" si="417"/>
        <v>#REF!</v>
      </c>
      <c r="BE231" s="107" t="e">
        <f t="shared" si="417"/>
        <v>#REF!</v>
      </c>
      <c r="BF231" s="107" t="e">
        <f t="shared" si="417"/>
        <v>#REF!</v>
      </c>
      <c r="BG231" s="107" t="e">
        <f t="shared" si="417"/>
        <v>#REF!</v>
      </c>
      <c r="BH231" s="107" t="e">
        <f t="shared" si="417"/>
        <v>#REF!</v>
      </c>
      <c r="BI231" s="107" t="e">
        <f t="shared" si="417"/>
        <v>#REF!</v>
      </c>
      <c r="BJ231" s="107" t="e">
        <f t="shared" si="417"/>
        <v>#REF!</v>
      </c>
      <c r="BK231"/>
      <c r="BL231" s="5"/>
    </row>
    <row r="232" spans="1:64" x14ac:dyDescent="0.3">
      <c r="A232"/>
      <c r="B232" s="75" t="s">
        <v>351</v>
      </c>
      <c r="C232" s="107" t="e">
        <f>+C230*$G$28</f>
        <v>#REF!</v>
      </c>
      <c r="D232" s="107" t="e">
        <f t="shared" ref="D232:BJ232" si="418">+D230*$G$28</f>
        <v>#REF!</v>
      </c>
      <c r="E232" s="107" t="e">
        <f t="shared" si="418"/>
        <v>#REF!</v>
      </c>
      <c r="F232" s="107" t="e">
        <f t="shared" si="418"/>
        <v>#REF!</v>
      </c>
      <c r="G232" s="107" t="e">
        <f t="shared" si="418"/>
        <v>#REF!</v>
      </c>
      <c r="H232" s="107" t="e">
        <f t="shared" si="418"/>
        <v>#REF!</v>
      </c>
      <c r="I232" s="107" t="e">
        <f t="shared" si="418"/>
        <v>#REF!</v>
      </c>
      <c r="J232" s="107" t="e">
        <f t="shared" si="418"/>
        <v>#REF!</v>
      </c>
      <c r="K232" s="107" t="e">
        <f t="shared" si="418"/>
        <v>#REF!</v>
      </c>
      <c r="L232" s="107" t="e">
        <f t="shared" si="418"/>
        <v>#REF!</v>
      </c>
      <c r="M232" s="107" t="e">
        <f t="shared" si="418"/>
        <v>#REF!</v>
      </c>
      <c r="N232" s="107" t="e">
        <f t="shared" si="418"/>
        <v>#REF!</v>
      </c>
      <c r="O232" s="107" t="e">
        <f t="shared" si="418"/>
        <v>#REF!</v>
      </c>
      <c r="P232" s="107" t="e">
        <f t="shared" si="418"/>
        <v>#REF!</v>
      </c>
      <c r="Q232" s="107" t="e">
        <f t="shared" si="418"/>
        <v>#REF!</v>
      </c>
      <c r="R232" s="107" t="e">
        <f t="shared" si="418"/>
        <v>#REF!</v>
      </c>
      <c r="S232" s="107" t="e">
        <f t="shared" si="418"/>
        <v>#REF!</v>
      </c>
      <c r="T232" s="107" t="e">
        <f t="shared" si="418"/>
        <v>#REF!</v>
      </c>
      <c r="U232" s="107" t="e">
        <f t="shared" si="418"/>
        <v>#REF!</v>
      </c>
      <c r="V232" s="107" t="e">
        <f t="shared" si="418"/>
        <v>#REF!</v>
      </c>
      <c r="W232" s="107" t="e">
        <f t="shared" si="418"/>
        <v>#REF!</v>
      </c>
      <c r="X232" s="107" t="e">
        <f t="shared" si="418"/>
        <v>#REF!</v>
      </c>
      <c r="Y232" s="107" t="e">
        <f t="shared" si="418"/>
        <v>#REF!</v>
      </c>
      <c r="Z232" s="107" t="e">
        <f t="shared" si="418"/>
        <v>#REF!</v>
      </c>
      <c r="AA232" s="107" t="e">
        <f t="shared" si="418"/>
        <v>#REF!</v>
      </c>
      <c r="AB232" s="107" t="e">
        <f t="shared" si="418"/>
        <v>#REF!</v>
      </c>
      <c r="AC232" s="107" t="e">
        <f t="shared" si="418"/>
        <v>#REF!</v>
      </c>
      <c r="AD232" s="107" t="e">
        <f t="shared" si="418"/>
        <v>#REF!</v>
      </c>
      <c r="AE232" s="107" t="e">
        <f t="shared" si="418"/>
        <v>#REF!</v>
      </c>
      <c r="AF232" s="107" t="e">
        <f t="shared" si="418"/>
        <v>#REF!</v>
      </c>
      <c r="AG232" s="107" t="e">
        <f t="shared" si="418"/>
        <v>#REF!</v>
      </c>
      <c r="AH232" s="107" t="e">
        <f t="shared" si="418"/>
        <v>#REF!</v>
      </c>
      <c r="AI232" s="107" t="e">
        <f t="shared" si="418"/>
        <v>#REF!</v>
      </c>
      <c r="AJ232" s="107" t="e">
        <f t="shared" si="418"/>
        <v>#REF!</v>
      </c>
      <c r="AK232" s="107" t="e">
        <f t="shared" si="418"/>
        <v>#REF!</v>
      </c>
      <c r="AL232" s="107" t="e">
        <f t="shared" si="418"/>
        <v>#REF!</v>
      </c>
      <c r="AM232" s="107" t="e">
        <f t="shared" si="418"/>
        <v>#REF!</v>
      </c>
      <c r="AN232" s="107" t="e">
        <f t="shared" si="418"/>
        <v>#REF!</v>
      </c>
      <c r="AO232" s="107" t="e">
        <f t="shared" si="418"/>
        <v>#REF!</v>
      </c>
      <c r="AP232" s="107" t="e">
        <f t="shared" si="418"/>
        <v>#REF!</v>
      </c>
      <c r="AQ232" s="107" t="e">
        <f t="shared" si="418"/>
        <v>#REF!</v>
      </c>
      <c r="AR232" s="107" t="e">
        <f t="shared" si="418"/>
        <v>#REF!</v>
      </c>
      <c r="AS232" s="107" t="e">
        <f t="shared" si="418"/>
        <v>#REF!</v>
      </c>
      <c r="AT232" s="107" t="e">
        <f t="shared" si="418"/>
        <v>#REF!</v>
      </c>
      <c r="AU232" s="107" t="e">
        <f t="shared" si="418"/>
        <v>#REF!</v>
      </c>
      <c r="AV232" s="107" t="e">
        <f t="shared" si="418"/>
        <v>#REF!</v>
      </c>
      <c r="AW232" s="107" t="e">
        <f t="shared" si="418"/>
        <v>#REF!</v>
      </c>
      <c r="AX232" s="107" t="e">
        <f t="shared" si="418"/>
        <v>#REF!</v>
      </c>
      <c r="AY232" s="107" t="e">
        <f t="shared" si="418"/>
        <v>#REF!</v>
      </c>
      <c r="AZ232" s="107" t="e">
        <f t="shared" si="418"/>
        <v>#REF!</v>
      </c>
      <c r="BA232" s="107" t="e">
        <f t="shared" si="418"/>
        <v>#REF!</v>
      </c>
      <c r="BB232" s="107" t="e">
        <f t="shared" si="418"/>
        <v>#REF!</v>
      </c>
      <c r="BC232" s="107" t="e">
        <f t="shared" si="418"/>
        <v>#REF!</v>
      </c>
      <c r="BD232" s="107" t="e">
        <f t="shared" si="418"/>
        <v>#REF!</v>
      </c>
      <c r="BE232" s="107" t="e">
        <f t="shared" si="418"/>
        <v>#REF!</v>
      </c>
      <c r="BF232" s="107" t="e">
        <f t="shared" si="418"/>
        <v>#REF!</v>
      </c>
      <c r="BG232" s="107" t="e">
        <f t="shared" si="418"/>
        <v>#REF!</v>
      </c>
      <c r="BH232" s="107" t="e">
        <f t="shared" si="418"/>
        <v>#REF!</v>
      </c>
      <c r="BI232" s="107" t="e">
        <f t="shared" si="418"/>
        <v>#REF!</v>
      </c>
      <c r="BJ232" s="107" t="e">
        <f t="shared" si="418"/>
        <v>#REF!</v>
      </c>
      <c r="BK232"/>
      <c r="BL232" s="5"/>
    </row>
    <row r="233" spans="1:64" x14ac:dyDescent="0.3">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x14ac:dyDescent="0.3">
      <c r="A234"/>
      <c r="B234" t="s">
        <v>390</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x14ac:dyDescent="0.3">
      <c r="A235"/>
      <c r="B235" t="s">
        <v>391</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x14ac:dyDescent="0.3">
      <c r="A236"/>
      <c r="B236" s="3" t="s">
        <v>392</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x14ac:dyDescent="0.3">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x14ac:dyDescent="0.3">
      <c r="A238"/>
      <c r="B238" t="s">
        <v>393</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x14ac:dyDescent="0.3">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x14ac:dyDescent="0.3">
      <c r="A240"/>
      <c r="B240" s="28" t="s">
        <v>394</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x14ac:dyDescent="0.3">
      <c r="A241"/>
      <c r="B241" t="s">
        <v>294</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x14ac:dyDescent="0.3">
      <c r="A242"/>
      <c r="B242" t="s">
        <v>345</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x14ac:dyDescent="0.3">
      <c r="A243"/>
      <c r="B243" t="s">
        <v>346</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x14ac:dyDescent="0.3">
      <c r="A244"/>
      <c r="B244" t="s">
        <v>347</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x14ac:dyDescent="0.3">
      <c r="A245"/>
      <c r="B245" t="s">
        <v>395</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x14ac:dyDescent="0.3">
      <c r="A246"/>
      <c r="B246" t="s">
        <v>396</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x14ac:dyDescent="0.3">
      <c r="A247"/>
      <c r="B247" s="3" t="s">
        <v>43</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x14ac:dyDescent="0.3">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x14ac:dyDescent="0.3">
      <c r="A249"/>
      <c r="B249" s="28" t="s">
        <v>397</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x14ac:dyDescent="0.3">
      <c r="A250"/>
      <c r="B250" t="s">
        <v>294</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x14ac:dyDescent="0.3">
      <c r="A251"/>
      <c r="B251" t="s">
        <v>345</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x14ac:dyDescent="0.3">
      <c r="A252"/>
      <c r="B252" t="s">
        <v>346</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x14ac:dyDescent="0.3">
      <c r="A253"/>
      <c r="B253" t="s">
        <v>347</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x14ac:dyDescent="0.3">
      <c r="A254"/>
      <c r="B254" t="s">
        <v>395</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x14ac:dyDescent="0.3">
      <c r="A255"/>
      <c r="B255" t="s">
        <v>396</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x14ac:dyDescent="0.3">
      <c r="A256"/>
      <c r="B256" s="3" t="s">
        <v>43</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x14ac:dyDescent="0.3">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x14ac:dyDescent="0.3">
      <c r="A258"/>
      <c r="B258" s="28" t="s">
        <v>349</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x14ac:dyDescent="0.3">
      <c r="A259"/>
      <c r="B259" t="s">
        <v>294</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x14ac:dyDescent="0.3">
      <c r="A260"/>
      <c r="B260" t="s">
        <v>345</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x14ac:dyDescent="0.3">
      <c r="A261"/>
      <c r="B261" t="s">
        <v>346</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x14ac:dyDescent="0.3">
      <c r="A262"/>
      <c r="B262" t="s">
        <v>347</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x14ac:dyDescent="0.3">
      <c r="A263"/>
      <c r="B263" t="s">
        <v>395</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x14ac:dyDescent="0.3">
      <c r="A264"/>
      <c r="B264" t="s">
        <v>396</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x14ac:dyDescent="0.3">
      <c r="A265"/>
      <c r="B265" s="3" t="s">
        <v>43</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x14ac:dyDescent="0.3">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x14ac:dyDescent="0.3">
      <c r="A267"/>
      <c r="B267" s="28" t="s">
        <v>289</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x14ac:dyDescent="0.3">
      <c r="A268"/>
      <c r="B268" t="s">
        <v>383</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x14ac:dyDescent="0.3">
      <c r="A269"/>
      <c r="B269" t="s">
        <v>389</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x14ac:dyDescent="0.3">
      <c r="A270"/>
      <c r="B270" t="s">
        <v>393</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x14ac:dyDescent="0.3">
      <c r="A271"/>
      <c r="B271" s="3" t="s">
        <v>43</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x14ac:dyDescent="0.3">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x14ac:dyDescent="0.3">
      <c r="A273"/>
      <c r="B273" s="40" t="s">
        <v>398</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x14ac:dyDescent="0.3">
      <c r="A274"/>
      <c r="B274" t="s">
        <v>399</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x14ac:dyDescent="0.3">
      <c r="A275"/>
      <c r="B275" t="s">
        <v>400</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x14ac:dyDescent="0.3">
      <c r="A276"/>
      <c r="B276" s="3" t="s">
        <v>401</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x14ac:dyDescent="0.3">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x14ac:dyDescent="0.3">
      <c r="A278"/>
      <c r="B278" t="s">
        <v>402</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x14ac:dyDescent="0.3">
      <c r="A279"/>
      <c r="B279" t="s">
        <v>403</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x14ac:dyDescent="0.3">
      <c r="A280"/>
      <c r="B280" s="3" t="s">
        <v>404</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x14ac:dyDescent="0.3">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x14ac:dyDescent="0.3">
      <c r="A282"/>
      <c r="B282" t="s">
        <v>279</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x14ac:dyDescent="0.3">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topRight" activeCell="B1" sqref="B1"/>
      <selection pane="bottomLeft" activeCell="B1" sqref="B1"/>
      <selection pane="bottomRight" activeCell="B1" sqref="B1"/>
    </sheetView>
  </sheetViews>
  <sheetFormatPr defaultColWidth="8.88671875" defaultRowHeight="14.4" x14ac:dyDescent="0.3"/>
  <cols>
    <col min="1" max="1" width="3.6640625" style="4" customWidth="1"/>
    <col min="2" max="2" width="35.6640625" style="4" customWidth="1"/>
    <col min="3" max="62" width="14.6640625" style="4" customWidth="1"/>
    <col min="63" max="63" width="3.6640625" style="4" customWidth="1"/>
    <col min="64" max="16384" width="8.88671875" style="4"/>
  </cols>
  <sheetData>
    <row r="1" spans="1:64" ht="25.8" x14ac:dyDescent="0.5">
      <c r="A1" s="7" t="str">
        <f>TEXT(Global!$C$7,"")</f>
        <v>Grandle Drive</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399999999999999" thickBot="1" x14ac:dyDescent="0.45">
      <c r="A2" s="8" t="s">
        <v>405</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x14ac:dyDescent="0.3">
      <c r="A6"/>
      <c r="B6" s="90" t="s">
        <v>281</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x14ac:dyDescent="0.3">
      <c r="A7"/>
      <c r="B7" s="91" t="s">
        <v>282</v>
      </c>
      <c r="C7" s="102" t="str">
        <f>IF(ISBLANK(C6),"",0)</f>
        <v/>
      </c>
      <c r="D7" s="102" t="str">
        <f>IF(ISBLANK(D6),"",D6-C6)</f>
        <v/>
      </c>
      <c r="E7" s="102" t="str">
        <f t="shared" ref="E7:BJ7" si="0">IF(ISBLANK(E6),"",E6-D6)</f>
        <v/>
      </c>
      <c r="F7" s="102" t="str">
        <f t="shared" si="0"/>
        <v/>
      </c>
      <c r="G7" s="102" t="str">
        <f t="shared" si="0"/>
        <v/>
      </c>
      <c r="H7" s="102" t="str">
        <f t="shared" si="0"/>
        <v/>
      </c>
      <c r="I7" s="102" t="str">
        <f t="shared" si="0"/>
        <v/>
      </c>
      <c r="J7" s="102" t="str">
        <f t="shared" si="0"/>
        <v/>
      </c>
      <c r="K7" s="102" t="str">
        <f t="shared" si="0"/>
        <v/>
      </c>
      <c r="L7" s="102" t="str">
        <f t="shared" si="0"/>
        <v/>
      </c>
      <c r="M7" s="102" t="str">
        <f t="shared" si="0"/>
        <v/>
      </c>
      <c r="N7" s="102" t="str">
        <f t="shared" si="0"/>
        <v/>
      </c>
      <c r="O7" s="102" t="str">
        <f t="shared" si="0"/>
        <v/>
      </c>
      <c r="P7" s="102" t="str">
        <f t="shared" si="0"/>
        <v/>
      </c>
      <c r="Q7" s="102" t="str">
        <f t="shared" si="0"/>
        <v/>
      </c>
      <c r="R7" s="102" t="str">
        <f t="shared" si="0"/>
        <v/>
      </c>
      <c r="S7" s="102" t="str">
        <f t="shared" si="0"/>
        <v/>
      </c>
      <c r="T7" s="102" t="str">
        <f t="shared" si="0"/>
        <v/>
      </c>
      <c r="U7" s="102" t="str">
        <f t="shared" si="0"/>
        <v/>
      </c>
      <c r="V7" s="102" t="str">
        <f t="shared" si="0"/>
        <v/>
      </c>
      <c r="W7" s="102" t="str">
        <f t="shared" si="0"/>
        <v/>
      </c>
      <c r="X7" s="102" t="str">
        <f t="shared" si="0"/>
        <v/>
      </c>
      <c r="Y7" s="102" t="str">
        <f t="shared" si="0"/>
        <v/>
      </c>
      <c r="Z7" s="102" t="str">
        <f t="shared" si="0"/>
        <v/>
      </c>
      <c r="AA7" s="102" t="str">
        <f t="shared" si="0"/>
        <v/>
      </c>
      <c r="AB7" s="102" t="str">
        <f t="shared" si="0"/>
        <v/>
      </c>
      <c r="AC7" s="102" t="str">
        <f t="shared" si="0"/>
        <v/>
      </c>
      <c r="AD7" s="102" t="str">
        <f t="shared" si="0"/>
        <v/>
      </c>
      <c r="AE7" s="102" t="str">
        <f t="shared" si="0"/>
        <v/>
      </c>
      <c r="AF7" s="102" t="str">
        <f t="shared" si="0"/>
        <v/>
      </c>
      <c r="AG7" s="102" t="str">
        <f t="shared" si="0"/>
        <v/>
      </c>
      <c r="AH7" s="102" t="str">
        <f t="shared" si="0"/>
        <v/>
      </c>
      <c r="AI7" s="102" t="str">
        <f t="shared" si="0"/>
        <v/>
      </c>
      <c r="AJ7" s="102" t="str">
        <f t="shared" si="0"/>
        <v/>
      </c>
      <c r="AK7" s="102" t="str">
        <f t="shared" si="0"/>
        <v/>
      </c>
      <c r="AL7" s="102" t="str">
        <f t="shared" si="0"/>
        <v/>
      </c>
      <c r="AM7" s="102" t="str">
        <f t="shared" si="0"/>
        <v/>
      </c>
      <c r="AN7" s="102" t="str">
        <f t="shared" si="0"/>
        <v/>
      </c>
      <c r="AO7" s="102" t="str">
        <f t="shared" si="0"/>
        <v/>
      </c>
      <c r="AP7" s="102" t="str">
        <f t="shared" si="0"/>
        <v/>
      </c>
      <c r="AQ7" s="102" t="str">
        <f t="shared" si="0"/>
        <v/>
      </c>
      <c r="AR7" s="102" t="str">
        <f t="shared" si="0"/>
        <v/>
      </c>
      <c r="AS7" s="102" t="str">
        <f t="shared" si="0"/>
        <v/>
      </c>
      <c r="AT7" s="102" t="str">
        <f t="shared" si="0"/>
        <v/>
      </c>
      <c r="AU7" s="102" t="str">
        <f t="shared" si="0"/>
        <v/>
      </c>
      <c r="AV7" s="102" t="str">
        <f t="shared" si="0"/>
        <v/>
      </c>
      <c r="AW7" s="102" t="str">
        <f t="shared" si="0"/>
        <v/>
      </c>
      <c r="AX7" s="102" t="str">
        <f t="shared" si="0"/>
        <v/>
      </c>
      <c r="AY7" s="102" t="str">
        <f t="shared" si="0"/>
        <v/>
      </c>
      <c r="AZ7" s="102" t="str">
        <f t="shared" si="0"/>
        <v/>
      </c>
      <c r="BA7" s="102" t="str">
        <f t="shared" si="0"/>
        <v/>
      </c>
      <c r="BB7" s="102" t="str">
        <f t="shared" si="0"/>
        <v/>
      </c>
      <c r="BC7" s="102" t="str">
        <f t="shared" si="0"/>
        <v/>
      </c>
      <c r="BD7" s="102" t="str">
        <f t="shared" si="0"/>
        <v/>
      </c>
      <c r="BE7" s="102" t="str">
        <f t="shared" si="0"/>
        <v/>
      </c>
      <c r="BF7" s="102" t="str">
        <f t="shared" si="0"/>
        <v/>
      </c>
      <c r="BG7" s="102" t="str">
        <f t="shared" si="0"/>
        <v/>
      </c>
      <c r="BH7" s="102" t="str">
        <f t="shared" si="0"/>
        <v/>
      </c>
      <c r="BI7" s="102" t="str">
        <f t="shared" si="0"/>
        <v/>
      </c>
      <c r="BJ7" s="103" t="str">
        <f t="shared" si="0"/>
        <v/>
      </c>
      <c r="BK7"/>
      <c r="BL7" s="5"/>
    </row>
    <row r="8" spans="1:64" x14ac:dyDescent="0.3">
      <c r="A8"/>
      <c r="B8" s="91" t="s">
        <v>283</v>
      </c>
      <c r="C8" s="101" t="str">
        <f t="shared" ref="C8:BJ8" si="1">IFERROR(C7/365,"")</f>
        <v/>
      </c>
      <c r="D8" s="101" t="str">
        <f t="shared" si="1"/>
        <v/>
      </c>
      <c r="E8" s="101" t="str">
        <f t="shared" si="1"/>
        <v/>
      </c>
      <c r="F8" s="101" t="str">
        <f t="shared" si="1"/>
        <v/>
      </c>
      <c r="G8" s="101" t="str">
        <f t="shared" si="1"/>
        <v/>
      </c>
      <c r="H8" s="101" t="str">
        <f t="shared" si="1"/>
        <v/>
      </c>
      <c r="I8" s="101" t="str">
        <f t="shared" si="1"/>
        <v/>
      </c>
      <c r="J8" s="101" t="str">
        <f t="shared" si="1"/>
        <v/>
      </c>
      <c r="K8" s="101" t="str">
        <f t="shared" si="1"/>
        <v/>
      </c>
      <c r="L8" s="101" t="str">
        <f t="shared" si="1"/>
        <v/>
      </c>
      <c r="M8" s="101" t="str">
        <f t="shared" si="1"/>
        <v/>
      </c>
      <c r="N8" s="101" t="str">
        <f t="shared" si="1"/>
        <v/>
      </c>
      <c r="O8" s="101" t="str">
        <f t="shared" si="1"/>
        <v/>
      </c>
      <c r="P8" s="101" t="str">
        <f t="shared" si="1"/>
        <v/>
      </c>
      <c r="Q8" s="101" t="str">
        <f t="shared" si="1"/>
        <v/>
      </c>
      <c r="R8" s="101" t="str">
        <f t="shared" si="1"/>
        <v/>
      </c>
      <c r="S8" s="101" t="str">
        <f t="shared" si="1"/>
        <v/>
      </c>
      <c r="T8" s="101" t="str">
        <f t="shared" si="1"/>
        <v/>
      </c>
      <c r="U8" s="101" t="str">
        <f t="shared" si="1"/>
        <v/>
      </c>
      <c r="V8" s="101" t="str">
        <f t="shared" si="1"/>
        <v/>
      </c>
      <c r="W8" s="101" t="str">
        <f t="shared" si="1"/>
        <v/>
      </c>
      <c r="X8" s="101" t="str">
        <f t="shared" si="1"/>
        <v/>
      </c>
      <c r="Y8" s="101" t="str">
        <f t="shared" si="1"/>
        <v/>
      </c>
      <c r="Z8" s="101" t="str">
        <f t="shared" si="1"/>
        <v/>
      </c>
      <c r="AA8" s="101" t="str">
        <f t="shared" si="1"/>
        <v/>
      </c>
      <c r="AB8" s="101" t="str">
        <f t="shared" si="1"/>
        <v/>
      </c>
      <c r="AC8" s="101" t="str">
        <f t="shared" si="1"/>
        <v/>
      </c>
      <c r="AD8" s="101" t="str">
        <f t="shared" si="1"/>
        <v/>
      </c>
      <c r="AE8" s="101" t="str">
        <f t="shared" si="1"/>
        <v/>
      </c>
      <c r="AF8" s="101" t="str">
        <f t="shared" si="1"/>
        <v/>
      </c>
      <c r="AG8" s="101" t="str">
        <f t="shared" si="1"/>
        <v/>
      </c>
      <c r="AH8" s="101" t="str">
        <f t="shared" si="1"/>
        <v/>
      </c>
      <c r="AI8" s="101" t="str">
        <f t="shared" si="1"/>
        <v/>
      </c>
      <c r="AJ8" s="101" t="str">
        <f t="shared" si="1"/>
        <v/>
      </c>
      <c r="AK8" s="101" t="str">
        <f t="shared" si="1"/>
        <v/>
      </c>
      <c r="AL8" s="101" t="str">
        <f t="shared" si="1"/>
        <v/>
      </c>
      <c r="AM8" s="101" t="str">
        <f t="shared" si="1"/>
        <v/>
      </c>
      <c r="AN8" s="101" t="str">
        <f t="shared" si="1"/>
        <v/>
      </c>
      <c r="AO8" s="101" t="str">
        <f t="shared" si="1"/>
        <v/>
      </c>
      <c r="AP8" s="101" t="str">
        <f t="shared" si="1"/>
        <v/>
      </c>
      <c r="AQ8" s="101" t="str">
        <f t="shared" si="1"/>
        <v/>
      </c>
      <c r="AR8" s="101" t="str">
        <f t="shared" si="1"/>
        <v/>
      </c>
      <c r="AS8" s="101" t="str">
        <f t="shared" si="1"/>
        <v/>
      </c>
      <c r="AT8" s="101" t="str">
        <f t="shared" si="1"/>
        <v/>
      </c>
      <c r="AU8" s="101" t="str">
        <f t="shared" si="1"/>
        <v/>
      </c>
      <c r="AV8" s="101" t="str">
        <f t="shared" si="1"/>
        <v/>
      </c>
      <c r="AW8" s="101" t="str">
        <f t="shared" si="1"/>
        <v/>
      </c>
      <c r="AX8" s="101" t="str">
        <f t="shared" si="1"/>
        <v/>
      </c>
      <c r="AY8" s="101" t="str">
        <f t="shared" si="1"/>
        <v/>
      </c>
      <c r="AZ8" s="101" t="str">
        <f t="shared" si="1"/>
        <v/>
      </c>
      <c r="BA8" s="101" t="str">
        <f t="shared" si="1"/>
        <v/>
      </c>
      <c r="BB8" s="101" t="str">
        <f t="shared" si="1"/>
        <v/>
      </c>
      <c r="BC8" s="101" t="str">
        <f t="shared" si="1"/>
        <v/>
      </c>
      <c r="BD8" s="101" t="str">
        <f t="shared" si="1"/>
        <v/>
      </c>
      <c r="BE8" s="101" t="str">
        <f t="shared" si="1"/>
        <v/>
      </c>
      <c r="BF8" s="101" t="str">
        <f t="shared" si="1"/>
        <v/>
      </c>
      <c r="BG8" s="101" t="str">
        <f t="shared" si="1"/>
        <v/>
      </c>
      <c r="BH8" s="101" t="str">
        <f t="shared" si="1"/>
        <v/>
      </c>
      <c r="BI8" s="101" t="str">
        <f t="shared" si="1"/>
        <v/>
      </c>
      <c r="BJ8" s="104" t="str">
        <f t="shared" si="1"/>
        <v/>
      </c>
      <c r="BK8"/>
      <c r="BL8" s="5"/>
    </row>
    <row r="9" spans="1:64" x14ac:dyDescent="0.3">
      <c r="A9"/>
      <c r="B9" s="92" t="s">
        <v>268</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x14ac:dyDescent="0.3">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x14ac:dyDescent="0.3">
      <c r="A11"/>
      <c r="B11" s="117"/>
      <c r="C11" s="96" t="s">
        <v>406</v>
      </c>
      <c r="D11" s="96" t="s">
        <v>407</v>
      </c>
      <c r="E11" s="96" t="s">
        <v>408</v>
      </c>
      <c r="F11" s="96" t="s">
        <v>409</v>
      </c>
      <c r="G11" s="97" t="s">
        <v>410</v>
      </c>
      <c r="H11"/>
      <c r="I11" s="114" t="s">
        <v>411</v>
      </c>
      <c r="J11" s="115"/>
      <c r="K11" s="116"/>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x14ac:dyDescent="0.3">
      <c r="A12"/>
      <c r="B12" t="s">
        <v>290</v>
      </c>
      <c r="C12" s="49">
        <f>IFERROR(XIRR(C39:BJ39,C6:BJ6,0),0)</f>
        <v>0</v>
      </c>
      <c r="D12" s="49">
        <f>IFERROR(XIRR(C81:BJ81,C6:BJ6,0),0)</f>
        <v>0</v>
      </c>
      <c r="E12" s="49" t="s">
        <v>291</v>
      </c>
      <c r="F12" s="49">
        <f>IFERROR(XIRR(C107:BJ107,C6:BJ6,0),0)</f>
        <v>0</v>
      </c>
      <c r="G12" s="49">
        <f>IFERROR(XIRR(C101:BJ101,C6:BJ6,0),0)</f>
        <v>0</v>
      </c>
      <c r="H12" s="49"/>
      <c r="I12" t="s">
        <v>412</v>
      </c>
      <c r="J12"/>
      <c r="K12" s="36" t="e">
        <f>-SUM(C36:BJ36)</f>
        <v>#REF!</v>
      </c>
      <c r="L12"/>
      <c r="M12" s="113" t="s">
        <v>292</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x14ac:dyDescent="0.3">
      <c r="A13"/>
      <c r="B13" t="s">
        <v>293</v>
      </c>
      <c r="C13" s="119">
        <f>IFERROR(C15/C14,0)</f>
        <v>0</v>
      </c>
      <c r="D13" s="119">
        <f t="shared" ref="D13:G13" si="2">IFERROR(D15/D14,0)</f>
        <v>0</v>
      </c>
      <c r="E13" s="119" t="s">
        <v>291</v>
      </c>
      <c r="F13" s="119">
        <f t="shared" si="2"/>
        <v>0</v>
      </c>
      <c r="G13" s="119">
        <f t="shared" si="2"/>
        <v>0</v>
      </c>
      <c r="H13" s="98"/>
      <c r="I13" t="s">
        <v>410</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x14ac:dyDescent="0.3">
      <c r="A14"/>
      <c r="B14" t="s">
        <v>294</v>
      </c>
      <c r="C14" s="36">
        <f>-SUM(C32:BJ32)</f>
        <v>0</v>
      </c>
      <c r="D14" s="36">
        <f>-SUM(C77:BJ77)</f>
        <v>0</v>
      </c>
      <c r="E14" s="36" t="s">
        <v>291</v>
      </c>
      <c r="F14" s="36">
        <f>-SUM(C104:BJ104)</f>
        <v>0</v>
      </c>
      <c r="G14" s="36">
        <f>-SUM(C98:BJ98)</f>
        <v>0</v>
      </c>
      <c r="H14" s="36"/>
      <c r="I14" s="3" t="s">
        <v>413</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x14ac:dyDescent="0.3">
      <c r="A15"/>
      <c r="B15" t="s">
        <v>295</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x14ac:dyDescent="0.3">
      <c r="A16"/>
      <c r="B16" t="s">
        <v>296</v>
      </c>
      <c r="C16" s="36" t="e">
        <f>+C15-C14</f>
        <v>#REF!</v>
      </c>
      <c r="D16" s="36" t="e">
        <f>+D15-D14</f>
        <v>#REF!</v>
      </c>
      <c r="E16" s="36" t="s">
        <v>291</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x14ac:dyDescent="0.3">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x14ac:dyDescent="0.3">
      <c r="A18"/>
      <c r="B18" s="55" t="s">
        <v>414</v>
      </c>
      <c r="C18" s="74" t="s">
        <v>50</v>
      </c>
      <c r="D18" s="74" t="s">
        <v>19</v>
      </c>
      <c r="E18" s="74" t="e">
        <f>+TEXT(#REF!,"")</f>
        <v>#REF!</v>
      </c>
      <c r="F18" s="74" t="e">
        <f>+TEXT(#REF!,"")</f>
        <v>#REF!</v>
      </c>
      <c r="G18" s="74"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x14ac:dyDescent="0.3">
      <c r="A19"/>
      <c r="B19" t="s">
        <v>410</v>
      </c>
      <c r="C19" s="34" t="e">
        <f>+#REF!</f>
        <v>#REF!</v>
      </c>
      <c r="D19" s="86">
        <f>IFERROR(C19/C$21,0)</f>
        <v>0</v>
      </c>
      <c r="E19" s="74" t="e">
        <f>+TEXT(#REF!,"")</f>
        <v>#REF!</v>
      </c>
      <c r="F19" s="74" t="e">
        <f>+TEXT(#REF!,"")</f>
        <v>#REF!</v>
      </c>
      <c r="G19" s="74"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x14ac:dyDescent="0.3">
      <c r="A20"/>
      <c r="B20" t="s">
        <v>409</v>
      </c>
      <c r="C20" s="34" t="e">
        <f>+#REF!</f>
        <v>#REF!</v>
      </c>
      <c r="D20" s="86">
        <f>IFERROR(C20/C$21,0)</f>
        <v>0</v>
      </c>
      <c r="E20" s="74" t="e">
        <f>+TEXT(#REF!,"")</f>
        <v>#REF!</v>
      </c>
      <c r="F20" s="74" t="e">
        <f>+TEXT(#REF!,"")</f>
        <v>#REF!</v>
      </c>
      <c r="G20" s="74"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x14ac:dyDescent="0.3">
      <c r="A21"/>
      <c r="B21" s="3" t="s">
        <v>43</v>
      </c>
      <c r="C21" s="35" t="e">
        <f>SUM(C19:C20)</f>
        <v>#REF!</v>
      </c>
      <c r="D21" s="87">
        <f>SUM(D19:D20)</f>
        <v>0</v>
      </c>
      <c r="E21" s="74" t="e">
        <f>+TEXT(#REF!,"")</f>
        <v>#REF!</v>
      </c>
      <c r="F21" s="74" t="e">
        <f>+TEXT(#REF!,"")</f>
        <v>#REF!</v>
      </c>
      <c r="G21" s="74"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x14ac:dyDescent="0.3">
      <c r="A22"/>
      <c r="B22"/>
      <c r="C22" s="24"/>
      <c r="D22" s="88"/>
      <c r="E22" s="74"/>
      <c r="F22" s="74"/>
      <c r="G22" s="74"/>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x14ac:dyDescent="0.3">
      <c r="A23"/>
      <c r="B23" s="55" t="s">
        <v>415</v>
      </c>
      <c r="C23" s="74" t="s">
        <v>298</v>
      </c>
      <c r="D23" s="74" t="s">
        <v>416</v>
      </c>
      <c r="E23" s="74" t="s">
        <v>417</v>
      </c>
      <c r="F23" s="74" t="s">
        <v>418</v>
      </c>
      <c r="G23" s="74" t="s">
        <v>419</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x14ac:dyDescent="0.3">
      <c r="A24"/>
      <c r="B24" t="e">
        <f>TEXT(#REF!,"")</f>
        <v>#REF!</v>
      </c>
      <c r="C24" s="88" t="e">
        <f>+#REF!</f>
        <v>#REF!</v>
      </c>
      <c r="D24" s="86">
        <v>0</v>
      </c>
      <c r="E24" s="86">
        <f>1-D24</f>
        <v>1</v>
      </c>
      <c r="F24" s="86">
        <f t="shared" ref="F24:F25" si="4">+D24+$D$19*E24</f>
        <v>0</v>
      </c>
      <c r="G24" s="86">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x14ac:dyDescent="0.3">
      <c r="A25"/>
      <c r="B25" t="e">
        <f>TEXT(#REF!,"")</f>
        <v>#REF!</v>
      </c>
      <c r="C25" s="86" t="e">
        <f>+#REF!</f>
        <v>#REF!</v>
      </c>
      <c r="D25" s="86">
        <v>0</v>
      </c>
      <c r="E25" s="86">
        <f t="shared" ref="E25:E26" si="5">1-D25</f>
        <v>1</v>
      </c>
      <c r="F25" s="86">
        <f t="shared" si="4"/>
        <v>0</v>
      </c>
      <c r="G25" s="86">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x14ac:dyDescent="0.3">
      <c r="A26"/>
      <c r="B26" t="e">
        <f>TEXT(#REF!,"")</f>
        <v>#REF!</v>
      </c>
      <c r="C26" s="86" t="e">
        <f>+#REF!</f>
        <v>#REF!</v>
      </c>
      <c r="D26" s="88" t="e">
        <f>+#REF!</f>
        <v>#REF!</v>
      </c>
      <c r="E26" s="86" t="e">
        <f t="shared" si="5"/>
        <v>#REF!</v>
      </c>
      <c r="F26" s="86" t="e">
        <f>+D26+$D$19*E26</f>
        <v>#REF!</v>
      </c>
      <c r="G26" s="86"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x14ac:dyDescent="0.3">
      <c r="A27"/>
      <c r="B27"/>
      <c r="C27"/>
      <c r="D27"/>
      <c r="E27" s="74"/>
      <c r="F27" s="74"/>
      <c r="G27" s="74"/>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x14ac:dyDescent="0.3">
      <c r="A28"/>
      <c r="B28" s="55" t="s">
        <v>420</v>
      </c>
      <c r="C28"/>
      <c r="D28"/>
      <c r="E28" s="74"/>
      <c r="F28" s="74"/>
      <c r="G28" s="74"/>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x14ac:dyDescent="0.3">
      <c r="A29"/>
      <c r="B29" s="41" t="s">
        <v>320</v>
      </c>
      <c r="C29"/>
      <c r="D29"/>
      <c r="E29" s="74"/>
      <c r="F29" s="74"/>
      <c r="G29" s="74"/>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x14ac:dyDescent="0.3">
      <c r="A30"/>
      <c r="B30" t="s">
        <v>421</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x14ac:dyDescent="0.3">
      <c r="A31"/>
      <c r="B31" t="s">
        <v>422</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x14ac:dyDescent="0.3">
      <c r="A32"/>
      <c r="B32" s="3" t="s">
        <v>321</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x14ac:dyDescent="0.3">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x14ac:dyDescent="0.3">
      <c r="A34"/>
      <c r="B34" s="41" t="s">
        <v>423</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x14ac:dyDescent="0.3">
      <c r="A35"/>
      <c r="B35" t="s">
        <v>424</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x14ac:dyDescent="0.3">
      <c r="A36"/>
      <c r="B36" t="s">
        <v>425</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x14ac:dyDescent="0.3">
      <c r="A37"/>
      <c r="B37" s="3" t="s">
        <v>325</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x14ac:dyDescent="0.3">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x14ac:dyDescent="0.3">
      <c r="A39"/>
      <c r="B39" t="s">
        <v>426</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x14ac:dyDescent="0.3">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x14ac:dyDescent="0.3">
      <c r="A41"/>
      <c r="B41" s="55" t="s">
        <v>427</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x14ac:dyDescent="0.3">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x14ac:dyDescent="0.3">
      <c r="A43"/>
      <c r="B43" t="s">
        <v>327</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x14ac:dyDescent="0.3">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x14ac:dyDescent="0.3">
      <c r="A45"/>
      <c r="B45" t="s">
        <v>328</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x14ac:dyDescent="0.3">
      <c r="A46"/>
      <c r="B46" t="s">
        <v>329</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x14ac:dyDescent="0.3">
      <c r="A47"/>
      <c r="B47" t="s">
        <v>330</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x14ac:dyDescent="0.3">
      <c r="A48"/>
      <c r="B48" s="3" t="s">
        <v>331</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x14ac:dyDescent="0.3">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x14ac:dyDescent="0.3">
      <c r="A50"/>
      <c r="B50" t="s">
        <v>428</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x14ac:dyDescent="0.3">
      <c r="A51"/>
      <c r="B51" t="s">
        <v>329</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x14ac:dyDescent="0.3">
      <c r="A52"/>
      <c r="B52" t="s">
        <v>355</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x14ac:dyDescent="0.3">
      <c r="A53"/>
      <c r="B53" t="s">
        <v>330</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x14ac:dyDescent="0.3">
      <c r="A54"/>
      <c r="B54" t="s">
        <v>356</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x14ac:dyDescent="0.3">
      <c r="A55"/>
      <c r="B55" s="3" t="s">
        <v>429</v>
      </c>
      <c r="C55" s="118">
        <f>SUM(C50:C54)</f>
        <v>0</v>
      </c>
      <c r="D55" s="118" t="e">
        <f t="shared" ref="D55:BJ55" si="136">SUM(D50:D54)</f>
        <v>#REF!</v>
      </c>
      <c r="E55" s="118" t="e">
        <f t="shared" si="136"/>
        <v>#REF!</v>
      </c>
      <c r="F55" s="118" t="e">
        <f t="shared" si="136"/>
        <v>#REF!</v>
      </c>
      <c r="G55" s="118" t="e">
        <f t="shared" si="136"/>
        <v>#REF!</v>
      </c>
      <c r="H55" s="118" t="e">
        <f t="shared" si="136"/>
        <v>#REF!</v>
      </c>
      <c r="I55" s="118" t="e">
        <f t="shared" si="136"/>
        <v>#REF!</v>
      </c>
      <c r="J55" s="118" t="e">
        <f t="shared" si="136"/>
        <v>#REF!</v>
      </c>
      <c r="K55" s="118" t="e">
        <f t="shared" si="136"/>
        <v>#REF!</v>
      </c>
      <c r="L55" s="118" t="e">
        <f t="shared" si="136"/>
        <v>#REF!</v>
      </c>
      <c r="M55" s="118" t="e">
        <f t="shared" si="136"/>
        <v>#REF!</v>
      </c>
      <c r="N55" s="118" t="e">
        <f t="shared" si="136"/>
        <v>#REF!</v>
      </c>
      <c r="O55" s="118" t="e">
        <f t="shared" si="136"/>
        <v>#REF!</v>
      </c>
      <c r="P55" s="118" t="e">
        <f t="shared" si="136"/>
        <v>#REF!</v>
      </c>
      <c r="Q55" s="118" t="e">
        <f t="shared" si="136"/>
        <v>#REF!</v>
      </c>
      <c r="R55" s="118" t="e">
        <f t="shared" si="136"/>
        <v>#REF!</v>
      </c>
      <c r="S55" s="118" t="e">
        <f t="shared" si="136"/>
        <v>#REF!</v>
      </c>
      <c r="T55" s="118" t="e">
        <f t="shared" si="136"/>
        <v>#REF!</v>
      </c>
      <c r="U55" s="118" t="e">
        <f t="shared" si="136"/>
        <v>#REF!</v>
      </c>
      <c r="V55" s="118" t="e">
        <f t="shared" si="136"/>
        <v>#REF!</v>
      </c>
      <c r="W55" s="118" t="e">
        <f t="shared" si="136"/>
        <v>#REF!</v>
      </c>
      <c r="X55" s="118" t="e">
        <f t="shared" si="136"/>
        <v>#REF!</v>
      </c>
      <c r="Y55" s="118" t="e">
        <f t="shared" si="136"/>
        <v>#REF!</v>
      </c>
      <c r="Z55" s="118" t="e">
        <f t="shared" si="136"/>
        <v>#REF!</v>
      </c>
      <c r="AA55" s="118" t="e">
        <f t="shared" si="136"/>
        <v>#REF!</v>
      </c>
      <c r="AB55" s="118" t="e">
        <f t="shared" si="136"/>
        <v>#REF!</v>
      </c>
      <c r="AC55" s="118" t="e">
        <f t="shared" si="136"/>
        <v>#REF!</v>
      </c>
      <c r="AD55" s="118" t="e">
        <f t="shared" si="136"/>
        <v>#REF!</v>
      </c>
      <c r="AE55" s="118" t="e">
        <f t="shared" si="136"/>
        <v>#REF!</v>
      </c>
      <c r="AF55" s="118" t="e">
        <f t="shared" si="136"/>
        <v>#REF!</v>
      </c>
      <c r="AG55" s="118" t="e">
        <f t="shared" si="136"/>
        <v>#REF!</v>
      </c>
      <c r="AH55" s="118" t="e">
        <f t="shared" si="136"/>
        <v>#REF!</v>
      </c>
      <c r="AI55" s="118" t="e">
        <f t="shared" si="136"/>
        <v>#REF!</v>
      </c>
      <c r="AJ55" s="118" t="e">
        <f t="shared" si="136"/>
        <v>#REF!</v>
      </c>
      <c r="AK55" s="118" t="e">
        <f t="shared" si="136"/>
        <v>#REF!</v>
      </c>
      <c r="AL55" s="118" t="e">
        <f t="shared" si="136"/>
        <v>#REF!</v>
      </c>
      <c r="AM55" s="118" t="e">
        <f t="shared" si="136"/>
        <v>#REF!</v>
      </c>
      <c r="AN55" s="118" t="e">
        <f t="shared" si="136"/>
        <v>#REF!</v>
      </c>
      <c r="AO55" s="118" t="e">
        <f t="shared" si="136"/>
        <v>#REF!</v>
      </c>
      <c r="AP55" s="118" t="e">
        <f t="shared" si="136"/>
        <v>#REF!</v>
      </c>
      <c r="AQ55" s="118" t="e">
        <f t="shared" si="136"/>
        <v>#REF!</v>
      </c>
      <c r="AR55" s="118" t="e">
        <f t="shared" si="136"/>
        <v>#REF!</v>
      </c>
      <c r="AS55" s="118" t="e">
        <f t="shared" si="136"/>
        <v>#REF!</v>
      </c>
      <c r="AT55" s="118" t="e">
        <f t="shared" si="136"/>
        <v>#REF!</v>
      </c>
      <c r="AU55" s="118" t="e">
        <f t="shared" si="136"/>
        <v>#REF!</v>
      </c>
      <c r="AV55" s="118" t="e">
        <f t="shared" si="136"/>
        <v>#REF!</v>
      </c>
      <c r="AW55" s="118" t="e">
        <f t="shared" si="136"/>
        <v>#REF!</v>
      </c>
      <c r="AX55" s="118" t="e">
        <f t="shared" si="136"/>
        <v>#REF!</v>
      </c>
      <c r="AY55" s="118" t="e">
        <f t="shared" si="136"/>
        <v>#REF!</v>
      </c>
      <c r="AZ55" s="118" t="e">
        <f t="shared" si="136"/>
        <v>#REF!</v>
      </c>
      <c r="BA55" s="118" t="e">
        <f t="shared" si="136"/>
        <v>#REF!</v>
      </c>
      <c r="BB55" s="118" t="e">
        <f t="shared" si="136"/>
        <v>#REF!</v>
      </c>
      <c r="BC55" s="118" t="e">
        <f t="shared" si="136"/>
        <v>#REF!</v>
      </c>
      <c r="BD55" s="118" t="e">
        <f t="shared" si="136"/>
        <v>#REF!</v>
      </c>
      <c r="BE55" s="118" t="e">
        <f t="shared" si="136"/>
        <v>#REF!</v>
      </c>
      <c r="BF55" s="118" t="e">
        <f t="shared" si="136"/>
        <v>#REF!</v>
      </c>
      <c r="BG55" s="118" t="e">
        <f t="shared" si="136"/>
        <v>#REF!</v>
      </c>
      <c r="BH55" s="118" t="e">
        <f t="shared" si="136"/>
        <v>#REF!</v>
      </c>
      <c r="BI55" s="118" t="e">
        <f t="shared" si="136"/>
        <v>#REF!</v>
      </c>
      <c r="BJ55" s="118" t="e">
        <f t="shared" si="136"/>
        <v>#REF!</v>
      </c>
      <c r="BK55"/>
      <c r="BL55" s="5"/>
    </row>
    <row r="56" spans="1:64" x14ac:dyDescent="0.3">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x14ac:dyDescent="0.3">
      <c r="A57"/>
      <c r="B57" t="s">
        <v>336</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x14ac:dyDescent="0.3">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x14ac:dyDescent="0.3">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x14ac:dyDescent="0.3">
      <c r="A60"/>
      <c r="B60" t="s">
        <v>327</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x14ac:dyDescent="0.3">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x14ac:dyDescent="0.3">
      <c r="A62"/>
      <c r="B62" t="s">
        <v>430</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x14ac:dyDescent="0.3">
      <c r="A63"/>
      <c r="B63" t="s">
        <v>355</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x14ac:dyDescent="0.3">
      <c r="A64"/>
      <c r="B64" t="s">
        <v>356</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x14ac:dyDescent="0.3">
      <c r="A65"/>
      <c r="B65" s="3" t="s">
        <v>431</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x14ac:dyDescent="0.3">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x14ac:dyDescent="0.3">
      <c r="A67"/>
      <c r="B67" t="s">
        <v>340</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x14ac:dyDescent="0.3">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x14ac:dyDescent="0.3">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x14ac:dyDescent="0.3">
      <c r="A70"/>
      <c r="B70" t="s">
        <v>327</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x14ac:dyDescent="0.3">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x14ac:dyDescent="0.3">
      <c r="A72"/>
      <c r="B72" t="s">
        <v>432</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x14ac:dyDescent="0.3">
      <c r="A73"/>
      <c r="B73" t="s">
        <v>433</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x14ac:dyDescent="0.3">
      <c r="A74"/>
      <c r="B74" s="3" t="s">
        <v>382</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x14ac:dyDescent="0.3">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x14ac:dyDescent="0.3">
      <c r="A76"/>
      <c r="B76" s="28" t="s">
        <v>434</v>
      </c>
      <c r="C76"/>
      <c r="D76"/>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c r="BL76" s="5"/>
    </row>
    <row r="77" spans="1:64" x14ac:dyDescent="0.3">
      <c r="A77"/>
      <c r="B77" t="s">
        <v>294</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x14ac:dyDescent="0.3">
      <c r="A78"/>
      <c r="B78" t="s">
        <v>336</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x14ac:dyDescent="0.3">
      <c r="A79"/>
      <c r="B79" t="s">
        <v>340</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x14ac:dyDescent="0.3">
      <c r="A80"/>
      <c r="B80" t="s">
        <v>342</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x14ac:dyDescent="0.3">
      <c r="A81"/>
      <c r="B81" s="3" t="s">
        <v>43</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x14ac:dyDescent="0.3">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x14ac:dyDescent="0.3">
      <c r="A83"/>
      <c r="B83" s="28" t="s">
        <v>435</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x14ac:dyDescent="0.3">
      <c r="A84"/>
      <c r="B84" t="s">
        <v>294</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x14ac:dyDescent="0.3">
      <c r="A85"/>
      <c r="B85" t="s">
        <v>336</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x14ac:dyDescent="0.3">
      <c r="A86"/>
      <c r="B86" t="s">
        <v>340</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x14ac:dyDescent="0.3">
      <c r="A87"/>
      <c r="B87" t="s">
        <v>342</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x14ac:dyDescent="0.3">
      <c r="A88"/>
      <c r="B88" s="3" t="s">
        <v>43</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x14ac:dyDescent="0.3">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x14ac:dyDescent="0.3">
      <c r="A90"/>
      <c r="B90" s="28" t="s">
        <v>426</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x14ac:dyDescent="0.3">
      <c r="A91"/>
      <c r="B91" t="s">
        <v>294</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x14ac:dyDescent="0.3">
      <c r="A92"/>
      <c r="B92" t="s">
        <v>336</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x14ac:dyDescent="0.3">
      <c r="A93"/>
      <c r="B93" t="s">
        <v>340</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x14ac:dyDescent="0.3">
      <c r="A94"/>
      <c r="B94" t="s">
        <v>342</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x14ac:dyDescent="0.3">
      <c r="A95"/>
      <c r="B95" s="3" t="s">
        <v>43</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x14ac:dyDescent="0.3">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x14ac:dyDescent="0.3">
      <c r="A97"/>
      <c r="B97" s="28" t="s">
        <v>436</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x14ac:dyDescent="0.3">
      <c r="A98"/>
      <c r="B98" t="s">
        <v>294</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x14ac:dyDescent="0.3">
      <c r="A99"/>
      <c r="B99" t="s">
        <v>437</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x14ac:dyDescent="0.3">
      <c r="A100"/>
      <c r="B100" t="s">
        <v>438</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x14ac:dyDescent="0.3">
      <c r="A101"/>
      <c r="B101" s="3" t="s">
        <v>43</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x14ac:dyDescent="0.3">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x14ac:dyDescent="0.3">
      <c r="A103"/>
      <c r="B103" s="28" t="s">
        <v>439</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x14ac:dyDescent="0.3">
      <c r="A104"/>
      <c r="B104" t="s">
        <v>294</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x14ac:dyDescent="0.3">
      <c r="A105"/>
      <c r="B105" t="s">
        <v>437</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x14ac:dyDescent="0.3">
      <c r="A106"/>
      <c r="B106" t="s">
        <v>438</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x14ac:dyDescent="0.3">
      <c r="A107"/>
      <c r="B107" s="3" t="s">
        <v>43</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x14ac:dyDescent="0.3">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x14ac:dyDescent="0.3">
      <c r="A109"/>
      <c r="B109" s="40" t="s">
        <v>398</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x14ac:dyDescent="0.3">
      <c r="A110"/>
      <c r="B110" t="s">
        <v>440</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x14ac:dyDescent="0.3">
      <c r="A111"/>
      <c r="B111" t="s">
        <v>441</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x14ac:dyDescent="0.3">
      <c r="A112"/>
      <c r="B112" s="3" t="s">
        <v>43</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x14ac:dyDescent="0.3">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x14ac:dyDescent="0.3">
      <c r="A114"/>
      <c r="B114" t="s">
        <v>402</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x14ac:dyDescent="0.3">
      <c r="A115"/>
      <c r="B115" t="s">
        <v>403</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x14ac:dyDescent="0.3">
      <c r="A116"/>
      <c r="B116" s="3" t="s">
        <v>404</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x14ac:dyDescent="0.3">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x14ac:dyDescent="0.3">
      <c r="A118"/>
      <c r="B118" t="s">
        <v>279</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x14ac:dyDescent="0.3">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109375" defaultRowHeight="14.4" x14ac:dyDescent="0.3"/>
  <cols>
    <col min="1" max="1" width="3.6640625" style="4" customWidth="1"/>
    <col min="2" max="4" width="14.6640625" style="4" customWidth="1"/>
    <col min="5" max="6" width="3.6640625" style="4" customWidth="1"/>
    <col min="7" max="16384" width="9.109375" style="4"/>
  </cols>
  <sheetData>
    <row r="1" spans="1:7" ht="25.8" x14ac:dyDescent="0.5">
      <c r="A1" s="7" t="str">
        <f>TEXT(Global!$C$7,"")</f>
        <v>Grandle Drive</v>
      </c>
      <c r="B1"/>
      <c r="C1"/>
      <c r="D1"/>
      <c r="E1"/>
      <c r="F1" s="5"/>
    </row>
    <row r="2" spans="1:7" ht="20.399999999999999" thickBot="1" x14ac:dyDescent="0.45">
      <c r="A2" s="8" t="s">
        <v>442</v>
      </c>
      <c r="B2" s="2"/>
      <c r="C2" s="2"/>
      <c r="D2" s="2"/>
      <c r="E2" s="2"/>
      <c r="F2" s="5"/>
    </row>
    <row r="5" spans="1:7" x14ac:dyDescent="0.3">
      <c r="A5" s="3"/>
      <c r="B5" s="3"/>
      <c r="C5" s="3"/>
      <c r="D5" s="3"/>
      <c r="E5" s="3"/>
      <c r="F5" s="5"/>
    </row>
    <row r="6" spans="1:7" x14ac:dyDescent="0.3">
      <c r="A6"/>
      <c r="B6" s="11" t="s">
        <v>281</v>
      </c>
      <c r="C6" s="11" t="s">
        <v>443</v>
      </c>
      <c r="D6" s="11" t="s">
        <v>90</v>
      </c>
      <c r="E6"/>
      <c r="F6" s="5"/>
      <c r="G6" s="61"/>
    </row>
    <row r="7" spans="1:7" x14ac:dyDescent="0.3">
      <c r="A7"/>
      <c r="B7" s="38">
        <v>45443</v>
      </c>
      <c r="C7" s="39">
        <f>EOMONTH(B7,0)</f>
        <v>45443</v>
      </c>
      <c r="D7" s="60">
        <v>5.3298100000000001E-2</v>
      </c>
      <c r="E7"/>
      <c r="F7" s="5"/>
    </row>
    <row r="8" spans="1:7" x14ac:dyDescent="0.3">
      <c r="A8"/>
      <c r="B8" s="38">
        <v>45473</v>
      </c>
      <c r="C8" s="39">
        <f t="shared" ref="C8:C71" si="0">EOMONTH(B8,0)</f>
        <v>45473</v>
      </c>
      <c r="D8" s="60">
        <v>5.3242200000000003E-2</v>
      </c>
      <c r="E8"/>
      <c r="F8" s="5"/>
    </row>
    <row r="9" spans="1:7" x14ac:dyDescent="0.3">
      <c r="A9"/>
      <c r="B9" s="38">
        <v>45504</v>
      </c>
      <c r="C9" s="39">
        <f t="shared" si="0"/>
        <v>45504</v>
      </c>
      <c r="D9" s="60">
        <v>5.2961799999999996E-2</v>
      </c>
      <c r="E9"/>
      <c r="F9" s="5"/>
    </row>
    <row r="10" spans="1:7" x14ac:dyDescent="0.3">
      <c r="A10"/>
      <c r="B10" s="38">
        <v>45535</v>
      </c>
      <c r="C10" s="39">
        <f t="shared" si="0"/>
        <v>45535</v>
      </c>
      <c r="D10" s="60">
        <v>5.2364399999999998E-2</v>
      </c>
      <c r="E10"/>
      <c r="F10" s="5"/>
    </row>
    <row r="11" spans="1:7" x14ac:dyDescent="0.3">
      <c r="A11"/>
      <c r="B11" s="38">
        <v>45565</v>
      </c>
      <c r="C11" s="39">
        <f t="shared" si="0"/>
        <v>45565</v>
      </c>
      <c r="D11" s="60">
        <v>5.1806900000000003E-2</v>
      </c>
      <c r="E11"/>
      <c r="F11" s="5"/>
    </row>
    <row r="12" spans="1:7" x14ac:dyDescent="0.3">
      <c r="A12"/>
      <c r="B12" s="38">
        <v>45596</v>
      </c>
      <c r="C12" s="39">
        <f t="shared" si="0"/>
        <v>45596</v>
      </c>
      <c r="D12" s="60">
        <v>5.1173099999999999E-2</v>
      </c>
      <c r="E12"/>
      <c r="F12" s="5"/>
    </row>
    <row r="13" spans="1:7" x14ac:dyDescent="0.3">
      <c r="A13"/>
      <c r="B13" s="38">
        <v>45626</v>
      </c>
      <c r="C13" s="39">
        <f t="shared" si="0"/>
        <v>45626</v>
      </c>
      <c r="D13" s="60">
        <v>5.0455699999999999E-2</v>
      </c>
      <c r="E13"/>
      <c r="F13" s="5"/>
    </row>
    <row r="14" spans="1:7" x14ac:dyDescent="0.3">
      <c r="A14"/>
      <c r="B14" s="38">
        <v>45657</v>
      </c>
      <c r="C14" s="39">
        <f t="shared" si="0"/>
        <v>45657</v>
      </c>
      <c r="D14" s="60">
        <v>4.9756500000000002E-2</v>
      </c>
      <c r="E14"/>
      <c r="F14" s="5"/>
    </row>
    <row r="15" spans="1:7" x14ac:dyDescent="0.3">
      <c r="A15"/>
      <c r="B15" s="38">
        <v>45688</v>
      </c>
      <c r="C15" s="39">
        <f t="shared" si="0"/>
        <v>45688</v>
      </c>
      <c r="D15" s="60">
        <v>4.8939500000000004E-2</v>
      </c>
      <c r="E15"/>
      <c r="F15" s="5"/>
    </row>
    <row r="16" spans="1:7" x14ac:dyDescent="0.3">
      <c r="A16"/>
      <c r="B16" s="38">
        <v>45716</v>
      </c>
      <c r="C16" s="39">
        <f t="shared" si="0"/>
        <v>45716</v>
      </c>
      <c r="D16" s="60">
        <v>4.8378300000000006E-2</v>
      </c>
      <c r="E16"/>
      <c r="F16" s="5"/>
    </row>
    <row r="17" spans="1:6" x14ac:dyDescent="0.3">
      <c r="A17"/>
      <c r="B17" s="38">
        <v>45747</v>
      </c>
      <c r="C17" s="39">
        <f t="shared" si="0"/>
        <v>45747</v>
      </c>
      <c r="D17" s="60">
        <v>4.77116E-2</v>
      </c>
      <c r="E17"/>
      <c r="F17" s="5"/>
    </row>
    <row r="18" spans="1:6" x14ac:dyDescent="0.3">
      <c r="A18"/>
      <c r="B18" s="38">
        <v>45777</v>
      </c>
      <c r="C18" s="39">
        <f t="shared" si="0"/>
        <v>45777</v>
      </c>
      <c r="D18" s="60">
        <v>4.6902600000000003E-2</v>
      </c>
      <c r="E18"/>
      <c r="F18" s="5"/>
    </row>
    <row r="19" spans="1:6" x14ac:dyDescent="0.3">
      <c r="A19"/>
      <c r="B19" s="38">
        <v>45808</v>
      </c>
      <c r="C19" s="39">
        <f t="shared" si="0"/>
        <v>45808</v>
      </c>
      <c r="D19" s="60">
        <v>4.4623100000000006E-2</v>
      </c>
      <c r="E19"/>
      <c r="F19" s="5"/>
    </row>
    <row r="20" spans="1:6" x14ac:dyDescent="0.3">
      <c r="A20"/>
      <c r="B20" s="38">
        <v>45838</v>
      </c>
      <c r="C20" s="39">
        <f t="shared" si="0"/>
        <v>45838</v>
      </c>
      <c r="D20" s="60">
        <v>4.4555699999999997E-2</v>
      </c>
      <c r="E20"/>
      <c r="F20" s="5"/>
    </row>
    <row r="21" spans="1:6" x14ac:dyDescent="0.3">
      <c r="A21"/>
      <c r="B21" s="38">
        <v>45869</v>
      </c>
      <c r="C21" s="39">
        <f t="shared" si="0"/>
        <v>45869</v>
      </c>
      <c r="D21" s="60">
        <v>4.4550200000000005E-2</v>
      </c>
      <c r="E21"/>
      <c r="F21" s="5"/>
    </row>
    <row r="22" spans="1:6" x14ac:dyDescent="0.3">
      <c r="A22"/>
      <c r="B22" s="38">
        <v>45900</v>
      </c>
      <c r="C22" s="39">
        <f t="shared" si="0"/>
        <v>45900</v>
      </c>
      <c r="D22" s="60">
        <v>4.4547400000000001E-2</v>
      </c>
      <c r="E22"/>
      <c r="F22" s="5"/>
    </row>
    <row r="23" spans="1:6" x14ac:dyDescent="0.3">
      <c r="A23"/>
      <c r="B23" s="38">
        <v>45930</v>
      </c>
      <c r="C23" s="39">
        <f t="shared" si="0"/>
        <v>45930</v>
      </c>
      <c r="D23" s="60">
        <v>4.4553000000000002E-2</v>
      </c>
      <c r="E23"/>
      <c r="F23" s="5"/>
    </row>
    <row r="24" spans="1:6" x14ac:dyDescent="0.3">
      <c r="A24"/>
      <c r="B24" s="38">
        <v>45961</v>
      </c>
      <c r="C24" s="39">
        <f t="shared" si="0"/>
        <v>45961</v>
      </c>
      <c r="D24" s="60">
        <v>4.4547400000000001E-2</v>
      </c>
      <c r="E24"/>
      <c r="F24" s="5"/>
    </row>
    <row r="25" spans="1:6" x14ac:dyDescent="0.3">
      <c r="A25"/>
      <c r="B25" s="38">
        <v>45991</v>
      </c>
      <c r="C25" s="39">
        <f t="shared" si="0"/>
        <v>45991</v>
      </c>
      <c r="D25" s="60">
        <v>4.1920400000000003E-2</v>
      </c>
      <c r="E25"/>
      <c r="F25" s="5"/>
    </row>
    <row r="26" spans="1:6" x14ac:dyDescent="0.3">
      <c r="A26"/>
      <c r="B26" s="38">
        <v>46022</v>
      </c>
      <c r="C26" s="39">
        <f t="shared" si="0"/>
        <v>46022</v>
      </c>
      <c r="D26" s="60">
        <v>4.1289400000000004E-2</v>
      </c>
      <c r="E26"/>
      <c r="F26" s="5"/>
    </row>
    <row r="27" spans="1:6" x14ac:dyDescent="0.3">
      <c r="A27"/>
      <c r="B27" s="38">
        <v>46053</v>
      </c>
      <c r="C27" s="39">
        <f t="shared" si="0"/>
        <v>46053</v>
      </c>
      <c r="D27" s="60">
        <v>4.1282300000000001E-2</v>
      </c>
      <c r="E27"/>
      <c r="F27" s="5"/>
    </row>
    <row r="28" spans="1:6" x14ac:dyDescent="0.3">
      <c r="A28"/>
      <c r="B28" s="38">
        <v>46081</v>
      </c>
      <c r="C28" s="39">
        <f t="shared" si="0"/>
        <v>46081</v>
      </c>
      <c r="D28" s="60">
        <v>4.1289400000000004E-2</v>
      </c>
      <c r="E28"/>
      <c r="F28" s="5"/>
    </row>
    <row r="29" spans="1:6" x14ac:dyDescent="0.3">
      <c r="A29"/>
      <c r="B29" s="38">
        <v>46112</v>
      </c>
      <c r="C29" s="39">
        <f t="shared" si="0"/>
        <v>46112</v>
      </c>
      <c r="D29" s="60">
        <v>4.1291700000000001E-2</v>
      </c>
      <c r="E29"/>
      <c r="F29" s="5"/>
    </row>
    <row r="30" spans="1:6" x14ac:dyDescent="0.3">
      <c r="A30"/>
      <c r="B30" s="38">
        <v>46142</v>
      </c>
      <c r="C30" s="39">
        <f t="shared" si="0"/>
        <v>46142</v>
      </c>
      <c r="D30" s="60">
        <v>4.1289400000000004E-2</v>
      </c>
      <c r="E30"/>
      <c r="F30" s="5"/>
    </row>
    <row r="31" spans="1:6" x14ac:dyDescent="0.3">
      <c r="A31"/>
      <c r="B31" s="38">
        <v>46173</v>
      </c>
      <c r="C31" s="39">
        <f t="shared" si="0"/>
        <v>46173</v>
      </c>
      <c r="D31" s="60">
        <v>3.9487800000000003E-2</v>
      </c>
      <c r="E31"/>
      <c r="F31" s="5"/>
    </row>
    <row r="32" spans="1:6" x14ac:dyDescent="0.3">
      <c r="A32"/>
      <c r="B32" s="38">
        <v>46203</v>
      </c>
      <c r="C32" s="39">
        <f t="shared" si="0"/>
        <v>46203</v>
      </c>
      <c r="D32" s="60">
        <v>3.9042300000000002E-2</v>
      </c>
      <c r="E32"/>
      <c r="F32" s="5"/>
    </row>
    <row r="33" spans="1:6" x14ac:dyDescent="0.3">
      <c r="A33"/>
      <c r="B33" s="38">
        <v>46234</v>
      </c>
      <c r="C33" s="39">
        <f t="shared" si="0"/>
        <v>46234</v>
      </c>
      <c r="D33" s="60">
        <v>3.9040199999999997E-2</v>
      </c>
      <c r="E33"/>
      <c r="F33" s="5"/>
    </row>
    <row r="34" spans="1:6" x14ac:dyDescent="0.3">
      <c r="A34"/>
      <c r="B34" s="38">
        <v>46265</v>
      </c>
      <c r="C34" s="39">
        <f t="shared" si="0"/>
        <v>46265</v>
      </c>
      <c r="D34" s="60">
        <v>3.9038099999999999E-2</v>
      </c>
      <c r="E34"/>
      <c r="F34" s="5"/>
    </row>
    <row r="35" spans="1:6" x14ac:dyDescent="0.3">
      <c r="A35"/>
      <c r="B35" s="38">
        <v>46295</v>
      </c>
      <c r="C35" s="39">
        <f t="shared" si="0"/>
        <v>46295</v>
      </c>
      <c r="D35" s="60">
        <v>3.9040199999999997E-2</v>
      </c>
      <c r="E35"/>
      <c r="F35" s="5"/>
    </row>
    <row r="36" spans="1:6" x14ac:dyDescent="0.3">
      <c r="A36"/>
      <c r="B36" s="38">
        <v>46326</v>
      </c>
      <c r="C36" s="39">
        <f t="shared" si="0"/>
        <v>46326</v>
      </c>
      <c r="D36" s="60">
        <v>3.9038099999999999E-2</v>
      </c>
      <c r="E36"/>
      <c r="F36" s="5"/>
    </row>
    <row r="37" spans="1:6" x14ac:dyDescent="0.3">
      <c r="A37"/>
      <c r="B37" s="38">
        <v>46356</v>
      </c>
      <c r="C37" s="39">
        <f t="shared" si="0"/>
        <v>46356</v>
      </c>
      <c r="D37" s="60">
        <v>3.90444E-2</v>
      </c>
      <c r="E37"/>
      <c r="F37" s="5"/>
    </row>
    <row r="38" spans="1:6" x14ac:dyDescent="0.3">
      <c r="A38"/>
      <c r="B38" s="38">
        <v>46387</v>
      </c>
      <c r="C38" s="39">
        <f t="shared" si="0"/>
        <v>46387</v>
      </c>
      <c r="D38" s="60">
        <v>3.9040199999999997E-2</v>
      </c>
      <c r="E38"/>
      <c r="F38" s="5"/>
    </row>
    <row r="39" spans="1:6" x14ac:dyDescent="0.3">
      <c r="A39"/>
      <c r="B39" s="38">
        <v>46418</v>
      </c>
      <c r="C39" s="39">
        <f t="shared" si="0"/>
        <v>46418</v>
      </c>
      <c r="D39" s="60">
        <v>3.90338E-2</v>
      </c>
      <c r="E39"/>
      <c r="F39" s="5"/>
    </row>
    <row r="40" spans="1:6" x14ac:dyDescent="0.3">
      <c r="A40"/>
      <c r="B40" s="38">
        <v>46446</v>
      </c>
      <c r="C40" s="39">
        <f t="shared" si="0"/>
        <v>46446</v>
      </c>
      <c r="D40" s="60">
        <v>3.9040199999999997E-2</v>
      </c>
      <c r="E40"/>
      <c r="F40" s="5"/>
    </row>
    <row r="41" spans="1:6" x14ac:dyDescent="0.3">
      <c r="A41"/>
      <c r="B41" s="38">
        <v>46477</v>
      </c>
      <c r="C41" s="39">
        <f t="shared" si="0"/>
        <v>46477</v>
      </c>
      <c r="D41" s="60">
        <v>3.9040199999999997E-2</v>
      </c>
      <c r="E41"/>
      <c r="F41" s="5"/>
    </row>
    <row r="42" spans="1:6" x14ac:dyDescent="0.3">
      <c r="A42"/>
      <c r="B42" s="38">
        <v>46507</v>
      </c>
      <c r="C42" s="39">
        <f t="shared" si="0"/>
        <v>46507</v>
      </c>
      <c r="D42" s="60">
        <v>3.9040199999999997E-2</v>
      </c>
      <c r="E42"/>
      <c r="F42" s="5"/>
    </row>
    <row r="43" spans="1:6" x14ac:dyDescent="0.3">
      <c r="A43"/>
      <c r="B43" s="38">
        <v>46538</v>
      </c>
      <c r="C43" s="39">
        <f t="shared" si="0"/>
        <v>46538</v>
      </c>
      <c r="D43" s="60">
        <v>3.8041800000000001E-2</v>
      </c>
      <c r="E43"/>
      <c r="F43" s="5"/>
    </row>
    <row r="44" spans="1:6" x14ac:dyDescent="0.3">
      <c r="A44"/>
      <c r="B44" s="38">
        <v>46568</v>
      </c>
      <c r="C44" s="39">
        <f t="shared" si="0"/>
        <v>46568</v>
      </c>
      <c r="D44" s="60">
        <v>3.7794700000000001E-2</v>
      </c>
      <c r="E44"/>
      <c r="F44" s="5"/>
    </row>
    <row r="45" spans="1:6" x14ac:dyDescent="0.3">
      <c r="A45"/>
      <c r="B45" s="38">
        <v>46599</v>
      </c>
      <c r="C45" s="39">
        <f t="shared" si="0"/>
        <v>46599</v>
      </c>
      <c r="D45" s="60">
        <v>3.7794700000000001E-2</v>
      </c>
      <c r="E45"/>
      <c r="F45" s="5"/>
    </row>
    <row r="46" spans="1:6" x14ac:dyDescent="0.3">
      <c r="A46"/>
      <c r="B46" s="38">
        <v>46630</v>
      </c>
      <c r="C46" s="39">
        <f t="shared" si="0"/>
        <v>46630</v>
      </c>
      <c r="D46" s="60">
        <v>3.7796699999999996E-2</v>
      </c>
      <c r="E46"/>
      <c r="F46" s="5"/>
    </row>
    <row r="47" spans="1:6" x14ac:dyDescent="0.3">
      <c r="A47"/>
      <c r="B47" s="38">
        <v>46660</v>
      </c>
      <c r="C47" s="39">
        <f t="shared" si="0"/>
        <v>46660</v>
      </c>
      <c r="D47" s="60">
        <v>3.7794700000000001E-2</v>
      </c>
      <c r="E47"/>
      <c r="F47" s="5"/>
    </row>
    <row r="48" spans="1:6" x14ac:dyDescent="0.3">
      <c r="A48"/>
      <c r="B48" s="38">
        <v>46691</v>
      </c>
      <c r="C48" s="39">
        <f t="shared" si="0"/>
        <v>46691</v>
      </c>
      <c r="D48" s="60">
        <v>3.7792800000000001E-2</v>
      </c>
      <c r="E48"/>
      <c r="F48" s="5"/>
    </row>
    <row r="49" spans="1:6" x14ac:dyDescent="0.3">
      <c r="A49"/>
      <c r="B49" s="38">
        <v>46721</v>
      </c>
      <c r="C49" s="39">
        <f t="shared" si="0"/>
        <v>46721</v>
      </c>
      <c r="D49" s="60">
        <v>3.7796699999999996E-2</v>
      </c>
      <c r="E49"/>
      <c r="F49" s="5"/>
    </row>
    <row r="50" spans="1:6" x14ac:dyDescent="0.3">
      <c r="A50"/>
      <c r="B50" s="38">
        <v>46752</v>
      </c>
      <c r="C50" s="39">
        <f t="shared" si="0"/>
        <v>46752</v>
      </c>
      <c r="D50" s="60">
        <v>3.7794700000000001E-2</v>
      </c>
      <c r="E50"/>
      <c r="F50" s="5"/>
    </row>
    <row r="51" spans="1:6" x14ac:dyDescent="0.3">
      <c r="A51"/>
      <c r="B51" s="38">
        <v>46783</v>
      </c>
      <c r="C51" s="39">
        <f t="shared" si="0"/>
        <v>46783</v>
      </c>
      <c r="D51" s="60">
        <v>3.7790799999999999E-2</v>
      </c>
      <c r="E51"/>
      <c r="F51" s="5"/>
    </row>
    <row r="52" spans="1:6" x14ac:dyDescent="0.3">
      <c r="A52"/>
      <c r="B52" s="38">
        <v>46812</v>
      </c>
      <c r="C52" s="39">
        <f t="shared" si="0"/>
        <v>46812</v>
      </c>
      <c r="D52" s="60">
        <v>3.7796699999999996E-2</v>
      </c>
      <c r="E52"/>
      <c r="F52" s="5"/>
    </row>
    <row r="53" spans="1:6" x14ac:dyDescent="0.3">
      <c r="A53"/>
      <c r="B53" s="38">
        <v>46843</v>
      </c>
      <c r="C53" s="39">
        <f t="shared" si="0"/>
        <v>46843</v>
      </c>
      <c r="D53" s="60">
        <v>3.7792800000000001E-2</v>
      </c>
      <c r="E53"/>
      <c r="F53" s="5"/>
    </row>
    <row r="54" spans="1:6" x14ac:dyDescent="0.3">
      <c r="A54"/>
      <c r="B54" s="38">
        <v>46873</v>
      </c>
      <c r="C54" s="39">
        <f t="shared" si="0"/>
        <v>46873</v>
      </c>
      <c r="D54" s="60">
        <v>3.7794700000000001E-2</v>
      </c>
      <c r="E54"/>
      <c r="F54" s="5"/>
    </row>
    <row r="55" spans="1:6" x14ac:dyDescent="0.3">
      <c r="A55"/>
      <c r="B55" s="38">
        <v>46904</v>
      </c>
      <c r="C55" s="39">
        <f t="shared" si="0"/>
        <v>46904</v>
      </c>
      <c r="D55" s="60">
        <v>3.7699699999999996E-2</v>
      </c>
      <c r="E55"/>
      <c r="F55" s="5"/>
    </row>
    <row r="56" spans="1:6" x14ac:dyDescent="0.3">
      <c r="A56"/>
      <c r="B56" s="38">
        <v>46934</v>
      </c>
      <c r="C56" s="39">
        <f t="shared" si="0"/>
        <v>46934</v>
      </c>
      <c r="D56" s="60">
        <v>3.7685400000000001E-2</v>
      </c>
      <c r="E56"/>
      <c r="F56" s="5"/>
    </row>
    <row r="57" spans="1:6" x14ac:dyDescent="0.3">
      <c r="A57"/>
      <c r="B57" s="38">
        <v>46965</v>
      </c>
      <c r="C57" s="39">
        <f t="shared" si="0"/>
        <v>46965</v>
      </c>
      <c r="D57" s="60">
        <v>3.76873E-2</v>
      </c>
      <c r="E57"/>
      <c r="F57" s="5"/>
    </row>
    <row r="58" spans="1:6" x14ac:dyDescent="0.3">
      <c r="A58"/>
      <c r="B58" s="38">
        <v>46996</v>
      </c>
      <c r="C58" s="39">
        <f t="shared" si="0"/>
        <v>46996</v>
      </c>
      <c r="D58" s="60">
        <v>3.7679499999999998E-2</v>
      </c>
      <c r="E58"/>
      <c r="F58" s="5"/>
    </row>
    <row r="59" spans="1:6" x14ac:dyDescent="0.3">
      <c r="A59"/>
      <c r="B59" s="38">
        <v>47026</v>
      </c>
      <c r="C59" s="39">
        <f t="shared" si="0"/>
        <v>47026</v>
      </c>
      <c r="D59" s="60">
        <v>3.7681399999999997E-2</v>
      </c>
      <c r="E59"/>
      <c r="F59" s="5"/>
    </row>
    <row r="60" spans="1:6" x14ac:dyDescent="0.3">
      <c r="A60"/>
      <c r="B60" s="38">
        <v>47057</v>
      </c>
      <c r="C60" s="39">
        <f t="shared" si="0"/>
        <v>47057</v>
      </c>
      <c r="D60" s="60">
        <v>3.7683399999999999E-2</v>
      </c>
      <c r="E60"/>
      <c r="F60" s="5"/>
    </row>
    <row r="61" spans="1:6" x14ac:dyDescent="0.3">
      <c r="A61"/>
      <c r="B61" s="38">
        <v>47087</v>
      </c>
      <c r="C61" s="39">
        <f t="shared" si="0"/>
        <v>47087</v>
      </c>
      <c r="D61" s="60">
        <v>3.7681399999999997E-2</v>
      </c>
      <c r="E61"/>
      <c r="F61" s="5"/>
    </row>
    <row r="62" spans="1:6" x14ac:dyDescent="0.3">
      <c r="A62"/>
      <c r="B62" s="38">
        <v>47118</v>
      </c>
      <c r="C62" s="39">
        <f t="shared" si="0"/>
        <v>47118</v>
      </c>
      <c r="D62" s="60">
        <v>3.7685400000000001E-2</v>
      </c>
      <c r="E62"/>
      <c r="F62" s="5"/>
    </row>
    <row r="63" spans="1:6" x14ac:dyDescent="0.3">
      <c r="A63"/>
      <c r="B63" s="38">
        <v>47149</v>
      </c>
      <c r="C63" s="39">
        <f t="shared" si="0"/>
        <v>47149</v>
      </c>
      <c r="D63" s="60">
        <v>3.7675500000000001E-2</v>
      </c>
      <c r="E63"/>
      <c r="F63" s="5"/>
    </row>
    <row r="64" spans="1:6" x14ac:dyDescent="0.3">
      <c r="A64"/>
      <c r="B64" s="38">
        <v>47177</v>
      </c>
      <c r="C64" s="39">
        <f t="shared" si="0"/>
        <v>47177</v>
      </c>
      <c r="D64" s="60">
        <v>3.7681399999999997E-2</v>
      </c>
      <c r="E64"/>
      <c r="F64" s="5"/>
    </row>
    <row r="65" spans="1:6" x14ac:dyDescent="0.3">
      <c r="A65"/>
      <c r="B65" s="38">
        <v>47208</v>
      </c>
      <c r="C65" s="39">
        <f t="shared" si="0"/>
        <v>47208</v>
      </c>
      <c r="D65" s="60">
        <v>3.7679499999999998E-2</v>
      </c>
      <c r="E65"/>
      <c r="F65" s="5"/>
    </row>
    <row r="66" spans="1:6" x14ac:dyDescent="0.3">
      <c r="A66"/>
      <c r="B66" s="38">
        <v>47238</v>
      </c>
      <c r="C66" s="39">
        <f t="shared" si="0"/>
        <v>47238</v>
      </c>
      <c r="D66" s="60">
        <v>3.7685400000000001E-2</v>
      </c>
      <c r="E66"/>
      <c r="F66" s="5"/>
    </row>
    <row r="67" spans="1:6" x14ac:dyDescent="0.3">
      <c r="A67"/>
      <c r="B67" s="38">
        <v>47269</v>
      </c>
      <c r="C67" s="39">
        <f t="shared" si="0"/>
        <v>47269</v>
      </c>
      <c r="D67" s="60">
        <v>3.8156099999999998E-2</v>
      </c>
      <c r="E67"/>
      <c r="F67" s="5"/>
    </row>
    <row r="68" spans="1:6" x14ac:dyDescent="0.3">
      <c r="A68"/>
      <c r="B68" s="38">
        <v>47299</v>
      </c>
      <c r="C68" s="39">
        <f t="shared" si="0"/>
        <v>47299</v>
      </c>
      <c r="D68" s="60">
        <v>3.8188800000000002E-2</v>
      </c>
      <c r="E68"/>
      <c r="F68" s="5"/>
    </row>
    <row r="69" spans="1:6" x14ac:dyDescent="0.3">
      <c r="A69"/>
      <c r="B69" s="38">
        <v>47330</v>
      </c>
      <c r="C69" s="39">
        <f t="shared" si="0"/>
        <v>47330</v>
      </c>
      <c r="D69" s="60">
        <v>3.8192900000000002E-2</v>
      </c>
      <c r="E69"/>
      <c r="F69" s="5"/>
    </row>
    <row r="70" spans="1:6" x14ac:dyDescent="0.3">
      <c r="A70"/>
      <c r="B70" s="38">
        <v>47361</v>
      </c>
      <c r="C70" s="39">
        <f t="shared" si="0"/>
        <v>47361</v>
      </c>
      <c r="D70" s="60">
        <v>3.81868E-2</v>
      </c>
      <c r="E70"/>
      <c r="F70" s="5"/>
    </row>
    <row r="71" spans="1:6" x14ac:dyDescent="0.3">
      <c r="A71"/>
      <c r="B71" s="38">
        <v>47391</v>
      </c>
      <c r="C71" s="39">
        <f t="shared" si="0"/>
        <v>47391</v>
      </c>
      <c r="D71" s="60">
        <v>3.8188800000000002E-2</v>
      </c>
      <c r="E71"/>
      <c r="F71" s="5"/>
    </row>
    <row r="72" spans="1:6" x14ac:dyDescent="0.3">
      <c r="A72"/>
      <c r="B72" s="38">
        <v>47422</v>
      </c>
      <c r="C72" s="39">
        <f t="shared" ref="C72:C126" si="1">EOMONTH(B72,0)</f>
        <v>47422</v>
      </c>
      <c r="D72" s="60">
        <v>3.8188800000000002E-2</v>
      </c>
      <c r="E72"/>
      <c r="F72" s="5"/>
    </row>
    <row r="73" spans="1:6" x14ac:dyDescent="0.3">
      <c r="A73"/>
      <c r="B73" s="38">
        <v>47452</v>
      </c>
      <c r="C73" s="39">
        <f t="shared" si="1"/>
        <v>47452</v>
      </c>
      <c r="D73" s="60">
        <v>3.8188800000000002E-2</v>
      </c>
      <c r="E73"/>
      <c r="F73" s="5"/>
    </row>
    <row r="74" spans="1:6" x14ac:dyDescent="0.3">
      <c r="A74"/>
      <c r="B74" s="38">
        <v>47483</v>
      </c>
      <c r="C74" s="39">
        <f t="shared" si="1"/>
        <v>47483</v>
      </c>
      <c r="D74" s="60">
        <v>3.81909E-2</v>
      </c>
      <c r="E74"/>
      <c r="F74" s="5"/>
    </row>
    <row r="75" spans="1:6" x14ac:dyDescent="0.3">
      <c r="A75"/>
      <c r="B75" s="38">
        <v>47514</v>
      </c>
      <c r="C75" s="39">
        <f t="shared" si="1"/>
        <v>47514</v>
      </c>
      <c r="D75" s="60">
        <v>3.8182800000000003E-2</v>
      </c>
      <c r="E75"/>
      <c r="F75" s="5"/>
    </row>
    <row r="76" spans="1:6" x14ac:dyDescent="0.3">
      <c r="A76"/>
      <c r="B76" s="38">
        <v>47542</v>
      </c>
      <c r="C76" s="39">
        <f t="shared" si="1"/>
        <v>47542</v>
      </c>
      <c r="D76" s="60">
        <v>3.8188800000000002E-2</v>
      </c>
      <c r="E76"/>
      <c r="F76" s="5"/>
    </row>
    <row r="77" spans="1:6" x14ac:dyDescent="0.3">
      <c r="A77"/>
      <c r="B77" s="38">
        <v>47573</v>
      </c>
      <c r="C77" s="39">
        <f t="shared" si="1"/>
        <v>47573</v>
      </c>
      <c r="D77" s="60">
        <v>3.81868E-2</v>
      </c>
      <c r="E77"/>
      <c r="F77" s="5"/>
    </row>
    <row r="78" spans="1:6" x14ac:dyDescent="0.3">
      <c r="A78"/>
      <c r="B78" s="38">
        <v>47603</v>
      </c>
      <c r="C78" s="39">
        <f t="shared" si="1"/>
        <v>47603</v>
      </c>
      <c r="D78" s="60">
        <v>3.81909E-2</v>
      </c>
      <c r="E78"/>
      <c r="F78" s="5"/>
    </row>
    <row r="79" spans="1:6" x14ac:dyDescent="0.3">
      <c r="A79"/>
      <c r="B79" s="38">
        <v>47634</v>
      </c>
      <c r="C79" s="39">
        <f t="shared" si="1"/>
        <v>47634</v>
      </c>
      <c r="D79" s="60">
        <v>3.8445699999999999E-2</v>
      </c>
      <c r="E79"/>
      <c r="F79" s="5"/>
    </row>
    <row r="80" spans="1:6" x14ac:dyDescent="0.3">
      <c r="A80"/>
      <c r="B80" s="38">
        <v>47664</v>
      </c>
      <c r="C80" s="39">
        <f t="shared" si="1"/>
        <v>47664</v>
      </c>
      <c r="D80" s="60">
        <v>3.8463500000000005E-2</v>
      </c>
      <c r="E80"/>
      <c r="F80" s="5"/>
    </row>
    <row r="81" spans="1:6" x14ac:dyDescent="0.3">
      <c r="A81"/>
      <c r="B81" s="38">
        <v>47695</v>
      </c>
      <c r="C81" s="39">
        <f t="shared" si="1"/>
        <v>47695</v>
      </c>
      <c r="D81" s="60">
        <v>3.84655E-2</v>
      </c>
      <c r="E81"/>
      <c r="F81" s="5"/>
    </row>
    <row r="82" spans="1:6" x14ac:dyDescent="0.3">
      <c r="A82"/>
      <c r="B82" s="38">
        <v>47726</v>
      </c>
      <c r="C82" s="39">
        <f t="shared" si="1"/>
        <v>47726</v>
      </c>
      <c r="D82" s="60">
        <v>3.84614E-2</v>
      </c>
      <c r="E82"/>
      <c r="F82" s="5"/>
    </row>
    <row r="83" spans="1:6" x14ac:dyDescent="0.3">
      <c r="A83"/>
      <c r="B83" s="38">
        <v>47756</v>
      </c>
      <c r="C83" s="39">
        <f t="shared" si="1"/>
        <v>47756</v>
      </c>
      <c r="D83" s="60">
        <v>3.8467600000000005E-2</v>
      </c>
      <c r="E83"/>
      <c r="F83" s="5"/>
    </row>
    <row r="84" spans="1:6" x14ac:dyDescent="0.3">
      <c r="A84"/>
      <c r="B84" s="38">
        <v>47787</v>
      </c>
      <c r="C84" s="39">
        <f t="shared" si="1"/>
        <v>47787</v>
      </c>
      <c r="D84" s="60">
        <v>3.84614E-2</v>
      </c>
      <c r="E84"/>
      <c r="F84" s="5"/>
    </row>
    <row r="85" spans="1:6" x14ac:dyDescent="0.3">
      <c r="A85"/>
      <c r="B85" s="38">
        <v>47817</v>
      </c>
      <c r="C85" s="39">
        <f t="shared" si="1"/>
        <v>47817</v>
      </c>
      <c r="D85" s="60">
        <v>3.8463500000000005E-2</v>
      </c>
      <c r="E85"/>
      <c r="F85" s="5"/>
    </row>
    <row r="86" spans="1:6" x14ac:dyDescent="0.3">
      <c r="A86"/>
      <c r="B86" s="38">
        <v>47848</v>
      </c>
      <c r="C86" s="39">
        <f t="shared" si="1"/>
        <v>47848</v>
      </c>
      <c r="D86" s="60">
        <v>3.8463500000000005E-2</v>
      </c>
      <c r="E86"/>
      <c r="F86" s="5"/>
    </row>
    <row r="87" spans="1:6" x14ac:dyDescent="0.3">
      <c r="A87"/>
      <c r="B87" s="38">
        <v>47879</v>
      </c>
      <c r="C87" s="39">
        <f t="shared" si="1"/>
        <v>47879</v>
      </c>
      <c r="D87" s="60">
        <v>3.84573E-2</v>
      </c>
      <c r="E87"/>
      <c r="F87" s="5"/>
    </row>
    <row r="88" spans="1:6" x14ac:dyDescent="0.3">
      <c r="A88"/>
      <c r="B88" s="38">
        <v>47907</v>
      </c>
      <c r="C88" s="39">
        <f t="shared" si="1"/>
        <v>47907</v>
      </c>
      <c r="D88" s="60">
        <v>3.8463500000000005E-2</v>
      </c>
      <c r="E88"/>
      <c r="F88" s="5"/>
    </row>
    <row r="89" spans="1:6" x14ac:dyDescent="0.3">
      <c r="A89"/>
      <c r="B89" s="38">
        <v>47938</v>
      </c>
      <c r="C89" s="39">
        <f t="shared" si="1"/>
        <v>47938</v>
      </c>
      <c r="D89" s="60">
        <v>3.84614E-2</v>
      </c>
      <c r="E89"/>
      <c r="F89" s="5"/>
    </row>
    <row r="90" spans="1:6" x14ac:dyDescent="0.3">
      <c r="A90"/>
      <c r="B90" s="38">
        <v>47968</v>
      </c>
      <c r="C90" s="39">
        <f t="shared" si="1"/>
        <v>47968</v>
      </c>
      <c r="D90" s="60">
        <v>3.8463500000000005E-2</v>
      </c>
      <c r="E90"/>
      <c r="F90" s="5"/>
    </row>
    <row r="91" spans="1:6" x14ac:dyDescent="0.3">
      <c r="A91"/>
      <c r="B91" s="38">
        <v>47999</v>
      </c>
      <c r="C91" s="39">
        <f t="shared" si="1"/>
        <v>47999</v>
      </c>
      <c r="D91" s="60">
        <v>3.8732099999999998E-2</v>
      </c>
      <c r="E91"/>
      <c r="F91" s="5"/>
    </row>
    <row r="92" spans="1:6" x14ac:dyDescent="0.3">
      <c r="A92"/>
      <c r="B92" s="38">
        <v>48029</v>
      </c>
      <c r="C92" s="39">
        <f t="shared" si="1"/>
        <v>48029</v>
      </c>
      <c r="D92" s="60">
        <v>3.8768500000000004E-2</v>
      </c>
      <c r="E92"/>
      <c r="F92" s="5"/>
    </row>
    <row r="93" spans="1:6" x14ac:dyDescent="0.3">
      <c r="A93"/>
      <c r="B93" s="38">
        <v>48060</v>
      </c>
      <c r="C93" s="39">
        <f t="shared" si="1"/>
        <v>48060</v>
      </c>
      <c r="D93" s="60">
        <v>3.8764300000000002E-2</v>
      </c>
      <c r="E93"/>
      <c r="F93" s="5"/>
    </row>
    <row r="94" spans="1:6" x14ac:dyDescent="0.3">
      <c r="A94"/>
      <c r="B94" s="38">
        <v>48091</v>
      </c>
      <c r="C94" s="39">
        <f t="shared" si="1"/>
        <v>48091</v>
      </c>
      <c r="D94" s="60">
        <v>3.8762199999999997E-2</v>
      </c>
      <c r="E94"/>
      <c r="F94" s="5"/>
    </row>
    <row r="95" spans="1:6" x14ac:dyDescent="0.3">
      <c r="A95"/>
      <c r="B95" s="38">
        <v>48121</v>
      </c>
      <c r="C95" s="39">
        <f t="shared" si="1"/>
        <v>48121</v>
      </c>
      <c r="D95" s="60">
        <v>3.8766399999999999E-2</v>
      </c>
      <c r="E95"/>
      <c r="F95" s="5"/>
    </row>
    <row r="96" spans="1:6" x14ac:dyDescent="0.3">
      <c r="A96"/>
      <c r="B96" s="38">
        <v>48152</v>
      </c>
      <c r="C96" s="39">
        <f t="shared" si="1"/>
        <v>48152</v>
      </c>
      <c r="D96" s="60">
        <v>3.8762199999999997E-2</v>
      </c>
      <c r="E96"/>
      <c r="F96" s="5"/>
    </row>
    <row r="97" spans="1:6" x14ac:dyDescent="0.3">
      <c r="A97"/>
      <c r="B97" s="38">
        <v>48182</v>
      </c>
      <c r="C97" s="39">
        <f t="shared" si="1"/>
        <v>48182</v>
      </c>
      <c r="D97" s="60">
        <v>3.8764300000000002E-2</v>
      </c>
      <c r="E97"/>
      <c r="F97" s="5"/>
    </row>
    <row r="98" spans="1:6" x14ac:dyDescent="0.3">
      <c r="A98"/>
      <c r="B98" s="38">
        <v>48213</v>
      </c>
      <c r="C98" s="39">
        <f t="shared" si="1"/>
        <v>48213</v>
      </c>
      <c r="D98" s="60">
        <v>3.8764300000000002E-2</v>
      </c>
      <c r="E98"/>
      <c r="F98" s="5"/>
    </row>
    <row r="99" spans="1:6" x14ac:dyDescent="0.3">
      <c r="A99"/>
      <c r="B99" s="38">
        <v>48244</v>
      </c>
      <c r="C99" s="39">
        <f t="shared" si="1"/>
        <v>48244</v>
      </c>
      <c r="D99" s="60">
        <v>3.8760099999999999E-2</v>
      </c>
      <c r="E99"/>
      <c r="F99" s="5"/>
    </row>
    <row r="100" spans="1:6" x14ac:dyDescent="0.3">
      <c r="A100"/>
      <c r="B100" s="38">
        <v>48273</v>
      </c>
      <c r="C100" s="39">
        <f t="shared" si="1"/>
        <v>48273</v>
      </c>
      <c r="D100" s="60">
        <v>3.8764300000000002E-2</v>
      </c>
      <c r="E100"/>
      <c r="F100" s="5"/>
    </row>
    <row r="101" spans="1:6" x14ac:dyDescent="0.3">
      <c r="A101"/>
      <c r="B101" s="38">
        <v>48304</v>
      </c>
      <c r="C101" s="39">
        <f t="shared" si="1"/>
        <v>48304</v>
      </c>
      <c r="D101" s="60">
        <v>3.8764300000000002E-2</v>
      </c>
      <c r="E101"/>
      <c r="F101" s="5"/>
    </row>
    <row r="102" spans="1:6" x14ac:dyDescent="0.3">
      <c r="A102"/>
      <c r="B102" s="38">
        <v>48334</v>
      </c>
      <c r="C102" s="39">
        <f t="shared" si="1"/>
        <v>48334</v>
      </c>
      <c r="D102" s="60">
        <v>3.8764300000000002E-2</v>
      </c>
      <c r="E102"/>
      <c r="F102" s="5"/>
    </row>
    <row r="103" spans="1:6" x14ac:dyDescent="0.3">
      <c r="A103"/>
      <c r="B103" s="38">
        <v>48365</v>
      </c>
      <c r="C103" s="39">
        <f t="shared" si="1"/>
        <v>48365</v>
      </c>
      <c r="D103" s="60">
        <v>3.9089800000000001E-2</v>
      </c>
      <c r="E103"/>
      <c r="F103" s="5"/>
    </row>
    <row r="104" spans="1:6" x14ac:dyDescent="0.3">
      <c r="A104"/>
      <c r="B104" s="38">
        <v>48395</v>
      </c>
      <c r="C104" s="39">
        <f t="shared" si="1"/>
        <v>48395</v>
      </c>
      <c r="D104" s="60">
        <v>3.9173800000000002E-2</v>
      </c>
      <c r="E104"/>
      <c r="F104" s="5"/>
    </row>
    <row r="105" spans="1:6" x14ac:dyDescent="0.3">
      <c r="A105"/>
      <c r="B105" s="38">
        <v>48426</v>
      </c>
      <c r="C105" s="39">
        <f t="shared" si="1"/>
        <v>48426</v>
      </c>
      <c r="D105" s="60">
        <v>3.9173800000000002E-2</v>
      </c>
      <c r="E105"/>
      <c r="F105" s="5"/>
    </row>
    <row r="106" spans="1:6" x14ac:dyDescent="0.3">
      <c r="A106"/>
      <c r="B106" s="38">
        <v>48457</v>
      </c>
      <c r="C106" s="39">
        <f t="shared" si="1"/>
        <v>48457</v>
      </c>
      <c r="D106" s="60">
        <v>3.9176000000000002E-2</v>
      </c>
      <c r="E106"/>
      <c r="F106" s="5"/>
    </row>
    <row r="107" spans="1:6" x14ac:dyDescent="0.3">
      <c r="A107"/>
      <c r="B107" s="38">
        <v>48487</v>
      </c>
      <c r="C107" s="39">
        <f t="shared" si="1"/>
        <v>48487</v>
      </c>
      <c r="D107" s="60">
        <v>3.9173800000000002E-2</v>
      </c>
      <c r="E107"/>
      <c r="F107" s="5"/>
    </row>
    <row r="108" spans="1:6" x14ac:dyDescent="0.3">
      <c r="A108"/>
      <c r="B108" s="38">
        <v>48518</v>
      </c>
      <c r="C108" s="39">
        <f t="shared" si="1"/>
        <v>48518</v>
      </c>
      <c r="D108" s="60">
        <v>3.9171700000000004E-2</v>
      </c>
      <c r="E108"/>
      <c r="F108" s="5"/>
    </row>
    <row r="109" spans="1:6" x14ac:dyDescent="0.3">
      <c r="A109"/>
      <c r="B109" s="38">
        <v>48548</v>
      </c>
      <c r="C109" s="39">
        <f t="shared" si="1"/>
        <v>48548</v>
      </c>
      <c r="D109" s="60">
        <v>3.9176000000000002E-2</v>
      </c>
      <c r="E109"/>
      <c r="F109" s="5"/>
    </row>
    <row r="110" spans="1:6" x14ac:dyDescent="0.3">
      <c r="A110"/>
      <c r="B110" s="38">
        <v>48579</v>
      </c>
      <c r="C110" s="39">
        <f t="shared" si="1"/>
        <v>48579</v>
      </c>
      <c r="D110" s="60">
        <v>3.9173800000000002E-2</v>
      </c>
      <c r="E110"/>
      <c r="F110" s="5"/>
    </row>
    <row r="111" spans="1:6" x14ac:dyDescent="0.3">
      <c r="A111"/>
      <c r="B111" s="38">
        <v>48610</v>
      </c>
      <c r="C111" s="39">
        <f t="shared" si="1"/>
        <v>48610</v>
      </c>
      <c r="D111" s="60">
        <v>3.9167399999999998E-2</v>
      </c>
      <c r="E111"/>
      <c r="F111" s="5"/>
    </row>
    <row r="112" spans="1:6" x14ac:dyDescent="0.3">
      <c r="A112"/>
      <c r="B112" s="38">
        <v>48638</v>
      </c>
      <c r="C112" s="39">
        <f t="shared" si="1"/>
        <v>48638</v>
      </c>
      <c r="D112" s="60">
        <v>3.91781E-2</v>
      </c>
      <c r="E112"/>
      <c r="F112" s="5"/>
    </row>
    <row r="113" spans="1:6" x14ac:dyDescent="0.3">
      <c r="A113"/>
      <c r="B113" s="38">
        <v>48669</v>
      </c>
      <c r="C113" s="39">
        <f t="shared" si="1"/>
        <v>48669</v>
      </c>
      <c r="D113" s="60">
        <v>3.9171700000000004E-2</v>
      </c>
      <c r="E113"/>
      <c r="F113" s="5"/>
    </row>
    <row r="114" spans="1:6" x14ac:dyDescent="0.3">
      <c r="A114"/>
      <c r="B114" s="38">
        <v>48699</v>
      </c>
      <c r="C114" s="39">
        <f t="shared" si="1"/>
        <v>48699</v>
      </c>
      <c r="D114" s="60">
        <v>3.9173800000000002E-2</v>
      </c>
      <c r="E114"/>
      <c r="F114" s="5"/>
    </row>
    <row r="115" spans="1:6" x14ac:dyDescent="0.3">
      <c r="A115"/>
      <c r="B115" s="38">
        <v>48730</v>
      </c>
      <c r="C115" s="39">
        <f t="shared" si="1"/>
        <v>48730</v>
      </c>
      <c r="D115" s="60">
        <v>3.9434499999999997E-2</v>
      </c>
      <c r="E115"/>
      <c r="F115" s="5"/>
    </row>
    <row r="116" spans="1:6" x14ac:dyDescent="0.3">
      <c r="A116"/>
      <c r="B116" s="38">
        <v>48760</v>
      </c>
      <c r="C116" s="39">
        <f t="shared" si="1"/>
        <v>48760</v>
      </c>
      <c r="D116" s="60">
        <v>3.9487100000000004E-2</v>
      </c>
      <c r="E116"/>
      <c r="F116" s="5"/>
    </row>
    <row r="117" spans="1:6" x14ac:dyDescent="0.3">
      <c r="A117"/>
      <c r="B117" s="38">
        <v>48791</v>
      </c>
      <c r="C117" s="39">
        <f t="shared" si="1"/>
        <v>48791</v>
      </c>
      <c r="D117" s="60">
        <v>3.9487100000000004E-2</v>
      </c>
      <c r="E117"/>
      <c r="F117" s="5"/>
    </row>
    <row r="118" spans="1:6" x14ac:dyDescent="0.3">
      <c r="A118"/>
      <c r="B118" s="38">
        <v>48822</v>
      </c>
      <c r="C118" s="39">
        <f t="shared" si="1"/>
        <v>48822</v>
      </c>
      <c r="D118" s="60">
        <v>3.9487100000000004E-2</v>
      </c>
      <c r="E118"/>
      <c r="F118" s="5"/>
    </row>
    <row r="119" spans="1:6" x14ac:dyDescent="0.3">
      <c r="A119"/>
      <c r="B119" s="38">
        <v>48852</v>
      </c>
      <c r="C119" s="39">
        <f t="shared" si="1"/>
        <v>48852</v>
      </c>
      <c r="D119" s="60">
        <v>3.9487100000000004E-2</v>
      </c>
      <c r="E119"/>
      <c r="F119" s="5"/>
    </row>
    <row r="120" spans="1:6" x14ac:dyDescent="0.3">
      <c r="A120"/>
      <c r="B120" s="38">
        <v>48883</v>
      </c>
      <c r="C120" s="39">
        <f t="shared" si="1"/>
        <v>48883</v>
      </c>
      <c r="D120" s="60">
        <v>3.9484999999999999E-2</v>
      </c>
      <c r="E120"/>
      <c r="F120" s="5"/>
    </row>
    <row r="121" spans="1:6" x14ac:dyDescent="0.3">
      <c r="A121"/>
      <c r="B121" s="38">
        <v>48913</v>
      </c>
      <c r="C121" s="39">
        <f t="shared" si="1"/>
        <v>48913</v>
      </c>
      <c r="D121" s="60">
        <v>3.9489299999999998E-2</v>
      </c>
      <c r="E121"/>
      <c r="F121" s="5"/>
    </row>
    <row r="122" spans="1:6" x14ac:dyDescent="0.3">
      <c r="A122"/>
      <c r="B122" s="38">
        <v>48944</v>
      </c>
      <c r="C122" s="39">
        <f t="shared" si="1"/>
        <v>48944</v>
      </c>
      <c r="D122" s="60">
        <v>3.9491399999999996E-2</v>
      </c>
      <c r="E122"/>
      <c r="F122" s="5"/>
    </row>
    <row r="123" spans="1:6" x14ac:dyDescent="0.3">
      <c r="A123"/>
      <c r="B123" s="38">
        <v>48975</v>
      </c>
      <c r="C123" s="39">
        <f t="shared" si="1"/>
        <v>48975</v>
      </c>
      <c r="D123" s="60">
        <v>3.9480599999999998E-2</v>
      </c>
      <c r="E123"/>
      <c r="F123" s="5"/>
    </row>
    <row r="124" spans="1:6" x14ac:dyDescent="0.3">
      <c r="A124"/>
      <c r="B124" s="38">
        <v>49003</v>
      </c>
      <c r="C124" s="39">
        <f t="shared" si="1"/>
        <v>49003</v>
      </c>
      <c r="D124" s="60">
        <v>3.9489299999999998E-2</v>
      </c>
      <c r="E124"/>
      <c r="F124" s="5"/>
    </row>
    <row r="125" spans="1:6" x14ac:dyDescent="0.3">
      <c r="A125"/>
      <c r="B125" s="38">
        <v>49034</v>
      </c>
      <c r="C125" s="39">
        <f t="shared" si="1"/>
        <v>49034</v>
      </c>
      <c r="D125" s="60">
        <v>3.9484999999999999E-2</v>
      </c>
      <c r="E125"/>
      <c r="F125" s="5"/>
    </row>
    <row r="126" spans="1:6" x14ac:dyDescent="0.3">
      <c r="A126"/>
      <c r="B126" s="38">
        <v>49064</v>
      </c>
      <c r="C126" s="39">
        <f t="shared" si="1"/>
        <v>49064</v>
      </c>
      <c r="D126" s="60">
        <v>3.9487100000000004E-2</v>
      </c>
      <c r="E126"/>
      <c r="F126" s="5"/>
    </row>
    <row r="127" spans="1:6" x14ac:dyDescent="0.3">
      <c r="A127"/>
      <c r="B127"/>
      <c r="C127"/>
      <c r="D127"/>
      <c r="E127"/>
      <c r="F127" s="5"/>
    </row>
    <row r="128" spans="1:6" x14ac:dyDescent="0.3">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082EFF-04D5-4BF3-9159-A11267B5C3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cbd9de-38f3-4023-bf37-52b0c987fcdd"/>
    <ds:schemaRef ds:uri="c51240cb-92b5-4df4-8f5e-edd8d705b6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6F55AF-1E59-4690-9D1F-04A969E61854}">
  <ds:schemaRefs>
    <ds:schemaRef ds:uri="http://schemas.microsoft.com/office/2006/documentManagement/types"/>
    <ds:schemaRef ds:uri="http://purl.org/dc/terms/"/>
    <ds:schemaRef ds:uri="http://schemas.microsoft.com/office/2006/metadata/properties"/>
    <ds:schemaRef ds:uri="http://purl.org/dc/elements/1.1/"/>
    <ds:schemaRef ds:uri="http://schemas.openxmlformats.org/package/2006/metadata/core-properties"/>
    <ds:schemaRef ds:uri="a4cbd9de-38f3-4023-bf37-52b0c987fcdd"/>
    <ds:schemaRef ds:uri="http://purl.org/dc/dcmitype/"/>
    <ds:schemaRef ds:uri="http://www.w3.org/XML/1998/namespace"/>
    <ds:schemaRef ds:uri="http://schemas.microsoft.com/office/infopath/2007/PartnerControls"/>
    <ds:schemaRef ds:uri="c51240cb-92b5-4df4-8f5e-edd8d705b6df"/>
  </ds:schemaRefs>
</ds:datastoreItem>
</file>

<file path=customXml/itemProps3.xml><?xml version="1.0" encoding="utf-8"?>
<ds:datastoreItem xmlns:ds="http://schemas.openxmlformats.org/officeDocument/2006/customXml" ds:itemID="{925EE4B4-E307-41EE-9FB0-2152597E22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Global</vt:lpstr>
      <vt:lpstr>Unit Mix_vm</vt:lpstr>
      <vt:lpstr>Budget_vm</vt:lpstr>
      <vt:lpstr>Pro-Forma_vm</vt:lpstr>
      <vt:lpstr>&gt;&gt; Full Model &gt;&gt;</vt:lpstr>
      <vt:lpstr>&gt;&gt; Reforecast + Dispo &gt;&gt; </vt:lpstr>
      <vt:lpstr>Reforecast</vt:lpstr>
      <vt:lpstr>Dispo - Deal Waterfall</vt:lpstr>
      <vt:lpstr>Dispo - SRIF I Waterfall</vt:lpstr>
      <vt:lpstr>SOFR - Reforecast</vt:lpstr>
      <vt:lpstr>'Pro-Forma_vm'!Print_Area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Analyst</cp:lastModifiedBy>
  <cp:revision/>
  <dcterms:created xsi:type="dcterms:W3CDTF">2024-03-25T15:55:55Z</dcterms:created>
  <dcterms:modified xsi:type="dcterms:W3CDTF">2026-04-13T16:43:11Z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