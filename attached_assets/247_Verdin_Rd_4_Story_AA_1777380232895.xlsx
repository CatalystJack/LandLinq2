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"/>
    </mc:Choice>
  </mc:AlternateContent>
  <xr:revisionPtr revIDLastSave="231" documentId="8_{B0BB2FAD-6D45-4315-9730-F736BF93959D}" xr6:coauthVersionLast="47" xr6:coauthVersionMax="47" xr10:uidLastSave="{6AC75048-3C84-4324-96F5-B29E9484AB51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9" l="1"/>
  <c r="N10" i="39"/>
  <c r="P10" i="39"/>
  <c r="P9" i="39"/>
  <c r="N8" i="39"/>
  <c r="G11" i="39"/>
  <c r="Q8" i="39"/>
  <c r="P8" i="39"/>
  <c r="S8" i="39" s="1"/>
  <c r="T8" i="39" s="1"/>
  <c r="R10" i="39"/>
  <c r="O10" i="39"/>
  <c r="R9" i="39"/>
  <c r="O9" i="39"/>
  <c r="R8" i="39"/>
  <c r="O8" i="39"/>
  <c r="O32" i="38"/>
  <c r="N32" i="38"/>
  <c r="O23" i="38"/>
  <c r="N23" i="38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S10" i="39" l="1"/>
  <c r="T10" i="39" s="1"/>
  <c r="S9" i="39"/>
  <c r="T9" i="39" s="1"/>
  <c r="E6" i="48"/>
  <c r="E5" i="48"/>
  <c r="D6" i="48"/>
  <c r="D5" i="48"/>
  <c r="C6" i="48"/>
  <c r="C5" i="48"/>
  <c r="D29" i="39"/>
  <c r="F5" i="48" l="1"/>
  <c r="F6" i="48"/>
  <c r="P32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P23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M29" i="39" s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G21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N8" authorId="0" shapeId="0" xr:uid="{7408ECD3-0D73-420F-A6DE-3D4B7642D8D4}">
      <text>
        <r>
          <rPr>
            <b/>
            <sz val="9"/>
            <color indexed="81"/>
            <rFont val="Tahoma"/>
            <family val="2"/>
          </rPr>
          <t>Analyst:</t>
        </r>
        <r>
          <rPr>
            <sz val="9"/>
            <color indexed="81"/>
            <rFont val="Tahoma"/>
            <family val="2"/>
          </rPr>
          <t xml:space="preserve">
Assessed value reflects of vacant land only as the property was constructed in 2025.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<sst xmlns="http://schemas.openxmlformats.org/spreadsheetml/2006/main" count="978" uniqueCount="476">
  <si>
    <t>Global Assumptions</t>
  </si>
  <si>
    <t>Property Name</t>
  </si>
  <si>
    <t>161 Verdin Rd</t>
  </si>
  <si>
    <t>Project Type</t>
  </si>
  <si>
    <t>4-Story Elevatored</t>
  </si>
  <si>
    <t>Market</t>
  </si>
  <si>
    <t>Greenville</t>
  </si>
  <si>
    <t>Submarket</t>
  </si>
  <si>
    <t>Mauldin</t>
  </si>
  <si>
    <t>Address</t>
  </si>
  <si>
    <t>City, State</t>
  </si>
  <si>
    <t>Greenville, SC</t>
  </si>
  <si>
    <t>ZIP Code</t>
  </si>
  <si>
    <t>County</t>
  </si>
  <si>
    <t>Circuit Breaker</t>
  </si>
  <si>
    <t>Off</t>
  </si>
  <si>
    <t>Underwriting Notes &amp; Assumptions</t>
  </si>
  <si>
    <t>Rent Comps</t>
  </si>
  <si>
    <t>1. We have taken the closest comp (0.2 mi) from Landlinq as subject property to identify the rent comps using HelloData.</t>
  </si>
  <si>
    <t>2. Unit counts were not available so they are kept blank.</t>
  </si>
  <si>
    <t>3. Rent comp 1 is a mulitfamily apartment whereas the other 2 are Active Adult community.</t>
  </si>
  <si>
    <t>Expenses</t>
  </si>
  <si>
    <t>1. We have changed the Impact Fees assumption to $4900/unit as per the new prompt shared by Austin. We have used Gemini as we had the Pro subscription for it.</t>
  </si>
  <si>
    <t>2. We have taken the 4 story AA ( Non - Coastal) assumption for Insurance costs.</t>
  </si>
  <si>
    <t>Land Costs</t>
  </si>
  <si>
    <t>1. Broker notes suggest Asking target to be $2.5MM whereas the support doc for the deal suggests $2.95MM. We've gone with $2.95MM under a conservative approach.</t>
  </si>
  <si>
    <t>Taxes</t>
  </si>
  <si>
    <t>1. We've taken the millage rate of our parcel as per the 2025 tax bill.</t>
  </si>
  <si>
    <t>Question to the team Catalyst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</si>
  <si>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</si>
  <si>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</si>
  <si>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</si>
  <si>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</si>
  <si>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</si>
  <si>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</si>
  <si>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</si>
  <si>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</si>
  <si>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</si>
  <si>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1 Bedroom</t>
  </si>
  <si>
    <t>1) District South</t>
  </si>
  <si>
    <t>2 Bedroom</t>
  </si>
  <si>
    <t>SF</t>
  </si>
  <si>
    <t>Rent</t>
  </si>
  <si>
    <t>Rent PSF</t>
  </si>
  <si>
    <t>Multifamily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</si>
  <si>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</si>
  <si>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</si>
  <si>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</si>
  <si>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</si>
  <si>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</si>
  <si>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</si>
  <si>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</si>
  <si>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</si>
  <si>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Fdg Tanner Road Holdings Llc</t>
  </si>
  <si>
    <t>TH</t>
  </si>
  <si>
    <t>Link to Website</t>
  </si>
  <si>
    <t>Link</t>
  </si>
  <si>
    <t>Total</t>
  </si>
  <si>
    <t>2) Overture Greenville 55+ Active Adult Apartment Homes</t>
  </si>
  <si>
    <t>Active Adult</t>
  </si>
  <si>
    <t>3 Bedroom</t>
  </si>
  <si>
    <t>Townhouse</t>
  </si>
  <si>
    <t xml:space="preserve">	Crp-grep Overture Greenville O</t>
  </si>
  <si>
    <t>3) Rosalia Verdae 55+ Active Adult Community</t>
  </si>
  <si>
    <t>Aspens Verdae Property Llc</t>
  </si>
  <si>
    <t>Unit Mix:</t>
  </si>
  <si>
    <t>-</t>
  </si>
  <si>
    <t>Total / Average</t>
  </si>
  <si>
    <t>Development Budget: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</si>
  <si>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</si>
  <si>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</si>
  <si>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</si>
  <si>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</si>
  <si>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</si>
  <si>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</si>
  <si>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</si>
  <si>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</si>
  <si>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</si>
  <si>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</si>
  <si>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</si>
  <si>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</si>
  <si>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</si>
  <si>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</si>
  <si>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</si>
  <si>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</si>
  <si>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</si>
  <si>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</si>
  <si>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</si>
  <si>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</si>
  <si>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</si>
  <si>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</si>
  <si>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</si>
  <si>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</si>
  <si>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</si>
  <si>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</si>
  <si>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</si>
  <si>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</si>
  <si>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</si>
  <si>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</si>
  <si>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</si>
  <si>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</si>
  <si>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</si>
  <si>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</si>
  <si>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</si>
  <si>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</si>
  <si>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</si>
  <si>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</si>
  <si>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</si>
  <si>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</si>
  <si>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</si>
  <si>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</si>
  <si>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</si>
  <si>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</si>
  <si>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</si>
  <si>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</si>
  <si>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</si>
  <si>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</si>
  <si>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</si>
  <si>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</si>
  <si>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</si>
  <si>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</si>
  <si>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</si>
  <si>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</si>
  <si>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</si>
  <si>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</si>
  <si>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</si>
  <si>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</si>
  <si>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</si>
  <si>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</si>
  <si>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</si>
  <si>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</si>
  <si>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</si>
  <si>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</si>
  <si>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</si>
  <si>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</si>
  <si>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</si>
  <si>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</si>
  <si>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</si>
  <si>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</si>
  <si>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</si>
  <si>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</si>
  <si>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</si>
  <si>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</si>
  <si>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</si>
  <si>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</si>
  <si>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</si>
  <si>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</si>
  <si>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</si>
  <si>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</si>
  <si>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</si>
  <si>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</si>
  <si>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</si>
  <si>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</si>
  <si>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</si>
  <si>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</si>
  <si>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</si>
  <si>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</si>
  <si>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</si>
  <si>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</si>
  <si>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</si>
  <si>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</si>
  <si>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</si>
  <si>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</si>
  <si>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</si>
  <si>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</si>
  <si>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</si>
  <si>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</si>
  <si>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</si>
  <si>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</si>
  <si>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</si>
  <si>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</si>
  <si>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</si>
  <si>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</si>
  <si>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</si>
  <si>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</si>
  <si>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</si>
  <si>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</si>
  <si>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</si>
  <si>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</si>
  <si>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</si>
  <si>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</si>
  <si>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</si>
  <si>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</si>
  <si>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</si>
  <si>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</si>
  <si>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</si>
  <si>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</si>
  <si>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</si>
  <si>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</si>
  <si>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</si>
  <si>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</si>
  <si>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</si>
  <si>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</si>
  <si>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</si>
  <si>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</si>
  <si>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</si>
  <si>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</si>
  <si>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</si>
  <si>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</si>
  <si>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</si>
  <si>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</si>
  <si>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</si>
  <si>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</si>
  <si>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</si>
  <si>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</si>
  <si>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</si>
  <si>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</si>
  <si>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</si>
  <si>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</si>
  <si>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</si>
  <si>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</si>
  <si>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District South</t>
  </si>
  <si>
    <t>Gross Potential Rent</t>
  </si>
  <si>
    <t>Assessed Value / Unit</t>
  </si>
  <si>
    <t>Overture Greenville 55+</t>
  </si>
  <si>
    <t>Concessions</t>
  </si>
  <si>
    <t>Rosalia Verdae 55+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</si>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</sst>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* #,##0.00_);_(* \(#,##0.00\);_(* &quot;-&quot;??_);_(@_)"/>
    <numFmt numFmtId="168" formatCode="_(* #,##0_);_(* \(#,##0\);_(* &quot;-&quot;??_);_(@_)"/>
    <numFmt numFmtId="169" formatCode="0.0%"/>
    <numFmt numFmtId="170" formatCode="_(* #,##0.0%_);_(* \(#,##0.0%\);_(* &quot;-&quot;??_);_(@_)"/>
    <numFmt numFmtId="171" formatCode="_(* #,##0.00%_);_(* \(#,##0.00%\)"/>
    <numFmt numFmtId="172" formatCode="&quot;$&quot;#,##0"/>
    <numFmt numFmtId="173" formatCode="&quot;$&quot;#,##0.00"/>
    <numFmt numFmtId="174" formatCode="[$-409]mmm\-yy;@"/>
    <numFmt numFmtId="175" formatCode="0.00\x"/>
    <numFmt numFmtId="176" formatCode="_(* #,##0.0%_);_(* \(#,##0.0%\)"/>
    <numFmt numFmtId="177" formatCode="_(* #,##0.0000%_);_(* \(#,##0.0000%\);_(* &quot;-&quot;??_);_(@_)"/>
    <numFmt numFmtId="178" formatCode="&quot;$&quot;#,##0&quot; / Mo&quot;"/>
    <numFmt numFmtId="179" formatCode="&quot;$&quot;0&quot; / Unit / Mo&quot;"/>
    <numFmt numFmtId="180" formatCode="&quot;$&quot;#,##0&quot; / Hr&quot;"/>
    <numFmt numFmtId="181" formatCode="#,##0&quot; Hours&quot;"/>
    <numFmt numFmtId="182" formatCode="&quot;$&quot;0\ &quot;/ Lease&quot;"/>
    <numFmt numFmtId="183" formatCode="&quot;$&quot;0&quot;  / Mo&quot;"/>
    <numFmt numFmtId="184" formatCode="0.0000%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8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8" fontId="0" fillId="0" borderId="2" xfId="1" applyNumberFormat="1" applyFont="1" applyBorder="1"/>
    <xf numFmtId="168" fontId="0" fillId="0" borderId="0" xfId="1" applyNumberFormat="1" applyFont="1"/>
    <xf numFmtId="168" fontId="8" fillId="4" borderId="0" xfId="1" applyNumberFormat="1" applyFont="1" applyFill="1"/>
    <xf numFmtId="168" fontId="7" fillId="0" borderId="0" xfId="1" applyNumberFormat="1" applyFont="1"/>
    <xf numFmtId="0" fontId="0" fillId="5" borderId="5" xfId="0" applyFill="1" applyBorder="1"/>
    <xf numFmtId="168" fontId="0" fillId="5" borderId="6" xfId="0" applyNumberFormat="1" applyFill="1" applyBorder="1"/>
    <xf numFmtId="168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70" fontId="0" fillId="0" borderId="0" xfId="1" applyNumberFormat="1" applyFont="1"/>
    <xf numFmtId="170" fontId="0" fillId="0" borderId="2" xfId="0" applyNumberFormat="1" applyBorder="1"/>
    <xf numFmtId="170" fontId="0" fillId="5" borderId="7" xfId="1" applyNumberFormat="1" applyFont="1" applyFill="1" applyBorder="1"/>
    <xf numFmtId="0" fontId="12" fillId="0" borderId="0" xfId="0" applyFont="1"/>
    <xf numFmtId="168" fontId="0" fillId="0" borderId="2" xfId="0" applyNumberFormat="1" applyBorder="1"/>
    <xf numFmtId="168" fontId="0" fillId="0" borderId="0" xfId="0" applyNumberFormat="1"/>
    <xf numFmtId="168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9" fontId="0" fillId="0" borderId="0" xfId="2" applyNumberFormat="1" applyFont="1" applyAlignment="1">
      <alignment horizontal="center"/>
    </xf>
    <xf numFmtId="172" fontId="7" fillId="0" borderId="0" xfId="0" applyNumberFormat="1" applyFont="1" applyAlignment="1">
      <alignment horizontal="center"/>
    </xf>
    <xf numFmtId="172" fontId="0" fillId="0" borderId="2" xfId="0" applyNumberFormat="1" applyBorder="1" applyAlignment="1">
      <alignment horizontal="center"/>
    </xf>
    <xf numFmtId="172" fontId="0" fillId="0" borderId="0" xfId="0" applyNumberFormat="1" applyAlignment="1">
      <alignment horizontal="center"/>
    </xf>
    <xf numFmtId="168" fontId="13" fillId="0" borderId="0" xfId="1" applyNumberFormat="1" applyFont="1"/>
    <xf numFmtId="174" fontId="7" fillId="0" borderId="0" xfId="0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 applyAlignment="1">
      <alignment horizontal="center"/>
    </xf>
    <xf numFmtId="16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9" fontId="0" fillId="0" borderId="0" xfId="2" applyNumberFormat="1" applyFont="1" applyFill="1" applyAlignment="1">
      <alignment horizontal="center"/>
    </xf>
    <xf numFmtId="175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8" fontId="13" fillId="0" borderId="0" xfId="1" applyNumberFormat="1" applyFont="1" applyFill="1"/>
    <xf numFmtId="167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72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8" fontId="0" fillId="0" borderId="3" xfId="1" applyNumberFormat="1" applyFont="1" applyBorder="1"/>
    <xf numFmtId="168" fontId="0" fillId="0" borderId="10" xfId="1" applyNumberFormat="1" applyFont="1" applyBorder="1"/>
    <xf numFmtId="176" fontId="10" fillId="0" borderId="3" xfId="1" applyNumberFormat="1" applyFont="1" applyBorder="1"/>
    <xf numFmtId="171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8" fontId="0" fillId="0" borderId="11" xfId="1" applyNumberFormat="1" applyFont="1" applyBorder="1"/>
    <xf numFmtId="168" fontId="0" fillId="0" borderId="9" xfId="1" applyNumberFormat="1" applyFont="1" applyBorder="1"/>
    <xf numFmtId="168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8" fontId="7" fillId="0" borderId="0" xfId="1" applyNumberFormat="1" applyFont="1" applyFill="1"/>
    <xf numFmtId="0" fontId="21" fillId="0" borderId="0" xfId="0" applyFont="1"/>
    <xf numFmtId="168" fontId="9" fillId="0" borderId="11" xfId="1" applyNumberFormat="1" applyFont="1" applyBorder="1"/>
    <xf numFmtId="168" fontId="7" fillId="0" borderId="3" xfId="1" applyNumberFormat="1" applyFont="1" applyFill="1" applyBorder="1"/>
    <xf numFmtId="168" fontId="13" fillId="0" borderId="3" xfId="1" applyNumberFormat="1" applyFont="1" applyFill="1" applyBorder="1"/>
    <xf numFmtId="0" fontId="2" fillId="6" borderId="5" xfId="0" applyFont="1" applyFill="1" applyBorder="1"/>
    <xf numFmtId="168" fontId="0" fillId="0" borderId="11" xfId="1" applyNumberFormat="1" applyFont="1" applyFill="1" applyBorder="1"/>
    <xf numFmtId="168" fontId="7" fillId="0" borderId="11" xfId="1" applyNumberFormat="1" applyFont="1" applyFill="1" applyBorder="1"/>
    <xf numFmtId="168" fontId="0" fillId="0" borderId="11" xfId="0" applyNumberFormat="1" applyBorder="1"/>
    <xf numFmtId="168" fontId="0" fillId="0" borderId="13" xfId="1" applyNumberFormat="1" applyFont="1" applyFill="1" applyBorder="1"/>
    <xf numFmtId="169" fontId="13" fillId="0" borderId="0" xfId="2" applyNumberFormat="1" applyFont="1" applyAlignment="1">
      <alignment horizontal="center"/>
    </xf>
    <xf numFmtId="169" fontId="13" fillId="0" borderId="2" xfId="2" applyNumberFormat="1" applyFont="1" applyBorder="1" applyAlignment="1">
      <alignment horizontal="center"/>
    </xf>
    <xf numFmtId="169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5" fontId="0" fillId="0" borderId="0" xfId="2" applyNumberFormat="1" applyFont="1" applyAlignment="1">
      <alignment horizontal="center"/>
    </xf>
    <xf numFmtId="169" fontId="0" fillId="0" borderId="2" xfId="2" applyNumberFormat="1" applyFont="1" applyBorder="1" applyAlignment="1">
      <alignment horizontal="center"/>
    </xf>
    <xf numFmtId="168" fontId="7" fillId="0" borderId="0" xfId="1" applyNumberFormat="1" applyFont="1" applyAlignment="1">
      <alignment horizontal="center"/>
    </xf>
    <xf numFmtId="169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9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8" fontId="10" fillId="0" borderId="0" xfId="1" applyNumberFormat="1" applyFont="1"/>
    <xf numFmtId="177" fontId="0" fillId="0" borderId="0" xfId="1" applyNumberFormat="1" applyFont="1"/>
    <xf numFmtId="174" fontId="20" fillId="7" borderId="6" xfId="0" applyNumberFormat="1" applyFont="1" applyFill="1" applyBorder="1" applyAlignment="1">
      <alignment horizontal="center"/>
    </xf>
    <xf numFmtId="174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4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8" fontId="0" fillId="0" borderId="2" xfId="1" applyNumberFormat="1" applyFont="1" applyFill="1" applyBorder="1"/>
    <xf numFmtId="175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68" fontId="13" fillId="0" borderId="11" xfId="1" applyNumberFormat="1" applyFont="1" applyFill="1" applyBorder="1"/>
    <xf numFmtId="168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70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9" fontId="0" fillId="0" borderId="0" xfId="2" applyNumberFormat="1" applyFont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9" fontId="1" fillId="5" borderId="6" xfId="2" applyNumberFormat="1" applyFont="1" applyFill="1" applyBorder="1" applyAlignment="1">
      <alignment horizontal="center"/>
    </xf>
    <xf numFmtId="172" fontId="0" fillId="5" borderId="6" xfId="0" applyNumberFormat="1" applyFill="1" applyBorder="1" applyAlignment="1">
      <alignment horizontal="center"/>
    </xf>
    <xf numFmtId="173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72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167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72" fontId="0" fillId="7" borderId="6" xfId="0" applyNumberFormat="1" applyFill="1" applyBorder="1" applyAlignment="1">
      <alignment horizontal="center"/>
    </xf>
    <xf numFmtId="178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72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72" fontId="0" fillId="7" borderId="0" xfId="0" applyNumberFormat="1" applyFill="1" applyAlignment="1">
      <alignment horizontal="center"/>
    </xf>
    <xf numFmtId="164" fontId="0" fillId="7" borderId="11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164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80" fontId="7" fillId="7" borderId="0" xfId="0" applyNumberFormat="1" applyFont="1" applyFill="1" applyAlignment="1">
      <alignment horizontal="center"/>
    </xf>
    <xf numFmtId="181" fontId="7" fillId="7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9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165" fontId="0" fillId="7" borderId="6" xfId="0" applyNumberFormat="1" applyFill="1" applyBorder="1" applyAlignment="1">
      <alignment horizontal="center"/>
    </xf>
    <xf numFmtId="172" fontId="0" fillId="7" borderId="7" xfId="0" applyNumberFormat="1" applyFill="1" applyBorder="1" applyAlignment="1">
      <alignment horizontal="center"/>
    </xf>
    <xf numFmtId="182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9" fontId="7" fillId="7" borderId="11" xfId="0" applyNumberFormat="1" applyFont="1" applyFill="1" applyBorder="1" applyAlignment="1">
      <alignment horizontal="left"/>
    </xf>
    <xf numFmtId="168" fontId="9" fillId="0" borderId="11" xfId="0" applyNumberFormat="1" applyFont="1" applyBorder="1"/>
    <xf numFmtId="168" fontId="0" fillId="0" borderId="9" xfId="0" applyNumberFormat="1" applyBorder="1"/>
    <xf numFmtId="0" fontId="0" fillId="0" borderId="10" xfId="0" applyBorder="1"/>
    <xf numFmtId="168" fontId="9" fillId="0" borderId="9" xfId="0" applyNumberFormat="1" applyFont="1" applyBorder="1"/>
    <xf numFmtId="176" fontId="13" fillId="0" borderId="13" xfId="1" applyNumberFormat="1" applyFont="1" applyFill="1" applyBorder="1"/>
    <xf numFmtId="172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9" fontId="13" fillId="0" borderId="6" xfId="0" applyNumberFormat="1" applyFon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72" fontId="7" fillId="10" borderId="0" xfId="0" applyNumberFormat="1" applyFont="1" applyFill="1" applyAlignment="1">
      <alignment horizontal="center"/>
    </xf>
    <xf numFmtId="171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72" fontId="7" fillId="10" borderId="8" xfId="0" applyNumberFormat="1" applyFont="1" applyFill="1" applyBorder="1" applyAlignment="1">
      <alignment horizontal="center"/>
    </xf>
    <xf numFmtId="168" fontId="7" fillId="10" borderId="11" xfId="1" applyNumberFormat="1" applyFont="1" applyFill="1" applyBorder="1"/>
    <xf numFmtId="168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72" fontId="0" fillId="7" borderId="11" xfId="0" applyNumberFormat="1" applyFill="1" applyBorder="1" applyAlignment="1">
      <alignment horizontal="center"/>
    </xf>
    <xf numFmtId="179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3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166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9" fontId="7" fillId="0" borderId="0" xfId="2" applyNumberFormat="1" applyFont="1" applyFill="1" applyBorder="1" applyAlignment="1">
      <alignment horizontal="center"/>
    </xf>
    <xf numFmtId="171" fontId="7" fillId="0" borderId="11" xfId="1" applyNumberFormat="1" applyFont="1" applyFill="1" applyBorder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24" fillId="0" borderId="0" xfId="3"/>
    <xf numFmtId="0" fontId="25" fillId="0" borderId="0" xfId="0" applyFont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1" borderId="18" xfId="0" applyFont="1" applyFill="1" applyBorder="1" applyAlignment="1">
      <alignment horizontal="left" indent="1"/>
    </xf>
    <xf numFmtId="0" fontId="0" fillId="11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1" borderId="20" xfId="0" applyFill="1" applyBorder="1" applyAlignment="1">
      <alignment horizontal="left" indent="1"/>
    </xf>
    <xf numFmtId="0" fontId="0" fillId="0" borderId="21" xfId="0" applyBorder="1"/>
    <xf numFmtId="167" fontId="7" fillId="10" borderId="11" xfId="1" applyFont="1" applyFill="1" applyBorder="1"/>
    <xf numFmtId="184" fontId="0" fillId="0" borderId="0" xfId="2" applyNumberFormat="1" applyFont="1" applyAlignment="1">
      <alignment horizontal="center"/>
    </xf>
    <xf numFmtId="0" fontId="0" fillId="11" borderId="0" xfId="0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38100</xdr:rowOff>
    </xdr:from>
    <xdr:to>
      <xdr:col>22</xdr:col>
      <xdr:colOff>476444</xdr:colOff>
      <xdr:row>51</xdr:row>
      <xdr:rowOff>171953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F9955-B429-3FF2-F5BE-58BE9550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6134100"/>
          <a:ext cx="15042074" cy="3600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osaliaverdae.com/" TargetMode="External"/><Relationship Id="rId2" Type="http://schemas.openxmlformats.org/officeDocument/2006/relationships/hyperlink" Target="https://liveoverture.com/communities/overture-greenville/" TargetMode="External"/><Relationship Id="rId1" Type="http://schemas.openxmlformats.org/officeDocument/2006/relationships/hyperlink" Target="https://www.livedistrictsouth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eenvillecounty.org/appsas400/RealProperty/SearchResults.aspx?type=Name&amp;Criteria=Fdg%20Tanner%20Road%20Holdings%20LLC&amp;TaxYear=2026" TargetMode="External"/><Relationship Id="rId2" Type="http://schemas.openxmlformats.org/officeDocument/2006/relationships/hyperlink" Target="https://www.greenvillecounty.org/appsas400/RealPropertyTaxEstimator/Default.aspx?MapNumber=0261000101205" TargetMode="External"/><Relationship Id="rId1" Type="http://schemas.openxmlformats.org/officeDocument/2006/relationships/hyperlink" Target="https://www.greenvillecounty.org/appsas400/RealPropertyTaxEstimator/Default.aspx?MapNumber=054701010163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tabSelected="1" zoomScale="90" zoomScaleNormal="90" workbookViewId="0">
      <selection activeCell="B5" sqref="B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1" customFormat="1" ht="25.9">
      <c r="A1" s="144" t="str">
        <f>TEXT(C7,"")</f>
        <v>161 Verdin Rd</v>
      </c>
    </row>
    <row r="2" spans="1:3" s="141" customFormat="1" ht="19.899999999999999">
      <c r="A2" s="145" t="s">
        <v>0</v>
      </c>
    </row>
    <row r="6" spans="1:3">
      <c r="B6" s="122" t="s">
        <v>0</v>
      </c>
      <c r="C6" s="162"/>
    </row>
    <row r="7" spans="1:3">
      <c r="B7" s="55" t="s">
        <v>1</v>
      </c>
      <c r="C7" s="163" t="s">
        <v>2</v>
      </c>
    </row>
    <row r="8" spans="1:3">
      <c r="B8" s="55" t="s">
        <v>3</v>
      </c>
      <c r="C8" s="163" t="s">
        <v>4</v>
      </c>
    </row>
    <row r="9" spans="1:3">
      <c r="B9" s="55" t="s">
        <v>5</v>
      </c>
      <c r="C9" s="163" t="s">
        <v>6</v>
      </c>
    </row>
    <row r="10" spans="1:3">
      <c r="B10" s="55" t="s">
        <v>7</v>
      </c>
      <c r="C10" s="163" t="s">
        <v>8</v>
      </c>
    </row>
    <row r="11" spans="1:3">
      <c r="B11" s="55" t="s">
        <v>9</v>
      </c>
      <c r="C11" s="163" t="s">
        <v>2</v>
      </c>
    </row>
    <row r="12" spans="1:3">
      <c r="B12" s="55" t="s">
        <v>10</v>
      </c>
      <c r="C12" s="163" t="s">
        <v>11</v>
      </c>
    </row>
    <row r="13" spans="1:3">
      <c r="B13" s="55" t="s">
        <v>12</v>
      </c>
      <c r="C13" s="163">
        <v>29607</v>
      </c>
    </row>
    <row r="14" spans="1:3">
      <c r="B14" s="55" t="s">
        <v>13</v>
      </c>
      <c r="C14" s="163" t="s">
        <v>6</v>
      </c>
    </row>
    <row r="15" spans="1:3">
      <c r="B15" s="55"/>
      <c r="C15" s="56"/>
    </row>
    <row r="16" spans="1:3">
      <c r="B16" s="58" t="s">
        <v>14</v>
      </c>
      <c r="C16" s="164" t="s">
        <v>15</v>
      </c>
    </row>
    <row r="18" spans="2:12" ht="15" thickBot="1"/>
    <row r="19" spans="2:12">
      <c r="B19" s="269" t="s">
        <v>16</v>
      </c>
      <c r="C19" s="270"/>
      <c r="D19" s="270"/>
      <c r="E19" s="270"/>
      <c r="F19" s="270"/>
      <c r="G19" s="270"/>
      <c r="H19" s="270"/>
      <c r="I19" s="270"/>
      <c r="J19" s="270"/>
      <c r="K19" s="270"/>
      <c r="L19" s="271"/>
    </row>
    <row r="20" spans="2:12">
      <c r="B20" s="272"/>
      <c r="L20" s="273"/>
    </row>
    <row r="21" spans="2:12">
      <c r="B21" s="274" t="s">
        <v>17</v>
      </c>
      <c r="C21" s="275"/>
      <c r="D21" s="275"/>
      <c r="E21" s="275"/>
      <c r="F21" s="275"/>
      <c r="G21" s="275"/>
      <c r="H21" s="275"/>
      <c r="I21" s="275"/>
      <c r="J21" s="275"/>
      <c r="K21" s="275"/>
      <c r="L21" s="276"/>
    </row>
    <row r="22" spans="2:12">
      <c r="B22" s="277" t="s">
        <v>18</v>
      </c>
      <c r="L22" s="273"/>
    </row>
    <row r="23" spans="2:12">
      <c r="B23" s="277" t="s">
        <v>19</v>
      </c>
      <c r="L23" s="273"/>
    </row>
    <row r="24" spans="2:12">
      <c r="B24" s="277" t="s">
        <v>20</v>
      </c>
      <c r="L24" s="273"/>
    </row>
    <row r="25" spans="2:12">
      <c r="B25" s="278" t="s">
        <v>21</v>
      </c>
      <c r="L25" s="273"/>
    </row>
    <row r="26" spans="2:12">
      <c r="B26" s="277" t="s">
        <v>22</v>
      </c>
      <c r="L26" s="273"/>
    </row>
    <row r="27" spans="2:12">
      <c r="B27" s="279" t="s">
        <v>23</v>
      </c>
      <c r="L27" s="273"/>
    </row>
    <row r="28" spans="2:12">
      <c r="B28" s="278" t="s">
        <v>24</v>
      </c>
      <c r="L28" s="273"/>
    </row>
    <row r="29" spans="2:12">
      <c r="B29" s="279" t="s">
        <v>25</v>
      </c>
      <c r="L29" s="273"/>
    </row>
    <row r="30" spans="2:12">
      <c r="B30" s="280" t="s">
        <v>26</v>
      </c>
      <c r="L30" s="273"/>
    </row>
    <row r="31" spans="2:12">
      <c r="B31" s="279" t="s">
        <v>27</v>
      </c>
      <c r="L31" s="273"/>
    </row>
    <row r="32" spans="2:12">
      <c r="B32" s="279"/>
      <c r="C32" s="285"/>
      <c r="D32" s="285"/>
      <c r="E32" s="285"/>
      <c r="F32" s="285"/>
      <c r="G32" s="285"/>
      <c r="L32" s="273"/>
    </row>
    <row r="33" spans="2:12">
      <c r="B33" s="274" t="s">
        <v>28</v>
      </c>
      <c r="C33" s="275"/>
      <c r="D33" s="275"/>
      <c r="E33" s="275"/>
      <c r="F33" s="275"/>
      <c r="G33" s="275"/>
      <c r="H33" s="275"/>
      <c r="I33" s="275"/>
      <c r="J33" s="275"/>
      <c r="K33" s="275"/>
      <c r="L33" s="276"/>
    </row>
    <row r="34" spans="2:12">
      <c r="B34" s="277"/>
      <c r="L34" s="273"/>
    </row>
    <row r="35" spans="2:12" ht="15" thickBot="1">
      <c r="B35" s="281"/>
      <c r="C35" s="2"/>
      <c r="D35" s="2"/>
      <c r="E35" s="2"/>
      <c r="F35" s="2"/>
      <c r="G35" s="2"/>
      <c r="H35" s="2"/>
      <c r="I35" s="2"/>
      <c r="J35" s="2"/>
      <c r="K35" s="2"/>
      <c r="L35" s="282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24.5703125" style="207" bestFit="1" customWidth="1"/>
  </cols>
  <sheetData>
    <row r="1" spans="1:19" s="141" customFormat="1" ht="25.9">
      <c r="A1" s="144" t="str">
        <f>TEXT(Global!$C$7,"")</f>
        <v>161 Verdin Rd</v>
      </c>
      <c r="B1" s="204"/>
      <c r="R1" s="204"/>
      <c r="S1" s="204"/>
    </row>
    <row r="2" spans="1:19" s="141" customFormat="1" ht="19.899999999999999">
      <c r="A2" s="145" t="s">
        <v>29</v>
      </c>
      <c r="B2" s="204"/>
      <c r="R2" s="204"/>
      <c r="S2" s="204"/>
    </row>
    <row r="4" spans="1:19">
      <c r="B4" s="231" t="s">
        <v>30</v>
      </c>
      <c r="C4" s="258"/>
      <c r="D4" s="259">
        <v>105</v>
      </c>
    </row>
    <row r="6" spans="1:19">
      <c r="B6" s="205" t="s">
        <v>31</v>
      </c>
      <c r="C6" s="155" t="s">
        <v>32</v>
      </c>
      <c r="D6" s="155" t="s">
        <v>33</v>
      </c>
      <c r="E6" s="155" t="s">
        <v>34</v>
      </c>
      <c r="F6" s="155" t="s">
        <v>35</v>
      </c>
      <c r="G6" s="155" t="s">
        <v>36</v>
      </c>
      <c r="H6" s="156" t="s">
        <v>37</v>
      </c>
    </row>
    <row r="7" spans="1:19">
      <c r="B7" s="261" t="s">
        <v>38</v>
      </c>
      <c r="C7" s="24" t="s">
        <v>38</v>
      </c>
      <c r="D7" s="260">
        <f>ROUND($D$4*E7,0)</f>
        <v>63</v>
      </c>
      <c r="E7" s="262">
        <v>0.6</v>
      </c>
      <c r="F7" s="32">
        <v>800</v>
      </c>
      <c r="G7" s="241">
        <v>1780</v>
      </c>
      <c r="H7" s="147">
        <f>IFERROR(G7/F7,0)</f>
        <v>2.2250000000000001</v>
      </c>
      <c r="K7" s="139" t="s">
        <v>39</v>
      </c>
      <c r="L7" s="169"/>
      <c r="M7" s="169"/>
      <c r="N7" s="169"/>
      <c r="O7" s="169"/>
      <c r="P7" s="140"/>
    </row>
    <row r="8" spans="1:19">
      <c r="B8" s="261" t="s">
        <v>40</v>
      </c>
      <c r="C8" s="24" t="s">
        <v>40</v>
      </c>
      <c r="D8" s="260">
        <f t="shared" ref="D8:D14" si="0">ROUND($D$4*E8,0)</f>
        <v>42</v>
      </c>
      <c r="E8" s="262">
        <v>0.4</v>
      </c>
      <c r="F8" s="32">
        <v>1100</v>
      </c>
      <c r="G8" s="241">
        <v>2410</v>
      </c>
      <c r="H8" s="147">
        <f t="shared" ref="H8:H14" si="1">IFERROR(G8/F8,0)</f>
        <v>2.1909090909090909</v>
      </c>
      <c r="K8" s="210" t="s">
        <v>32</v>
      </c>
      <c r="L8" s="211" t="s">
        <v>33</v>
      </c>
      <c r="M8" s="211" t="s">
        <v>34</v>
      </c>
      <c r="N8" s="211" t="s">
        <v>41</v>
      </c>
      <c r="O8" s="211" t="s">
        <v>42</v>
      </c>
      <c r="P8" s="212" t="s">
        <v>43</v>
      </c>
      <c r="R8" s="217" t="s">
        <v>32</v>
      </c>
      <c r="S8" s="219" t="s">
        <v>44</v>
      </c>
    </row>
    <row r="9" spans="1:19">
      <c r="B9" s="261"/>
      <c r="C9" s="24"/>
      <c r="D9" s="260">
        <f t="shared" si="0"/>
        <v>0</v>
      </c>
      <c r="E9" s="262">
        <v>0</v>
      </c>
      <c r="F9" s="32"/>
      <c r="G9" s="241"/>
      <c r="H9" s="147">
        <f t="shared" si="1"/>
        <v>0</v>
      </c>
      <c r="K9" s="55" t="s">
        <v>45</v>
      </c>
      <c r="L9" s="239"/>
      <c r="M9" s="203" t="e">
        <f>L9/$L$14</f>
        <v>#DIV/0!</v>
      </c>
      <c r="N9" s="240">
        <v>607</v>
      </c>
      <c r="O9" s="241">
        <v>1450</v>
      </c>
      <c r="P9" s="215">
        <f>IFERROR(O9/N9,"-")</f>
        <v>2.3887973640856672</v>
      </c>
      <c r="R9" s="192" t="s">
        <v>46</v>
      </c>
      <c r="S9" s="220">
        <v>2025</v>
      </c>
    </row>
    <row r="10" spans="1:19">
      <c r="B10" s="261"/>
      <c r="C10" s="24"/>
      <c r="D10" s="260">
        <f t="shared" si="0"/>
        <v>0</v>
      </c>
      <c r="E10" s="262">
        <v>0</v>
      </c>
      <c r="F10" s="32"/>
      <c r="G10" s="241"/>
      <c r="H10" s="147">
        <f t="shared" si="1"/>
        <v>0</v>
      </c>
      <c r="K10" s="55" t="s">
        <v>47</v>
      </c>
      <c r="L10" s="239"/>
      <c r="M10" s="203" t="e">
        <f t="shared" ref="M10:M13" si="2">L10/$L$14</f>
        <v>#DIV/0!</v>
      </c>
      <c r="N10" s="240">
        <v>731</v>
      </c>
      <c r="O10" s="241">
        <v>1599</v>
      </c>
      <c r="P10" s="215">
        <f t="shared" ref="P10:P14" si="3">IFERROR(O10/N10,"-")</f>
        <v>2.1874145006839947</v>
      </c>
      <c r="R10" s="192" t="s">
        <v>48</v>
      </c>
      <c r="S10" s="221">
        <v>0.51</v>
      </c>
    </row>
    <row r="11" spans="1:19">
      <c r="B11" s="261"/>
      <c r="C11" s="24"/>
      <c r="D11" s="260">
        <f t="shared" si="0"/>
        <v>0</v>
      </c>
      <c r="E11" s="262">
        <v>0</v>
      </c>
      <c r="F11" s="32"/>
      <c r="G11" s="241"/>
      <c r="H11" s="147">
        <f t="shared" si="1"/>
        <v>0</v>
      </c>
      <c r="K11" s="55" t="s">
        <v>49</v>
      </c>
      <c r="L11" s="239"/>
      <c r="M11" s="203" t="e">
        <f t="shared" si="2"/>
        <v>#DIV/0!</v>
      </c>
      <c r="N11" s="240">
        <v>1222</v>
      </c>
      <c r="O11" s="241">
        <v>2285</v>
      </c>
      <c r="P11" s="215">
        <f t="shared" si="3"/>
        <v>1.8698854337152209</v>
      </c>
      <c r="R11" s="192" t="s">
        <v>50</v>
      </c>
      <c r="S11" s="220"/>
    </row>
    <row r="12" spans="1:19" ht="15" customHeight="1">
      <c r="B12" s="261"/>
      <c r="C12" s="24"/>
      <c r="D12" s="260">
        <f t="shared" si="0"/>
        <v>0</v>
      </c>
      <c r="E12" s="262">
        <v>0</v>
      </c>
      <c r="F12" s="32"/>
      <c r="G12" s="241"/>
      <c r="H12" s="147">
        <f t="shared" si="1"/>
        <v>0</v>
      </c>
      <c r="K12" s="55" t="s">
        <v>51</v>
      </c>
      <c r="L12" s="239"/>
      <c r="M12" s="203" t="e">
        <f t="shared" si="2"/>
        <v>#DIV/0!</v>
      </c>
      <c r="N12" s="240">
        <v>1667</v>
      </c>
      <c r="O12" s="241">
        <v>2772</v>
      </c>
      <c r="P12" s="215">
        <f t="shared" si="3"/>
        <v>1.662867426514697</v>
      </c>
      <c r="R12" s="192" t="s">
        <v>52</v>
      </c>
      <c r="S12" s="220" t="s">
        <v>53</v>
      </c>
    </row>
    <row r="13" spans="1:19" ht="15" customHeight="1">
      <c r="B13" s="261"/>
      <c r="C13" s="24"/>
      <c r="D13" s="260">
        <f t="shared" si="0"/>
        <v>0</v>
      </c>
      <c r="E13" s="262">
        <v>0</v>
      </c>
      <c r="F13" s="32"/>
      <c r="G13" s="241"/>
      <c r="H13" s="147">
        <f t="shared" si="1"/>
        <v>0</v>
      </c>
      <c r="K13" s="55" t="s">
        <v>54</v>
      </c>
      <c r="L13" s="239"/>
      <c r="M13" s="203" t="e">
        <f t="shared" si="2"/>
        <v>#DIV/0!</v>
      </c>
      <c r="N13" s="240"/>
      <c r="O13" s="241"/>
      <c r="P13" s="215" t="str">
        <f t="shared" si="3"/>
        <v>-</v>
      </c>
      <c r="R13" s="218" t="s">
        <v>55</v>
      </c>
      <c r="S13" s="265" t="s">
        <v>56</v>
      </c>
    </row>
    <row r="14" spans="1:19" ht="15" customHeight="1">
      <c r="B14" s="261"/>
      <c r="C14" s="24"/>
      <c r="D14" s="260">
        <f t="shared" si="0"/>
        <v>0</v>
      </c>
      <c r="E14" s="262">
        <v>0</v>
      </c>
      <c r="F14" s="32"/>
      <c r="G14" s="241"/>
      <c r="H14" s="147">
        <f t="shared" si="1"/>
        <v>0</v>
      </c>
      <c r="K14" s="125" t="s">
        <v>57</v>
      </c>
      <c r="L14" s="213">
        <f>SUM(L9:L13)</f>
        <v>0</v>
      </c>
      <c r="M14" s="214" t="e">
        <f>SUM(M9:M13)</f>
        <v>#DIV/0!</v>
      </c>
      <c r="N14" s="126" t="e">
        <f>SUMPRODUCT(N9:N13,L9:L13)/L14</f>
        <v>#DIV/0!</v>
      </c>
      <c r="O14" s="127" t="e">
        <f>SUMPRODUCT(O9:O13,$L$9:$L$13)/$L$14</f>
        <v>#DIV/0!</v>
      </c>
      <c r="P14" s="216" t="str">
        <f t="shared" si="3"/>
        <v>-</v>
      </c>
    </row>
    <row r="15" spans="1:19" ht="15" customHeight="1">
      <c r="B15" s="206" t="s">
        <v>57</v>
      </c>
      <c r="C15" s="22"/>
      <c r="D15" s="148">
        <f>+SUM(D7:D14)</f>
        <v>105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2032</v>
      </c>
      <c r="H15" s="151">
        <f>IFERROR(G15/F15,0)</f>
        <v>2.2086956521739132</v>
      </c>
    </row>
    <row r="16" spans="1:19">
      <c r="K16" s="139" t="s">
        <v>58</v>
      </c>
      <c r="L16" s="169"/>
      <c r="M16" s="169"/>
      <c r="N16" s="169"/>
      <c r="O16" s="169"/>
      <c r="P16" s="140"/>
    </row>
    <row r="17" spans="2:19">
      <c r="B17" s="208" t="s">
        <v>45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32</v>
      </c>
      <c r="L17" s="211" t="s">
        <v>33</v>
      </c>
      <c r="M17" s="211" t="s">
        <v>34</v>
      </c>
      <c r="N17" s="211" t="s">
        <v>41</v>
      </c>
      <c r="O17" s="211" t="s">
        <v>42</v>
      </c>
      <c r="P17" s="212" t="s">
        <v>43</v>
      </c>
      <c r="R17" s="217" t="s">
        <v>32</v>
      </c>
      <c r="S17" s="219" t="s">
        <v>59</v>
      </c>
    </row>
    <row r="18" spans="2:19">
      <c r="B18" s="209" t="s">
        <v>38</v>
      </c>
      <c r="D18" s="154">
        <f>SUMIF($C$7:$C$14,$B18,D$7:D$14)</f>
        <v>63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1780</v>
      </c>
      <c r="H18" s="147">
        <f t="shared" ref="H18:H22" si="5">IFERROR(G18/F18,0)</f>
        <v>2.2250000000000001</v>
      </c>
      <c r="K18" s="55" t="s">
        <v>45</v>
      </c>
      <c r="L18" s="239"/>
      <c r="M18" s="203" t="e">
        <f>L18/$L$14</f>
        <v>#DIV/0!</v>
      </c>
      <c r="N18" s="240"/>
      <c r="O18" s="241"/>
      <c r="P18" s="215" t="str">
        <f>IFERROR(O18/N18,"-")</f>
        <v>-</v>
      </c>
      <c r="R18" s="192" t="s">
        <v>46</v>
      </c>
      <c r="S18" s="220">
        <v>2019</v>
      </c>
    </row>
    <row r="19" spans="2:19">
      <c r="B19" s="209" t="s">
        <v>40</v>
      </c>
      <c r="D19" s="154">
        <f>SUMIF($C$7:$C$14,$B19,D$7:D$14)</f>
        <v>42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2410</v>
      </c>
      <c r="H19" s="147">
        <f t="shared" si="5"/>
        <v>2.1909090909090909</v>
      </c>
      <c r="K19" s="55" t="s">
        <v>47</v>
      </c>
      <c r="L19" s="239"/>
      <c r="M19" s="203" t="e">
        <f t="shared" ref="M19:M22" si="6">L19/$L$14</f>
        <v>#DIV/0!</v>
      </c>
      <c r="N19" s="240">
        <v>726</v>
      </c>
      <c r="O19" s="241">
        <v>1794</v>
      </c>
      <c r="P19" s="215">
        <f t="shared" ref="P19:P23" si="7">IFERROR(O19/N19,"-")</f>
        <v>2.4710743801652892</v>
      </c>
      <c r="R19" s="192" t="s">
        <v>48</v>
      </c>
      <c r="S19" s="221">
        <v>0.09</v>
      </c>
    </row>
    <row r="20" spans="2:19">
      <c r="B20" s="209" t="s">
        <v>60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49</v>
      </c>
      <c r="L20" s="239"/>
      <c r="M20" s="203" t="e">
        <f t="shared" si="6"/>
        <v>#DIV/0!</v>
      </c>
      <c r="N20" s="240">
        <v>1110</v>
      </c>
      <c r="O20" s="241">
        <v>2593</v>
      </c>
      <c r="P20" s="215">
        <f t="shared" si="7"/>
        <v>2.3360360360360359</v>
      </c>
      <c r="R20" s="192" t="s">
        <v>50</v>
      </c>
      <c r="S20" s="220"/>
    </row>
    <row r="21" spans="2:19">
      <c r="B21" s="209" t="s">
        <v>61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51</v>
      </c>
      <c r="L21" s="239"/>
      <c r="M21" s="203" t="e">
        <f t="shared" si="6"/>
        <v>#DIV/0!</v>
      </c>
      <c r="N21" s="240"/>
      <c r="O21" s="241"/>
      <c r="P21" s="215" t="str">
        <f t="shared" si="7"/>
        <v>-</v>
      </c>
      <c r="R21" s="192" t="s">
        <v>52</v>
      </c>
      <c r="S21" s="220" t="s">
        <v>62</v>
      </c>
    </row>
    <row r="22" spans="2:19">
      <c r="B22" s="206" t="s">
        <v>57</v>
      </c>
      <c r="C22" s="22"/>
      <c r="D22" s="148">
        <f>SUM(D17:D21)</f>
        <v>105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2032</v>
      </c>
      <c r="H22" s="151">
        <f t="shared" si="5"/>
        <v>2.2086956521739132</v>
      </c>
      <c r="K22" s="55" t="s">
        <v>54</v>
      </c>
      <c r="L22" s="239"/>
      <c r="M22" s="203" t="e">
        <f t="shared" si="6"/>
        <v>#DIV/0!</v>
      </c>
      <c r="N22" s="240"/>
      <c r="O22" s="241"/>
      <c r="P22" s="215" t="str">
        <f t="shared" si="7"/>
        <v>-</v>
      </c>
      <c r="R22" s="218" t="s">
        <v>55</v>
      </c>
      <c r="S22" s="265" t="s">
        <v>56</v>
      </c>
    </row>
    <row r="23" spans="2:19">
      <c r="K23" s="125" t="s">
        <v>57</v>
      </c>
      <c r="L23" s="213">
        <f>SUM(L18:L22)</f>
        <v>0</v>
      </c>
      <c r="M23" s="214" t="e">
        <f>SUM(M18:M22)</f>
        <v>#DIV/0!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>
      <c r="C24" s="207"/>
      <c r="D24" s="207"/>
      <c r="E24" s="207"/>
      <c r="F24" s="207"/>
    </row>
    <row r="25" spans="2:19">
      <c r="C25" s="207"/>
      <c r="D25" s="207"/>
      <c r="E25" s="207"/>
      <c r="F25" s="207"/>
      <c r="K25" s="139" t="s">
        <v>63</v>
      </c>
      <c r="L25" s="169"/>
      <c r="M25" s="169"/>
      <c r="N25" s="169"/>
      <c r="O25" s="169"/>
      <c r="P25" s="140"/>
    </row>
    <row r="26" spans="2:19">
      <c r="C26" s="207"/>
      <c r="D26" s="207"/>
      <c r="E26" s="207"/>
      <c r="F26" s="207"/>
      <c r="K26" s="210" t="s">
        <v>32</v>
      </c>
      <c r="L26" s="211" t="s">
        <v>33</v>
      </c>
      <c r="M26" s="211" t="s">
        <v>34</v>
      </c>
      <c r="N26" s="211" t="s">
        <v>41</v>
      </c>
      <c r="O26" s="211" t="s">
        <v>42</v>
      </c>
      <c r="P26" s="212" t="s">
        <v>43</v>
      </c>
      <c r="R26" s="217" t="s">
        <v>32</v>
      </c>
      <c r="S26" s="219" t="s">
        <v>59</v>
      </c>
    </row>
    <row r="27" spans="2:19">
      <c r="C27" s="207"/>
      <c r="D27" s="207"/>
      <c r="E27" s="207"/>
      <c r="F27" s="207"/>
      <c r="K27" s="55" t="s">
        <v>45</v>
      </c>
      <c r="L27" s="239"/>
      <c r="M27" s="203" t="e">
        <f>L27/$L$14</f>
        <v>#DIV/0!</v>
      </c>
      <c r="N27" s="240"/>
      <c r="O27" s="241"/>
      <c r="P27" s="215" t="str">
        <f>IFERROR(O27/N27,"-")</f>
        <v>-</v>
      </c>
      <c r="R27" s="192" t="s">
        <v>46</v>
      </c>
      <c r="S27" s="220">
        <v>2022</v>
      </c>
    </row>
    <row r="28" spans="2:19">
      <c r="C28" s="207"/>
      <c r="D28" s="207"/>
      <c r="E28" s="207"/>
      <c r="F28" s="207"/>
      <c r="K28" s="55" t="s">
        <v>47</v>
      </c>
      <c r="L28" s="239"/>
      <c r="M28" s="203" t="e">
        <f t="shared" ref="M28:M31" si="8">L28/$L$14</f>
        <v>#DIV/0!</v>
      </c>
      <c r="N28" s="240">
        <v>780</v>
      </c>
      <c r="O28" s="241">
        <v>1772</v>
      </c>
      <c r="P28" s="215">
        <f t="shared" ref="P28:P32" si="9">IFERROR(O28/N28,"-")</f>
        <v>2.2717948717948717</v>
      </c>
      <c r="R28" s="192" t="s">
        <v>48</v>
      </c>
      <c r="S28" s="221">
        <v>9.4E-2</v>
      </c>
    </row>
    <row r="29" spans="2:19">
      <c r="C29" s="207"/>
      <c r="D29" s="207"/>
      <c r="E29" s="207"/>
      <c r="F29" s="207"/>
      <c r="K29" s="55" t="s">
        <v>49</v>
      </c>
      <c r="L29" s="239"/>
      <c r="M29" s="203" t="e">
        <f t="shared" si="8"/>
        <v>#DIV/0!</v>
      </c>
      <c r="N29" s="240">
        <v>997</v>
      </c>
      <c r="O29" s="241">
        <v>2207</v>
      </c>
      <c r="P29" s="215">
        <f t="shared" si="9"/>
        <v>2.2136409227683047</v>
      </c>
      <c r="R29" s="192" t="s">
        <v>50</v>
      </c>
      <c r="S29" s="220"/>
    </row>
    <row r="30" spans="2:19">
      <c r="C30" s="207"/>
      <c r="D30" s="207"/>
      <c r="E30" s="207"/>
      <c r="F30" s="207"/>
      <c r="K30" s="55" t="s">
        <v>51</v>
      </c>
      <c r="L30" s="239"/>
      <c r="M30" s="203" t="e">
        <f t="shared" si="8"/>
        <v>#DIV/0!</v>
      </c>
      <c r="N30" s="240"/>
      <c r="O30" s="241"/>
      <c r="P30" s="215" t="str">
        <f t="shared" si="9"/>
        <v>-</v>
      </c>
      <c r="R30" s="192" t="s">
        <v>52</v>
      </c>
      <c r="S30" s="220" t="s">
        <v>64</v>
      </c>
    </row>
    <row r="31" spans="2:19">
      <c r="C31" s="207"/>
      <c r="D31" s="207"/>
      <c r="E31" s="207"/>
      <c r="F31" s="207"/>
      <c r="K31" s="55" t="s">
        <v>54</v>
      </c>
      <c r="L31" s="239"/>
      <c r="M31" s="203" t="e">
        <f t="shared" si="8"/>
        <v>#DIV/0!</v>
      </c>
      <c r="N31" s="240"/>
      <c r="O31" s="241"/>
      <c r="P31" s="215" t="str">
        <f t="shared" si="9"/>
        <v>-</v>
      </c>
      <c r="R31" s="218" t="s">
        <v>55</v>
      </c>
      <c r="S31" s="265" t="s">
        <v>56</v>
      </c>
    </row>
    <row r="32" spans="2:19">
      <c r="C32" s="207"/>
      <c r="D32" s="207"/>
      <c r="E32" s="207"/>
      <c r="F32" s="207"/>
      <c r="K32" s="125" t="s">
        <v>57</v>
      </c>
      <c r="L32" s="213">
        <f>SUM(L27:L31)</f>
        <v>0</v>
      </c>
      <c r="M32" s="214" t="e">
        <f>SUM(M27:M31)</f>
        <v>#DIV/0!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>
      <c r="C33" s="207"/>
      <c r="D33" s="207"/>
      <c r="E33" s="207"/>
      <c r="F33" s="207"/>
    </row>
    <row r="34" spans="3:6">
      <c r="C34" s="207"/>
      <c r="D34" s="207"/>
      <c r="E34" s="207"/>
      <c r="F34" s="207"/>
    </row>
    <row r="35" spans="3:6">
      <c r="C35" s="207"/>
      <c r="D35" s="207"/>
      <c r="E35" s="207"/>
      <c r="F35" s="207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CB90C554-C7FD-46B1-B80E-C052D53F1320}"/>
    <hyperlink ref="S22" r:id="rId2" xr:uid="{4D4718AD-1C08-4976-B7E6-4532C023DBD0}"/>
    <hyperlink ref="S31" r:id="rId3" xr:uid="{683EC70A-96DA-4238-BF50-DF6388371656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4.45"/>
  <cols>
    <col min="1" max="1" width="3.7109375" customWidth="1"/>
    <col min="2" max="2" width="30.7109375" customWidth="1"/>
    <col min="3" max="7" width="12.7109375" style="23" customWidth="1"/>
  </cols>
  <sheetData>
    <row r="3" spans="2:6">
      <c r="B3" s="120" t="s">
        <v>65</v>
      </c>
      <c r="C3" s="121" t="s">
        <v>33</v>
      </c>
      <c r="D3" s="121" t="s">
        <v>41</v>
      </c>
      <c r="E3" s="121" t="s">
        <v>42</v>
      </c>
      <c r="F3" s="121" t="s">
        <v>43</v>
      </c>
    </row>
    <row r="4" spans="2:6">
      <c r="B4" t="s">
        <v>45</v>
      </c>
      <c r="C4" s="23" t="s">
        <v>66</v>
      </c>
      <c r="D4" s="23" t="s">
        <v>66</v>
      </c>
      <c r="E4" s="23" t="s">
        <v>66</v>
      </c>
      <c r="F4" s="23" t="s">
        <v>66</v>
      </c>
    </row>
    <row r="5" spans="2:6">
      <c r="B5" t="s">
        <v>47</v>
      </c>
      <c r="C5" s="154">
        <f>'Unit Mix_vm'!D7</f>
        <v>63</v>
      </c>
      <c r="D5" s="154">
        <f>'Unit Mix_vm'!F7</f>
        <v>800</v>
      </c>
      <c r="E5" s="36">
        <f>'Unit Mix_vm'!G7</f>
        <v>1780</v>
      </c>
      <c r="F5" s="237">
        <f>E5/D5</f>
        <v>2.2250000000000001</v>
      </c>
    </row>
    <row r="6" spans="2:6">
      <c r="B6" t="s">
        <v>49</v>
      </c>
      <c r="C6" s="154">
        <f>'Unit Mix_vm'!D8</f>
        <v>42</v>
      </c>
      <c r="D6" s="154">
        <f>'Unit Mix_vm'!F8</f>
        <v>1100</v>
      </c>
      <c r="E6" s="36">
        <f>'Unit Mix_vm'!G8</f>
        <v>2410</v>
      </c>
      <c r="F6" s="237">
        <f t="shared" ref="F6" si="0">E6/D6</f>
        <v>2.1909090909090909</v>
      </c>
    </row>
    <row r="7" spans="2:6">
      <c r="B7" t="s">
        <v>51</v>
      </c>
      <c r="C7" s="23" t="s">
        <v>66</v>
      </c>
      <c r="D7" s="23" t="s">
        <v>66</v>
      </c>
      <c r="E7" s="23" t="s">
        <v>66</v>
      </c>
      <c r="F7" s="23" t="s">
        <v>66</v>
      </c>
    </row>
    <row r="8" spans="2:6">
      <c r="B8" t="s">
        <v>54</v>
      </c>
      <c r="C8" s="23" t="s">
        <v>66</v>
      </c>
      <c r="D8" s="23" t="s">
        <v>66</v>
      </c>
      <c r="E8" s="23" t="s">
        <v>66</v>
      </c>
      <c r="F8" s="23" t="s">
        <v>66</v>
      </c>
    </row>
    <row r="9" spans="2:6">
      <c r="B9" s="3" t="s">
        <v>67</v>
      </c>
      <c r="C9" s="152">
        <f>'Unit Mix_vm'!D15</f>
        <v>105</v>
      </c>
      <c r="D9" s="152">
        <f>'Unit Mix_vm'!F15</f>
        <v>920</v>
      </c>
      <c r="E9" s="35">
        <f>'Unit Mix_vm'!G15</f>
        <v>2032</v>
      </c>
      <c r="F9" s="256">
        <f>'Unit Mix_vm'!H15</f>
        <v>2.2086956521739132</v>
      </c>
    </row>
    <row r="11" spans="2:6">
      <c r="B11" s="120" t="s">
        <v>68</v>
      </c>
      <c r="C11" s="121" t="s">
        <v>57</v>
      </c>
      <c r="D11" s="121" t="s">
        <v>69</v>
      </c>
      <c r="E11" s="121" t="s">
        <v>70</v>
      </c>
      <c r="F11" s="121" t="s">
        <v>71</v>
      </c>
    </row>
    <row r="12" spans="2:6">
      <c r="B12" t="s">
        <v>72</v>
      </c>
      <c r="C12" s="36">
        <f>Budget_vm!D8</f>
        <v>2950000</v>
      </c>
      <c r="D12" s="36">
        <f>C12/'Unit Mix_vm'!$D$15</f>
        <v>28095.238095238095</v>
      </c>
      <c r="E12" s="36">
        <f>D12/'Unit Mix_vm'!$F$15</f>
        <v>30.538302277432713</v>
      </c>
      <c r="F12" s="42">
        <f ca="1">C12/$C$51</f>
        <v>9.2802479941183499E-2</v>
      </c>
    </row>
    <row r="13" spans="2:6">
      <c r="B13" t="s">
        <v>73</v>
      </c>
      <c r="C13" s="36">
        <f ca="1">Budget_vm!D11</f>
        <v>95363.830854617103</v>
      </c>
      <c r="D13" s="36">
        <f ca="1">C13/'Unit Mix_vm'!$D$15</f>
        <v>908.22696052016283</v>
      </c>
      <c r="E13" s="36">
        <f ca="1">D13/'Unit Mix_vm'!$F$15</f>
        <v>0.98720321795669874</v>
      </c>
      <c r="F13" s="42">
        <f t="shared" ref="F13:F51" ca="1" si="1">C13/$C$51</f>
        <v>3.0000000000000066E-3</v>
      </c>
    </row>
    <row r="14" spans="2:6">
      <c r="B14" t="s">
        <v>74</v>
      </c>
      <c r="C14" s="36">
        <f ca="1">Budget_vm!D12</f>
        <v>143045.74628192536</v>
      </c>
      <c r="D14" s="36">
        <f ca="1">C14/'Unit Mix_vm'!$D$15</f>
        <v>1362.3404407802416</v>
      </c>
      <c r="E14" s="36">
        <f ca="1">D14/'Unit Mix_vm'!$F$15</f>
        <v>1.4808048269350451</v>
      </c>
      <c r="F14" s="42">
        <f t="shared" ca="1" si="1"/>
        <v>4.5000000000000005E-3</v>
      </c>
    </row>
    <row r="15" spans="2:6">
      <c r="B15" t="s">
        <v>75</v>
      </c>
      <c r="C15" s="36">
        <f>Budget_vm!D20</f>
        <v>400000</v>
      </c>
      <c r="D15" s="36">
        <f>C15/'Unit Mix_vm'!$D$15</f>
        <v>3809.5238095238096</v>
      </c>
      <c r="E15" s="36">
        <f>D15/'Unit Mix_vm'!$F$15</f>
        <v>4.1407867494824018</v>
      </c>
      <c r="F15" s="42">
        <f t="shared" ca="1" si="1"/>
        <v>1.2583387110668949E-2</v>
      </c>
    </row>
    <row r="16" spans="2:6">
      <c r="B16" t="s">
        <v>76</v>
      </c>
      <c r="C16" s="36">
        <f>Budget_vm!D21</f>
        <v>300000</v>
      </c>
      <c r="D16" s="36">
        <f>C16/'Unit Mix_vm'!$D$15</f>
        <v>2857.1428571428573</v>
      </c>
      <c r="E16" s="36">
        <f>D16/'Unit Mix_vm'!$F$15</f>
        <v>3.1055900621118013</v>
      </c>
      <c r="F16" s="42">
        <f t="shared" ca="1" si="1"/>
        <v>9.4375403330017125E-3</v>
      </c>
    </row>
    <row r="17" spans="2:6">
      <c r="B17" t="s">
        <v>77</v>
      </c>
      <c r="C17" s="36">
        <f>Budget_vm!D22</f>
        <v>787500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2.4773543374129493E-2</v>
      </c>
    </row>
    <row r="18" spans="2:6">
      <c r="B18" t="s">
        <v>78</v>
      </c>
      <c r="C18" s="36">
        <f ca="1">Budget_vm!D27</f>
        <v>1009328.026637197</v>
      </c>
      <c r="D18" s="36">
        <f ca="1">C18/'Unit Mix_vm'!$D$15</f>
        <v>9612.6478727352096</v>
      </c>
      <c r="E18" s="36">
        <f ca="1">D18/'Unit Mix_vm'!$F$15</f>
        <v>10.448530296451315</v>
      </c>
      <c r="F18" s="42">
        <f t="shared" ca="1" si="1"/>
        <v>3.1751913202058578E-2</v>
      </c>
    </row>
    <row r="19" spans="2:6">
      <c r="B19" t="s">
        <v>79</v>
      </c>
      <c r="C19" s="36">
        <f>Budget_vm!D28</f>
        <v>173880</v>
      </c>
      <c r="D19" s="36">
        <f>C19/'Unit Mix_vm'!$D$15</f>
        <v>1656</v>
      </c>
      <c r="E19" s="36">
        <f>D19/'Unit Mix_vm'!$F$15</f>
        <v>1.8</v>
      </c>
      <c r="F19" s="42">
        <f t="shared" ca="1" si="1"/>
        <v>5.4699983770077924E-3</v>
      </c>
    </row>
    <row r="20" spans="2:6">
      <c r="B20" t="s">
        <v>80</v>
      </c>
      <c r="C20" s="36">
        <f>Budget_vm!D29</f>
        <v>300000</v>
      </c>
      <c r="D20" s="36">
        <f>C20/'Unit Mix_vm'!$D$15</f>
        <v>2857.1428571428573</v>
      </c>
      <c r="E20" s="36">
        <f>D20/'Unit Mix_vm'!$F$15</f>
        <v>3.1055900621118013</v>
      </c>
      <c r="F20" s="42">
        <f t="shared" ca="1" si="1"/>
        <v>9.4375403330017125E-3</v>
      </c>
    </row>
    <row r="21" spans="2:6">
      <c r="B21" t="s">
        <v>81</v>
      </c>
      <c r="C21" s="36">
        <f>Budget_vm!D33</f>
        <v>300000</v>
      </c>
      <c r="D21" s="36">
        <f>C21/'Unit Mix_vm'!$D$15</f>
        <v>2857.1428571428573</v>
      </c>
      <c r="E21" s="36">
        <f>D21/'Unit Mix_vm'!$F$15</f>
        <v>3.1055900621118013</v>
      </c>
      <c r="F21" s="42">
        <f t="shared" ca="1" si="1"/>
        <v>9.4375403330017125E-3</v>
      </c>
    </row>
    <row r="22" spans="2:6">
      <c r="B22" t="s">
        <v>82</v>
      </c>
      <c r="C22" s="36">
        <f>Budget_vm!D34</f>
        <v>200000</v>
      </c>
      <c r="D22" s="36">
        <f>C22/'Unit Mix_vm'!$D$15</f>
        <v>1904.7619047619048</v>
      </c>
      <c r="E22" s="36">
        <f>D22/'Unit Mix_vm'!$F$15</f>
        <v>2.0703933747412009</v>
      </c>
      <c r="F22" s="42">
        <f t="shared" ca="1" si="1"/>
        <v>6.2916935553344747E-3</v>
      </c>
    </row>
    <row r="23" spans="2:6">
      <c r="B23" t="s">
        <v>83</v>
      </c>
      <c r="C23" s="36">
        <f>Budget_vm!D35</f>
        <v>200000</v>
      </c>
      <c r="D23" s="36">
        <f>C23/'Unit Mix_vm'!$D$15</f>
        <v>1904.7619047619048</v>
      </c>
      <c r="E23" s="36">
        <f>D23/'Unit Mix_vm'!$F$15</f>
        <v>2.0703933747412009</v>
      </c>
      <c r="F23" s="42">
        <f t="shared" ca="1" si="1"/>
        <v>6.2916935553344747E-3</v>
      </c>
    </row>
    <row r="24" spans="2:6">
      <c r="B24" t="s">
        <v>84</v>
      </c>
      <c r="C24" s="36">
        <f>Budget_vm!D36</f>
        <v>400000</v>
      </c>
      <c r="D24" s="36">
        <f>C24/'Unit Mix_vm'!$D$15</f>
        <v>3809.5238095238096</v>
      </c>
      <c r="E24" s="36">
        <f>D24/'Unit Mix_vm'!$F$15</f>
        <v>4.1407867494824018</v>
      </c>
      <c r="F24" s="42">
        <f t="shared" ca="1" si="1"/>
        <v>1.2583387110668949E-2</v>
      </c>
    </row>
    <row r="25" spans="2:6">
      <c r="B25" t="s">
        <v>85</v>
      </c>
      <c r="C25" s="36">
        <f>Budget_vm!D38</f>
        <v>50000</v>
      </c>
      <c r="D25" s="36">
        <f>C25/'Unit Mix_vm'!$D$15</f>
        <v>476.1904761904762</v>
      </c>
      <c r="E25" s="36">
        <f>D25/'Unit Mix_vm'!$F$15</f>
        <v>0.51759834368530022</v>
      </c>
      <c r="F25" s="42">
        <f t="shared" ca="1" si="1"/>
        <v>1.5729233888336187E-3</v>
      </c>
    </row>
    <row r="26" spans="2:6">
      <c r="B26" t="s">
        <v>86</v>
      </c>
      <c r="C26" s="36">
        <f ca="1">Budget_vm!D39</f>
        <v>21933.681096561879</v>
      </c>
      <c r="D26" s="36">
        <f ca="1">C26/'Unit Mix_vm'!$D$15</f>
        <v>208.89220091963693</v>
      </c>
      <c r="E26" s="36">
        <f ca="1">D26/'Unit Mix_vm'!$F$15</f>
        <v>0.22705674013004015</v>
      </c>
      <c r="F26" s="42">
        <f t="shared" ca="1" si="1"/>
        <v>6.8999999999999986E-4</v>
      </c>
    </row>
    <row r="27" spans="2:6">
      <c r="B27" t="s">
        <v>87</v>
      </c>
      <c r="C27" s="36">
        <f ca="1">Budget_vm!D40</f>
        <v>342584.37256385072</v>
      </c>
      <c r="D27" s="36">
        <f ca="1">C27/'Unit Mix_vm'!$D$15</f>
        <v>3262.7083101319117</v>
      </c>
      <c r="E27" s="36">
        <f ca="1">D27/'Unit Mix_vm'!$F$15</f>
        <v>3.5464220762303387</v>
      </c>
      <c r="F27" s="42">
        <f t="shared" ca="1" si="1"/>
        <v>1.0777179445091422E-2</v>
      </c>
    </row>
    <row r="28" spans="2:6">
      <c r="B28" t="s">
        <v>88</v>
      </c>
      <c r="C28" s="36">
        <f>Budget_vm!D41</f>
        <v>61660.779861190858</v>
      </c>
      <c r="D28" s="36">
        <f>C28/'Unit Mix_vm'!$D$15</f>
        <v>587.24552248753196</v>
      </c>
      <c r="E28" s="36">
        <f>D28/'Unit Mix_vm'!$F$15</f>
        <v>0.63831035052992602</v>
      </c>
      <c r="F28" s="42">
        <f t="shared" ca="1" si="1"/>
        <v>1.9397536563477615E-3</v>
      </c>
    </row>
    <row r="29" spans="2:6">
      <c r="B29" t="s">
        <v>89</v>
      </c>
      <c r="C29" s="36">
        <f>Budget_vm!D43</f>
        <v>50000</v>
      </c>
      <c r="D29" s="36">
        <f>C29/'Unit Mix_vm'!$D$15</f>
        <v>476.1904761904762</v>
      </c>
      <c r="E29" s="36">
        <f>D29/'Unit Mix_vm'!$F$15</f>
        <v>0.51759834368530022</v>
      </c>
      <c r="F29" s="42">
        <f t="shared" ca="1" si="1"/>
        <v>1.5729233888336187E-3</v>
      </c>
    </row>
    <row r="30" spans="2:6">
      <c r="B30" t="s">
        <v>90</v>
      </c>
      <c r="C30" s="36">
        <f>Budget_vm!D48</f>
        <v>367500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1.1560986907927097E-2</v>
      </c>
    </row>
    <row r="31" spans="2:6">
      <c r="B31" t="s">
        <v>91</v>
      </c>
      <c r="C31" s="36">
        <f>Budget_vm!D49</f>
        <v>75000</v>
      </c>
      <c r="D31" s="36">
        <f>C31/'Unit Mix_vm'!$D$15</f>
        <v>714.28571428571433</v>
      </c>
      <c r="E31" s="36">
        <f>D31/'Unit Mix_vm'!$F$15</f>
        <v>0.77639751552795033</v>
      </c>
      <c r="F31" s="42">
        <f t="shared" ca="1" si="1"/>
        <v>2.3593850832504281E-3</v>
      </c>
    </row>
    <row r="32" spans="2:6">
      <c r="B32" t="s">
        <v>92</v>
      </c>
      <c r="C32" s="36">
        <f>Budget_vm!D50</f>
        <v>50000</v>
      </c>
      <c r="D32" s="36">
        <f>C32/'Unit Mix_vm'!$D$15</f>
        <v>476.1904761904762</v>
      </c>
      <c r="E32" s="36">
        <f>D32/'Unit Mix_vm'!$F$15</f>
        <v>0.51759834368530022</v>
      </c>
      <c r="F32" s="42">
        <f t="shared" ca="1" si="1"/>
        <v>1.5729233888336187E-3</v>
      </c>
    </row>
    <row r="33" spans="2:6">
      <c r="B33" t="s">
        <v>93</v>
      </c>
      <c r="C33" s="36">
        <f>Budget_vm!D51</f>
        <v>210000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6.6062782331011982E-3</v>
      </c>
    </row>
    <row r="34" spans="2:6">
      <c r="B34" t="s">
        <v>94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>
      <c r="B35" t="s">
        <v>95</v>
      </c>
      <c r="C35" s="36">
        <f>Budget_vm!D53</f>
        <v>150000</v>
      </c>
      <c r="D35" s="36">
        <f>C35/'Unit Mix_vm'!$D$15</f>
        <v>1428.5714285714287</v>
      </c>
      <c r="E35" s="36">
        <f>D35/'Unit Mix_vm'!$F$15</f>
        <v>1.5527950310559007</v>
      </c>
      <c r="F35" s="42">
        <f t="shared" ca="1" si="1"/>
        <v>4.7187701665008562E-3</v>
      </c>
    </row>
    <row r="36" spans="2:6">
      <c r="B36" t="s">
        <v>96</v>
      </c>
      <c r="C36" s="36">
        <f>Budget_vm!D54</f>
        <v>35000</v>
      </c>
      <c r="D36" s="36">
        <f>C36/'Unit Mix_vm'!$D$15</f>
        <v>333.33333333333331</v>
      </c>
      <c r="E36" s="36">
        <f>D36/'Unit Mix_vm'!$F$15</f>
        <v>0.36231884057971014</v>
      </c>
      <c r="F36" s="42">
        <f t="shared" ca="1" si="1"/>
        <v>1.101046372183533E-3</v>
      </c>
    </row>
    <row r="37" spans="2:6">
      <c r="B37" t="s">
        <v>97</v>
      </c>
      <c r="C37" s="36">
        <f>Budget_vm!D55</f>
        <v>300000</v>
      </c>
      <c r="D37" s="36">
        <f>C37/'Unit Mix_vm'!$D$15</f>
        <v>2857.1428571428573</v>
      </c>
      <c r="E37" s="36">
        <f>D37/'Unit Mix_vm'!$F$15</f>
        <v>3.1055900621118013</v>
      </c>
      <c r="F37" s="42">
        <f t="shared" ca="1" si="1"/>
        <v>9.4375403330017125E-3</v>
      </c>
    </row>
    <row r="38" spans="2:6">
      <c r="B38" t="s">
        <v>98</v>
      </c>
      <c r="C38" s="36">
        <f>Budget_vm!D56</f>
        <v>514500</v>
      </c>
      <c r="D38" s="36">
        <f>C38/'Unit Mix_vm'!$D$15</f>
        <v>4900</v>
      </c>
      <c r="E38" s="36">
        <f>D38/'Unit Mix_vm'!$F$15</f>
        <v>5.3260869565217392</v>
      </c>
      <c r="F38" s="42">
        <f t="shared" ca="1" si="1"/>
        <v>1.6185381671097936E-2</v>
      </c>
    </row>
    <row r="39" spans="2:6">
      <c r="B39" t="s">
        <v>99</v>
      </c>
      <c r="C39" s="36">
        <f>Budget_vm!D57</f>
        <v>25000</v>
      </c>
      <c r="D39" s="36">
        <f>C39/'Unit Mix_vm'!$D$15</f>
        <v>238.0952380952381</v>
      </c>
      <c r="E39" s="36">
        <f>D39/'Unit Mix_vm'!$F$15</f>
        <v>0.25879917184265011</v>
      </c>
      <c r="F39" s="42">
        <f t="shared" ca="1" si="1"/>
        <v>7.8646169441680934E-4</v>
      </c>
    </row>
    <row r="40" spans="2:6">
      <c r="B40" t="s">
        <v>100</v>
      </c>
      <c r="C40" s="36">
        <f>Budget_vm!D58</f>
        <v>750000</v>
      </c>
      <c r="D40" s="36">
        <f>C40/'Unit Mix_vm'!$D$15</f>
        <v>7142.8571428571431</v>
      </c>
      <c r="E40" s="36">
        <f>D40/'Unit Mix_vm'!$F$15</f>
        <v>7.7639751552795033</v>
      </c>
      <c r="F40" s="42">
        <f t="shared" ca="1" si="1"/>
        <v>2.359385083250428E-2</v>
      </c>
    </row>
    <row r="41" spans="2:6">
      <c r="B41" t="s">
        <v>101</v>
      </c>
      <c r="C41" s="36">
        <f>Budget_vm!D59</f>
        <v>80000</v>
      </c>
      <c r="D41" s="36">
        <f>C41/'Unit Mix_vm'!$D$15</f>
        <v>761.90476190476193</v>
      </c>
      <c r="E41" s="36">
        <f>D41/'Unit Mix_vm'!$F$15</f>
        <v>0.82815734989648038</v>
      </c>
      <c r="F41" s="42">
        <f t="shared" ca="1" si="1"/>
        <v>2.5166774221337899E-3</v>
      </c>
    </row>
    <row r="42" spans="2:6">
      <c r="B42" t="s">
        <v>102</v>
      </c>
      <c r="C42" s="36">
        <f>Budget_vm!D60</f>
        <v>100000</v>
      </c>
      <c r="D42" s="36">
        <f>C42/'Unit Mix_vm'!$D$15</f>
        <v>952.38095238095241</v>
      </c>
      <c r="E42" s="36">
        <f>D42/'Unit Mix_vm'!$F$15</f>
        <v>1.0351966873706004</v>
      </c>
      <c r="F42" s="42">
        <f t="shared" ca="1" si="1"/>
        <v>3.1458467776672373E-3</v>
      </c>
    </row>
    <row r="43" spans="2:6">
      <c r="B43" t="s">
        <v>103</v>
      </c>
      <c r="C43" s="36">
        <f>Budget_vm!D61</f>
        <v>100000</v>
      </c>
      <c r="D43" s="36">
        <f>C43/'Unit Mix_vm'!$D$15</f>
        <v>952.38095238095241</v>
      </c>
      <c r="E43" s="36">
        <f>D43/'Unit Mix_vm'!$F$15</f>
        <v>1.0351966873706004</v>
      </c>
      <c r="F43" s="42">
        <f t="shared" ca="1" si="1"/>
        <v>3.1458467776672373E-3</v>
      </c>
    </row>
    <row r="44" spans="2:6">
      <c r="B44" t="s">
        <v>104</v>
      </c>
      <c r="C44" s="36">
        <f>Budget_vm!D62</f>
        <v>150000</v>
      </c>
      <c r="D44" s="36">
        <f>C44/'Unit Mix_vm'!$D$15</f>
        <v>1428.5714285714287</v>
      </c>
      <c r="E44" s="36">
        <f>D44/'Unit Mix_vm'!$F$15</f>
        <v>1.5527950310559007</v>
      </c>
      <c r="F44" s="42">
        <f t="shared" ca="1" si="1"/>
        <v>4.7187701665008562E-3</v>
      </c>
    </row>
    <row r="45" spans="2:6">
      <c r="B45" t="s">
        <v>105</v>
      </c>
      <c r="C45" s="36">
        <f>Budget_vm!D63</f>
        <v>15750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4.9547086748258991E-4</v>
      </c>
    </row>
    <row r="46" spans="2:6">
      <c r="B46" t="s">
        <v>106</v>
      </c>
      <c r="C46" s="36">
        <f>Budget_vm!D64</f>
        <v>150000</v>
      </c>
      <c r="D46" s="36">
        <f>C46/'Unit Mix_vm'!$D$15</f>
        <v>1428.5714285714287</v>
      </c>
      <c r="E46" s="36">
        <f>D46/'Unit Mix_vm'!$F$15</f>
        <v>1.5527950310559007</v>
      </c>
      <c r="F46" s="42">
        <f t="shared" ca="1" si="1"/>
        <v>4.7187701665008562E-3</v>
      </c>
    </row>
    <row r="47" spans="2:6">
      <c r="B47" t="s">
        <v>107</v>
      </c>
      <c r="C47" s="36">
        <f>Budget_vm!D69</f>
        <v>17388000</v>
      </c>
      <c r="D47" s="36">
        <f>C47/'Unit Mix_vm'!$D$15</f>
        <v>165600</v>
      </c>
      <c r="E47" s="36">
        <f>D47/'Unit Mix_vm'!$F$15</f>
        <v>180</v>
      </c>
      <c r="F47" s="42">
        <f t="shared" ca="1" si="1"/>
        <v>0.5469998377007792</v>
      </c>
    </row>
    <row r="48" spans="2:6">
      <c r="B48" t="s">
        <v>108</v>
      </c>
      <c r="C48" s="36">
        <f>Budget_vm!D72</f>
        <v>2100000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6.6062782331011982E-2</v>
      </c>
    </row>
    <row r="49" spans="2:6">
      <c r="B49" t="s">
        <v>109</v>
      </c>
      <c r="C49" s="36">
        <f>Budget_vm!D83</f>
        <v>974400</v>
      </c>
      <c r="D49" s="36">
        <f>C49/'Unit Mix_vm'!$D$15</f>
        <v>9280</v>
      </c>
      <c r="E49" s="36">
        <f>D49/'Unit Mix_vm'!$F$15</f>
        <v>10.086956521739131</v>
      </c>
      <c r="F49" s="42">
        <f t="shared" ca="1" si="1"/>
        <v>3.0653131001589562E-2</v>
      </c>
    </row>
    <row r="50" spans="2:6">
      <c r="B50" t="s">
        <v>110</v>
      </c>
      <c r="C50" s="36">
        <f ca="1">Budget_vm!D84</f>
        <v>467497.18091028131</v>
      </c>
      <c r="D50" s="36">
        <f ca="1">C50/'Unit Mix_vm'!$D$15</f>
        <v>4452.3541039074407</v>
      </c>
      <c r="E50" s="36">
        <f ca="1">D50/'Unit Mix_vm'!$F$15</f>
        <v>4.8395153303341747</v>
      </c>
      <c r="F50" s="42">
        <f t="shared" ca="1" si="1"/>
        <v>1.470674500135126E-2</v>
      </c>
    </row>
    <row r="51" spans="2:6">
      <c r="B51" s="3" t="s">
        <v>111</v>
      </c>
      <c r="C51" s="35">
        <f ca="1">SUM(C12:C50)</f>
        <v>31787943.618205626</v>
      </c>
      <c r="D51" s="35">
        <f ca="1">C51/'Unit Mix_vm'!$D$15</f>
        <v>302742.32017338689</v>
      </c>
      <c r="E51" s="35">
        <f ca="1">D51/'Unit Mix_vm'!$F$15</f>
        <v>329.06773931889882</v>
      </c>
      <c r="F51" s="257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5.9">
      <c r="A1" s="144" t="str">
        <f>TEXT(Global!$C$7,"")</f>
        <v>161 Verdin Rd</v>
      </c>
    </row>
    <row r="2" spans="1:17" s="141" customFormat="1" ht="19.899999999999999">
      <c r="A2" s="145" t="s">
        <v>112</v>
      </c>
    </row>
    <row r="6" spans="1:17">
      <c r="B6" s="120" t="s">
        <v>113</v>
      </c>
      <c r="C6" s="121" t="s">
        <v>114</v>
      </c>
      <c r="D6" s="121" t="s">
        <v>115</v>
      </c>
      <c r="E6" s="121" t="s">
        <v>69</v>
      </c>
      <c r="F6" s="121" t="s">
        <v>116</v>
      </c>
      <c r="G6" s="121" t="s">
        <v>117</v>
      </c>
    </row>
    <row r="7" spans="1:17">
      <c r="B7" s="12" t="s">
        <v>72</v>
      </c>
      <c r="C7" s="12"/>
      <c r="D7" s="12"/>
      <c r="E7" s="12"/>
      <c r="F7" s="12"/>
      <c r="G7" s="12"/>
      <c r="M7" s="157" t="s">
        <v>118</v>
      </c>
      <c r="N7" s="121" t="s">
        <v>115</v>
      </c>
      <c r="O7" s="121" t="s">
        <v>69</v>
      </c>
      <c r="P7" s="121" t="s">
        <v>116</v>
      </c>
      <c r="Q7" s="121" t="s">
        <v>117</v>
      </c>
    </row>
    <row r="8" spans="1:17">
      <c r="B8" t="s">
        <v>119</v>
      </c>
      <c r="C8" s="24" t="s">
        <v>72</v>
      </c>
      <c r="D8" s="51">
        <f>E8*'Unit Mix_vm'!$D$15</f>
        <v>2950000</v>
      </c>
      <c r="E8" s="248">
        <v>28095.238095238095</v>
      </c>
      <c r="F8" s="37">
        <f>IFERROR(E8/'Unit Mix_vm'!$F$15,0)</f>
        <v>30.538302277432713</v>
      </c>
      <c r="G8" s="25">
        <f ca="1">+IFERROR(D8/D$88,0)</f>
        <v>9.2802479941183513E-2</v>
      </c>
      <c r="M8" s="28" t="s">
        <v>120</v>
      </c>
    </row>
    <row r="9" spans="1:17">
      <c r="D9" s="14"/>
      <c r="E9" s="14"/>
      <c r="F9" s="14"/>
      <c r="M9" t="s">
        <v>121</v>
      </c>
      <c r="N9" s="51">
        <f ca="1">N41</f>
        <v>12715177.447282255</v>
      </c>
      <c r="O9" s="37">
        <f ca="1">IFERROR(N9/'Unit Mix_vm'!$D$15,0)</f>
        <v>121096.92806935481</v>
      </c>
      <c r="P9" s="37">
        <f ca="1">IFERROR(O9/'Unit Mix_vm'!$F$15,0)</f>
        <v>131.62709572755958</v>
      </c>
      <c r="Q9" s="25">
        <f ca="1">IFERROR(N9/N$12,0)</f>
        <v>0.39999999999999919</v>
      </c>
    </row>
    <row r="10" spans="1:17">
      <c r="B10" s="12" t="s">
        <v>122</v>
      </c>
      <c r="C10" s="12"/>
      <c r="D10" s="15"/>
      <c r="E10" s="15"/>
      <c r="F10" s="15"/>
      <c r="G10" s="12"/>
      <c r="M10" t="s">
        <v>123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73</v>
      </c>
      <c r="C11" s="24" t="s">
        <v>124</v>
      </c>
      <c r="D11" s="51">
        <f ca="1">+IF(Global!$C$16="On",0,I11*$N$11)</f>
        <v>95363.830854617103</v>
      </c>
      <c r="E11" s="37">
        <f ca="1">IFERROR(D11/'Unit Mix_vm'!$D$15,0)</f>
        <v>908.22696052016283</v>
      </c>
      <c r="F11" s="37">
        <f ca="1">IFERROR(E11/'Unit Mix_vm'!$F$15,0)</f>
        <v>0.98720321795669874</v>
      </c>
      <c r="G11" s="25">
        <f t="shared" ref="G11:G23" ca="1" si="1">+IFERROR(D11/D$88,0)</f>
        <v>3.000000000000007E-3</v>
      </c>
      <c r="I11" s="21">
        <v>5.0000000000000001E-3</v>
      </c>
      <c r="J11" s="20" t="s">
        <v>125</v>
      </c>
      <c r="M11" t="s">
        <v>126</v>
      </c>
      <c r="N11" s="51">
        <f ca="1">+N23</f>
        <v>19072766.170923382</v>
      </c>
      <c r="O11" s="37">
        <f ca="1">IFERROR(N11/'Unit Mix_vm'!$D$15,0)</f>
        <v>181645.39210403222</v>
      </c>
      <c r="P11" s="37">
        <f ca="1">IFERROR(O11/'Unit Mix_vm'!$F$15,0)</f>
        <v>197.44064359133935</v>
      </c>
      <c r="Q11" s="25">
        <f t="shared" ca="1" si="0"/>
        <v>0.59999999999999876</v>
      </c>
    </row>
    <row r="12" spans="1:17">
      <c r="B12" t="s">
        <v>74</v>
      </c>
      <c r="C12" s="24" t="s">
        <v>124</v>
      </c>
      <c r="D12" s="51">
        <f ca="1">+IF(Global!$C$16="On",0,I12*$N$11)</f>
        <v>143045.74628192536</v>
      </c>
      <c r="E12" s="37">
        <f ca="1">IFERROR(D12/'Unit Mix_vm'!$D$15,0)</f>
        <v>1362.3404407802416</v>
      </c>
      <c r="F12" s="37">
        <f ca="1">IFERROR(E12/'Unit Mix_vm'!$F$15,0)</f>
        <v>1.4808048269350451</v>
      </c>
      <c r="G12" s="25">
        <f t="shared" ca="1" si="1"/>
        <v>4.5000000000000014E-3</v>
      </c>
      <c r="I12" s="21">
        <v>7.4999999999999997E-3</v>
      </c>
      <c r="J12" s="20" t="s">
        <v>125</v>
      </c>
      <c r="M12" s="3" t="s">
        <v>127</v>
      </c>
      <c r="N12" s="13">
        <f ca="1">SUM(N9:N11)</f>
        <v>31787943.618205637</v>
      </c>
      <c r="O12" s="13">
        <f ca="1">SUM(O9:O11)</f>
        <v>302742.32017338701</v>
      </c>
      <c r="P12" s="29">
        <f ca="1">SUM(P9:P11)</f>
        <v>329.06773931889893</v>
      </c>
      <c r="Q12" s="26">
        <f ca="1">SUM(Q9:Q11)</f>
        <v>0.999999999999998</v>
      </c>
    </row>
    <row r="13" spans="1:17">
      <c r="B13" t="s">
        <v>128</v>
      </c>
      <c r="C13" s="24" t="s">
        <v>124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129</v>
      </c>
      <c r="C14" s="24" t="s">
        <v>124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130</v>
      </c>
      <c r="M14" s="28" t="s">
        <v>131</v>
      </c>
    </row>
    <row r="15" spans="1:17">
      <c r="B15" t="s">
        <v>132</v>
      </c>
      <c r="C15" s="24" t="s">
        <v>124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130</v>
      </c>
      <c r="M15" t="s">
        <v>72</v>
      </c>
      <c r="N15" s="14">
        <f>+SUMIF($C$8:$C$88,$M15,$D$8:$D$88)</f>
        <v>2950000</v>
      </c>
      <c r="O15" s="37">
        <f>IFERROR(N15/'Unit Mix_vm'!$D$15,0)</f>
        <v>28095.238095238095</v>
      </c>
      <c r="P15" s="37">
        <f>IFERROR(O15/'Unit Mix_vm'!$F$15,0)</f>
        <v>30.538302277432713</v>
      </c>
      <c r="Q15" s="25">
        <f ca="1">IFERROR(N15/N$18,0)</f>
        <v>9.2802479941183486E-2</v>
      </c>
    </row>
    <row r="16" spans="1:17">
      <c r="B16" t="s">
        <v>133</v>
      </c>
      <c r="C16" s="24" t="s">
        <v>124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134</v>
      </c>
      <c r="N16" s="14">
        <f>+SUMIF($C$8:$C$88,$M16,$D$8:$D$88)</f>
        <v>19488000</v>
      </c>
      <c r="O16" s="37">
        <f>IFERROR(N16/'Unit Mix_vm'!$D$15,0)</f>
        <v>185600</v>
      </c>
      <c r="P16" s="37">
        <f>IFERROR(O16/'Unit Mix_vm'!$F$15,0)</f>
        <v>201.7391304347826</v>
      </c>
      <c r="Q16" s="25">
        <f t="shared" ref="Q16:Q17" ca="1" si="2">IFERROR(N16/N$18,0)</f>
        <v>0.61306262003179113</v>
      </c>
    </row>
    <row r="17" spans="2:17">
      <c r="B17" t="s">
        <v>135</v>
      </c>
      <c r="C17" s="24" t="s">
        <v>124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136</v>
      </c>
      <c r="M17" t="s">
        <v>124</v>
      </c>
      <c r="N17" s="14">
        <f ca="1">+SUMIF($C$8:$C$88,$M17,$D$8:$D$88)</f>
        <v>9349943.6182056256</v>
      </c>
      <c r="O17" s="37">
        <f ca="1">IFERROR(N17/'Unit Mix_vm'!$D$15,0)</f>
        <v>89047.082078148815</v>
      </c>
      <c r="P17" s="37">
        <f ca="1">IFERROR(O17/'Unit Mix_vm'!$F$15,0)</f>
        <v>96.790306606683501</v>
      </c>
      <c r="Q17" s="25">
        <f t="shared" ca="1" si="2"/>
        <v>0.29413490002702514</v>
      </c>
    </row>
    <row r="18" spans="2:17">
      <c r="B18" t="s">
        <v>137</v>
      </c>
      <c r="C18" s="24" t="s">
        <v>124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136</v>
      </c>
      <c r="M18" s="3" t="s">
        <v>138</v>
      </c>
      <c r="N18" s="13">
        <f ca="1">SUM(N15:N17)</f>
        <v>31787943.618205626</v>
      </c>
      <c r="O18" s="29">
        <f ca="1">SUM(O15:O17)</f>
        <v>302742.32017338695</v>
      </c>
      <c r="P18" s="29">
        <f ca="1">SUM(P15:P17)</f>
        <v>329.06773931889882</v>
      </c>
      <c r="Q18" s="26">
        <f ca="1">SUM(Q15:Q17)</f>
        <v>0.99999999999999978</v>
      </c>
    </row>
    <row r="19" spans="2:17">
      <c r="B19" t="s">
        <v>139</v>
      </c>
      <c r="C19" s="24" t="s">
        <v>124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75</v>
      </c>
      <c r="C20" s="24" t="s">
        <v>124</v>
      </c>
      <c r="D20" s="75">
        <v>400000</v>
      </c>
      <c r="E20" s="51">
        <f>IFERROR(D20/'Unit Mix_vm'!$D$15,0)</f>
        <v>3809.5238095238096</v>
      </c>
      <c r="F20" s="37">
        <f>IFERROR(E20/'Unit Mix_vm'!$F$15,0)</f>
        <v>4.1407867494824018</v>
      </c>
      <c r="G20" s="25">
        <f t="shared" ca="1" si="1"/>
        <v>1.2583387110668951E-2</v>
      </c>
      <c r="M20" s="1"/>
    </row>
    <row r="21" spans="2:17">
      <c r="B21" t="s">
        <v>140</v>
      </c>
      <c r="C21" s="24" t="s">
        <v>124</v>
      </c>
      <c r="D21" s="75">
        <v>300000</v>
      </c>
      <c r="E21" s="51">
        <f>IFERROR(D21/'Unit Mix_vm'!$D$15,0)</f>
        <v>2857.1428571428573</v>
      </c>
      <c r="F21" s="37">
        <f>IFERROR(E21/'Unit Mix_vm'!$F$15,0)</f>
        <v>3.1055900621118013</v>
      </c>
      <c r="G21" s="25">
        <f t="shared" ca="1" si="1"/>
        <v>9.4375403330017125E-3</v>
      </c>
      <c r="M21" s="157" t="s">
        <v>141</v>
      </c>
      <c r="N21" s="121"/>
      <c r="O21" s="121"/>
      <c r="P21" s="121"/>
      <c r="Q21" s="121"/>
    </row>
    <row r="22" spans="2:17">
      <c r="B22" t="s">
        <v>77</v>
      </c>
      <c r="C22" s="24" t="s">
        <v>124</v>
      </c>
      <c r="D22" s="51">
        <f>E22*'Unit Mix_vm'!$D$15</f>
        <v>787500</v>
      </c>
      <c r="E22" s="75">
        <v>7500</v>
      </c>
      <c r="F22" s="37">
        <f>IFERROR(E22/'Unit Mix_vm'!$F$15,0)</f>
        <v>8.1521739130434785</v>
      </c>
      <c r="G22" s="25">
        <f t="shared" ca="1" si="1"/>
        <v>2.4773543374129497E-2</v>
      </c>
      <c r="M22" s="54" t="s">
        <v>126</v>
      </c>
    </row>
    <row r="23" spans="2:17">
      <c r="B23" t="s">
        <v>142</v>
      </c>
      <c r="C23" s="24" t="s">
        <v>124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126</v>
      </c>
      <c r="N23" s="36">
        <f ca="1">D88*N24</f>
        <v>19072766.170923375</v>
      </c>
    </row>
    <row r="24" spans="2:17">
      <c r="B24" s="3" t="s">
        <v>143</v>
      </c>
      <c r="C24" s="3"/>
      <c r="D24" s="13">
        <f ca="1">+SUM(D11:D23)</f>
        <v>1725909.5771365424</v>
      </c>
      <c r="E24" s="13">
        <f ca="1">SUM(E11:E23)</f>
        <v>16437.234067967071</v>
      </c>
      <c r="F24" s="13">
        <f ca="1">SUM(F11:F23)</f>
        <v>17.866558769529426</v>
      </c>
      <c r="G24" s="26">
        <f ca="1">SUM(G11:G23)</f>
        <v>5.4294470817800172E-2</v>
      </c>
      <c r="M24" t="s">
        <v>144</v>
      </c>
      <c r="N24" s="43">
        <v>0.6</v>
      </c>
    </row>
    <row r="25" spans="2:17">
      <c r="D25" s="14"/>
      <c r="E25" s="14"/>
      <c r="F25" s="14"/>
      <c r="M25" t="s">
        <v>145</v>
      </c>
      <c r="N25" s="48">
        <f ca="1">IFERROR('Pro-Forma_vm'!$C$40/Budget_vm!N23,0)</f>
        <v>7.4679274900953857E-2</v>
      </c>
      <c r="O25" s="52"/>
    </row>
    <row r="26" spans="2:17">
      <c r="B26" s="12" t="s">
        <v>146</v>
      </c>
      <c r="C26" s="12"/>
      <c r="D26" s="15"/>
      <c r="E26" s="15"/>
      <c r="F26" s="15"/>
      <c r="G26" s="12"/>
      <c r="O26" s="53"/>
    </row>
    <row r="27" spans="2:17">
      <c r="B27" t="s">
        <v>78</v>
      </c>
      <c r="C27" s="24" t="s">
        <v>124</v>
      </c>
      <c r="D27" s="51">
        <f ca="1">I27*(D88-D8)</f>
        <v>1009328.026637197</v>
      </c>
      <c r="E27" s="37">
        <f ca="1">IFERROR(D27/'Unit Mix_vm'!$D$15,0)</f>
        <v>9612.6478727352096</v>
      </c>
      <c r="F27" s="37">
        <f ca="1">IFERROR(E27/'Unit Mix_vm'!$F$15,0)</f>
        <v>10.448530296451315</v>
      </c>
      <c r="G27" s="25">
        <f ca="1">+IFERROR(D27/D$88,0)</f>
        <v>3.1751913202058578E-2</v>
      </c>
      <c r="I27" s="21">
        <v>3.5000000000000003E-2</v>
      </c>
      <c r="J27" s="20" t="s">
        <v>147</v>
      </c>
      <c r="K27" s="20"/>
      <c r="M27" t="s">
        <v>148</v>
      </c>
      <c r="N27" s="44">
        <v>0.04</v>
      </c>
    </row>
    <row r="28" spans="2:17">
      <c r="B28" t="s">
        <v>79</v>
      </c>
      <c r="C28" s="24" t="s">
        <v>124</v>
      </c>
      <c r="D28" s="14">
        <f>+I28*SUM(D69:D70)</f>
        <v>173880</v>
      </c>
      <c r="E28" s="37">
        <f>IFERROR(D28/'Unit Mix_vm'!$D$15,0)</f>
        <v>1656</v>
      </c>
      <c r="F28" s="37">
        <f>IFERROR(E28/'Unit Mix_vm'!$F$15,0)</f>
        <v>1.8</v>
      </c>
      <c r="G28" s="25">
        <f ca="1">+IFERROR(D28/D$88,0)</f>
        <v>5.4699983770077933E-3</v>
      </c>
      <c r="I28" s="21">
        <v>0.01</v>
      </c>
      <c r="J28" s="20" t="s">
        <v>149</v>
      </c>
      <c r="K28" s="20"/>
      <c r="M28" t="s">
        <v>150</v>
      </c>
      <c r="N28" s="44">
        <v>0.03</v>
      </c>
      <c r="O28" s="30"/>
    </row>
    <row r="29" spans="2:17">
      <c r="B29" t="s">
        <v>80</v>
      </c>
      <c r="C29" s="24" t="s">
        <v>124</v>
      </c>
      <c r="D29" s="75">
        <v>300000</v>
      </c>
      <c r="E29" s="37">
        <f>IFERROR(D29/'Unit Mix_vm'!$D$15,0)</f>
        <v>2857.1428571428573</v>
      </c>
      <c r="F29" s="37">
        <f>IFERROR(E29/'Unit Mix_vm'!$F$15,0)</f>
        <v>3.1055900621118013</v>
      </c>
      <c r="G29" s="25">
        <f ca="1">+IFERROR(D29/D$88,0)</f>
        <v>9.4375403330017125E-3</v>
      </c>
      <c r="M29" s="3" t="s">
        <v>151</v>
      </c>
      <c r="N29" s="46">
        <f>SUM(N27:N28)</f>
        <v>7.0000000000000007E-2</v>
      </c>
    </row>
    <row r="30" spans="2:17">
      <c r="B30" s="3" t="s">
        <v>152</v>
      </c>
      <c r="C30" s="3"/>
      <c r="D30" s="13">
        <f ca="1">+SUM(D27:D29)</f>
        <v>1483208.026637197</v>
      </c>
      <c r="E30" s="13">
        <f ca="1">SUM(E27:E29)</f>
        <v>14125.790729878066</v>
      </c>
      <c r="F30" s="13">
        <f ca="1">SUM(F27:F29)</f>
        <v>15.354120358563117</v>
      </c>
      <c r="G30" s="26">
        <f ca="1">SUM(G27:G29)</f>
        <v>4.6659451912068085E-2</v>
      </c>
    </row>
    <row r="31" spans="2:17">
      <c r="D31" s="14"/>
      <c r="E31" s="14"/>
      <c r="F31" s="14"/>
      <c r="M31" t="s">
        <v>153</v>
      </c>
      <c r="N31" s="32">
        <v>21</v>
      </c>
      <c r="O31" s="30"/>
    </row>
    <row r="32" spans="2:17">
      <c r="B32" s="12" t="s">
        <v>154</v>
      </c>
      <c r="C32" s="12"/>
      <c r="D32" s="15"/>
      <c r="E32" s="15"/>
      <c r="F32" s="15"/>
      <c r="G32" s="12"/>
      <c r="M32" t="s">
        <v>155</v>
      </c>
      <c r="N32" s="43">
        <v>0.5</v>
      </c>
    </row>
    <row r="33" spans="2:22">
      <c r="B33" t="s">
        <v>156</v>
      </c>
      <c r="C33" s="24" t="s">
        <v>124</v>
      </c>
      <c r="D33" s="75">
        <v>300000</v>
      </c>
      <c r="E33" s="37">
        <f>IFERROR(D33/'Unit Mix_vm'!$D$15,0)</f>
        <v>2857.1428571428573</v>
      </c>
      <c r="F33" s="37">
        <f>IFERROR(E33/'Unit Mix_vm'!$F$15,0)</f>
        <v>3.1055900621118013</v>
      </c>
      <c r="G33" s="25">
        <f ca="1">+IFERROR(D33/D$88,0)</f>
        <v>9.4375403330017125E-3</v>
      </c>
      <c r="M33" t="s">
        <v>157</v>
      </c>
      <c r="N33" s="36">
        <f ca="1">+N23*N29*N31*N32/12</f>
        <v>1168206.9279690569</v>
      </c>
    </row>
    <row r="34" spans="2:22">
      <c r="B34" t="s">
        <v>158</v>
      </c>
      <c r="C34" s="24" t="s">
        <v>124</v>
      </c>
      <c r="D34" s="75">
        <v>200000</v>
      </c>
      <c r="E34" s="37">
        <f>IFERROR(D34/'Unit Mix_vm'!$D$15,0)</f>
        <v>1904.7619047619048</v>
      </c>
      <c r="F34" s="37">
        <f>IFERROR(E34/'Unit Mix_vm'!$F$15,0)</f>
        <v>2.0703933747412009</v>
      </c>
      <c r="G34" s="25">
        <f t="shared" ref="G34:G35" ca="1" si="3">+IFERROR(D34/D$88,0)</f>
        <v>6.2916935553344756E-3</v>
      </c>
      <c r="N34" s="36"/>
    </row>
    <row r="35" spans="2:22">
      <c r="B35" t="s">
        <v>159</v>
      </c>
      <c r="C35" s="24" t="s">
        <v>124</v>
      </c>
      <c r="D35" s="75">
        <v>200000</v>
      </c>
      <c r="E35" s="37">
        <f>IFERROR(D35/'Unit Mix_vm'!$D$15,0)</f>
        <v>1904.7619047619048</v>
      </c>
      <c r="F35" s="37">
        <f>IFERROR(E35/'Unit Mix_vm'!$F$15,0)</f>
        <v>2.0703933747412009</v>
      </c>
      <c r="G35" s="25">
        <f t="shared" ca="1" si="3"/>
        <v>6.2916935553344756E-3</v>
      </c>
      <c r="M35" s="54" t="s">
        <v>123</v>
      </c>
    </row>
    <row r="36" spans="2:22">
      <c r="B36" t="s">
        <v>84</v>
      </c>
      <c r="C36" s="24" t="s">
        <v>124</v>
      </c>
      <c r="D36" s="75">
        <v>400000</v>
      </c>
      <c r="E36" s="37">
        <f>IFERROR(D36/'Unit Mix_vm'!$D$15,0)</f>
        <v>3809.5238095238096</v>
      </c>
      <c r="F36" s="37">
        <f>IFERROR(E36/'Unit Mix_vm'!$F$15,0)</f>
        <v>4.1407867494824018</v>
      </c>
      <c r="G36" s="25">
        <f ca="1">+IFERROR(D36/D$88,0)</f>
        <v>1.2583387110668951E-2</v>
      </c>
      <c r="M36" t="s">
        <v>123</v>
      </c>
      <c r="N36" s="36">
        <f ca="1">D88*N37-N23</f>
        <v>0</v>
      </c>
    </row>
    <row r="37" spans="2:22">
      <c r="B37" t="s">
        <v>160</v>
      </c>
      <c r="C37" s="24" t="s">
        <v>124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125</v>
      </c>
      <c r="K37" s="20"/>
      <c r="M37" t="s">
        <v>161</v>
      </c>
      <c r="N37" s="43">
        <f>+N24</f>
        <v>0.6</v>
      </c>
    </row>
    <row r="38" spans="2:22">
      <c r="B38" t="s">
        <v>85</v>
      </c>
      <c r="C38" s="24" t="s">
        <v>124</v>
      </c>
      <c r="D38" s="75">
        <v>50000</v>
      </c>
      <c r="E38" s="37">
        <f>IFERROR(D38/'Unit Mix_vm'!$D$15,0)</f>
        <v>476.1904761904762</v>
      </c>
      <c r="F38" s="37">
        <f>IFERROR(E38/'Unit Mix_vm'!$F$15,0)</f>
        <v>0.51759834368530022</v>
      </c>
      <c r="G38" s="25">
        <f ca="1">+IFERROR(D38/D$88,0)</f>
        <v>1.5729233888336189E-3</v>
      </c>
      <c r="M38" t="s">
        <v>162</v>
      </c>
      <c r="N38" s="48">
        <f ca="1">IFERROR('Pro-Forma_vm'!$C$40/SUM(N36,N23),0)</f>
        <v>7.4679274900953857E-2</v>
      </c>
    </row>
    <row r="39" spans="2:22">
      <c r="B39" t="s">
        <v>86</v>
      </c>
      <c r="C39" s="24" t="s">
        <v>124</v>
      </c>
      <c r="D39" s="51">
        <f ca="1">I39*D88</f>
        <v>21933.681096561879</v>
      </c>
      <c r="E39" s="37">
        <f ca="1">IFERROR(D39/'Unit Mix_vm'!$D$15,0)</f>
        <v>208.89220091963693</v>
      </c>
      <c r="F39" s="37">
        <f ca="1">IFERROR(E39/'Unit Mix_vm'!$F$15,0)</f>
        <v>0.22705674013004015</v>
      </c>
      <c r="G39" s="25">
        <f ca="1">+IFERROR(D39/D$88,0)</f>
        <v>6.8999999999999986E-4</v>
      </c>
      <c r="I39" s="21">
        <v>6.8999999999999997E-4</v>
      </c>
      <c r="J39" s="20" t="s">
        <v>147</v>
      </c>
      <c r="N39" s="48"/>
      <c r="U39" s="135" t="s">
        <v>163</v>
      </c>
      <c r="V39" s="136"/>
    </row>
    <row r="40" spans="2:22">
      <c r="B40" t="s">
        <v>164</v>
      </c>
      <c r="C40" s="24" t="s">
        <v>124</v>
      </c>
      <c r="D40" s="51">
        <f ca="1">(((V45/100)*V40)*2)+60000</f>
        <v>342584.37256385072</v>
      </c>
      <c r="E40" s="51">
        <f ca="1">IFERROR(D40/'Unit Mix_vm'!$D$15,0)</f>
        <v>3262.7083101319117</v>
      </c>
      <c r="F40" s="51">
        <f ca="1">IFERROR(E40/'Unit Mix_vm'!$F$15,0)</f>
        <v>3.5464220762303387</v>
      </c>
      <c r="G40" s="138">
        <f ca="1">+IFERROR(D40/D$88,0)</f>
        <v>1.0777179445091422E-2</v>
      </c>
      <c r="M40" s="54" t="s">
        <v>121</v>
      </c>
      <c r="U40" s="130" t="s">
        <v>165</v>
      </c>
      <c r="V40" s="137">
        <v>0.45</v>
      </c>
    </row>
    <row r="41" spans="2:22">
      <c r="B41" t="s">
        <v>88</v>
      </c>
      <c r="C41" s="24" t="s">
        <v>124</v>
      </c>
      <c r="D41" s="51">
        <f>((V50/1000)*V48)+30000</f>
        <v>61660.779861190858</v>
      </c>
      <c r="E41" s="51">
        <f>IFERROR(D41/'Unit Mix_vm'!$D$15,0)</f>
        <v>587.24552248753196</v>
      </c>
      <c r="F41" s="51">
        <f>IFERROR(E41/'Unit Mix_vm'!$F$15,0)</f>
        <v>0.63831035052992602</v>
      </c>
      <c r="G41" s="138">
        <f t="shared" ref="G41" ca="1" si="4">+IFERROR(D41/D$88,0)</f>
        <v>1.9397536563477617E-3</v>
      </c>
      <c r="M41" t="s">
        <v>166</v>
      </c>
      <c r="N41" s="57">
        <f ca="1">D88-N23-N36</f>
        <v>12715177.447282251</v>
      </c>
      <c r="U41" s="5"/>
      <c r="V41" s="131"/>
    </row>
    <row r="42" spans="2:22">
      <c r="B42" t="s">
        <v>167</v>
      </c>
      <c r="C42" s="24" t="s">
        <v>124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168</v>
      </c>
      <c r="V42" s="132">
        <f>N16</f>
        <v>19488000</v>
      </c>
    </row>
    <row r="43" spans="2:22">
      <c r="B43" t="s">
        <v>89</v>
      </c>
      <c r="C43" s="24" t="s">
        <v>124</v>
      </c>
      <c r="D43" s="75">
        <v>50000</v>
      </c>
      <c r="E43" s="37">
        <f>IFERROR(D43/'Unit Mix_vm'!$D$15,0)</f>
        <v>476.1904761904762</v>
      </c>
      <c r="F43" s="37">
        <f>IFERROR(E43/'Unit Mix_vm'!$F$15,0)</f>
        <v>0.51759834368530022</v>
      </c>
      <c r="G43" s="25">
        <f ca="1">+IFERROR(D43/D$88,0)</f>
        <v>1.5729233888336189E-3</v>
      </c>
      <c r="M43" t="s">
        <v>169</v>
      </c>
      <c r="N43" s="34">
        <f ca="1">+N41*0.1</f>
        <v>1271517.7447282253</v>
      </c>
      <c r="O43" s="45">
        <f ca="1">+N43/N41</f>
        <v>0.10000000000000002</v>
      </c>
      <c r="U43" s="5" t="s">
        <v>170</v>
      </c>
      <c r="V43" s="132">
        <f ca="1">N17</f>
        <v>9349943.6182056256</v>
      </c>
    </row>
    <row r="44" spans="2:22">
      <c r="B44" t="s">
        <v>171</v>
      </c>
      <c r="C44" s="24" t="s">
        <v>124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172</v>
      </c>
      <c r="N44" s="36">
        <f ca="1">+N41-N43</f>
        <v>11443659.702554025</v>
      </c>
      <c r="O44" s="50">
        <f ca="1">1-O43</f>
        <v>0.9</v>
      </c>
      <c r="U44" s="5" t="s">
        <v>173</v>
      </c>
      <c r="V44" s="132">
        <f>'Unit Mix_vm'!D15*'Unit Mix_vm'!G15*12</f>
        <v>2560320</v>
      </c>
    </row>
    <row r="45" spans="2:22">
      <c r="B45" s="3" t="s">
        <v>174</v>
      </c>
      <c r="C45" s="3"/>
      <c r="D45" s="13">
        <f ca="1">+SUM(D33:D44)</f>
        <v>1626178.8335216036</v>
      </c>
      <c r="E45" s="13">
        <f ca="1">SUM(E33:E44)</f>
        <v>15487.417462110512</v>
      </c>
      <c r="F45" s="13">
        <f ca="1">SUM(F33:F44)</f>
        <v>16.83414941533751</v>
      </c>
      <c r="G45" s="26">
        <f ca="1">SUM(G33:G44)</f>
        <v>5.1157094433446043E-2</v>
      </c>
      <c r="U45" s="133" t="s">
        <v>57</v>
      </c>
      <c r="V45" s="134">
        <f ca="1">SUM(V42:V44)</f>
        <v>31398263.618205626</v>
      </c>
    </row>
    <row r="46" spans="2:22">
      <c r="D46" s="14"/>
      <c r="E46" s="14"/>
      <c r="F46" s="14"/>
      <c r="U46" s="4"/>
      <c r="V46" s="4"/>
    </row>
    <row r="47" spans="2:22">
      <c r="B47" s="12" t="s">
        <v>175</v>
      </c>
      <c r="C47" s="12"/>
      <c r="D47" s="15"/>
      <c r="E47" s="15"/>
      <c r="F47" s="15"/>
      <c r="G47" s="12"/>
      <c r="U47" s="135" t="s">
        <v>176</v>
      </c>
      <c r="V47" s="136"/>
    </row>
    <row r="48" spans="2:22">
      <c r="B48" t="s">
        <v>90</v>
      </c>
      <c r="C48" s="24" t="s">
        <v>124</v>
      </c>
      <c r="D48" s="51">
        <f>E48*'Unit Mix_vm'!$D$15</f>
        <v>367500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1.1560986907927099E-2</v>
      </c>
      <c r="U48" s="5" t="s">
        <v>165</v>
      </c>
      <c r="V48" s="158">
        <v>1.1000000000000001</v>
      </c>
    </row>
    <row r="49" spans="2:22">
      <c r="B49" t="s">
        <v>91</v>
      </c>
      <c r="C49" s="24" t="s">
        <v>124</v>
      </c>
      <c r="D49" s="75">
        <v>75000</v>
      </c>
      <c r="E49" s="51">
        <f>IFERROR(D49/'Unit Mix_vm'!$D$15,0)</f>
        <v>714.28571428571433</v>
      </c>
      <c r="F49" s="37">
        <f>IFERROR(E49/'Unit Mix_vm'!$F$15,0)</f>
        <v>0.77639751552795033</v>
      </c>
      <c r="G49" s="25">
        <f t="shared" ca="1" si="5"/>
        <v>2.3593850832504281E-3</v>
      </c>
      <c r="U49" s="5" t="s">
        <v>177</v>
      </c>
      <c r="V49" s="159">
        <v>5.2499999999999998E-2</v>
      </c>
    </row>
    <row r="50" spans="2:22">
      <c r="B50" t="s">
        <v>92</v>
      </c>
      <c r="C50" s="24" t="s">
        <v>124</v>
      </c>
      <c r="D50" s="75">
        <v>50000</v>
      </c>
      <c r="E50" s="51">
        <f>IFERROR(D50/'Unit Mix_vm'!$D$15,0)</f>
        <v>476.1904761904762</v>
      </c>
      <c r="F50" s="37">
        <f>IFERROR(E50/'Unit Mix_vm'!$F$15,0)</f>
        <v>0.51759834368530022</v>
      </c>
      <c r="G50" s="25">
        <f t="shared" ca="1" si="5"/>
        <v>1.5729233888336189E-3</v>
      </c>
      <c r="U50" s="160" t="s">
        <v>178</v>
      </c>
      <c r="V50" s="161">
        <f>(('Pro-Forma_vm'!C40*1.03*1.03)/Budget_vm!V49)</f>
        <v>28782527.14653714</v>
      </c>
    </row>
    <row r="51" spans="2:22">
      <c r="B51" t="s">
        <v>93</v>
      </c>
      <c r="C51" s="24" t="s">
        <v>124</v>
      </c>
      <c r="D51" s="51">
        <f>E51*'Unit Mix_vm'!$D$15</f>
        <v>210000</v>
      </c>
      <c r="E51" s="75">
        <v>2000</v>
      </c>
      <c r="F51" s="37">
        <f>IFERROR(E51/'Unit Mix_vm'!$F$15,0)</f>
        <v>2.1739130434782608</v>
      </c>
      <c r="G51" s="25">
        <f t="shared" ca="1" si="5"/>
        <v>6.6062782331011991E-3</v>
      </c>
    </row>
    <row r="52" spans="2:22">
      <c r="B52" t="s">
        <v>94</v>
      </c>
      <c r="C52" s="24" t="s">
        <v>124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>
      <c r="B53" t="s">
        <v>95</v>
      </c>
      <c r="C53" s="24" t="s">
        <v>124</v>
      </c>
      <c r="D53" s="75">
        <v>150000</v>
      </c>
      <c r="E53" s="51">
        <f>IFERROR(D53/'Unit Mix_vm'!$D$15,0)</f>
        <v>1428.5714285714287</v>
      </c>
      <c r="F53" s="37">
        <f>IFERROR(E53/'Unit Mix_vm'!$F$15,0)</f>
        <v>1.5527950310559007</v>
      </c>
      <c r="G53" s="25">
        <f t="shared" ca="1" si="5"/>
        <v>4.7187701665008562E-3</v>
      </c>
    </row>
    <row r="54" spans="2:22">
      <c r="B54" t="s">
        <v>96</v>
      </c>
      <c r="C54" s="24" t="s">
        <v>124</v>
      </c>
      <c r="D54" s="75">
        <v>35000</v>
      </c>
      <c r="E54" s="51">
        <f>IFERROR(D54/'Unit Mix_vm'!$D$15,0)</f>
        <v>333.33333333333331</v>
      </c>
      <c r="F54" s="37">
        <f>IFERROR(E54/'Unit Mix_vm'!$F$15,0)</f>
        <v>0.36231884057971014</v>
      </c>
      <c r="G54" s="25">
        <f t="shared" ca="1" si="5"/>
        <v>1.1010463721835332E-3</v>
      </c>
    </row>
    <row r="55" spans="2:22">
      <c r="B55" t="s">
        <v>97</v>
      </c>
      <c r="C55" s="24" t="s">
        <v>124</v>
      </c>
      <c r="D55" s="75">
        <v>300000</v>
      </c>
      <c r="E55" s="51">
        <f>IFERROR(D55/'Unit Mix_vm'!$D$15,0)</f>
        <v>2857.1428571428573</v>
      </c>
      <c r="F55" s="37">
        <f>IFERROR(E55/'Unit Mix_vm'!$F$15,0)</f>
        <v>3.1055900621118013</v>
      </c>
      <c r="G55" s="25">
        <f t="shared" ca="1" si="5"/>
        <v>9.4375403330017125E-3</v>
      </c>
    </row>
    <row r="56" spans="2:22">
      <c r="B56" t="s">
        <v>98</v>
      </c>
      <c r="C56" s="24" t="s">
        <v>124</v>
      </c>
      <c r="D56" s="51">
        <f>E56*'Unit Mix_vm'!$D$15</f>
        <v>514500</v>
      </c>
      <c r="E56" s="75">
        <v>4900</v>
      </c>
      <c r="F56" s="37">
        <f>IFERROR(E56/'Unit Mix_vm'!$F$15,0)</f>
        <v>5.3260869565217392</v>
      </c>
      <c r="G56" s="25">
        <f t="shared" ca="1" si="5"/>
        <v>1.6185381671097936E-2</v>
      </c>
    </row>
    <row r="57" spans="2:22">
      <c r="B57" t="s">
        <v>99</v>
      </c>
      <c r="C57" s="24" t="s">
        <v>124</v>
      </c>
      <c r="D57" s="75">
        <v>25000</v>
      </c>
      <c r="E57" s="51">
        <f>IFERROR(D57/'Unit Mix_vm'!$D$15,0)</f>
        <v>238.0952380952381</v>
      </c>
      <c r="F57" s="37">
        <f>IFERROR(E57/'Unit Mix_vm'!$F$15,0)</f>
        <v>0.25879917184265011</v>
      </c>
      <c r="G57" s="25">
        <f t="shared" ca="1" si="5"/>
        <v>7.8646169441680945E-4</v>
      </c>
    </row>
    <row r="58" spans="2:22">
      <c r="B58" t="s">
        <v>100</v>
      </c>
      <c r="C58" s="24" t="s">
        <v>124</v>
      </c>
      <c r="D58" s="75">
        <v>750000</v>
      </c>
      <c r="E58" s="51">
        <f>IFERROR(D58/'Unit Mix_vm'!$D$15,0)</f>
        <v>7142.8571428571431</v>
      </c>
      <c r="F58" s="37">
        <f>IFERROR(E58/'Unit Mix_vm'!$F$15,0)</f>
        <v>7.7639751552795033</v>
      </c>
      <c r="G58" s="25">
        <f t="shared" ca="1" si="5"/>
        <v>2.3593850832504284E-2</v>
      </c>
    </row>
    <row r="59" spans="2:22">
      <c r="B59" t="s">
        <v>101</v>
      </c>
      <c r="C59" s="24" t="s">
        <v>124</v>
      </c>
      <c r="D59" s="75">
        <v>80000</v>
      </c>
      <c r="E59" s="51">
        <f>IFERROR(D59/'Unit Mix_vm'!$D$15,0)</f>
        <v>761.90476190476193</v>
      </c>
      <c r="F59" s="37">
        <f>IFERROR(E59/'Unit Mix_vm'!$F$15,0)</f>
        <v>0.82815734989648038</v>
      </c>
      <c r="G59" s="25">
        <f t="shared" ca="1" si="5"/>
        <v>2.5166774221337903E-3</v>
      </c>
    </row>
    <row r="60" spans="2:22">
      <c r="B60" t="s">
        <v>102</v>
      </c>
      <c r="C60" s="24" t="s">
        <v>124</v>
      </c>
      <c r="D60" s="75">
        <v>100000</v>
      </c>
      <c r="E60" s="51">
        <f>IFERROR(D60/'Unit Mix_vm'!$D$15,0)</f>
        <v>952.38095238095241</v>
      </c>
      <c r="F60" s="37">
        <f>IFERROR(E60/'Unit Mix_vm'!$F$15,0)</f>
        <v>1.0351966873706004</v>
      </c>
      <c r="G60" s="25">
        <f t="shared" ca="1" si="5"/>
        <v>3.1458467776672378E-3</v>
      </c>
    </row>
    <row r="61" spans="2:22">
      <c r="B61" t="s">
        <v>103</v>
      </c>
      <c r="C61" s="24" t="s">
        <v>124</v>
      </c>
      <c r="D61" s="75">
        <v>100000</v>
      </c>
      <c r="E61" s="51">
        <f>IFERROR(D61/'Unit Mix_vm'!$D$15,0)</f>
        <v>952.38095238095241</v>
      </c>
      <c r="F61" s="37">
        <f>IFERROR(E61/'Unit Mix_vm'!$F$15,0)</f>
        <v>1.0351966873706004</v>
      </c>
      <c r="G61" s="25">
        <f t="shared" ca="1" si="5"/>
        <v>3.1458467776672378E-3</v>
      </c>
    </row>
    <row r="62" spans="2:22">
      <c r="B62" t="s">
        <v>104</v>
      </c>
      <c r="C62" s="24" t="s">
        <v>124</v>
      </c>
      <c r="D62" s="75">
        <v>150000</v>
      </c>
      <c r="E62" s="51">
        <f>IFERROR(D62/'Unit Mix_vm'!$D$15,0)</f>
        <v>1428.5714285714287</v>
      </c>
      <c r="F62" s="37">
        <f>IFERROR(E62/'Unit Mix_vm'!$F$15,0)</f>
        <v>1.5527950310559007</v>
      </c>
      <c r="G62" s="25">
        <f t="shared" ca="1" si="5"/>
        <v>4.7187701665008562E-3</v>
      </c>
    </row>
    <row r="63" spans="2:22">
      <c r="B63" t="s">
        <v>105</v>
      </c>
      <c r="C63" s="24" t="s">
        <v>124</v>
      </c>
      <c r="D63" s="51">
        <f>E63*'Unit Mix_vm'!$D$15</f>
        <v>15750</v>
      </c>
      <c r="E63" s="75">
        <v>150</v>
      </c>
      <c r="F63" s="37">
        <f>IFERROR(E63/'Unit Mix_vm'!$F$15,0)</f>
        <v>0.16304347826086957</v>
      </c>
      <c r="G63" s="25">
        <f t="shared" ca="1" si="5"/>
        <v>4.9547086748258991E-4</v>
      </c>
    </row>
    <row r="64" spans="2:22">
      <c r="B64" t="s">
        <v>106</v>
      </c>
      <c r="C64" s="24" t="s">
        <v>124</v>
      </c>
      <c r="D64" s="75">
        <v>150000</v>
      </c>
      <c r="E64" s="51">
        <f>IFERROR(D64/'Unit Mix_vm'!$D$15,0)</f>
        <v>1428.5714285714287</v>
      </c>
      <c r="F64" s="37">
        <f>IFERROR(E64/'Unit Mix_vm'!$F$15,0)</f>
        <v>1.5527950310559007</v>
      </c>
      <c r="G64" s="25">
        <f t="shared" ca="1" si="5"/>
        <v>4.7187701665008562E-3</v>
      </c>
    </row>
    <row r="65" spans="2:7">
      <c r="B65" t="s">
        <v>179</v>
      </c>
      <c r="C65" s="24" t="s">
        <v>124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>
      <c r="B66" s="3" t="s">
        <v>180</v>
      </c>
      <c r="C66" s="3"/>
      <c r="D66" s="13">
        <f>+SUM(D48:D65)</f>
        <v>3072750</v>
      </c>
      <c r="E66" s="13">
        <f>SUM(E48:E65)</f>
        <v>29264.285714285717</v>
      </c>
      <c r="F66" s="13">
        <f>SUM(F48:F65)</f>
        <v>31.809006211180126</v>
      </c>
      <c r="G66" s="26">
        <f ca="1">SUM(G48:G65)</f>
        <v>9.6664006860770035E-2</v>
      </c>
    </row>
    <row r="67" spans="2:7">
      <c r="D67" s="14"/>
      <c r="E67" s="14"/>
      <c r="F67" s="14"/>
    </row>
    <row r="68" spans="2:7">
      <c r="B68" s="12" t="s">
        <v>134</v>
      </c>
      <c r="C68" s="12"/>
      <c r="D68" s="15"/>
      <c r="E68" s="15"/>
      <c r="F68" s="15"/>
      <c r="G68" s="12"/>
    </row>
    <row r="69" spans="2:7">
      <c r="B69" t="s">
        <v>107</v>
      </c>
      <c r="C69" s="24" t="s">
        <v>134</v>
      </c>
      <c r="D69" s="31">
        <f>F69*'Unit Mix_vm'!$D$15*'Unit Mix_vm'!$F$15</f>
        <v>17388000</v>
      </c>
      <c r="E69" s="51">
        <f>IFERROR(D69/'Unit Mix_vm'!$D$15,0)</f>
        <v>165600</v>
      </c>
      <c r="F69" s="75">
        <v>180</v>
      </c>
      <c r="G69" s="25">
        <f t="shared" ref="G69:G73" ca="1" si="6">+IFERROR(D69/D$88,0)</f>
        <v>0.54699983770077931</v>
      </c>
    </row>
    <row r="70" spans="2:7">
      <c r="B70" t="s">
        <v>181</v>
      </c>
      <c r="C70" s="24" t="s">
        <v>134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>
      <c r="B71" t="s">
        <v>182</v>
      </c>
      <c r="C71" s="24" t="s">
        <v>134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>
      <c r="B72" t="s">
        <v>183</v>
      </c>
      <c r="C72" s="24" t="s">
        <v>134</v>
      </c>
      <c r="D72" s="51">
        <f>E72*'Unit Mix_vm'!$D$15</f>
        <v>2100000</v>
      </c>
      <c r="E72" s="75">
        <v>20000</v>
      </c>
      <c r="F72" s="51">
        <f>IFERROR(E72/'Unit Mix_vm'!$F$15,0)</f>
        <v>21.739130434782609</v>
      </c>
      <c r="G72" s="25">
        <f t="shared" ca="1" si="6"/>
        <v>6.6062782331011996E-2</v>
      </c>
    </row>
    <row r="73" spans="2:7">
      <c r="B73" t="s">
        <v>184</v>
      </c>
      <c r="C73" s="24" t="s">
        <v>134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>
      <c r="B74" s="3" t="s">
        <v>185</v>
      </c>
      <c r="C74" s="3"/>
      <c r="D74" s="13">
        <f>+SUM(D69:D73)</f>
        <v>19488000</v>
      </c>
      <c r="E74" s="13">
        <f>SUM(E69:E73)</f>
        <v>185600</v>
      </c>
      <c r="F74" s="13">
        <f>SUM(F69:F73)</f>
        <v>201.73913043478262</v>
      </c>
      <c r="G74" s="26">
        <f ca="1">SUM(G69:G73)</f>
        <v>0.61306262003179135</v>
      </c>
    </row>
    <row r="75" spans="2:7">
      <c r="D75" s="14"/>
      <c r="E75" s="14"/>
      <c r="F75" s="14"/>
    </row>
    <row r="76" spans="2:7">
      <c r="B76" s="12" t="s">
        <v>186</v>
      </c>
      <c r="C76" s="12"/>
      <c r="D76" s="15"/>
      <c r="E76" s="15"/>
      <c r="F76" s="15"/>
      <c r="G76" s="12"/>
    </row>
    <row r="77" spans="2:7">
      <c r="B77" t="s">
        <v>187</v>
      </c>
      <c r="C77" s="24" t="s">
        <v>124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>
      <c r="B78" t="s">
        <v>188</v>
      </c>
      <c r="C78" s="24" t="s">
        <v>124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>
      <c r="B79" t="s">
        <v>189</v>
      </c>
      <c r="C79" s="24" t="s">
        <v>124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>
      <c r="B80" s="3" t="s">
        <v>190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>
      <c r="D81" s="14"/>
      <c r="E81" s="14"/>
      <c r="F81" s="14"/>
    </row>
    <row r="82" spans="2:11">
      <c r="B82" s="12" t="s">
        <v>191</v>
      </c>
      <c r="C82" s="12"/>
      <c r="D82" s="15"/>
      <c r="E82" s="15"/>
      <c r="F82" s="15"/>
      <c r="G82" s="12"/>
    </row>
    <row r="83" spans="2:11">
      <c r="B83" t="s">
        <v>109</v>
      </c>
      <c r="C83" s="24" t="s">
        <v>124</v>
      </c>
      <c r="D83" s="14">
        <f>+I83*D74</f>
        <v>974400</v>
      </c>
      <c r="E83" s="37">
        <f>IFERROR(D83/'Unit Mix_vm'!$D$15,0)</f>
        <v>9280</v>
      </c>
      <c r="F83" s="37">
        <f>IFERROR(E83/'Unit Mix_vm'!$F$15,0)</f>
        <v>10.086956521739131</v>
      </c>
      <c r="G83" s="25">
        <f t="shared" ref="G83:G85" ca="1" si="8">+IFERROR(D83/D$88,0)</f>
        <v>3.0653131001589565E-2</v>
      </c>
      <c r="I83" s="21">
        <v>0.05</v>
      </c>
      <c r="J83" s="20" t="s">
        <v>192</v>
      </c>
      <c r="K83" s="20"/>
    </row>
    <row r="84" spans="2:11">
      <c r="B84" t="s">
        <v>110</v>
      </c>
      <c r="C84" s="24" t="s">
        <v>124</v>
      </c>
      <c r="D84" s="31">
        <f ca="1">+IF(Global!C16="On",0,I84*N17)</f>
        <v>467497.18091028131</v>
      </c>
      <c r="E84" s="37">
        <f ca="1">IFERROR(D84/'Unit Mix_vm'!$D$15,0)</f>
        <v>4452.3541039074407</v>
      </c>
      <c r="F84" s="37">
        <f ca="1">IFERROR(E84/'Unit Mix_vm'!$F$15,0)</f>
        <v>4.8395153303341747</v>
      </c>
      <c r="G84" s="25">
        <f t="shared" ca="1" si="8"/>
        <v>1.4706745001351261E-2</v>
      </c>
      <c r="I84" s="21">
        <v>0.05</v>
      </c>
      <c r="J84" s="20" t="s">
        <v>193</v>
      </c>
      <c r="K84" s="20"/>
    </row>
    <row r="85" spans="2:11">
      <c r="B85" t="s">
        <v>194</v>
      </c>
      <c r="C85" s="24" t="s">
        <v>124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>
      <c r="B86" s="3" t="s">
        <v>195</v>
      </c>
      <c r="C86" s="3"/>
      <c r="D86" s="13">
        <f ca="1">+SUM(D83:D85)</f>
        <v>1441897.1809102814</v>
      </c>
      <c r="E86" s="13">
        <f ca="1">SUM(E83:E85)</f>
        <v>13732.354103907441</v>
      </c>
      <c r="F86" s="13">
        <f ca="1">SUM(F83:F85)</f>
        <v>14.926471852073306</v>
      </c>
      <c r="G86" s="26">
        <f ca="1">SUM(G83:G85)</f>
        <v>4.5359876002940828E-2</v>
      </c>
    </row>
    <row r="88" spans="2:11">
      <c r="B88" s="17" t="s">
        <v>196</v>
      </c>
      <c r="C88" s="22"/>
      <c r="D88" s="18">
        <f ca="1">+SUM(D86,D80,D74,D66,D45,D30,D24,D8)</f>
        <v>31787943.618205626</v>
      </c>
      <c r="E88" s="19">
        <f ca="1">+SUM(E86,E80,E74,E66,E45,E30,E24,E8)</f>
        <v>302742.32017338689</v>
      </c>
      <c r="F88" s="19">
        <f ca="1">+SUM(F86,F80,F74,F66,F45,F30,F24,F8)</f>
        <v>329.06773931889882</v>
      </c>
      <c r="G88" s="27">
        <f ca="1">+SUM(G86,G80,G74,G66,G45,G30,G24,G8)</f>
        <v>1</v>
      </c>
    </row>
    <row r="91" spans="2:11">
      <c r="E91" s="30"/>
    </row>
  </sheetData>
  <dataValidations disablePrompts="1"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2" zoomScale="90" zoomScaleNormal="90" workbookViewId="0">
      <selection activeCell="B5" sqref="B5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34" bestFit="1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1" width="12.7109375" style="23" customWidth="1"/>
    <col min="12" max="12" width="13.7109375" style="23" customWidth="1"/>
    <col min="13" max="19" width="12.7109375" style="23" customWidth="1"/>
    <col min="20" max="20" width="12.7109375" customWidth="1"/>
  </cols>
  <sheetData>
    <row r="1" spans="1:20" s="141" customFormat="1" ht="25.9">
      <c r="A1" s="144" t="str">
        <f>TEXT(Global!$C$7,"")</f>
        <v>161 Verdin Rd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899999999999999">
      <c r="A2" s="145" t="s">
        <v>197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6.149999999999999">
      <c r="B6" s="165"/>
      <c r="C6" s="166" t="s">
        <v>198</v>
      </c>
      <c r="D6" s="166"/>
    </row>
    <row r="7" spans="1:20">
      <c r="B7" s="167"/>
      <c r="C7" s="168" t="s">
        <v>115</v>
      </c>
      <c r="D7" s="168" t="s">
        <v>199</v>
      </c>
      <c r="F7" s="139" t="s">
        <v>200</v>
      </c>
      <c r="G7" s="140"/>
      <c r="I7" s="139" t="s">
        <v>201</v>
      </c>
      <c r="J7" s="155" t="s">
        <v>56</v>
      </c>
      <c r="K7" s="155" t="s">
        <v>202</v>
      </c>
      <c r="L7" s="155" t="s">
        <v>46</v>
      </c>
      <c r="M7" s="155" t="s">
        <v>203</v>
      </c>
      <c r="N7" s="155" t="s">
        <v>204</v>
      </c>
      <c r="O7" s="155" t="s">
        <v>205</v>
      </c>
      <c r="P7" s="155" t="s">
        <v>206</v>
      </c>
      <c r="Q7" s="155" t="s">
        <v>207</v>
      </c>
      <c r="R7" s="155" t="s">
        <v>208</v>
      </c>
      <c r="S7" s="155" t="s">
        <v>57</v>
      </c>
      <c r="T7" s="156" t="s">
        <v>209</v>
      </c>
    </row>
    <row r="8" spans="1:20">
      <c r="B8" s="67"/>
      <c r="C8" s="63"/>
      <c r="D8" s="56"/>
      <c r="F8" s="55" t="s">
        <v>210</v>
      </c>
      <c r="G8" s="128">
        <f>G9*'Unit Mix_vm'!$D$15</f>
        <v>705600</v>
      </c>
      <c r="I8" s="243" t="s">
        <v>211</v>
      </c>
      <c r="J8" s="264" t="s">
        <v>56</v>
      </c>
      <c r="K8" s="239">
        <v>461</v>
      </c>
      <c r="L8" s="239">
        <v>2025</v>
      </c>
      <c r="M8" s="239">
        <v>2025</v>
      </c>
      <c r="N8" s="241">
        <f>(8463360+600000)*6%</f>
        <v>543801.59999999998</v>
      </c>
      <c r="O8" s="36">
        <f>N8/$K8</f>
        <v>1179.6130151843818</v>
      </c>
      <c r="P8" s="239">
        <f>25.01+5.37</f>
        <v>30.380000000000003</v>
      </c>
      <c r="Q8" s="241">
        <f>22.8+22.8</f>
        <v>45.6</v>
      </c>
      <c r="R8" s="36">
        <f>Q8/$K8</f>
        <v>9.8915401301518435E-2</v>
      </c>
      <c r="S8" s="36">
        <f>N8*P8/100+Q8</f>
        <v>165252.52608000001</v>
      </c>
      <c r="T8" s="230">
        <f>S8/$K8</f>
        <v>358.46534941431673</v>
      </c>
    </row>
    <row r="9" spans="1:20">
      <c r="B9" s="67" t="s">
        <v>212</v>
      </c>
      <c r="C9" s="63">
        <f>+D9*'Unit Mix_vm'!D15*12</f>
        <v>2560320</v>
      </c>
      <c r="D9" s="77">
        <f>+'Unit Mix_vm'!G15</f>
        <v>2032</v>
      </c>
      <c r="F9" s="55" t="s">
        <v>213</v>
      </c>
      <c r="G9" s="247">
        <v>6720</v>
      </c>
      <c r="I9" s="243" t="s">
        <v>214</v>
      </c>
      <c r="J9" s="264" t="s">
        <v>56</v>
      </c>
      <c r="K9" s="239">
        <v>189</v>
      </c>
      <c r="L9" s="239">
        <v>2019</v>
      </c>
      <c r="M9" s="239">
        <v>2025</v>
      </c>
      <c r="N9" s="241">
        <f>30410650 *6%</f>
        <v>1824639</v>
      </c>
      <c r="O9" s="36">
        <f>N9/$K9</f>
        <v>9654.1746031746025</v>
      </c>
      <c r="P9" s="239">
        <f>(25.01+8.14)</f>
        <v>33.150000000000006</v>
      </c>
      <c r="Q9" s="241">
        <v>6134.25</v>
      </c>
      <c r="R9" s="36">
        <f>Q9/$K9</f>
        <v>32.456349206349209</v>
      </c>
      <c r="S9" s="36">
        <f t="shared" ref="S9:S10" si="0">N9*P9/100+Q9</f>
        <v>611002.07850000006</v>
      </c>
      <c r="T9" s="230">
        <f>S9/$K9</f>
        <v>3232.8152301587306</v>
      </c>
    </row>
    <row r="10" spans="1:20">
      <c r="B10" s="67" t="s">
        <v>215</v>
      </c>
      <c r="C10" s="79">
        <f>-D10*C9</f>
        <v>-25603.200000000001</v>
      </c>
      <c r="D10" s="263">
        <v>0.01</v>
      </c>
      <c r="F10" s="55"/>
      <c r="G10" s="56"/>
      <c r="I10" s="244" t="s">
        <v>216</v>
      </c>
      <c r="J10" s="266" t="s">
        <v>56</v>
      </c>
      <c r="K10" s="245">
        <v>159</v>
      </c>
      <c r="L10" s="245">
        <v>2022</v>
      </c>
      <c r="M10" s="245">
        <v>2025</v>
      </c>
      <c r="N10" s="246">
        <f>24713040*6%</f>
        <v>1482782.4</v>
      </c>
      <c r="O10" s="227">
        <f>N10/$K10</f>
        <v>9325.6754716981122</v>
      </c>
      <c r="P10" s="245">
        <f>(25.01+8.14)</f>
        <v>33.150000000000006</v>
      </c>
      <c r="Q10" s="246">
        <v>5970.67</v>
      </c>
      <c r="R10" s="227">
        <f>Q10/$K10</f>
        <v>37.551383647798744</v>
      </c>
      <c r="S10" s="227">
        <f t="shared" si="0"/>
        <v>497513.0356</v>
      </c>
      <c r="T10" s="236">
        <f>S10/$K10</f>
        <v>3129.0128025157233</v>
      </c>
    </row>
    <row r="11" spans="1:20">
      <c r="B11" s="67" t="s">
        <v>217</v>
      </c>
      <c r="C11" s="79">
        <f>-D11*C9</f>
        <v>-24384.000000000004</v>
      </c>
      <c r="D11" s="263">
        <f>1/'Unit Mix_vm'!$D$15</f>
        <v>9.5238095238095247E-3</v>
      </c>
      <c r="F11" s="55" t="s">
        <v>218</v>
      </c>
      <c r="G11" s="283">
        <f>(25.01+5.37)</f>
        <v>30.380000000000003</v>
      </c>
      <c r="I11" s="268"/>
      <c r="J11" s="267"/>
    </row>
    <row r="12" spans="1:20">
      <c r="B12" s="68" t="s">
        <v>219</v>
      </c>
      <c r="C12" s="64">
        <f>SUM(C9:C11)</f>
        <v>2510332.7999999998</v>
      </c>
      <c r="D12" s="71">
        <f>IFERROR(C12/'Unit Mix_vm'!$D$15/12,0)</f>
        <v>1992.327619047619</v>
      </c>
      <c r="F12" s="55" t="s">
        <v>220</v>
      </c>
      <c r="G12" s="128">
        <f>G13*'Unit Mix_vm'!$D$15</f>
        <v>2394</v>
      </c>
      <c r="I12" s="52"/>
    </row>
    <row r="13" spans="1:20">
      <c r="B13" s="67"/>
      <c r="C13" s="63"/>
      <c r="D13" s="56"/>
      <c r="F13" s="55" t="s">
        <v>221</v>
      </c>
      <c r="G13" s="247">
        <v>22.8</v>
      </c>
    </row>
    <row r="14" spans="1:20">
      <c r="B14" s="67" t="s">
        <v>222</v>
      </c>
      <c r="C14" s="63">
        <f>+D14*'Unit Mix_vm'!$D$15*12</f>
        <v>263040.00000000006</v>
      </c>
      <c r="D14" s="128">
        <f>$N$57</f>
        <v>208.76190476190479</v>
      </c>
      <c r="F14" s="55" t="s">
        <v>223</v>
      </c>
      <c r="G14" s="242">
        <v>0</v>
      </c>
      <c r="I14" s="122" t="s">
        <v>224</v>
      </c>
      <c r="J14" s="177"/>
      <c r="K14" s="123"/>
      <c r="L14" s="123" t="s">
        <v>225</v>
      </c>
      <c r="M14" s="123" t="s">
        <v>57</v>
      </c>
      <c r="N14" s="124" t="s">
        <v>69</v>
      </c>
      <c r="P14" s="284"/>
    </row>
    <row r="15" spans="1:20">
      <c r="B15" s="67" t="s">
        <v>226</v>
      </c>
      <c r="C15" s="78">
        <v>0</v>
      </c>
      <c r="D15" s="70">
        <f>IFERROR(C15/'Unit Mix_vm'!$D$15/12,0)</f>
        <v>0</v>
      </c>
      <c r="F15" s="55"/>
      <c r="G15" s="56"/>
      <c r="I15" s="188" t="s">
        <v>227</v>
      </c>
      <c r="J15" s="189"/>
      <c r="K15" s="190"/>
      <c r="L15" s="190"/>
      <c r="M15" s="190"/>
      <c r="N15" s="191"/>
      <c r="P15" s="284"/>
    </row>
    <row r="16" spans="1:20">
      <c r="B16" s="68" t="s">
        <v>228</v>
      </c>
      <c r="C16" s="64">
        <f>SUM(C14:C15,C12)</f>
        <v>2773372.8</v>
      </c>
      <c r="D16" s="71">
        <f>IFERROR(C16/'Unit Mix_vm'!$D$15/12,0)</f>
        <v>2201.0895238095236</v>
      </c>
      <c r="F16" s="55" t="s">
        <v>229</v>
      </c>
      <c r="G16" s="81">
        <f>(G11*G8/100+G12)*(1-G14)</f>
        <v>216755.28</v>
      </c>
      <c r="I16" s="178" t="s">
        <v>230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400</v>
      </c>
      <c r="P16" s="284"/>
    </row>
    <row r="17" spans="2:14">
      <c r="B17" s="67"/>
      <c r="C17" s="63"/>
      <c r="D17" s="56"/>
      <c r="F17" s="55" t="s">
        <v>231</v>
      </c>
      <c r="G17" s="81">
        <f>+G16/'Unit Mix_vm'!$D$15</f>
        <v>2064.3359999999998</v>
      </c>
      <c r="I17" s="178" t="s">
        <v>232</v>
      </c>
      <c r="J17" s="172"/>
      <c r="K17" s="173"/>
      <c r="L17" s="181">
        <v>3</v>
      </c>
      <c r="M17" s="179">
        <f>L17*'Unit Mix_vm'!$D$15*12</f>
        <v>3780</v>
      </c>
      <c r="N17" s="180">
        <f>M17/'Unit Mix_vm'!$D$15</f>
        <v>36</v>
      </c>
    </row>
    <row r="18" spans="2:14">
      <c r="B18" s="67" t="s">
        <v>48</v>
      </c>
      <c r="C18" s="72">
        <f>-D18*SUM(C9,C14)</f>
        <v>-141168</v>
      </c>
      <c r="D18" s="263">
        <v>0.05</v>
      </c>
      <c r="F18" s="55"/>
      <c r="G18" s="56"/>
      <c r="I18" s="178" t="s">
        <v>233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342.85714285714283</v>
      </c>
    </row>
    <row r="19" spans="2:14">
      <c r="B19" s="67" t="s">
        <v>234</v>
      </c>
      <c r="C19" s="72">
        <f>-D19*SUM(C9,C14,C18)</f>
        <v>0</v>
      </c>
      <c r="D19" s="263">
        <v>0</v>
      </c>
      <c r="F19" s="55" t="s">
        <v>235</v>
      </c>
      <c r="G19" s="82">
        <v>0</v>
      </c>
      <c r="I19" s="178" t="s">
        <v>236</v>
      </c>
      <c r="J19" s="172"/>
      <c r="K19" s="173"/>
      <c r="L19" s="181">
        <v>10</v>
      </c>
      <c r="M19" s="179">
        <f>L19*'Unit Mix_vm'!$D$15*12</f>
        <v>12600</v>
      </c>
      <c r="N19" s="180">
        <f>M19/'Unit Mix_vm'!$D$15</f>
        <v>120</v>
      </c>
    </row>
    <row r="20" spans="2:14">
      <c r="B20" s="68" t="s">
        <v>237</v>
      </c>
      <c r="C20" s="64">
        <f>SUM(C18:C19,C16)</f>
        <v>2632204.7999999998</v>
      </c>
      <c r="D20" s="71">
        <f>IFERROR(C20/#REF!/12,0)</f>
        <v>0</v>
      </c>
      <c r="F20" s="55"/>
      <c r="G20" s="56"/>
      <c r="I20" s="178" t="s">
        <v>238</v>
      </c>
      <c r="J20" s="172"/>
      <c r="K20" s="173"/>
      <c r="L20" s="181">
        <v>30</v>
      </c>
      <c r="M20" s="179">
        <f>L20*'Unit Mix_vm'!$D$15*12</f>
        <v>37800</v>
      </c>
      <c r="N20" s="180">
        <f>M20/'Unit Mix_vm'!$D$15</f>
        <v>360</v>
      </c>
    </row>
    <row r="21" spans="2:14">
      <c r="B21" s="67"/>
      <c r="C21" s="63"/>
      <c r="D21" s="56"/>
      <c r="F21" s="55" t="s">
        <v>239</v>
      </c>
      <c r="G21" s="83">
        <f>+G16+G19</f>
        <v>216755.28</v>
      </c>
      <c r="I21" s="178" t="s">
        <v>240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57.142857142857146</v>
      </c>
    </row>
    <row r="22" spans="2:14">
      <c r="B22" s="67" t="s">
        <v>241</v>
      </c>
      <c r="C22" s="72">
        <f>D22*C20</f>
        <v>72385.631999999998</v>
      </c>
      <c r="D22" s="263">
        <v>2.75E-2</v>
      </c>
      <c r="F22" s="58" t="s">
        <v>242</v>
      </c>
      <c r="G22" s="84">
        <f>+G21/'Unit Mix_vm'!$D$15</f>
        <v>2064.3359999999998</v>
      </c>
      <c r="I22" s="178" t="s">
        <v>243</v>
      </c>
      <c r="J22" s="172"/>
      <c r="K22" s="173"/>
      <c r="L22" s="171">
        <v>1000</v>
      </c>
      <c r="M22" s="179">
        <f>L22*12</f>
        <v>12000</v>
      </c>
      <c r="N22" s="180">
        <f>M22/'Unit Mix_vm'!$D$15</f>
        <v>114.28571428571429</v>
      </c>
    </row>
    <row r="23" spans="2:14">
      <c r="B23" s="119" t="s">
        <v>244</v>
      </c>
      <c r="C23" s="129">
        <f>G21</f>
        <v>216755.28</v>
      </c>
      <c r="D23" s="81">
        <f>IFERROR(C23/'Unit Mix_vm'!$D$15,0)</f>
        <v>2064.3359999999998</v>
      </c>
      <c r="I23" s="178" t="s">
        <v>245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>
      <c r="B24" s="67" t="s">
        <v>246</v>
      </c>
      <c r="C24" s="72">
        <f>+D24*'Unit Mix_vm'!$D$15</f>
        <v>65625</v>
      </c>
      <c r="D24" s="82">
        <v>625</v>
      </c>
      <c r="F24" s="122" t="s">
        <v>247</v>
      </c>
      <c r="G24" s="255"/>
      <c r="I24" s="186" t="s">
        <v>248</v>
      </c>
      <c r="J24" s="174"/>
      <c r="K24" s="175"/>
      <c r="L24" s="175"/>
      <c r="M24" s="176">
        <f>SUM(M16:M23)</f>
        <v>150180</v>
      </c>
      <c r="N24" s="187">
        <f>M24/'Unit Mix_vm'!$D$15</f>
        <v>1430.2857142857142</v>
      </c>
    </row>
    <row r="25" spans="2:14">
      <c r="B25" s="67" t="s">
        <v>249</v>
      </c>
      <c r="C25" s="72">
        <f>+D25*'Unit Mix_vm'!$D$15</f>
        <v>0</v>
      </c>
      <c r="D25" s="82">
        <v>0</v>
      </c>
      <c r="F25" s="224" t="s">
        <v>72</v>
      </c>
      <c r="G25" s="225">
        <f>Budget_vm!E8</f>
        <v>28095.238095238095</v>
      </c>
      <c r="I25" s="188" t="s">
        <v>250</v>
      </c>
      <c r="J25" s="189"/>
      <c r="K25" s="190"/>
      <c r="L25" s="190"/>
      <c r="M25" s="190"/>
      <c r="N25" s="191"/>
    </row>
    <row r="26" spans="2:14">
      <c r="B26" s="67" t="s">
        <v>251</v>
      </c>
      <c r="C26" s="72">
        <f>+D26*'Unit Mix_vm'!$D$15</f>
        <v>0</v>
      </c>
      <c r="D26" s="82">
        <v>0</v>
      </c>
      <c r="F26" s="55" t="s">
        <v>134</v>
      </c>
      <c r="G26" s="222">
        <f>Budget_vm!E69</f>
        <v>165600</v>
      </c>
      <c r="I26" s="178" t="s">
        <v>252</v>
      </c>
      <c r="J26" s="172"/>
      <c r="K26" s="173"/>
      <c r="L26" s="181">
        <v>50</v>
      </c>
      <c r="M26" s="179">
        <f>L26*'Unit Mix_vm'!$D$15*12*5%</f>
        <v>3150</v>
      </c>
      <c r="N26" s="180">
        <f>M26/'Unit Mix_vm'!$D$15</f>
        <v>30</v>
      </c>
    </row>
    <row r="27" spans="2:14">
      <c r="B27" s="67" t="s">
        <v>250</v>
      </c>
      <c r="C27" s="72">
        <f>+D27*'Unit Mix_vm'!$D$15</f>
        <v>107850</v>
      </c>
      <c r="D27" s="128">
        <f>N32</f>
        <v>1027.1428571428571</v>
      </c>
      <c r="F27" s="224" t="s">
        <v>57</v>
      </c>
      <c r="G27" s="223">
        <f>SUM(G25:G26)</f>
        <v>193695.23809523811</v>
      </c>
      <c r="I27" s="178" t="s">
        <v>253</v>
      </c>
      <c r="J27" s="172"/>
      <c r="K27" s="173"/>
      <c r="L27" s="181">
        <v>75</v>
      </c>
      <c r="M27" s="179">
        <f>L27*12</f>
        <v>900</v>
      </c>
      <c r="N27" s="180">
        <f>M27/'Unit Mix_vm'!$D$15</f>
        <v>8.5714285714285712</v>
      </c>
    </row>
    <row r="28" spans="2:14">
      <c r="B28" s="67" t="s">
        <v>227</v>
      </c>
      <c r="C28" s="72">
        <f>+D28*'Unit Mix_vm'!$D$15</f>
        <v>150180</v>
      </c>
      <c r="D28" s="128">
        <f>N24</f>
        <v>1430.2857142857142</v>
      </c>
      <c r="F28" s="58" t="s">
        <v>117</v>
      </c>
      <c r="G28" s="226">
        <f>G27/G9</f>
        <v>28.823696145124718</v>
      </c>
      <c r="I28" s="178" t="s">
        <v>254</v>
      </c>
      <c r="J28" s="172"/>
      <c r="K28" s="173"/>
      <c r="L28" s="171">
        <v>5500</v>
      </c>
      <c r="M28" s="179">
        <f>L28*12</f>
        <v>66000</v>
      </c>
      <c r="N28" s="180">
        <f>M28/'Unit Mix_vm'!$D$15</f>
        <v>628.57142857142856</v>
      </c>
    </row>
    <row r="29" spans="2:14">
      <c r="B29" s="67" t="s">
        <v>255</v>
      </c>
      <c r="C29" s="72">
        <f>+D29*'Unit Mix_vm'!$D$15</f>
        <v>13125</v>
      </c>
      <c r="D29" s="82">
        <f>500*0.25</f>
        <v>125</v>
      </c>
      <c r="I29" s="178" t="s">
        <v>256</v>
      </c>
      <c r="J29" s="172"/>
      <c r="K29" s="173"/>
      <c r="L29" s="181">
        <v>30</v>
      </c>
      <c r="M29" s="179">
        <f>L29*'Unit Mix_vm'!$D$15*12</f>
        <v>37800</v>
      </c>
      <c r="N29" s="180">
        <f>M29/'Unit Mix_vm'!$D$15</f>
        <v>360</v>
      </c>
    </row>
    <row r="30" spans="2:14">
      <c r="B30" s="67" t="s">
        <v>257</v>
      </c>
      <c r="C30" s="72">
        <f>+D30*'Unit Mix_vm'!$D$15</f>
        <v>28875</v>
      </c>
      <c r="D30" s="82">
        <v>275</v>
      </c>
      <c r="I30" s="178" t="s">
        <v>258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>
      <c r="B31" s="67" t="s">
        <v>259</v>
      </c>
      <c r="C31" s="72">
        <f>+D31*'Unit Mix_vm'!$D$15</f>
        <v>4200</v>
      </c>
      <c r="D31" s="82">
        <v>40</v>
      </c>
      <c r="I31" s="178" t="s">
        <v>245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>
      <c r="B32" s="67" t="s">
        <v>260</v>
      </c>
      <c r="C32" s="72">
        <f>+D32*'Unit Mix_vm'!$D$15</f>
        <v>47250</v>
      </c>
      <c r="D32" s="82">
        <v>450</v>
      </c>
      <c r="I32" s="182" t="s">
        <v>261</v>
      </c>
      <c r="J32" s="183"/>
      <c r="K32" s="184"/>
      <c r="L32" s="184"/>
      <c r="M32" s="170">
        <f>SUM(M26:M31)</f>
        <v>107850</v>
      </c>
      <c r="N32" s="185">
        <f>M32/'Unit Mix_vm'!$D$15</f>
        <v>1027.1428571428571</v>
      </c>
    </row>
    <row r="33" spans="2:15">
      <c r="B33" s="67" t="s">
        <v>81</v>
      </c>
      <c r="C33" s="72">
        <f>+D33*'Unit Mix_vm'!$D$15</f>
        <v>47250</v>
      </c>
      <c r="D33" s="82">
        <v>450</v>
      </c>
      <c r="F33" s="30"/>
      <c r="I33" s="188" t="s">
        <v>262</v>
      </c>
      <c r="J33" s="189"/>
      <c r="K33" s="190"/>
      <c r="L33" s="190"/>
      <c r="M33" s="190"/>
      <c r="N33" s="191"/>
    </row>
    <row r="34" spans="2:15">
      <c r="B34" s="67" t="s">
        <v>262</v>
      </c>
      <c r="C34" s="72">
        <f>+D34*'Unit Mix_vm'!$D$15</f>
        <v>401868.54</v>
      </c>
      <c r="D34" s="128">
        <f>N46</f>
        <v>3827.3194285714285</v>
      </c>
      <c r="I34" s="192" t="s">
        <v>263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693.33333333333337</v>
      </c>
    </row>
    <row r="35" spans="2:15">
      <c r="B35" s="67" t="s">
        <v>264</v>
      </c>
      <c r="C35" s="72">
        <f>+D35*'Unit Mix_vm'!$D$15</f>
        <v>26250</v>
      </c>
      <c r="D35" s="82">
        <v>250</v>
      </c>
      <c r="I35" s="197" t="s">
        <v>265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138.66666666666666</v>
      </c>
    </row>
    <row r="36" spans="2:15">
      <c r="B36" s="67" t="s">
        <v>266</v>
      </c>
      <c r="C36" s="72">
        <f>+D36*'Unit Mix_vm'!$D$15</f>
        <v>26250</v>
      </c>
      <c r="D36" s="82">
        <v>250</v>
      </c>
      <c r="I36" s="192" t="s">
        <v>267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495.23809523809524</v>
      </c>
    </row>
    <row r="37" spans="2:15">
      <c r="B37" s="67" t="s">
        <v>268</v>
      </c>
      <c r="C37" s="72">
        <f>+D37*'Unit Mix_vm'!$D$15</f>
        <v>0</v>
      </c>
      <c r="D37" s="82">
        <v>0</v>
      </c>
      <c r="I37" s="197" t="s">
        <v>265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>
      <c r="B38" s="68" t="s">
        <v>269</v>
      </c>
      <c r="C38" s="64">
        <f>+SUM(C22:C37)</f>
        <v>1207864.452</v>
      </c>
      <c r="D38" s="71">
        <f>IFERROR(C38/'Unit Mix_vm'!$D$15,0)</f>
        <v>11503.470971428573</v>
      </c>
      <c r="I38" s="192" t="s">
        <v>270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396.1904761904762</v>
      </c>
    </row>
    <row r="39" spans="2:15">
      <c r="B39" s="55"/>
      <c r="C39" s="63"/>
      <c r="D39" s="56"/>
      <c r="I39" s="192" t="s">
        <v>271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>
      <c r="B40" s="67" t="s">
        <v>272</v>
      </c>
      <c r="C40" s="63">
        <f>+C20-C38</f>
        <v>1424340.3479999998</v>
      </c>
      <c r="D40" s="70">
        <f>IFERROR(C40/#REF!,0)</f>
        <v>0</v>
      </c>
      <c r="I40" s="192" t="s">
        <v>273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633.90476190476193</v>
      </c>
    </row>
    <row r="41" spans="2:15">
      <c r="B41" s="69" t="s">
        <v>274</v>
      </c>
      <c r="C41" s="65">
        <f>IFERROR(C40/C20,0)</f>
        <v>0.54112064076473076</v>
      </c>
      <c r="D41" s="56"/>
      <c r="I41" s="197" t="s">
        <v>265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63.390476190476193</v>
      </c>
    </row>
    <row r="42" spans="2:15">
      <c r="B42" s="55"/>
      <c r="C42" s="55"/>
      <c r="D42" s="56"/>
      <c r="I42" s="192" t="s">
        <v>275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396.1904761904762</v>
      </c>
    </row>
    <row r="43" spans="2:15">
      <c r="B43" s="61" t="s">
        <v>276</v>
      </c>
      <c r="C43" s="66">
        <f ca="1">C40/Budget_vm!D88</f>
        <v>4.4807564940572316E-2</v>
      </c>
      <c r="D43" s="62"/>
      <c r="I43" s="192" t="s">
        <v>277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>
      <c r="I44" s="192" t="s">
        <v>278</v>
      </c>
      <c r="J44" s="172"/>
      <c r="K44" s="171"/>
      <c r="L44" s="202">
        <v>150</v>
      </c>
      <c r="M44" s="195">
        <f>L44*'Unit Mix_vm'!D15</f>
        <v>15750</v>
      </c>
      <c r="N44" s="196">
        <f>M44/'Unit Mix_vm'!$D$15</f>
        <v>150</v>
      </c>
    </row>
    <row r="45" spans="2:15">
      <c r="I45" s="192" t="s">
        <v>279</v>
      </c>
      <c r="J45" s="172"/>
      <c r="K45" s="171"/>
      <c r="L45" s="198">
        <v>0.28999999999999998</v>
      </c>
      <c r="M45" s="195">
        <f>SUM(M34:M44)*L45</f>
        <v>90342.54</v>
      </c>
      <c r="N45" s="196">
        <f>M45/'Unit Mix_vm'!$D$15</f>
        <v>860.40514285714278</v>
      </c>
    </row>
    <row r="46" spans="2:15">
      <c r="I46" s="199" t="s">
        <v>280</v>
      </c>
      <c r="J46" s="183"/>
      <c r="K46" s="183"/>
      <c r="L46" s="183"/>
      <c r="M46" s="200">
        <f>SUM(M34:M45)</f>
        <v>401868.54</v>
      </c>
      <c r="N46" s="201">
        <f>M46/'Unit Mix_vm'!$D$15</f>
        <v>3827.3194285714285</v>
      </c>
      <c r="O46" s="237"/>
    </row>
    <row r="48" spans="2:15">
      <c r="I48" s="188" t="s">
        <v>222</v>
      </c>
      <c r="J48" s="228" t="s">
        <v>34</v>
      </c>
      <c r="K48" s="228" t="s">
        <v>33</v>
      </c>
      <c r="L48" s="228" t="s">
        <v>225</v>
      </c>
      <c r="M48" s="228" t="s">
        <v>57</v>
      </c>
      <c r="N48" s="229" t="s">
        <v>281</v>
      </c>
    </row>
    <row r="49" spans="9:16">
      <c r="I49" s="192" t="s">
        <v>282</v>
      </c>
      <c r="J49" s="249">
        <v>1</v>
      </c>
      <c r="K49" s="250">
        <f>'Unit Mix_vm'!$D$15</f>
        <v>105</v>
      </c>
      <c r="L49" s="181">
        <v>65</v>
      </c>
      <c r="M49" s="179">
        <f>L49*K49*J49*12</f>
        <v>81900</v>
      </c>
      <c r="N49" s="251">
        <f>M49/'Unit Mix_vm'!$D$15/12</f>
        <v>65</v>
      </c>
      <c r="O49" s="36"/>
      <c r="P49" s="238"/>
    </row>
    <row r="50" spans="9:16">
      <c r="I50" s="192" t="s">
        <v>283</v>
      </c>
      <c r="J50" s="249">
        <v>1</v>
      </c>
      <c r="K50" s="250">
        <f>'Unit Mix_vm'!$D$15</f>
        <v>105</v>
      </c>
      <c r="L50" s="181">
        <v>70</v>
      </c>
      <c r="M50" s="179">
        <f t="shared" ref="M50:M55" si="3">L50*K50*J50*12</f>
        <v>88200</v>
      </c>
      <c r="N50" s="251">
        <f>M50/'Unit Mix_vm'!$D$15/12</f>
        <v>70</v>
      </c>
    </row>
    <row r="51" spans="9:16">
      <c r="I51" s="192" t="s">
        <v>236</v>
      </c>
      <c r="J51" s="249">
        <v>1</v>
      </c>
      <c r="K51" s="250">
        <f>'Unit Mix_vm'!$D$15</f>
        <v>105</v>
      </c>
      <c r="L51" s="181">
        <v>25</v>
      </c>
      <c r="M51" s="179">
        <f t="shared" si="3"/>
        <v>31500</v>
      </c>
      <c r="N51" s="251">
        <f>M51/'Unit Mix_vm'!$D$15/12</f>
        <v>25</v>
      </c>
    </row>
    <row r="52" spans="9:16">
      <c r="I52" s="192" t="s">
        <v>232</v>
      </c>
      <c r="J52" s="249">
        <v>1</v>
      </c>
      <c r="K52" s="250">
        <f>'Unit Mix_vm'!$D$15</f>
        <v>105</v>
      </c>
      <c r="L52" s="181">
        <v>5</v>
      </c>
      <c r="M52" s="179">
        <f t="shared" si="3"/>
        <v>6300</v>
      </c>
      <c r="N52" s="251">
        <f>M52/'Unit Mix_vm'!$D$15/12</f>
        <v>5</v>
      </c>
    </row>
    <row r="53" spans="9:16">
      <c r="I53" s="192" t="s">
        <v>256</v>
      </c>
      <c r="J53" s="249">
        <v>0.9</v>
      </c>
      <c r="K53" s="250">
        <f>'Unit Mix_vm'!$D$15</f>
        <v>105</v>
      </c>
      <c r="L53" s="252">
        <f>$L$29</f>
        <v>30</v>
      </c>
      <c r="M53" s="179">
        <f t="shared" si="3"/>
        <v>34020</v>
      </c>
      <c r="N53" s="251">
        <f>M53/'Unit Mix_vm'!$D$15/12</f>
        <v>27</v>
      </c>
    </row>
    <row r="54" spans="9:16">
      <c r="I54" s="192" t="s">
        <v>284</v>
      </c>
      <c r="J54" s="249">
        <v>1</v>
      </c>
      <c r="K54" s="253">
        <v>32</v>
      </c>
      <c r="L54" s="254">
        <v>55</v>
      </c>
      <c r="M54" s="179">
        <f t="shared" si="3"/>
        <v>21120</v>
      </c>
      <c r="N54" s="251">
        <f>M54/'Unit Mix_vm'!$D$15/12</f>
        <v>16.761904761904763</v>
      </c>
    </row>
    <row r="55" spans="9:16">
      <c r="I55" s="192" t="s">
        <v>285</v>
      </c>
      <c r="J55" s="249">
        <v>1</v>
      </c>
      <c r="K55" s="253">
        <v>0</v>
      </c>
      <c r="L55" s="254">
        <v>200</v>
      </c>
      <c r="M55" s="179">
        <f t="shared" si="3"/>
        <v>0</v>
      </c>
      <c r="N55" s="251">
        <f>M55/'Unit Mix_vm'!$D$15/12</f>
        <v>0</v>
      </c>
    </row>
    <row r="56" spans="9:16">
      <c r="I56" s="192" t="s">
        <v>286</v>
      </c>
      <c r="J56" s="249">
        <v>1</v>
      </c>
      <c r="K56" s="250">
        <f>'Unit Mix_vm'!$D$15</f>
        <v>105</v>
      </c>
      <c r="L56" s="181">
        <v>0</v>
      </c>
      <c r="M56" s="179">
        <f t="shared" ref="M56" si="4">L56*K56*J56*12</f>
        <v>0</v>
      </c>
      <c r="N56" s="251">
        <f>M56/'Unit Mix_vm'!$D$15/12</f>
        <v>0</v>
      </c>
    </row>
    <row r="57" spans="9:16">
      <c r="I57" s="231" t="s">
        <v>287</v>
      </c>
      <c r="J57" s="232"/>
      <c r="K57" s="233"/>
      <c r="L57" s="234"/>
      <c r="M57" s="127">
        <f>SUM(M49:M56)</f>
        <v>263040</v>
      </c>
      <c r="N57" s="235">
        <f>M57/'Unit Mix_vm'!$D$15/12</f>
        <v>208.76190476190479</v>
      </c>
    </row>
  </sheetData>
  <hyperlinks>
    <hyperlink ref="J9" r:id="rId1" xr:uid="{CB7B8628-2A71-464B-811C-D6BC05F8FA90}"/>
    <hyperlink ref="J10" r:id="rId2" xr:uid="{E494C3E1-8F72-413A-9AE5-D9B5F8E2DBD2}"/>
    <hyperlink ref="J8" r:id="rId3" xr:uid="{1A31A044-7440-409B-A10E-5ED39FA51C98}"/>
  </hyperlinks>
  <pageMargins left="0.7" right="0.7" top="0.75" bottom="0.75" header="0.3" footer="0.3"/>
  <pageSetup orientation="portrait" verticalDpi="0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6" t="s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6" t="s">
        <v>289</v>
      </c>
    </row>
    <row r="3" spans="2:2" ht="130.9">
      <c r="B3" s="76" t="s">
        <v>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161 Verdin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8" t="s">
        <v>292</v>
      </c>
      <c r="D6" s="88" t="s">
        <v>293</v>
      </c>
      <c r="E6" s="88" t="s">
        <v>294</v>
      </c>
      <c r="F6" s="88" t="s">
        <v>295</v>
      </c>
      <c r="G6" s="88" t="s">
        <v>296</v>
      </c>
      <c r="H6" s="88" t="s">
        <v>297</v>
      </c>
      <c r="I6" s="88" t="s">
        <v>298</v>
      </c>
      <c r="J6" s="88" t="s">
        <v>299</v>
      </c>
      <c r="K6" s="88" t="s">
        <v>300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301</v>
      </c>
      <c r="C8"/>
      <c r="D8"/>
      <c r="E8"/>
      <c r="F8"/>
      <c r="G8"/>
      <c r="H8"/>
      <c r="I8"/>
      <c r="J8"/>
      <c r="K8"/>
      <c r="L8"/>
      <c r="M8" s="110" t="s">
        <v>302</v>
      </c>
      <c r="N8" s="110" t="s">
        <v>302</v>
      </c>
      <c r="O8" s="110" t="s">
        <v>302</v>
      </c>
      <c r="P8" s="110" t="s">
        <v>302</v>
      </c>
      <c r="Q8" s="110" t="s">
        <v>302</v>
      </c>
      <c r="R8" s="110" t="s">
        <v>302</v>
      </c>
      <c r="S8" s="110" t="s">
        <v>302</v>
      </c>
      <c r="T8" s="110" t="s">
        <v>302</v>
      </c>
      <c r="U8" s="110" t="s">
        <v>302</v>
      </c>
      <c r="V8" s="110" t="s">
        <v>302</v>
      </c>
      <c r="W8" s="110" t="s">
        <v>302</v>
      </c>
      <c r="X8" s="110" t="s">
        <v>302</v>
      </c>
      <c r="Y8" s="110" t="s">
        <v>302</v>
      </c>
      <c r="Z8" s="110" t="s">
        <v>302</v>
      </c>
      <c r="AA8" s="110" t="s">
        <v>302</v>
      </c>
      <c r="AB8" s="110" t="s">
        <v>302</v>
      </c>
      <c r="AC8" s="110" t="s">
        <v>302</v>
      </c>
      <c r="AD8" s="110" t="s">
        <v>302</v>
      </c>
      <c r="AE8" s="110" t="s">
        <v>302</v>
      </c>
      <c r="AF8" s="110" t="s">
        <v>302</v>
      </c>
      <c r="AG8" s="110" t="s">
        <v>302</v>
      </c>
      <c r="AH8" s="110" t="s">
        <v>302</v>
      </c>
      <c r="AI8" s="110" t="s">
        <v>302</v>
      </c>
      <c r="AJ8" s="110" t="s">
        <v>302</v>
      </c>
      <c r="AK8" s="110" t="s">
        <v>302</v>
      </c>
      <c r="AL8" s="110" t="s">
        <v>302</v>
      </c>
      <c r="AM8" s="110" t="s">
        <v>302</v>
      </c>
      <c r="AN8" s="110" t="s">
        <v>302</v>
      </c>
      <c r="AO8" s="110" t="s">
        <v>302</v>
      </c>
      <c r="AP8" s="110" t="s">
        <v>302</v>
      </c>
      <c r="AQ8" s="110" t="s">
        <v>302</v>
      </c>
      <c r="AR8" s="110" t="s">
        <v>302</v>
      </c>
      <c r="AS8" s="110" t="s">
        <v>302</v>
      </c>
      <c r="AT8" s="110" t="s">
        <v>302</v>
      </c>
      <c r="AU8" s="110" t="s">
        <v>302</v>
      </c>
      <c r="AV8" s="110" t="s">
        <v>302</v>
      </c>
      <c r="AW8" s="110" t="s">
        <v>302</v>
      </c>
      <c r="AX8" s="110" t="s">
        <v>302</v>
      </c>
      <c r="AY8" s="110" t="s">
        <v>302</v>
      </c>
      <c r="AZ8" s="110" t="s">
        <v>302</v>
      </c>
      <c r="BA8" s="110" t="s">
        <v>302</v>
      </c>
      <c r="BB8" s="110" t="s">
        <v>302</v>
      </c>
      <c r="BC8" s="110" t="s">
        <v>302</v>
      </c>
      <c r="BD8" s="110" t="s">
        <v>302</v>
      </c>
      <c r="BE8" s="110" t="s">
        <v>302</v>
      </c>
      <c r="BF8" s="110" t="s">
        <v>302</v>
      </c>
      <c r="BG8" s="110" t="s">
        <v>302</v>
      </c>
      <c r="BH8" s="110" t="s">
        <v>302</v>
      </c>
      <c r="BI8" s="110" t="s">
        <v>302</v>
      </c>
      <c r="BJ8" s="110" t="s">
        <v>302</v>
      </c>
      <c r="BK8" s="110" t="s">
        <v>302</v>
      </c>
      <c r="BL8" s="110" t="s">
        <v>302</v>
      </c>
      <c r="BM8" s="110" t="s">
        <v>302</v>
      </c>
      <c r="BN8" s="110" t="s">
        <v>302</v>
      </c>
      <c r="BO8" s="110" t="s">
        <v>302</v>
      </c>
      <c r="BP8" s="110" t="s">
        <v>302</v>
      </c>
      <c r="BQ8" s="110" t="s">
        <v>302</v>
      </c>
      <c r="BR8" s="110" t="s">
        <v>302</v>
      </c>
      <c r="BS8" s="110" t="s">
        <v>302</v>
      </c>
      <c r="BT8" s="110" t="s">
        <v>302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4" t="s">
        <v>303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304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305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126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127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4" t="s">
        <v>306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119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73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74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128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129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132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133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135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137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139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75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140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77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142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78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79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307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156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84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308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85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86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164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167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89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171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90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93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92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91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94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95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96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97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98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99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100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101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102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103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104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105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106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309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107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181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182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310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311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187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188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189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109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110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194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138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312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161 Verdin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314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315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>
      <c r="A8"/>
      <c r="B8" s="90" t="s">
        <v>316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>
      <c r="A9"/>
      <c r="B9" s="91" t="s">
        <v>301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0" t="s">
        <v>317</v>
      </c>
      <c r="C11" s="95" t="s">
        <v>318</v>
      </c>
      <c r="D11" s="95" t="s">
        <v>319</v>
      </c>
      <c r="E11" s="95" t="s">
        <v>121</v>
      </c>
      <c r="F11" s="95" t="s">
        <v>320</v>
      </c>
      <c r="G11" s="95" t="s">
        <v>321</v>
      </c>
      <c r="H11" s="96" t="s">
        <v>322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323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66</v>
      </c>
      <c r="I12"/>
      <c r="J12" s="112" t="s">
        <v>324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325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66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326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66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327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328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66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329</v>
      </c>
      <c r="C18" s="73" t="s">
        <v>330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331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332</v>
      </c>
      <c r="C20" s="23" t="s">
        <v>333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334</v>
      </c>
      <c r="C21" s="49">
        <v>1</v>
      </c>
      <c r="D21" s="24" t="s">
        <v>335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336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337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337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4" t="s">
        <v>338</v>
      </c>
      <c r="C30" s="73" t="s">
        <v>115</v>
      </c>
      <c r="D30" s="73" t="s">
        <v>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321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320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57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4" t="s">
        <v>339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340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341</v>
      </c>
      <c r="C38" s="73" t="s">
        <v>115</v>
      </c>
      <c r="D38" s="73" t="s">
        <v>69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342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343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84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344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286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347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348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349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350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202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4" t="s">
        <v>351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352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321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>
      <c r="A56"/>
      <c r="B56" t="s">
        <v>320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>
      <c r="A57"/>
      <c r="B57" t="s">
        <v>123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>
      <c r="A58"/>
      <c r="B58" s="3" t="s">
        <v>353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354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350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>
      <c r="A62"/>
      <c r="B62" t="s">
        <v>355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>
      <c r="A63"/>
      <c r="B63" t="s">
        <v>356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>
      <c r="A64"/>
      <c r="B64" s="3" t="s">
        <v>357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351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4" t="s">
        <v>123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358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359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360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361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362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363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364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361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365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362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366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367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368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369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359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370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365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366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371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372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359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373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368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372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374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375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374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376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326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377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378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379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57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4" t="s">
        <v>380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352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321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320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353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357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381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359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4" t="s">
        <v>382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>
      <c r="A127"/>
      <c r="B127" s="74" t="s">
        <v>383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384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361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362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385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386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361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387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362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388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389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390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361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362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391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392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361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387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362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388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393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394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395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396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359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4" t="s">
        <v>382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>
      <c r="A160"/>
      <c r="B160" s="74" t="s">
        <v>383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397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387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388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398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399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387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388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400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401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402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403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404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394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401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405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406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407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395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402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408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406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359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4" t="s">
        <v>382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>
      <c r="A193"/>
      <c r="B193" s="74" t="s">
        <v>383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409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410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387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368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372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374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411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412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413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414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415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359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4" t="s">
        <v>382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>
      <c r="A212"/>
      <c r="B212" s="74" t="s">
        <v>383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416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410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387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368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372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374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417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411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418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419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420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421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359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4" t="s">
        <v>382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>
      <c r="A232"/>
      <c r="B232" s="74" t="s">
        <v>383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422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423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424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425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426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326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377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378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379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427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428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57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429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326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377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378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379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427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428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57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381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326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377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378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379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427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428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57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322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415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421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425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57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430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431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432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433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434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435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436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312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161 Verdin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314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315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>
      <c r="A8"/>
      <c r="B8" s="90" t="s">
        <v>316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>
      <c r="A9"/>
      <c r="B9" s="91" t="s">
        <v>301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6"/>
      <c r="C11" s="95" t="s">
        <v>438</v>
      </c>
      <c r="D11" s="95" t="s">
        <v>439</v>
      </c>
      <c r="E11" s="95" t="s">
        <v>440</v>
      </c>
      <c r="F11" s="95" t="s">
        <v>441</v>
      </c>
      <c r="G11" s="96" t="s">
        <v>442</v>
      </c>
      <c r="H11"/>
      <c r="I11" s="113" t="s">
        <v>443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323</v>
      </c>
      <c r="C12" s="48">
        <f>IFERROR(XIRR(C39:BJ39,C6:BJ6,0),0)</f>
        <v>0</v>
      </c>
      <c r="D12" s="48">
        <f>IFERROR(XIRR(C81:BJ81,C6:BJ6,0),0)</f>
        <v>0</v>
      </c>
      <c r="E12" s="48" t="s">
        <v>66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444</v>
      </c>
      <c r="J12"/>
      <c r="K12" s="36" t="e">
        <f>-SUM(C36:BJ36)</f>
        <v>#REF!</v>
      </c>
      <c r="L12"/>
      <c r="M12" s="112" t="s">
        <v>324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325</v>
      </c>
      <c r="C13" s="118">
        <f>IFERROR(C15/C14,0)</f>
        <v>0</v>
      </c>
      <c r="D13" s="118">
        <f t="shared" ref="D13:G13" si="2">IFERROR(D15/D14,0)</f>
        <v>0</v>
      </c>
      <c r="E13" s="118" t="s">
        <v>66</v>
      </c>
      <c r="F13" s="118">
        <f t="shared" si="2"/>
        <v>0</v>
      </c>
      <c r="G13" s="118">
        <f t="shared" si="2"/>
        <v>0</v>
      </c>
      <c r="H13" s="97"/>
      <c r="I13" t="s">
        <v>442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326</v>
      </c>
      <c r="C14" s="36">
        <f>-SUM(C32:BJ32)</f>
        <v>0</v>
      </c>
      <c r="D14" s="36">
        <f>-SUM(C77:BJ77)</f>
        <v>0</v>
      </c>
      <c r="E14" s="36" t="s">
        <v>66</v>
      </c>
      <c r="F14" s="36">
        <f>-SUM(C104:BJ104)</f>
        <v>0</v>
      </c>
      <c r="G14" s="36">
        <f>-SUM(C98:BJ98)</f>
        <v>0</v>
      </c>
      <c r="H14" s="36"/>
      <c r="I14" s="3" t="s">
        <v>445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327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328</v>
      </c>
      <c r="C16" s="36" t="e">
        <f>+C15-C14</f>
        <v>#REF!</v>
      </c>
      <c r="D16" s="36" t="e">
        <f>+D15-D14</f>
        <v>#REF!</v>
      </c>
      <c r="E16" s="36" t="s">
        <v>66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446</v>
      </c>
      <c r="C18" s="73" t="s">
        <v>115</v>
      </c>
      <c r="D18" s="73" t="s">
        <v>34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442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441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57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447</v>
      </c>
      <c r="C23" s="73" t="s">
        <v>330</v>
      </c>
      <c r="D23" s="73" t="s">
        <v>448</v>
      </c>
      <c r="E23" s="73" t="s">
        <v>449</v>
      </c>
      <c r="F23" s="73" t="s">
        <v>450</v>
      </c>
      <c r="G23" s="73" t="s">
        <v>451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4" t="s">
        <v>452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352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453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454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353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455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456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457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357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458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4" t="s">
        <v>459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359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360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361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362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363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460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361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387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362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388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461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368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359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462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387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388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463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372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359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464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465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414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466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>
      <c r="A77"/>
      <c r="B77" t="s">
        <v>326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368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372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374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57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467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326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368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372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374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57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458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326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368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372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374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57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468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326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469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470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57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471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326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469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470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57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430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472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473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57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434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435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436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312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161 Verdin Rd</v>
      </c>
      <c r="B1"/>
      <c r="C1"/>
      <c r="D1"/>
      <c r="E1"/>
      <c r="F1" s="5"/>
    </row>
    <row r="2" spans="1:7" ht="20.45" thickBot="1">
      <c r="A2" s="8" t="s">
        <v>474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314</v>
      </c>
      <c r="C6" s="11" t="s">
        <v>475</v>
      </c>
      <c r="D6" s="11" t="s">
        <v>148</v>
      </c>
      <c r="E6"/>
      <c r="F6" s="5"/>
      <c r="G6" s="60"/>
    </row>
    <row r="7" spans="1:7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Guest User</cp:lastModifiedBy>
  <cp:revision/>
  <dcterms:created xsi:type="dcterms:W3CDTF">2024-03-25T15:55:55Z</dcterms:created>
  <dcterms:modified xsi:type="dcterms:W3CDTF">2026-04-27T22:18:24Z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