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1A6E928B-783D-45C0-874E-D6683E800A07}" xr6:coauthVersionLast="47" xr6:coauthVersionMax="47" xr10:uidLastSave="{00000000-0000-0000-0000-000000000000}"/>
  <bookViews>
    <workbookView xWindow="-108" yWindow="-108" windowWidth="23256" windowHeight="12456"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39" l="1"/>
  <c r="T10" i="39" s="1"/>
  <c r="R10" i="39"/>
  <c r="O10" i="39"/>
  <c r="S9" i="39"/>
  <c r="T9" i="39" s="1"/>
  <c r="R9" i="39"/>
  <c r="O9" i="39"/>
  <c r="S8" i="39"/>
  <c r="T8" i="39" s="1"/>
  <c r="R8" i="39"/>
  <c r="O8" i="39"/>
  <c r="L32" i="38"/>
  <c r="P31" i="38"/>
  <c r="M31" i="38"/>
  <c r="P30" i="38"/>
  <c r="M30" i="38"/>
  <c r="P29" i="38"/>
  <c r="M29" i="38"/>
  <c r="P28" i="38"/>
  <c r="M28" i="38"/>
  <c r="P27" i="38"/>
  <c r="M27" i="38"/>
  <c r="M32" i="38" s="1"/>
  <c r="L23" i="38"/>
  <c r="P22" i="38"/>
  <c r="M22" i="38"/>
  <c r="P21" i="38"/>
  <c r="M21" i="38"/>
  <c r="P20" i="38"/>
  <c r="M20" i="38"/>
  <c r="P19" i="38"/>
  <c r="M19" i="38"/>
  <c r="P18" i="38"/>
  <c r="M18" i="38"/>
  <c r="M23" i="38" s="1"/>
  <c r="L14" i="38"/>
  <c r="P13" i="38"/>
  <c r="M13" i="38"/>
  <c r="P12" i="38"/>
  <c r="M12" i="38"/>
  <c r="P11" i="38"/>
  <c r="M11" i="38"/>
  <c r="P10" i="38"/>
  <c r="M10" i="38"/>
  <c r="P9" i="38"/>
  <c r="M9" i="38"/>
  <c r="M14" i="38" s="1"/>
  <c r="D11" i="38"/>
  <c r="D10" i="38"/>
  <c r="D9" i="38"/>
  <c r="D8" i="38"/>
  <c r="D7" i="38"/>
  <c r="M55" i="39"/>
  <c r="M54" i="39"/>
  <c r="L53" i="39"/>
  <c r="N32" i="38" l="1"/>
  <c r="O32" i="38"/>
  <c r="P32" i="38" s="1"/>
  <c r="O23" i="38"/>
  <c r="N23" i="38"/>
  <c r="O14" i="38"/>
  <c r="N14" i="38"/>
  <c r="G25" i="39"/>
  <c r="M43" i="39"/>
  <c r="M42" i="39"/>
  <c r="M40" i="39"/>
  <c r="M39" i="39"/>
  <c r="M38" i="39"/>
  <c r="M36" i="39"/>
  <c r="M37" i="39" s="1"/>
  <c r="M34" i="39"/>
  <c r="M31" i="39"/>
  <c r="M28" i="39"/>
  <c r="M27" i="39"/>
  <c r="M23" i="39"/>
  <c r="M22" i="39"/>
  <c r="M21" i="39"/>
  <c r="M18" i="39"/>
  <c r="M16" i="39"/>
  <c r="P23" i="38" l="1"/>
  <c r="P14" i="38"/>
  <c r="M41" i="39"/>
  <c r="M35" i="39"/>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<sst xmlns="http://schemas.openxmlformats.org/spreadsheetml/2006/main" count="912" uniqueCount="464">
  <si>
    <t>Global Assumptions</t>
  </si>
  <si>
    <t>Property Name</t>
  </si>
  <si>
    <t>S. Miami Blvd</t>
  </si>
  <si>
    <t>Project Type</t>
  </si>
  <si>
    <t>4-Story Elevatored</t>
  </si>
  <si>
    <t>Market</t>
  </si>
  <si>
    <t>Raleigh-Durham</t>
  </si>
  <si>
    <t>Submarket</t>
  </si>
  <si>
    <t>East Durham</t>
  </si>
  <si>
    <t>Address</t>
  </si>
  <si>
    <t>734 S. Miami Blvd</t>
  </si>
  <si>
    <t>City, State</t>
  </si>
  <si>
    <t>Durham, NC</t>
  </si>
  <si>
    <t>ZIP Code</t>
  </si>
  <si>
    <t>County</t>
  </si>
  <si>
    <t>Durham</t>
  </si>
  <si>
    <t>Circuit Breaker</t>
  </si>
  <si>
    <t>Off</t>
  </si>
  <si>
    <t>Underwriting Notes &amp; Assumptions</t>
  </si>
  <si>
    <t>Rent Comps</t>
  </si>
  <si>
    <t>1. We have used the Nearest comp (1.5 miles) as the subject property to find Rent comps from Hello Data and added the screenshot for the rent comps as well.</t>
  </si>
  <si>
    <t>2. Unit counts were not available so they are kept blank.</t>
  </si>
  <si>
    <t>Expenses</t>
  </si>
  <si>
    <t>1. We have changed the Impact Fees assumption to $6100/unit as per the new prompt shared by Austin. We have used Gemini as we had the Pro subscription for it.</t>
  </si>
  <si>
    <t>2. We have taken the 4 story ( Non - Costal) assumption for Insurance costs.</t>
  </si>
  <si>
    <t>Taxes</t>
  </si>
  <si>
    <t>1. We have taken the millage rate of our parcel as per the 2025 tax bill.</t>
  </si>
  <si>
    <t>Points mentioned below do not affect the tax calculation for the Subject property but we have mentioned it for further clarification on Comps' tax calculation -</t>
  </si>
  <si>
    <t>2. Tax amounts assessed shown on the county tax bill differ from the Tax amount paid. But since there are no amount dues, we are considering the tax paid amount and we verified it with the millage rate.</t>
  </si>
  <si>
    <t>3. We have taken the millage rates from the county website and verified through Tax paid/Assessed value as the Tax assessed is not matching with the .9913 millage rate.</t>
  </si>
  <si>
    <t>4. For Tax Comp 3 'Fox Crossing' the Tax due for the property doesn't match with any Millage rates listed on the County website. We took the 2024 Tax bill and verified with the millage rate of the applicable Jurisdictions.</t>
  </si>
  <si>
    <t>Question to the team Catalyst</t>
  </si>
  <si>
    <t>Unit Mix (Vetting Model Only)</t>
  </si>
  <si>
    <t>Total Units</t>
  </si>
  <si>
    <t>Floorplan</t>
  </si>
  <si>
    <t>Type</t>
  </si>
  <si>
    <t>#</t>
  </si>
  <si>
    <t>%</t>
  </si>
  <si>
    <t xml:space="preserve">SF </t>
  </si>
  <si>
    <t xml:space="preserve">$ </t>
  </si>
  <si>
    <t>PSF</t>
  </si>
  <si>
    <t>Studio</t>
  </si>
  <si>
    <t>1) Ellis Station</t>
  </si>
  <si>
    <t>1 Bedroom</t>
  </si>
  <si>
    <t>SF</t>
  </si>
  <si>
    <t>Rent</t>
  </si>
  <si>
    <t>Rent PSF</t>
  </si>
  <si>
    <t>Multifamily</t>
  </si>
  <si>
    <t>2 Bedroom</t>
  </si>
  <si>
    <t>Year Built</t>
  </si>
  <si>
    <t>3 Bedroom</t>
  </si>
  <si>
    <t>1 BR</t>
  </si>
  <si>
    <t>Vacancy</t>
  </si>
  <si>
    <t>Townhouse</t>
  </si>
  <si>
    <t>2 BR</t>
  </si>
  <si>
    <t>Developer</t>
  </si>
  <si>
    <t>3 BR</t>
  </si>
  <si>
    <t>Owner</t>
  </si>
  <si>
    <t>Ellis Road Commerical Lp</t>
  </si>
  <si>
    <t>TH</t>
  </si>
  <si>
    <t>Link to Website</t>
  </si>
  <si>
    <t>Link</t>
  </si>
  <si>
    <t>Total</t>
  </si>
  <si>
    <t>2) Elevate the Park</t>
  </si>
  <si>
    <t>Elevate At The Park Llc</t>
  </si>
  <si>
    <t>3) Fox Crossing Luxury Apartments</t>
  </si>
  <si>
    <t>Foxwood Crossing Spe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</si>
  <si>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</si>
  <si>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</si>
  <si>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</si>
  <si>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</si>
  <si>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</si>
  <si>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</si>
  <si>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</si>
  <si>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</si>
  <si>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</si>
  <si>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</si>
  <si>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</si>
  <si>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</si>
  <si>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</si>
  <si>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</si>
  <si>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</si>
  <si>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</si>
  <si>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</si>
  <si>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</si>
  <si>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</si>
  <si>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</si>
  <si>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</si>
  <si>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</si>
  <si>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</si>
  <si>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</si>
  <si>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</si>
  <si>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</si>
  <si>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</si>
  <si>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</si>
  <si>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</si>
  <si>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</si>
  <si>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</si>
  <si>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</si>
  <si>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</si>
  <si>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</si>
  <si>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</si>
  <si>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</si>
  <si>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</si>
  <si>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</si>
  <si>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</si>
  <si>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</si>
  <si>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</si>
  <si>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</si>
  <si>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</si>
  <si>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</si>
  <si>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</si>
  <si>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</si>
  <si>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</si>
  <si>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</si>
  <si>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</si>
  <si>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</si>
  <si>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</si>
  <si>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</si>
  <si>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</si>
  <si>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</si>
  <si>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</si>
  <si>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</si>
  <si>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</si>
  <si>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</si>
  <si>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</si>
  <si>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</si>
  <si>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</si>
  <si>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</si>
  <si>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</si>
  <si>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</si>
  <si>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</si>
  <si>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</si>
  <si>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</si>
  <si>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</si>
  <si>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</si>
  <si>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</si>
  <si>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</si>
  <si>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</si>
  <si>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</si>
  <si>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</si>
  <si>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</si>
  <si>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</si>
  <si>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</si>
  <si>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</si>
  <si>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</si>
  <si>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</si>
  <si>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</si>
  <si>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</si>
  <si>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</si>
  <si>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</si>
  <si>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</si>
  <si>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</si>
  <si>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</si>
  <si>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</si>
  <si>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</si>
  <si>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</si>
  <si>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</si>
  <si>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</si>
  <si>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</si>
  <si>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</si>
  <si>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</si>
  <si>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</si>
  <si>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</si>
  <si>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</si>
  <si>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</si>
  <si>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</si>
  <si>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</si>
  <si>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</si>
  <si>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</si>
  <si>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</si>
  <si>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</si>
  <si>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</si>
  <si>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</si>
  <si>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</si>
  <si>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</si>
  <si>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</si>
  <si>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</si>
  <si>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</si>
  <si>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</si>
  <si>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</si>
  <si>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</si>
  <si>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</si>
  <si>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</si>
  <si>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</si>
  <si>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</si>
  <si>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</si>
  <si>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</si>
  <si>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</si>
  <si>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</si>
  <si>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</si>
  <si>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</si>
  <si>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</si>
  <si>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</si>
  <si>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</si>
  <si>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</si>
  <si>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</si>
  <si>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</si>
  <si>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Ellis Station</t>
  </si>
  <si>
    <t>Gross Potential Rent</t>
  </si>
  <si>
    <t>Assessed Value / Unit</t>
  </si>
  <si>
    <t>Elevate the Park</t>
  </si>
  <si>
    <t>Concessions</t>
  </si>
  <si>
    <t>Fox Crossing Luxury Apartments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</si>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</sst>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2">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0" borderId="18" xfId="0" applyFont="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3" fillId="2" borderId="18" xfId="0" applyFont="1" applyFill="1" applyBorder="1"/>
    <xf numFmtId="0" fontId="3" fillId="2" borderId="0" xfId="0" applyFont="1" applyFill="1"/>
    <xf numFmtId="0" fontId="3" fillId="2" borderId="19" xfId="0" applyFont="1" applyFill="1" applyBorder="1"/>
    <xf numFmtId="0" fontId="0" fillId="11" borderId="20" xfId="0" applyFill="1" applyBorder="1" applyAlignment="1">
      <alignment horizontal="left" indent="1"/>
    </xf>
    <xf numFmtId="0" fontId="0" fillId="0" borderId="21" xfId="0" applyBorder="1"/>
    <xf numFmtId="0" fontId="24" fillId="7" borderId="13" xfId="3" applyFill="1" applyBorder="1" applyAlignment="1">
      <alignment horizontal="left"/>
    </xf>
    <xf numFmtId="0" fontId="24" fillId="10" borderId="8" xfId="3" applyFill="1" applyBorder="1" applyAlignment="1">
      <alignment horizontal="center"/>
    </xf>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783772</xdr:colOff>
      <xdr:row>33</xdr:row>
      <xdr:rowOff>58783</xdr:rowOff>
    </xdr:from>
    <xdr:to>
      <xdr:col>24</xdr:col>
      <xdr:colOff>360795</xdr:colOff>
      <xdr:row>52</xdr:row>
      <xdr:rowOff>180226</xdr:rowOff>
    </xdr:to>
    <xdr:pic>
      <xdr:nvPicPr>
        <xdr:cNvPr id="2" name="Picture 1">
          <a:extLst>
            <a:ext uri="{FF2B5EF4-FFF2-40B4-BE49-F238E27FC236}">
              <a16:creationId xmlns:a16="http://schemas.microsoft.com/office/drawing/2014/main" id="{8701BBCF-C7B1-4BA0-88A0-C4895E7B5323}"/>
            </a:ext>
          </a:extLst>
        </xdr:cNvPr>
        <xdr:cNvPicPr>
          <a:picLocks noChangeAspect="1"/>
        </xdr:cNvPicPr>
      </xdr:nvPicPr>
      <xdr:blipFill>
        <a:blip xmlns:r="http://schemas.openxmlformats.org/officeDocument/2006/relationships" r:embed="rId1"/>
        <a:stretch>
          <a:fillRect/>
        </a:stretch>
      </xdr:blipFill>
      <xdr:spPr>
        <a:xfrm>
          <a:off x="1774372" y="6416040"/>
          <a:ext cx="15132709" cy="36375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foxcrossingdurham.com/" TargetMode="External"/><Relationship Id="rId2" Type="http://schemas.openxmlformats.org/officeDocument/2006/relationships/hyperlink" Target="https://www.elevatethepark.com/" TargetMode="External"/><Relationship Id="rId1" Type="http://schemas.openxmlformats.org/officeDocument/2006/relationships/hyperlink" Target="https://www.ellisstationapartment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T36"/>
  <sheetViews>
    <sheetView showGridLines="0" tabSelected="1"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2" customFormat="1" ht="25.9">
      <c r="A1" s="145" t="str">
        <f>TEXT(C7,"")</f>
        <v>S. Miami Blvd</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10</v>
      </c>
    </row>
    <row r="12" spans="1:3">
      <c r="B12" s="56" t="s">
        <v>11</v>
      </c>
      <c r="C12" s="164" t="s">
        <v>12</v>
      </c>
    </row>
    <row r="13" spans="1:3">
      <c r="B13" s="56" t="s">
        <v>13</v>
      </c>
      <c r="C13" s="164">
        <v>27703</v>
      </c>
    </row>
    <row r="14" spans="1:3">
      <c r="B14" s="56" t="s">
        <v>14</v>
      </c>
      <c r="C14" s="164" t="s">
        <v>15</v>
      </c>
    </row>
    <row r="15" spans="1:3">
      <c r="B15" s="56"/>
      <c r="C15" s="57"/>
    </row>
    <row r="16" spans="1:3">
      <c r="B16" s="59" t="s">
        <v>16</v>
      </c>
      <c r="C16" s="165" t="s">
        <v>17</v>
      </c>
    </row>
    <row r="18" spans="2:20" ht="15" thickBot="1"/>
    <row r="19" spans="2:20">
      <c r="B19" s="265" t="s">
        <v>18</v>
      </c>
      <c r="C19" s="266"/>
      <c r="D19" s="266"/>
      <c r="E19" s="266"/>
      <c r="F19" s="266"/>
      <c r="G19" s="266"/>
      <c r="H19" s="266"/>
      <c r="I19" s="266"/>
      <c r="J19" s="266"/>
      <c r="K19" s="266"/>
      <c r="L19" s="266"/>
      <c r="M19" s="266"/>
      <c r="N19" s="266"/>
      <c r="O19" s="266"/>
      <c r="P19" s="266"/>
      <c r="Q19" s="266"/>
      <c r="R19" s="266"/>
      <c r="S19" s="266"/>
      <c r="T19" s="267"/>
    </row>
    <row r="20" spans="2:20">
      <c r="B20" s="268"/>
      <c r="P20" s="1"/>
      <c r="T20" s="269"/>
    </row>
    <row r="21" spans="2:20">
      <c r="B21" s="270" t="s">
        <v>19</v>
      </c>
      <c r="C21" s="1"/>
      <c r="D21" s="1"/>
      <c r="E21" s="1"/>
      <c r="F21" s="1"/>
      <c r="G21" s="1"/>
      <c r="H21" s="1"/>
      <c r="I21" s="1"/>
      <c r="J21" s="1"/>
      <c r="K21" s="1"/>
      <c r="L21" s="1"/>
      <c r="M21" s="1"/>
      <c r="N21" s="1"/>
      <c r="O21" s="1"/>
      <c r="P21" s="1"/>
      <c r="T21" s="269"/>
    </row>
    <row r="22" spans="2:20">
      <c r="B22" s="271" t="s">
        <v>20</v>
      </c>
      <c r="P22" s="1"/>
      <c r="T22" s="269"/>
    </row>
    <row r="23" spans="2:20">
      <c r="B23" s="271" t="s">
        <v>21</v>
      </c>
      <c r="P23" s="1"/>
      <c r="T23" s="269"/>
    </row>
    <row r="24" spans="2:20">
      <c r="B24" s="271"/>
      <c r="P24" s="1"/>
      <c r="T24" s="269"/>
    </row>
    <row r="25" spans="2:20">
      <c r="B25" s="272" t="s">
        <v>22</v>
      </c>
      <c r="P25" s="1"/>
      <c r="T25" s="269"/>
    </row>
    <row r="26" spans="2:20">
      <c r="B26" s="273" t="s">
        <v>23</v>
      </c>
      <c r="P26" s="1"/>
      <c r="T26" s="269"/>
    </row>
    <row r="27" spans="2:20">
      <c r="B27" s="273" t="s">
        <v>24</v>
      </c>
      <c r="P27" s="1"/>
      <c r="T27" s="269"/>
    </row>
    <row r="28" spans="2:20">
      <c r="B28" s="274" t="s">
        <v>25</v>
      </c>
      <c r="P28" s="1"/>
      <c r="T28" s="269"/>
    </row>
    <row r="29" spans="2:20">
      <c r="B29" s="273" t="s">
        <v>26</v>
      </c>
      <c r="P29" s="1"/>
      <c r="T29" s="269"/>
    </row>
    <row r="30" spans="2:20">
      <c r="B30" s="272" t="s">
        <v>27</v>
      </c>
      <c r="P30" s="1"/>
      <c r="T30" s="269"/>
    </row>
    <row r="31" spans="2:20">
      <c r="B31" s="273" t="s">
        <v>28</v>
      </c>
      <c r="P31" s="1"/>
      <c r="T31" s="269"/>
    </row>
    <row r="32" spans="2:20">
      <c r="B32" s="271" t="s">
        <v>29</v>
      </c>
      <c r="P32" s="1"/>
      <c r="T32" s="269"/>
    </row>
    <row r="33" spans="2:20">
      <c r="B33" s="271" t="s">
        <v>30</v>
      </c>
      <c r="P33" s="1"/>
      <c r="T33" s="269"/>
    </row>
    <row r="34" spans="2:20">
      <c r="B34" s="275" t="s">
        <v>31</v>
      </c>
      <c r="C34" s="276"/>
      <c r="D34" s="276"/>
      <c r="E34" s="276"/>
      <c r="F34" s="276"/>
      <c r="G34" s="276"/>
      <c r="H34" s="276"/>
      <c r="I34" s="276"/>
      <c r="J34" s="276"/>
      <c r="K34" s="276"/>
      <c r="L34" s="276"/>
      <c r="M34" s="276"/>
      <c r="N34" s="276"/>
      <c r="O34" s="276"/>
      <c r="P34" s="276"/>
      <c r="Q34" s="276"/>
      <c r="R34" s="276"/>
      <c r="S34" s="276"/>
      <c r="T34" s="277"/>
    </row>
    <row r="35" spans="2:20">
      <c r="B35" s="271"/>
      <c r="P35" s="1"/>
      <c r="T35" s="269"/>
    </row>
    <row r="36" spans="2:20" ht="15" thickBot="1">
      <c r="B36" s="278"/>
      <c r="C36" s="2"/>
      <c r="D36" s="2"/>
      <c r="E36" s="2"/>
      <c r="F36" s="2"/>
      <c r="G36" s="2"/>
      <c r="H36" s="2"/>
      <c r="I36" s="2"/>
      <c r="J36" s="2"/>
      <c r="K36" s="2"/>
      <c r="L36" s="2"/>
      <c r="M36" s="2"/>
      <c r="N36" s="2"/>
      <c r="O36" s="2"/>
      <c r="P36" s="2"/>
      <c r="Q36" s="2"/>
      <c r="R36" s="2"/>
      <c r="S36" s="2"/>
      <c r="T36" s="279"/>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0.7109375" style="208" customWidth="1"/>
  </cols>
  <sheetData>
    <row r="1" spans="1:19" s="142" customFormat="1" ht="25.9">
      <c r="A1" s="145" t="str">
        <f>TEXT(Global!$C$7,"")</f>
        <v>S. Miami Blvd</v>
      </c>
      <c r="B1" s="205"/>
      <c r="R1" s="205"/>
      <c r="S1" s="205"/>
    </row>
    <row r="2" spans="1:19" s="142" customFormat="1" ht="19.899999999999999">
      <c r="A2" s="146" t="s">
        <v>32</v>
      </c>
      <c r="B2" s="205"/>
      <c r="R2" s="205"/>
      <c r="S2" s="205"/>
    </row>
    <row r="4" spans="1:19">
      <c r="B4" s="232" t="s">
        <v>33</v>
      </c>
      <c r="C4" s="258"/>
      <c r="D4" s="259">
        <v>294</v>
      </c>
    </row>
    <row r="6" spans="1:19">
      <c r="B6" s="206" t="s">
        <v>34</v>
      </c>
      <c r="C6" s="156" t="s">
        <v>35</v>
      </c>
      <c r="D6" s="156" t="s">
        <v>36</v>
      </c>
      <c r="E6" s="156" t="s">
        <v>37</v>
      </c>
      <c r="F6" s="156" t="s">
        <v>38</v>
      </c>
      <c r="G6" s="156" t="s">
        <v>39</v>
      </c>
      <c r="H6" s="157" t="s">
        <v>40</v>
      </c>
    </row>
    <row r="7" spans="1:19">
      <c r="B7" s="262" t="s">
        <v>41</v>
      </c>
      <c r="C7" s="24" t="s">
        <v>41</v>
      </c>
      <c r="D7" s="260">
        <f>ROUND($D$4*E7,0)</f>
        <v>0</v>
      </c>
      <c r="E7" s="263">
        <v>0</v>
      </c>
      <c r="F7" s="32">
        <v>0</v>
      </c>
      <c r="G7" s="242">
        <v>0</v>
      </c>
      <c r="H7" s="148">
        <f>IFERROR(G7/F7,0)</f>
        <v>0</v>
      </c>
      <c r="K7" s="140" t="s">
        <v>42</v>
      </c>
      <c r="L7" s="170"/>
      <c r="M7" s="170"/>
      <c r="N7" s="170"/>
      <c r="O7" s="170"/>
      <c r="P7" s="141"/>
    </row>
    <row r="8" spans="1:19">
      <c r="B8" s="262" t="s">
        <v>43</v>
      </c>
      <c r="C8" s="24" t="s">
        <v>43</v>
      </c>
      <c r="D8" s="260">
        <f t="shared" ref="D8:D11" si="0">ROUND($D$4*E8,0)</f>
        <v>176</v>
      </c>
      <c r="E8" s="263">
        <v>0.6</v>
      </c>
      <c r="F8" s="32">
        <v>800</v>
      </c>
      <c r="G8" s="242">
        <v>1570</v>
      </c>
      <c r="H8" s="148">
        <f t="shared" ref="H8:H14" si="1">IFERROR(G8/F8,0)</f>
        <v>1.9624999999999999</v>
      </c>
      <c r="K8" s="211" t="s">
        <v>35</v>
      </c>
      <c r="L8" s="212" t="s">
        <v>36</v>
      </c>
      <c r="M8" s="212" t="s">
        <v>37</v>
      </c>
      <c r="N8" s="212" t="s">
        <v>44</v>
      </c>
      <c r="O8" s="212" t="s">
        <v>45</v>
      </c>
      <c r="P8" s="213" t="s">
        <v>46</v>
      </c>
      <c r="R8" s="218" t="s">
        <v>35</v>
      </c>
      <c r="S8" s="220" t="s">
        <v>47</v>
      </c>
    </row>
    <row r="9" spans="1:19">
      <c r="B9" s="262" t="s">
        <v>48</v>
      </c>
      <c r="C9" s="24" t="s">
        <v>48</v>
      </c>
      <c r="D9" s="260">
        <f t="shared" si="0"/>
        <v>118</v>
      </c>
      <c r="E9" s="263">
        <v>0.4</v>
      </c>
      <c r="F9" s="32">
        <v>1050</v>
      </c>
      <c r="G9" s="242">
        <v>1900</v>
      </c>
      <c r="H9" s="148">
        <f t="shared" si="1"/>
        <v>1.8095238095238095</v>
      </c>
      <c r="K9" s="56" t="s">
        <v>41</v>
      </c>
      <c r="L9" s="240"/>
      <c r="M9" s="204" t="e">
        <f>L9/$L$14</f>
        <v>#DIV/0!</v>
      </c>
      <c r="N9" s="241">
        <v>553</v>
      </c>
      <c r="O9" s="242">
        <v>1452</v>
      </c>
      <c r="P9" s="216">
        <f>IFERROR(O9/N9,"-")</f>
        <v>2.6256781193490055</v>
      </c>
      <c r="R9" s="193" t="s">
        <v>49</v>
      </c>
      <c r="S9" s="221">
        <v>2024</v>
      </c>
    </row>
    <row r="10" spans="1:19">
      <c r="B10" s="262" t="s">
        <v>50</v>
      </c>
      <c r="C10" s="24" t="s">
        <v>50</v>
      </c>
      <c r="D10" s="260">
        <f t="shared" si="0"/>
        <v>0</v>
      </c>
      <c r="E10" s="263">
        <v>0</v>
      </c>
      <c r="F10" s="32">
        <v>0</v>
      </c>
      <c r="G10" s="242">
        <v>0</v>
      </c>
      <c r="H10" s="148">
        <f t="shared" si="1"/>
        <v>0</v>
      </c>
      <c r="K10" s="56" t="s">
        <v>51</v>
      </c>
      <c r="L10" s="240"/>
      <c r="M10" s="204" t="e">
        <f t="shared" ref="M10:M13" si="2">L10/$L$14</f>
        <v>#DIV/0!</v>
      </c>
      <c r="N10" s="241">
        <v>787</v>
      </c>
      <c r="O10" s="242">
        <v>1659</v>
      </c>
      <c r="P10" s="216">
        <f t="shared" ref="P10:P14" si="3">IFERROR(O10/N10,"-")</f>
        <v>2.1080050825921219</v>
      </c>
      <c r="R10" s="193" t="s">
        <v>52</v>
      </c>
      <c r="S10" s="222">
        <v>0.26900000000000002</v>
      </c>
    </row>
    <row r="11" spans="1:19">
      <c r="B11" s="262" t="s">
        <v>53</v>
      </c>
      <c r="C11" s="24" t="s">
        <v>53</v>
      </c>
      <c r="D11" s="260">
        <f t="shared" si="0"/>
        <v>0</v>
      </c>
      <c r="E11" s="263">
        <v>0</v>
      </c>
      <c r="F11" s="32">
        <v>0</v>
      </c>
      <c r="G11" s="242">
        <v>0</v>
      </c>
      <c r="H11" s="148">
        <f t="shared" si="1"/>
        <v>0</v>
      </c>
      <c r="K11" s="56" t="s">
        <v>54</v>
      </c>
      <c r="L11" s="240"/>
      <c r="M11" s="204" t="e">
        <f t="shared" si="2"/>
        <v>#DIV/0!</v>
      </c>
      <c r="N11" s="241">
        <v>1273</v>
      </c>
      <c r="O11" s="242">
        <v>2178</v>
      </c>
      <c r="P11" s="216">
        <f t="shared" si="3"/>
        <v>1.7109190887666927</v>
      </c>
      <c r="R11" s="193" t="s">
        <v>55</v>
      </c>
      <c r="S11" s="221"/>
    </row>
    <row r="12" spans="1:19" ht="15" customHeight="1">
      <c r="B12" s="262"/>
      <c r="C12" s="24"/>
      <c r="D12" s="260"/>
      <c r="E12" s="263">
        <v>0</v>
      </c>
      <c r="F12" s="32"/>
      <c r="G12" s="242"/>
      <c r="H12" s="148">
        <f t="shared" si="1"/>
        <v>0</v>
      </c>
      <c r="K12" s="56" t="s">
        <v>56</v>
      </c>
      <c r="L12" s="240"/>
      <c r="M12" s="204" t="e">
        <f t="shared" si="2"/>
        <v>#DIV/0!</v>
      </c>
      <c r="N12" s="241">
        <v>1459</v>
      </c>
      <c r="O12" s="242">
        <v>2480</v>
      </c>
      <c r="P12" s="216">
        <f t="shared" si="3"/>
        <v>1.6997943797121315</v>
      </c>
      <c r="R12" s="193" t="s">
        <v>57</v>
      </c>
      <c r="S12" s="221" t="s">
        <v>58</v>
      </c>
    </row>
    <row r="13" spans="1:19" ht="15" customHeight="1">
      <c r="B13" s="262"/>
      <c r="C13" s="24"/>
      <c r="D13" s="260"/>
      <c r="E13" s="263">
        <v>0</v>
      </c>
      <c r="F13" s="32"/>
      <c r="G13" s="242"/>
      <c r="H13" s="148">
        <f t="shared" si="1"/>
        <v>0</v>
      </c>
      <c r="K13" s="56" t="s">
        <v>59</v>
      </c>
      <c r="L13" s="240"/>
      <c r="M13" s="204" t="e">
        <f t="shared" si="2"/>
        <v>#DIV/0!</v>
      </c>
      <c r="N13" s="241"/>
      <c r="O13" s="242"/>
      <c r="P13" s="216" t="str">
        <f t="shared" si="3"/>
        <v>-</v>
      </c>
      <c r="R13" s="219" t="s">
        <v>60</v>
      </c>
      <c r="S13" s="280" t="s">
        <v>61</v>
      </c>
    </row>
    <row r="14" spans="1:19" ht="15" customHeight="1">
      <c r="B14" s="262"/>
      <c r="C14" s="24"/>
      <c r="D14" s="260"/>
      <c r="E14" s="263">
        <v>0</v>
      </c>
      <c r="F14" s="32"/>
      <c r="G14" s="242"/>
      <c r="H14" s="148">
        <f t="shared" si="1"/>
        <v>0</v>
      </c>
      <c r="K14" s="126" t="s">
        <v>62</v>
      </c>
      <c r="L14" s="214">
        <f>SUM(L9:L13)</f>
        <v>0</v>
      </c>
      <c r="M14" s="215" t="e">
        <f>SUM(M9:M13)</f>
        <v>#DIV/0!</v>
      </c>
      <c r="N14" s="127" t="e">
        <f>SUMPRODUCT(N9:N13,L9:L13)/L14</f>
        <v>#DIV/0!</v>
      </c>
      <c r="O14" s="128" t="e">
        <f>SUMPRODUCT(O9:O13,$L$9:$L$13)/$L$14</f>
        <v>#DIV/0!</v>
      </c>
      <c r="P14" s="217" t="str">
        <f t="shared" si="3"/>
        <v>-</v>
      </c>
    </row>
    <row r="15" spans="1:19" ht="15" customHeight="1">
      <c r="B15" s="207" t="s">
        <v>62</v>
      </c>
      <c r="C15" s="22"/>
      <c r="D15" s="149">
        <f>+SUM(D7:D14)</f>
        <v>294</v>
      </c>
      <c r="E15" s="150">
        <f>+SUM(E7:E14)</f>
        <v>1</v>
      </c>
      <c r="F15" s="149">
        <f>IFERROR(SUMPRODUCT(F7:F14,D7:D14)/D15,0)</f>
        <v>900.34013605442181</v>
      </c>
      <c r="G15" s="151">
        <f>IFERROR(SUMPRODUCT(G7:G14,E7:E14)/E15,0)</f>
        <v>1702</v>
      </c>
      <c r="H15" s="152">
        <f>IFERROR(G15/F15,0)</f>
        <v>1.8903966754816772</v>
      </c>
    </row>
    <row r="16" spans="1:19">
      <c r="K16" s="140" t="s">
        <v>63</v>
      </c>
      <c r="L16" s="170"/>
      <c r="M16" s="170"/>
      <c r="N16" s="170"/>
      <c r="O16" s="170"/>
      <c r="P16" s="141"/>
    </row>
    <row r="17" spans="2:19">
      <c r="B17" s="209" t="s">
        <v>41</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35</v>
      </c>
      <c r="L17" s="212" t="s">
        <v>36</v>
      </c>
      <c r="M17" s="212" t="s">
        <v>37</v>
      </c>
      <c r="N17" s="212" t="s">
        <v>44</v>
      </c>
      <c r="O17" s="212" t="s">
        <v>45</v>
      </c>
      <c r="P17" s="213" t="s">
        <v>46</v>
      </c>
      <c r="R17" s="218" t="s">
        <v>35</v>
      </c>
      <c r="S17" s="220" t="s">
        <v>47</v>
      </c>
    </row>
    <row r="18" spans="2:19">
      <c r="B18" s="210" t="s">
        <v>43</v>
      </c>
      <c r="D18" s="155">
        <f>SUMIF($C$7:$C$14,$B18,D$7:D$14)</f>
        <v>176</v>
      </c>
      <c r="E18" s="147">
        <f t="shared" ref="E18:E21" si="4">IFERROR(D18/D$22,0)</f>
        <v>0.59863945578231292</v>
      </c>
      <c r="F18" s="155" cm="1">
        <f t="array" ref="F18">IFERROR(SUMPRODUCT(($C$7:$C$14=$B18)*($D$7:$D$14)*($F$7:$F$14))/$D18,0)</f>
        <v>800</v>
      </c>
      <c r="G18" s="36" cm="1">
        <f t="array" ref="G18">IFERROR(SUMPRODUCT(($C$7:$C$14=$B18)*($D$7:$D$14)*($G$7:$G$14))/$D18,0)</f>
        <v>1570</v>
      </c>
      <c r="H18" s="148">
        <f t="shared" ref="H18:H22" si="5">IFERROR(G18/F18,0)</f>
        <v>1.9624999999999999</v>
      </c>
      <c r="K18" s="56" t="s">
        <v>41</v>
      </c>
      <c r="L18" s="240"/>
      <c r="M18" s="204" t="e">
        <f>L18/$L$14</f>
        <v>#DIV/0!</v>
      </c>
      <c r="N18" s="241"/>
      <c r="O18" s="242"/>
      <c r="P18" s="216" t="str">
        <f>IFERROR(O18/N18,"-")</f>
        <v>-</v>
      </c>
      <c r="R18" s="193" t="s">
        <v>49</v>
      </c>
      <c r="S18" s="221">
        <v>2023</v>
      </c>
    </row>
    <row r="19" spans="2:19">
      <c r="B19" s="210" t="s">
        <v>48</v>
      </c>
      <c r="D19" s="155">
        <f>SUMIF($C$7:$C$14,$B19,D$7:D$14)</f>
        <v>118</v>
      </c>
      <c r="E19" s="147">
        <f t="shared" si="4"/>
        <v>0.40136054421768708</v>
      </c>
      <c r="F19" s="155" cm="1">
        <f t="array" ref="F19">IFERROR(SUMPRODUCT(($C$7:$C$14=$B19)*($D$7:$D$14)*($F$7:$F$14))/$D19,0)</f>
        <v>1050</v>
      </c>
      <c r="G19" s="36" cm="1">
        <f t="array" ref="G19">IFERROR(SUMPRODUCT(($C$7:$C$14=$B19)*($D$7:$D$14)*($G$7:$G$14))/$D19,0)</f>
        <v>1900</v>
      </c>
      <c r="H19" s="148">
        <f t="shared" si="5"/>
        <v>1.8095238095238095</v>
      </c>
      <c r="K19" s="56" t="s">
        <v>51</v>
      </c>
      <c r="L19" s="240"/>
      <c r="M19" s="204" t="e">
        <f t="shared" ref="M19:M22" si="6">L19/$L$14</f>
        <v>#DIV/0!</v>
      </c>
      <c r="N19" s="241">
        <v>818</v>
      </c>
      <c r="O19" s="242">
        <v>1436</v>
      </c>
      <c r="P19" s="216">
        <f t="shared" ref="P19:P23" si="7">IFERROR(O19/N19,"-")</f>
        <v>1.7555012224938875</v>
      </c>
      <c r="R19" s="193" t="s">
        <v>52</v>
      </c>
      <c r="S19" s="222">
        <v>0.08</v>
      </c>
    </row>
    <row r="20" spans="2:19">
      <c r="B20" s="210" t="s">
        <v>50</v>
      </c>
      <c r="D20" s="155">
        <f>SUMIF($C$7:$C$14,$B20,D$7:D$14)</f>
        <v>0</v>
      </c>
      <c r="E20" s="147">
        <f t="shared" si="4"/>
        <v>0</v>
      </c>
      <c r="F20" s="155" cm="1">
        <f t="array" ref="F20">IFERROR(SUMPRODUCT(($C$7:$C$14=$B20)*($D$7:$D$14)*($F$7:$F$14))/$D20,0)</f>
        <v>0</v>
      </c>
      <c r="G20" s="36" cm="1">
        <f t="array" ref="G20">IFERROR(SUMPRODUCT(($C$7:$C$14=$B20)*($D$7:$D$14)*($G$7:$G$14))/$D20,0)</f>
        <v>0</v>
      </c>
      <c r="H20" s="148">
        <f t="shared" si="5"/>
        <v>0</v>
      </c>
      <c r="K20" s="56" t="s">
        <v>54</v>
      </c>
      <c r="L20" s="240"/>
      <c r="M20" s="204" t="e">
        <f t="shared" si="6"/>
        <v>#DIV/0!</v>
      </c>
      <c r="N20" s="241">
        <v>1171</v>
      </c>
      <c r="O20" s="242">
        <v>1716</v>
      </c>
      <c r="P20" s="216">
        <f t="shared" si="7"/>
        <v>1.4654141759180188</v>
      </c>
      <c r="R20" s="193" t="s">
        <v>55</v>
      </c>
      <c r="S20" s="221"/>
    </row>
    <row r="21" spans="2:19">
      <c r="B21" s="210" t="s">
        <v>53</v>
      </c>
      <c r="D21" s="155">
        <f>SUMIF($C$7:$C$14,$B21,D$7:D$14)</f>
        <v>0</v>
      </c>
      <c r="E21" s="147">
        <f t="shared" si="4"/>
        <v>0</v>
      </c>
      <c r="F21" s="155" cm="1">
        <f t="array" ref="F21">IFERROR(SUMPRODUCT(($C$7:$C$14=$B21)*($D$7:$D$14)*($F$7:$F$14))/$D21,0)</f>
        <v>0</v>
      </c>
      <c r="G21" s="36" cm="1">
        <f t="array" ref="G21">IFERROR(SUMPRODUCT(($C$7:$C$14=$B21)*($D$7:$D$14)*($G$7:$G$14))/$D21,0)</f>
        <v>0</v>
      </c>
      <c r="H21" s="148">
        <f t="shared" si="5"/>
        <v>0</v>
      </c>
      <c r="K21" s="56" t="s">
        <v>56</v>
      </c>
      <c r="L21" s="240"/>
      <c r="M21" s="204" t="e">
        <f t="shared" si="6"/>
        <v>#DIV/0!</v>
      </c>
      <c r="N21" s="241"/>
      <c r="O21" s="242"/>
      <c r="P21" s="216" t="str">
        <f t="shared" si="7"/>
        <v>-</v>
      </c>
      <c r="R21" s="193" t="s">
        <v>57</v>
      </c>
      <c r="S21" s="221" t="s">
        <v>64</v>
      </c>
    </row>
    <row r="22" spans="2:19">
      <c r="B22" s="207" t="s">
        <v>62</v>
      </c>
      <c r="C22" s="22"/>
      <c r="D22" s="149">
        <f>SUM(D17:D21)</f>
        <v>294</v>
      </c>
      <c r="E22" s="150">
        <f>SUM(E17:E21)</f>
        <v>1</v>
      </c>
      <c r="F22" s="149">
        <f>IFERROR(SUMPRODUCT(F17:F21,$D17:$D21)/$D22,0)</f>
        <v>900.34013605442181</v>
      </c>
      <c r="G22" s="151">
        <f>IFERROR(SUMPRODUCT(G17:G21,$D17:$D21)/$D22,0)</f>
        <v>1702.4489795918366</v>
      </c>
      <c r="H22" s="152">
        <f t="shared" si="5"/>
        <v>1.8908953532300716</v>
      </c>
      <c r="K22" s="56" t="s">
        <v>59</v>
      </c>
      <c r="L22" s="240"/>
      <c r="M22" s="204" t="e">
        <f t="shared" si="6"/>
        <v>#DIV/0!</v>
      </c>
      <c r="N22" s="241"/>
      <c r="O22" s="242"/>
      <c r="P22" s="216" t="str">
        <f t="shared" si="7"/>
        <v>-</v>
      </c>
      <c r="R22" s="219" t="s">
        <v>60</v>
      </c>
      <c r="S22" s="280" t="s">
        <v>61</v>
      </c>
    </row>
    <row r="23" spans="2:19">
      <c r="K23" s="126" t="s">
        <v>62</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65</v>
      </c>
      <c r="L25" s="170"/>
      <c r="M25" s="170"/>
      <c r="N25" s="170"/>
      <c r="O25" s="170"/>
      <c r="P25" s="141"/>
    </row>
    <row r="26" spans="2:19">
      <c r="C26" s="208"/>
      <c r="D26" s="208"/>
      <c r="E26" s="208"/>
      <c r="F26" s="208"/>
      <c r="K26" s="211" t="s">
        <v>35</v>
      </c>
      <c r="L26" s="212" t="s">
        <v>36</v>
      </c>
      <c r="M26" s="212" t="s">
        <v>37</v>
      </c>
      <c r="N26" s="212" t="s">
        <v>44</v>
      </c>
      <c r="O26" s="212" t="s">
        <v>45</v>
      </c>
      <c r="P26" s="213" t="s">
        <v>46</v>
      </c>
      <c r="R26" s="218" t="s">
        <v>35</v>
      </c>
      <c r="S26" s="220" t="s">
        <v>47</v>
      </c>
    </row>
    <row r="27" spans="2:19">
      <c r="C27" s="208"/>
      <c r="D27" s="208"/>
      <c r="E27" s="208"/>
      <c r="F27" s="208"/>
      <c r="K27" s="56" t="s">
        <v>41</v>
      </c>
      <c r="L27" s="240"/>
      <c r="M27" s="204" t="e">
        <f>L27/$L$14</f>
        <v>#DIV/0!</v>
      </c>
      <c r="N27" s="241"/>
      <c r="O27" s="242"/>
      <c r="P27" s="216" t="str">
        <f>IFERROR(O27/N27,"-")</f>
        <v>-</v>
      </c>
      <c r="R27" s="193" t="s">
        <v>49</v>
      </c>
      <c r="S27" s="221">
        <v>2024</v>
      </c>
    </row>
    <row r="28" spans="2:19">
      <c r="C28" s="208"/>
      <c r="D28" s="208"/>
      <c r="E28" s="208"/>
      <c r="F28" s="208"/>
      <c r="K28" s="56" t="s">
        <v>51</v>
      </c>
      <c r="L28" s="240"/>
      <c r="M28" s="204" t="e">
        <f t="shared" ref="M28:M31" si="8">L28/$L$14</f>
        <v>#DIV/0!</v>
      </c>
      <c r="N28" s="241">
        <v>937</v>
      </c>
      <c r="O28" s="242">
        <v>1462</v>
      </c>
      <c r="P28" s="216">
        <f t="shared" ref="P28:P32" si="9">IFERROR(O28/N28,"-")</f>
        <v>1.560298826040555</v>
      </c>
      <c r="R28" s="193" t="s">
        <v>52</v>
      </c>
      <c r="S28" s="222">
        <v>5.3999999999999999E-2</v>
      </c>
    </row>
    <row r="29" spans="2:19">
      <c r="C29" s="208"/>
      <c r="D29" s="208"/>
      <c r="E29" s="208"/>
      <c r="F29" s="208"/>
      <c r="K29" s="56" t="s">
        <v>54</v>
      </c>
      <c r="L29" s="240"/>
      <c r="M29" s="204" t="e">
        <f t="shared" si="8"/>
        <v>#DIV/0!</v>
      </c>
      <c r="N29" s="241">
        <v>1187</v>
      </c>
      <c r="O29" s="242">
        <v>1651</v>
      </c>
      <c r="P29" s="216">
        <f t="shared" si="9"/>
        <v>1.3909014321819713</v>
      </c>
      <c r="R29" s="193" t="s">
        <v>55</v>
      </c>
      <c r="S29" s="221"/>
    </row>
    <row r="30" spans="2:19">
      <c r="C30" s="208"/>
      <c r="D30" s="208"/>
      <c r="E30" s="208"/>
      <c r="F30" s="208"/>
      <c r="K30" s="56" t="s">
        <v>56</v>
      </c>
      <c r="L30" s="240"/>
      <c r="M30" s="204" t="e">
        <f t="shared" si="8"/>
        <v>#DIV/0!</v>
      </c>
      <c r="N30" s="241">
        <v>1326</v>
      </c>
      <c r="O30" s="242">
        <v>1946</v>
      </c>
      <c r="P30" s="216">
        <f t="shared" si="9"/>
        <v>1.4675716440422322</v>
      </c>
      <c r="R30" s="193" t="s">
        <v>57</v>
      </c>
      <c r="S30" s="221" t="s">
        <v>66</v>
      </c>
    </row>
    <row r="31" spans="2:19">
      <c r="C31" s="208"/>
      <c r="D31" s="208"/>
      <c r="E31" s="208"/>
      <c r="F31" s="208"/>
      <c r="K31" s="56" t="s">
        <v>59</v>
      </c>
      <c r="L31" s="240"/>
      <c r="M31" s="204" t="e">
        <f t="shared" si="8"/>
        <v>#DIV/0!</v>
      </c>
      <c r="N31" s="241"/>
      <c r="O31" s="242"/>
      <c r="P31" s="216" t="str">
        <f t="shared" si="9"/>
        <v>-</v>
      </c>
      <c r="R31" s="219" t="s">
        <v>60</v>
      </c>
      <c r="S31" s="280" t="s">
        <v>61</v>
      </c>
    </row>
    <row r="32" spans="2:19">
      <c r="C32" s="208"/>
      <c r="D32" s="208"/>
      <c r="E32" s="208"/>
      <c r="F32" s="208"/>
      <c r="K32" s="126" t="s">
        <v>62</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811ACD29-298E-46D6-81E1-E3F1C65C7216}"/>
    <hyperlink ref="S22" r:id="rId2" xr:uid="{256FB0A3-3398-46F8-8DA5-42D7FCB09594}"/>
    <hyperlink ref="S31" r:id="rId3" xr:uid="{E9174B8C-7D86-41EB-8506-6CFFA245DB7D}"/>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25" activePane="bottomLeft" state="frozen"/>
      <selection pane="bottomLeft" activeCell="B5" sqref="B5"/>
      <selection activeCell="B5" sqref="B5"/>
    </sheetView>
  </sheetViews>
  <sheetFormatPr defaultColWidth="9.140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S. Miami Blvd</v>
      </c>
    </row>
    <row r="2" spans="1:17" s="142" customFormat="1" ht="19.899999999999999">
      <c r="A2" s="146" t="s">
        <v>67</v>
      </c>
    </row>
    <row r="6" spans="1:17">
      <c r="B6" s="121" t="s">
        <v>68</v>
      </c>
      <c r="C6" s="122" t="s">
        <v>69</v>
      </c>
      <c r="D6" s="122" t="s">
        <v>70</v>
      </c>
      <c r="E6" s="122" t="s">
        <v>71</v>
      </c>
      <c r="F6" s="122" t="s">
        <v>72</v>
      </c>
      <c r="G6" s="122" t="s">
        <v>73</v>
      </c>
    </row>
    <row r="7" spans="1:17">
      <c r="B7" s="12" t="s">
        <v>74</v>
      </c>
      <c r="C7" s="12"/>
      <c r="D7" s="12"/>
      <c r="E7" s="12"/>
      <c r="F7" s="12"/>
      <c r="G7" s="12"/>
      <c r="M7" s="158" t="s">
        <v>75</v>
      </c>
      <c r="N7" s="122" t="s">
        <v>70</v>
      </c>
      <c r="O7" s="122" t="s">
        <v>71</v>
      </c>
      <c r="P7" s="122" t="s">
        <v>72</v>
      </c>
      <c r="Q7" s="122" t="s">
        <v>73</v>
      </c>
    </row>
    <row r="8" spans="1:17">
      <c r="B8" t="s">
        <v>76</v>
      </c>
      <c r="C8" s="24" t="s">
        <v>74</v>
      </c>
      <c r="D8" s="52">
        <f>E8*'Unit Mix_vm'!$D$15</f>
        <v>8504999.5800000001</v>
      </c>
      <c r="E8" s="250">
        <v>28928.57</v>
      </c>
      <c r="F8" s="37">
        <f>IFERROR(E8/'Unit Mix_vm'!$F$15,0)</f>
        <v>32.130712429165094</v>
      </c>
      <c r="G8" s="25">
        <f ca="1">+IFERROR(D8/D$86,0)</f>
        <v>0.12195604099728823</v>
      </c>
      <c r="M8" s="28" t="s">
        <v>77</v>
      </c>
    </row>
    <row r="9" spans="1:17">
      <c r="D9" s="14"/>
      <c r="E9" s="14"/>
      <c r="F9" s="14"/>
      <c r="M9" t="s">
        <v>78</v>
      </c>
      <c r="N9" s="52">
        <f ca="1">N41</f>
        <v>27895295.749028504</v>
      </c>
      <c r="O9" s="37">
        <f ca="1">IFERROR(N9/'Unit Mix_vm'!$D$15,0)</f>
        <v>94881.958330028923</v>
      </c>
      <c r="P9" s="37">
        <f ca="1">IFERROR(O9/'Unit Mix_vm'!$F$15,0)</f>
        <v>105.38457026455799</v>
      </c>
      <c r="Q9" s="25">
        <f ca="1">IFERROR(N9/N$12,0)</f>
        <v>0.39999999999999986</v>
      </c>
    </row>
    <row r="10" spans="1:17">
      <c r="B10" s="12" t="s">
        <v>79</v>
      </c>
      <c r="C10" s="12"/>
      <c r="D10" s="15"/>
      <c r="E10" s="15"/>
      <c r="F10" s="15"/>
      <c r="G10" s="12"/>
      <c r="M10" t="s">
        <v>80</v>
      </c>
      <c r="N10" s="52">
        <f ca="1">+N36</f>
        <v>0</v>
      </c>
      <c r="O10" s="37">
        <f ca="1">IFERROR(N10/'Unit Mix_vm'!$D$15,0)</f>
        <v>0</v>
      </c>
      <c r="P10" s="37">
        <f ca="1">IFERROR(O10/'Unit Mix_vm'!$F$15,0)</f>
        <v>0</v>
      </c>
      <c r="Q10" s="25">
        <f t="shared" ref="Q10:Q11" ca="1" si="0">IFERROR(N10/N$12,0)</f>
        <v>0</v>
      </c>
    </row>
    <row r="11" spans="1:17">
      <c r="B11" t="s">
        <v>81</v>
      </c>
      <c r="C11" s="24" t="s">
        <v>82</v>
      </c>
      <c r="D11" s="52">
        <f ca="1">+IF(Global!$C$16="On",0,I11*$N$11)</f>
        <v>209214.71811771387</v>
      </c>
      <c r="E11" s="37">
        <f ca="1">IFERROR(D11/'Unit Mix_vm'!$D$15,0)</f>
        <v>711.61468747521724</v>
      </c>
      <c r="F11" s="37">
        <f ca="1">IFERROR(E11/'Unit Mix_vm'!$F$15,0)</f>
        <v>0.79038427698418534</v>
      </c>
      <c r="G11" s="25">
        <f t="shared" ref="G11:G23" ca="1" si="1">+IFERROR(D11/D$86,0)</f>
        <v>3.0000000000000014E-3</v>
      </c>
      <c r="I11" s="21">
        <v>5.0000000000000001E-3</v>
      </c>
      <c r="J11" s="20" t="s">
        <v>83</v>
      </c>
      <c r="M11" t="s">
        <v>84</v>
      </c>
      <c r="N11" s="52">
        <f ca="1">+N23</f>
        <v>41842943.623542756</v>
      </c>
      <c r="O11" s="37">
        <f ca="1">IFERROR(N11/'Unit Mix_vm'!$D$15,0)</f>
        <v>142322.93749504338</v>
      </c>
      <c r="P11" s="37">
        <f ca="1">IFERROR(O11/'Unit Mix_vm'!$F$15,0)</f>
        <v>158.076855396837</v>
      </c>
      <c r="Q11" s="25">
        <f t="shared" ca="1" si="0"/>
        <v>0.59999999999999976</v>
      </c>
    </row>
    <row r="12" spans="1:17">
      <c r="B12" t="s">
        <v>85</v>
      </c>
      <c r="C12" s="24" t="s">
        <v>82</v>
      </c>
      <c r="D12" s="52">
        <f ca="1">+IF(Global!$C$16="On",0,I12*$N$11)</f>
        <v>313822.07717657066</v>
      </c>
      <c r="E12" s="37">
        <f ca="1">IFERROR(D12/'Unit Mix_vm'!$D$15,0)</f>
        <v>1067.4220312128255</v>
      </c>
      <c r="F12" s="37">
        <f ca="1">IFERROR(E12/'Unit Mix_vm'!$F$15,0)</f>
        <v>1.1855764154762776</v>
      </c>
      <c r="G12" s="25">
        <f t="shared" ca="1" si="1"/>
        <v>4.4999999999999997E-3</v>
      </c>
      <c r="I12" s="21">
        <v>7.4999999999999997E-3</v>
      </c>
      <c r="J12" s="20" t="s">
        <v>83</v>
      </c>
      <c r="M12" s="3" t="s">
        <v>86</v>
      </c>
      <c r="N12" s="13">
        <f ca="1">SUM(N9:N11)</f>
        <v>69738239.37257126</v>
      </c>
      <c r="O12" s="13">
        <f ca="1">SUM(O9:O11)</f>
        <v>237204.89582507231</v>
      </c>
      <c r="P12" s="29">
        <f ca="1">SUM(P9:P11)</f>
        <v>263.46142566139497</v>
      </c>
      <c r="Q12" s="26">
        <f ca="1">SUM(Q9:Q11)</f>
        <v>0.99999999999999956</v>
      </c>
    </row>
    <row r="13" spans="1:17">
      <c r="B13" t="s">
        <v>87</v>
      </c>
      <c r="C13" s="24" t="s">
        <v>82</v>
      </c>
      <c r="D13" s="16">
        <v>0</v>
      </c>
      <c r="E13" s="37">
        <f>IFERROR(D13/'Unit Mix_vm'!$D$15,0)</f>
        <v>0</v>
      </c>
      <c r="F13" s="37">
        <f>IFERROR(E13/'Unit Mix_vm'!$F$15,0)</f>
        <v>0</v>
      </c>
      <c r="G13" s="25">
        <f t="shared" ca="1" si="1"/>
        <v>0</v>
      </c>
    </row>
    <row r="14" spans="1:17">
      <c r="B14" t="s">
        <v>88</v>
      </c>
      <c r="C14" s="24" t="s">
        <v>82</v>
      </c>
      <c r="D14" s="52">
        <f ca="1">+IF(Global!$C$16="On",0,I14*$N$10)</f>
        <v>0</v>
      </c>
      <c r="E14" s="37">
        <f ca="1">IFERROR(D14/'Unit Mix_vm'!$D$15,0)</f>
        <v>0</v>
      </c>
      <c r="F14" s="37">
        <f ca="1">IFERROR(E14/'Unit Mix_vm'!$F$15,0)</f>
        <v>0</v>
      </c>
      <c r="G14" s="25">
        <f t="shared" ca="1" si="1"/>
        <v>0</v>
      </c>
      <c r="I14" s="21">
        <v>0.01</v>
      </c>
      <c r="J14" s="20" t="s">
        <v>89</v>
      </c>
      <c r="M14" s="28" t="s">
        <v>90</v>
      </c>
    </row>
    <row r="15" spans="1:17">
      <c r="B15" t="s">
        <v>91</v>
      </c>
      <c r="C15" s="24" t="s">
        <v>82</v>
      </c>
      <c r="D15" s="52">
        <f ca="1">+IF(Global!$C$16="On",0,I15*$N$10)</f>
        <v>0</v>
      </c>
      <c r="E15" s="37">
        <f ca="1">IFERROR(D15/'Unit Mix_vm'!$D$15,0)</f>
        <v>0</v>
      </c>
      <c r="F15" s="37">
        <f ca="1">IFERROR(E15/'Unit Mix_vm'!$F$15,0)</f>
        <v>0</v>
      </c>
      <c r="G15" s="25">
        <f t="shared" ca="1" si="1"/>
        <v>0</v>
      </c>
      <c r="I15" s="21">
        <v>0.01</v>
      </c>
      <c r="J15" s="20" t="s">
        <v>89</v>
      </c>
      <c r="M15" t="s">
        <v>74</v>
      </c>
      <c r="N15" s="14">
        <f>+SUMIF($C$8:$C$86,$M15,$D$8:$D$86)</f>
        <v>8504999.5800000001</v>
      </c>
      <c r="O15" s="37">
        <f>IFERROR(N15/'Unit Mix_vm'!$D$15,0)</f>
        <v>28928.57</v>
      </c>
      <c r="P15" s="37">
        <f>IFERROR(O15/'Unit Mix_vm'!$F$15,0)</f>
        <v>32.130712429165094</v>
      </c>
      <c r="Q15" s="25">
        <f ca="1">IFERROR(N15/N$18,0)</f>
        <v>0.12195604099728823</v>
      </c>
    </row>
    <row r="16" spans="1:17">
      <c r="B16" t="s">
        <v>92</v>
      </c>
      <c r="C16" s="24" t="s">
        <v>82</v>
      </c>
      <c r="D16" s="16">
        <v>0</v>
      </c>
      <c r="E16" s="37">
        <f>IFERROR(D16/'Unit Mix_vm'!$D$15,0)</f>
        <v>0</v>
      </c>
      <c r="F16" s="37">
        <f>IFERROR(E16/'Unit Mix_vm'!$F$15,0)</f>
        <v>0</v>
      </c>
      <c r="G16" s="25">
        <f t="shared" ca="1" si="1"/>
        <v>0</v>
      </c>
      <c r="M16" t="s">
        <v>93</v>
      </c>
      <c r="N16" s="14">
        <f>+SUMIF($C$8:$C$86,$M16,$D$8:$D$86)</f>
        <v>46322500</v>
      </c>
      <c r="O16" s="37">
        <f>IFERROR(N16/'Unit Mix_vm'!$D$15,0)</f>
        <v>157559.52380952382</v>
      </c>
      <c r="P16" s="37">
        <f>IFERROR(O16/'Unit Mix_vm'!$F$15,0)</f>
        <v>175</v>
      </c>
      <c r="Q16" s="25">
        <f t="shared" ref="Q16:Q17" ca="1" si="2">IFERROR(N16/N$18,0)</f>
        <v>0.66423386103175841</v>
      </c>
    </row>
    <row r="17" spans="2:17">
      <c r="B17" t="s">
        <v>94</v>
      </c>
      <c r="C17" s="24" t="s">
        <v>82</v>
      </c>
      <c r="D17" s="52">
        <f ca="1">+IF(Global!$C$16="On",0,I17*$N$44)</f>
        <v>0</v>
      </c>
      <c r="E17" s="37">
        <f ca="1">IFERROR(D17/'Unit Mix_vm'!$D$15,0)</f>
        <v>0</v>
      </c>
      <c r="F17" s="37">
        <f ca="1">IFERROR(E17/'Unit Mix_vm'!$F$15,0)</f>
        <v>0</v>
      </c>
      <c r="G17" s="25">
        <f t="shared" ca="1" si="1"/>
        <v>0</v>
      </c>
      <c r="I17" s="21">
        <v>0</v>
      </c>
      <c r="J17" s="20" t="s">
        <v>95</v>
      </c>
      <c r="M17" t="s">
        <v>82</v>
      </c>
      <c r="N17" s="14">
        <f ca="1">+SUMIF($C$8:$C$86,$M17,$D$8:$D$86)</f>
        <v>14910739.792571254</v>
      </c>
      <c r="O17" s="37">
        <f ca="1">IFERROR(N17/'Unit Mix_vm'!$D$15,0)</f>
        <v>50716.802015548485</v>
      </c>
      <c r="P17" s="37">
        <f ca="1">IFERROR(O17/'Unit Mix_vm'!$F$15,0)</f>
        <v>56.330713232229897</v>
      </c>
      <c r="Q17" s="25">
        <f t="shared" ca="1" si="2"/>
        <v>0.21381009797095329</v>
      </c>
    </row>
    <row r="18" spans="2:17">
      <c r="B18" t="s">
        <v>96</v>
      </c>
      <c r="C18" s="24" t="s">
        <v>82</v>
      </c>
      <c r="D18" s="52">
        <f ca="1">+IF(Global!$C$16="On",0,I18*$N$44)</f>
        <v>0</v>
      </c>
      <c r="E18" s="37">
        <f ca="1">IFERROR(D18/'Unit Mix_vm'!$D$15,0)</f>
        <v>0</v>
      </c>
      <c r="F18" s="37">
        <f ca="1">IFERROR(E18/'Unit Mix_vm'!$F$15,0)</f>
        <v>0</v>
      </c>
      <c r="G18" s="25">
        <f t="shared" ca="1" si="1"/>
        <v>0</v>
      </c>
      <c r="I18" s="21">
        <v>0</v>
      </c>
      <c r="J18" s="20" t="s">
        <v>95</v>
      </c>
      <c r="M18" s="3" t="s">
        <v>97</v>
      </c>
      <c r="N18" s="13">
        <f ca="1">SUM(N15:N17)</f>
        <v>69738239.37257126</v>
      </c>
      <c r="O18" s="29">
        <f ca="1">SUM(O15:O17)</f>
        <v>237204.89582507231</v>
      </c>
      <c r="P18" s="29">
        <f ca="1">SUM(P15:P17)</f>
        <v>263.46142566139497</v>
      </c>
      <c r="Q18" s="26">
        <f ca="1">SUM(Q15:Q17)</f>
        <v>0.99999999999999989</v>
      </c>
    </row>
    <row r="19" spans="2:17">
      <c r="B19" t="s">
        <v>98</v>
      </c>
      <c r="C19" s="24" t="s">
        <v>82</v>
      </c>
      <c r="D19" s="16">
        <v>0</v>
      </c>
      <c r="E19" s="37">
        <f>IFERROR(D19/'Unit Mix_vm'!$D$15,0)</f>
        <v>0</v>
      </c>
      <c r="F19" s="37">
        <f>IFERROR(E19/'Unit Mix_vm'!$F$15,0)</f>
        <v>0</v>
      </c>
      <c r="G19" s="25">
        <f t="shared" ca="1" si="1"/>
        <v>0</v>
      </c>
    </row>
    <row r="20" spans="2:17">
      <c r="B20" t="s">
        <v>99</v>
      </c>
      <c r="C20" s="24" t="s">
        <v>82</v>
      </c>
      <c r="D20" s="76">
        <v>300000</v>
      </c>
      <c r="E20" s="52">
        <f>IFERROR(D20/'Unit Mix_vm'!$D$15,0)</f>
        <v>1020.4081632653061</v>
      </c>
      <c r="F20" s="37">
        <f>IFERROR(E20/'Unit Mix_vm'!$F$15,0)</f>
        <v>1.1333585190782016</v>
      </c>
      <c r="G20" s="25">
        <f t="shared" ca="1" si="1"/>
        <v>4.3018006003459983E-3</v>
      </c>
      <c r="M20" s="1"/>
    </row>
    <row r="21" spans="2:17">
      <c r="B21" t="s">
        <v>100</v>
      </c>
      <c r="C21" s="24" t="s">
        <v>82</v>
      </c>
      <c r="D21" s="76">
        <v>300000</v>
      </c>
      <c r="E21" s="52">
        <f>IFERROR(D21/'Unit Mix_vm'!$D$15,0)</f>
        <v>1020.4081632653061</v>
      </c>
      <c r="F21" s="37">
        <f>IFERROR(E21/'Unit Mix_vm'!$F$15,0)</f>
        <v>1.1333585190782016</v>
      </c>
      <c r="G21" s="25">
        <f t="shared" ca="1" si="1"/>
        <v>4.3018006003459983E-3</v>
      </c>
      <c r="M21" s="158" t="s">
        <v>101</v>
      </c>
      <c r="N21" s="122"/>
      <c r="O21" s="122"/>
      <c r="P21" s="122"/>
      <c r="Q21" s="122"/>
    </row>
    <row r="22" spans="2:17">
      <c r="B22" t="s">
        <v>102</v>
      </c>
      <c r="C22" s="24" t="s">
        <v>82</v>
      </c>
      <c r="D22" s="52">
        <f>E22*'Unit Mix_vm'!$D$15</f>
        <v>1764000</v>
      </c>
      <c r="E22" s="76">
        <v>6000</v>
      </c>
      <c r="F22" s="37">
        <f>IFERROR(E22/'Unit Mix_vm'!$F$15,0)</f>
        <v>6.6641480921798255</v>
      </c>
      <c r="G22" s="25">
        <f t="shared" ca="1" si="1"/>
        <v>2.5294587530034471E-2</v>
      </c>
      <c r="M22" s="55" t="s">
        <v>84</v>
      </c>
    </row>
    <row r="23" spans="2:17">
      <c r="B23" t="s">
        <v>103</v>
      </c>
      <c r="C23" s="24" t="s">
        <v>82</v>
      </c>
      <c r="D23" s="76">
        <v>0</v>
      </c>
      <c r="E23" s="52">
        <f>IFERROR(D23/'Unit Mix_vm'!$D$15,0)</f>
        <v>0</v>
      </c>
      <c r="F23" s="37">
        <f>IFERROR(E23/'Unit Mix_vm'!$F$15,0)</f>
        <v>0</v>
      </c>
      <c r="G23" s="25">
        <f t="shared" ca="1" si="1"/>
        <v>0</v>
      </c>
      <c r="M23" t="s">
        <v>84</v>
      </c>
      <c r="N23" s="36">
        <f ca="1">D86*N24</f>
        <v>41842943.623542756</v>
      </c>
    </row>
    <row r="24" spans="2:17">
      <c r="B24" s="3" t="s">
        <v>104</v>
      </c>
      <c r="C24" s="3"/>
      <c r="D24" s="13">
        <f ca="1">+SUM(D11:D23)</f>
        <v>2887036.7952942848</v>
      </c>
      <c r="E24" s="13">
        <f ca="1">SUM(E11:E23)</f>
        <v>9819.8530452186551</v>
      </c>
      <c r="F24" s="13">
        <f ca="1">SUM(F11:F23)</f>
        <v>10.906825822796691</v>
      </c>
      <c r="G24" s="26">
        <f ca="1">SUM(G11:G23)</f>
        <v>4.1398188730726468E-2</v>
      </c>
      <c r="M24" t="s">
        <v>105</v>
      </c>
      <c r="N24" s="44">
        <v>0.6</v>
      </c>
    </row>
    <row r="25" spans="2:17">
      <c r="D25" s="14"/>
      <c r="E25" s="14"/>
      <c r="F25" s="14"/>
      <c r="M25" t="s">
        <v>106</v>
      </c>
      <c r="N25" s="49">
        <f ca="1">IFERROR('Pro-Forma_vm'!$C$39/Budget_vm!N23,0)</f>
        <v>9.6826449086637373E-2</v>
      </c>
      <c r="O25" s="53"/>
    </row>
    <row r="26" spans="2:17">
      <c r="B26" s="12" t="s">
        <v>107</v>
      </c>
      <c r="C26" s="12"/>
      <c r="D26" s="15"/>
      <c r="E26" s="15"/>
      <c r="F26" s="15"/>
      <c r="G26" s="12"/>
      <c r="O26" s="54"/>
    </row>
    <row r="27" spans="2:17">
      <c r="B27" t="s">
        <v>108</v>
      </c>
      <c r="C27" s="24" t="s">
        <v>82</v>
      </c>
      <c r="D27" s="52">
        <f ca="1">I27*(D86-D8)</f>
        <v>1836997.1937771377</v>
      </c>
      <c r="E27" s="37">
        <f ca="1">IFERROR(D27/'Unit Mix_vm'!$D$15,0)</f>
        <v>6248.2897747521693</v>
      </c>
      <c r="F27" s="37">
        <f ca="1">IFERROR(E27/'Unit Mix_vm'!$F$15,0)</f>
        <v>6.9399213969668976</v>
      </c>
      <c r="G27" s="25">
        <f t="shared" ref="G27:G29" ca="1" si="3">+IFERROR(D27/D$86,0)</f>
        <v>2.6341318770081352E-2</v>
      </c>
      <c r="I27" s="21">
        <v>0.03</v>
      </c>
      <c r="J27" s="20" t="s">
        <v>109</v>
      </c>
      <c r="K27" s="20"/>
      <c r="M27" t="s">
        <v>110</v>
      </c>
      <c r="N27" s="45">
        <v>0.04</v>
      </c>
    </row>
    <row r="28" spans="2:17">
      <c r="B28" t="s">
        <v>111</v>
      </c>
      <c r="C28" s="24" t="s">
        <v>82</v>
      </c>
      <c r="D28" s="14">
        <f>+I28*SUM(D67:D68)</f>
        <v>463225</v>
      </c>
      <c r="E28" s="37">
        <f>IFERROR(D28/'Unit Mix_vm'!$D$15,0)</f>
        <v>1575.5952380952381</v>
      </c>
      <c r="F28" s="37">
        <f>IFERROR(E28/'Unit Mix_vm'!$F$15,0)</f>
        <v>1.75</v>
      </c>
      <c r="G28" s="25">
        <f t="shared" ca="1" si="3"/>
        <v>6.642338610317584E-3</v>
      </c>
      <c r="I28" s="21">
        <v>0.01</v>
      </c>
      <c r="J28" s="20" t="s">
        <v>112</v>
      </c>
      <c r="K28" s="20"/>
      <c r="M28" t="s">
        <v>113</v>
      </c>
      <c r="N28" s="45">
        <v>0.03</v>
      </c>
      <c r="O28" s="30"/>
    </row>
    <row r="29" spans="2:17">
      <c r="B29" t="s">
        <v>114</v>
      </c>
      <c r="C29" s="24" t="s">
        <v>82</v>
      </c>
      <c r="D29" s="76">
        <v>300000</v>
      </c>
      <c r="E29" s="37">
        <f>IFERROR(D29/'Unit Mix_vm'!$D$15,0)</f>
        <v>1020.4081632653061</v>
      </c>
      <c r="F29" s="37">
        <f>IFERROR(E29/'Unit Mix_vm'!$F$15,0)</f>
        <v>1.1333585190782016</v>
      </c>
      <c r="G29" s="25">
        <f t="shared" ca="1" si="3"/>
        <v>4.3018006003459983E-3</v>
      </c>
      <c r="M29" s="3" t="s">
        <v>115</v>
      </c>
      <c r="N29" s="47">
        <f>SUM(N27:N28)</f>
        <v>7.0000000000000007E-2</v>
      </c>
    </row>
    <row r="30" spans="2:17">
      <c r="B30" s="3" t="s">
        <v>116</v>
      </c>
      <c r="C30" s="3"/>
      <c r="D30" s="13">
        <f ca="1">+SUM(D27:D29)</f>
        <v>2600222.1937771374</v>
      </c>
      <c r="E30" s="13">
        <f ca="1">SUM(E27:E29)</f>
        <v>8844.2931761127147</v>
      </c>
      <c r="F30" s="13">
        <f ca="1">SUM(F27:F29)</f>
        <v>9.8232799160451005</v>
      </c>
      <c r="G30" s="26">
        <f ca="1">SUM(G27:G29)</f>
        <v>3.7285457980744931E-2</v>
      </c>
    </row>
    <row r="31" spans="2:17">
      <c r="D31" s="14"/>
      <c r="E31" s="14"/>
      <c r="F31" s="14"/>
      <c r="M31" t="s">
        <v>117</v>
      </c>
      <c r="N31" s="32">
        <v>21</v>
      </c>
      <c r="O31" s="30"/>
    </row>
    <row r="32" spans="2:17">
      <c r="B32" s="12" t="s">
        <v>118</v>
      </c>
      <c r="C32" s="12"/>
      <c r="D32" s="15"/>
      <c r="E32" s="15"/>
      <c r="F32" s="15"/>
      <c r="G32" s="12"/>
      <c r="M32" t="s">
        <v>119</v>
      </c>
      <c r="N32" s="44">
        <v>0.5</v>
      </c>
    </row>
    <row r="33" spans="2:22">
      <c r="B33" t="s">
        <v>120</v>
      </c>
      <c r="C33" s="24" t="s">
        <v>82</v>
      </c>
      <c r="D33" s="76">
        <v>300000</v>
      </c>
      <c r="E33" s="37">
        <f>IFERROR(D33/'Unit Mix_vm'!$D$15,0)</f>
        <v>1020.4081632653061</v>
      </c>
      <c r="F33" s="37">
        <f>IFERROR(E33/'Unit Mix_vm'!$F$15,0)</f>
        <v>1.1333585190782016</v>
      </c>
      <c r="G33" s="25">
        <f t="shared" ref="G33:G42" ca="1" si="4">+IFERROR(D33/D$86,0)</f>
        <v>4.3018006003459983E-3</v>
      </c>
      <c r="M33" t="s">
        <v>121</v>
      </c>
      <c r="N33" s="36">
        <f ca="1">+N23*N29*N31*N32/12</f>
        <v>2562880.2969419942</v>
      </c>
    </row>
    <row r="34" spans="2:22">
      <c r="B34" t="s">
        <v>122</v>
      </c>
      <c r="C34" s="24" t="s">
        <v>82</v>
      </c>
      <c r="D34" s="76">
        <v>400000</v>
      </c>
      <c r="E34" s="37">
        <f>IFERROR(D34/'Unit Mix_vm'!$D$15,0)</f>
        <v>1360.5442176870749</v>
      </c>
      <c r="F34" s="37">
        <f>IFERROR(E34/'Unit Mix_vm'!$F$15,0)</f>
        <v>1.511144692104269</v>
      </c>
      <c r="G34" s="25">
        <f t="shared" ca="1" si="4"/>
        <v>5.7357341337946647E-3</v>
      </c>
      <c r="O34" s="42"/>
      <c r="U34" s="136" t="s">
        <v>123</v>
      </c>
      <c r="V34" s="137"/>
    </row>
    <row r="35" spans="2:22">
      <c r="B35" t="s">
        <v>124</v>
      </c>
      <c r="C35" s="24" t="s">
        <v>82</v>
      </c>
      <c r="D35" s="52">
        <f ca="1">+IF(Global!C16="On",0,I35*N11)</f>
        <v>0</v>
      </c>
      <c r="E35" s="37">
        <f ca="1">IFERROR(D35/'Unit Mix_vm'!$D$15,0)</f>
        <v>0</v>
      </c>
      <c r="F35" s="37">
        <f ca="1">IFERROR(E35/'Unit Mix_vm'!$F$15,0)</f>
        <v>0</v>
      </c>
      <c r="G35" s="25">
        <f t="shared" ca="1" si="4"/>
        <v>0</v>
      </c>
      <c r="I35" s="21">
        <v>0</v>
      </c>
      <c r="J35" s="20" t="s">
        <v>83</v>
      </c>
      <c r="K35" s="20"/>
      <c r="M35" s="55" t="s">
        <v>80</v>
      </c>
      <c r="U35" s="131" t="s">
        <v>125</v>
      </c>
      <c r="V35" s="138">
        <v>0.45</v>
      </c>
    </row>
    <row r="36" spans="2:22">
      <c r="B36" t="s">
        <v>126</v>
      </c>
      <c r="C36" s="24" t="s">
        <v>82</v>
      </c>
      <c r="D36" s="76">
        <v>50000</v>
      </c>
      <c r="E36" s="37">
        <f>IFERROR(D36/'Unit Mix_vm'!$D$15,0)</f>
        <v>170.06802721088437</v>
      </c>
      <c r="F36" s="37">
        <f>IFERROR(E36/'Unit Mix_vm'!$F$15,0)</f>
        <v>0.18889308651303363</v>
      </c>
      <c r="G36" s="25">
        <f t="shared" ca="1" si="4"/>
        <v>7.1696676672433309E-4</v>
      </c>
      <c r="M36" t="s">
        <v>80</v>
      </c>
      <c r="N36" s="36">
        <f ca="1">D86*N37-N23</f>
        <v>0</v>
      </c>
      <c r="U36" s="5"/>
      <c r="V36" s="132"/>
    </row>
    <row r="37" spans="2:22">
      <c r="B37" t="s">
        <v>127</v>
      </c>
      <c r="C37" s="24" t="s">
        <v>82</v>
      </c>
      <c r="D37" s="52">
        <f ca="1">I37*D86</f>
        <v>48119.385167074164</v>
      </c>
      <c r="E37" s="37">
        <f ca="1">IFERROR(D37/'Unit Mix_vm'!$D$15,0)</f>
        <v>163.67137811929987</v>
      </c>
      <c r="F37" s="37">
        <f ca="1">IFERROR(E37/'Unit Mix_vm'!$F$15,0)</f>
        <v>0.18178838370636252</v>
      </c>
      <c r="G37" s="25">
        <f t="shared" ca="1" si="4"/>
        <v>6.8999999999999997E-4</v>
      </c>
      <c r="I37" s="21">
        <v>6.8999999999999997E-4</v>
      </c>
      <c r="J37" s="20" t="s">
        <v>109</v>
      </c>
      <c r="M37" t="s">
        <v>128</v>
      </c>
      <c r="N37" s="44">
        <f>+N24</f>
        <v>0.6</v>
      </c>
      <c r="U37" s="5" t="s">
        <v>129</v>
      </c>
      <c r="V37" s="133">
        <f>N16</f>
        <v>46322500</v>
      </c>
    </row>
    <row r="38" spans="2:22">
      <c r="B38" t="s">
        <v>130</v>
      </c>
      <c r="C38" s="24" t="s">
        <v>82</v>
      </c>
      <c r="D38" s="52">
        <f ca="1">(((V40/100)*V35)*2)+60000</f>
        <v>665141.06213314133</v>
      </c>
      <c r="E38" s="52">
        <f ca="1">IFERROR(D38/'Unit Mix_vm'!$D$15,0)</f>
        <v>2262.3845650787121</v>
      </c>
      <c r="F38" s="52">
        <f ca="1">IFERROR(E38/'Unit Mix_vm'!$F$15,0)</f>
        <v>2.5128109638577305</v>
      </c>
      <c r="G38" s="139">
        <f t="shared" ca="1" si="4"/>
        <v>9.5376807346637411E-3</v>
      </c>
      <c r="M38" t="s">
        <v>131</v>
      </c>
      <c r="N38" s="49">
        <f ca="1">IFERROR('Pro-Forma_vm'!$C$39/SUM(N36,N23),0)</f>
        <v>9.6826449086637373E-2</v>
      </c>
      <c r="U38" s="5" t="s">
        <v>132</v>
      </c>
      <c r="V38" s="133">
        <f t="shared" ref="V38" ca="1" si="5">N17</f>
        <v>14910739.792571254</v>
      </c>
    </row>
    <row r="39" spans="2:22">
      <c r="B39" t="s">
        <v>133</v>
      </c>
      <c r="C39" s="24" t="s">
        <v>82</v>
      </c>
      <c r="D39" s="52">
        <f>((V45/1000)*V43)+30000</f>
        <v>120058.36657105331</v>
      </c>
      <c r="E39" s="52">
        <f>IFERROR(D39/'Unit Mix_vm'!$D$15,0)</f>
        <v>408.36179105800443</v>
      </c>
      <c r="F39" s="52">
        <f>IFERROR(E39/'Unit Mix_vm'!$F$15,0)</f>
        <v>0.4535639084663895</v>
      </c>
      <c r="G39" s="139">
        <f t="shared" ref="G39" ca="1" si="6">+IFERROR(D39/D$86,0)</f>
        <v>1.7215571779730569E-3</v>
      </c>
      <c r="N39" s="49"/>
      <c r="U39" s="5" t="s">
        <v>134</v>
      </c>
      <c r="V39" s="133">
        <f>'Unit Mix_vm'!D15*'Unit Mix_vm'!G15*12</f>
        <v>6004656</v>
      </c>
    </row>
    <row r="40" spans="2:22">
      <c r="B40" t="s">
        <v>135</v>
      </c>
      <c r="C40" s="24" t="s">
        <v>82</v>
      </c>
      <c r="D40" s="76">
        <v>0</v>
      </c>
      <c r="E40" s="37">
        <f>IFERROR(D40/'Unit Mix_vm'!$D$15,0)</f>
        <v>0</v>
      </c>
      <c r="F40" s="37">
        <f>IFERROR(E40/'Unit Mix_vm'!$F$15,0)</f>
        <v>0</v>
      </c>
      <c r="G40" s="25">
        <f t="shared" ca="1" si="4"/>
        <v>0</v>
      </c>
      <c r="M40" s="55" t="s">
        <v>78</v>
      </c>
      <c r="U40" s="134" t="s">
        <v>62</v>
      </c>
      <c r="V40" s="135">
        <f ca="1">SUM(V37:V39)</f>
        <v>67237895.792571247</v>
      </c>
    </row>
    <row r="41" spans="2:22">
      <c r="B41" t="s">
        <v>136</v>
      </c>
      <c r="C41" s="24" t="s">
        <v>82</v>
      </c>
      <c r="D41" s="76">
        <v>50000</v>
      </c>
      <c r="E41" s="37">
        <f>IFERROR(D41/'Unit Mix_vm'!$D$15,0)</f>
        <v>170.06802721088437</v>
      </c>
      <c r="F41" s="37">
        <f>IFERROR(E41/'Unit Mix_vm'!$F$15,0)</f>
        <v>0.18889308651303363</v>
      </c>
      <c r="G41" s="25">
        <f t="shared" ca="1" si="4"/>
        <v>7.1696676672433309E-4</v>
      </c>
      <c r="M41" t="s">
        <v>137</v>
      </c>
      <c r="N41" s="58">
        <f ca="1">D86-N23-N36</f>
        <v>27895295.749028504</v>
      </c>
      <c r="U41" s="4"/>
      <c r="V41" s="4"/>
    </row>
    <row r="42" spans="2:22">
      <c r="B42" t="s">
        <v>138</v>
      </c>
      <c r="C42" s="24" t="s">
        <v>82</v>
      </c>
      <c r="D42" s="76">
        <v>0</v>
      </c>
      <c r="E42" s="37">
        <f>IFERROR(D42/'Unit Mix_vm'!$D$15,0)</f>
        <v>0</v>
      </c>
      <c r="F42" s="37">
        <f>IFERROR(E42/'Unit Mix_vm'!$F$15,0)</f>
        <v>0</v>
      </c>
      <c r="G42" s="25">
        <f t="shared" ca="1" si="4"/>
        <v>0</v>
      </c>
      <c r="U42" s="136" t="s">
        <v>139</v>
      </c>
      <c r="V42" s="137"/>
    </row>
    <row r="43" spans="2:22">
      <c r="B43" s="3" t="s">
        <v>140</v>
      </c>
      <c r="C43" s="3"/>
      <c r="D43" s="13">
        <f ca="1">+SUM(D33:D42)</f>
        <v>1633318.8138712689</v>
      </c>
      <c r="E43" s="13">
        <f ca="1">SUM(E33:E42)</f>
        <v>5555.5061696301664</v>
      </c>
      <c r="F43" s="13">
        <f ca="1">SUM(F33:F42)</f>
        <v>6.1704526402390201</v>
      </c>
      <c r="G43" s="26">
        <f ca="1">SUM(G33:G42)</f>
        <v>2.3420706180226129E-2</v>
      </c>
      <c r="M43" t="s">
        <v>141</v>
      </c>
      <c r="N43" s="34">
        <f ca="1">+N41*0.1</f>
        <v>2789529.5749028507</v>
      </c>
      <c r="O43" s="46">
        <f ca="1">+N43/N41</f>
        <v>0.1</v>
      </c>
      <c r="U43" s="5" t="s">
        <v>125</v>
      </c>
      <c r="V43" s="159">
        <v>1.1000000000000001</v>
      </c>
    </row>
    <row r="44" spans="2:22">
      <c r="D44" s="14"/>
      <c r="E44" s="14"/>
      <c r="F44" s="14"/>
      <c r="M44" t="s">
        <v>142</v>
      </c>
      <c r="N44" s="36">
        <f ca="1">+N41-N43</f>
        <v>25105766.174125653</v>
      </c>
      <c r="O44" s="51">
        <f ca="1">1-O43</f>
        <v>0.9</v>
      </c>
      <c r="U44" s="5" t="s">
        <v>143</v>
      </c>
      <c r="V44" s="160">
        <v>5.2499999999999998E-2</v>
      </c>
    </row>
    <row r="45" spans="2:22">
      <c r="B45" s="12" t="s">
        <v>144</v>
      </c>
      <c r="C45" s="12"/>
      <c r="D45" s="15"/>
      <c r="E45" s="15"/>
      <c r="F45" s="15"/>
      <c r="G45" s="12"/>
      <c r="U45" s="161" t="s">
        <v>145</v>
      </c>
      <c r="V45" s="162">
        <f>(('Pro-Forma_vm'!C39*1.03*1.03)/Budget_vm!V44)</f>
        <v>81871242.337321177</v>
      </c>
    </row>
    <row r="46" spans="2:22">
      <c r="B46" t="s">
        <v>146</v>
      </c>
      <c r="C46" s="24" t="s">
        <v>82</v>
      </c>
      <c r="D46" s="52">
        <f>E46*'Unit Mix_vm'!$D$15</f>
        <v>735000</v>
      </c>
      <c r="E46" s="76">
        <v>2500</v>
      </c>
      <c r="F46" s="37">
        <f>IFERROR(E46/'Unit Mix_vm'!$F$15,0)</f>
        <v>2.7767283717415943</v>
      </c>
      <c r="G46" s="25">
        <f t="shared" ref="G46:G63" ca="1" si="7">+IFERROR(D46/D$86,0)</f>
        <v>1.0539411470847696E-2</v>
      </c>
    </row>
    <row r="47" spans="2:22">
      <c r="B47" t="s">
        <v>147</v>
      </c>
      <c r="C47" s="24" t="s">
        <v>82</v>
      </c>
      <c r="D47" s="76">
        <v>75000</v>
      </c>
      <c r="E47" s="52">
        <f>IFERROR(D47/'Unit Mix_vm'!$D$15,0)</f>
        <v>255.10204081632654</v>
      </c>
      <c r="F47" s="37">
        <f>IFERROR(E47/'Unit Mix_vm'!$F$15,0)</f>
        <v>0.28333962976955041</v>
      </c>
      <c r="G47" s="25">
        <f t="shared" ca="1" si="7"/>
        <v>1.0754501500864996E-3</v>
      </c>
    </row>
    <row r="48" spans="2:22">
      <c r="B48" t="s">
        <v>148</v>
      </c>
      <c r="C48" s="24" t="s">
        <v>82</v>
      </c>
      <c r="D48" s="76">
        <v>50000</v>
      </c>
      <c r="E48" s="52">
        <f>IFERROR(D48/'Unit Mix_vm'!$D$15,0)</f>
        <v>170.06802721088437</v>
      </c>
      <c r="F48" s="37">
        <f>IFERROR(E48/'Unit Mix_vm'!$F$15,0)</f>
        <v>0.18889308651303363</v>
      </c>
      <c r="G48" s="25">
        <f t="shared" ca="1" si="7"/>
        <v>7.1696676672433309E-4</v>
      </c>
    </row>
    <row r="49" spans="2:7">
      <c r="B49" t="s">
        <v>149</v>
      </c>
      <c r="C49" s="24" t="s">
        <v>82</v>
      </c>
      <c r="D49" s="52">
        <f>E49*'Unit Mix_vm'!$D$15</f>
        <v>441000</v>
      </c>
      <c r="E49" s="76">
        <v>1500</v>
      </c>
      <c r="F49" s="37">
        <f>IFERROR(E49/'Unit Mix_vm'!$F$15,0)</f>
        <v>1.6660370230449564</v>
      </c>
      <c r="G49" s="25">
        <f t="shared" ca="1" si="7"/>
        <v>6.3236468825086179E-3</v>
      </c>
    </row>
    <row r="50" spans="2:7">
      <c r="B50" t="s">
        <v>150</v>
      </c>
      <c r="C50" s="24" t="s">
        <v>82</v>
      </c>
      <c r="D50" s="76">
        <v>0</v>
      </c>
      <c r="E50" s="52">
        <f>IFERROR(D50/'Unit Mix_vm'!$D$15,0)</f>
        <v>0</v>
      </c>
      <c r="F50" s="37">
        <f>IFERROR(E50/'Unit Mix_vm'!$F$15,0)</f>
        <v>0</v>
      </c>
      <c r="G50" s="25">
        <f t="shared" ca="1" si="7"/>
        <v>0</v>
      </c>
    </row>
    <row r="51" spans="2:7">
      <c r="B51" t="s">
        <v>151</v>
      </c>
      <c r="C51" s="24" t="s">
        <v>82</v>
      </c>
      <c r="D51" s="76">
        <v>150000</v>
      </c>
      <c r="E51" s="52">
        <f>IFERROR(D51/'Unit Mix_vm'!$D$15,0)</f>
        <v>510.20408163265307</v>
      </c>
      <c r="F51" s="37">
        <f>IFERROR(E51/'Unit Mix_vm'!$F$15,0)</f>
        <v>0.56667925953910081</v>
      </c>
      <c r="G51" s="25">
        <f t="shared" ca="1" si="7"/>
        <v>2.1509003001729992E-3</v>
      </c>
    </row>
    <row r="52" spans="2:7">
      <c r="B52" t="s">
        <v>152</v>
      </c>
      <c r="C52" s="24" t="s">
        <v>82</v>
      </c>
      <c r="D52" s="76">
        <v>35000</v>
      </c>
      <c r="E52" s="52">
        <f>IFERROR(D52/'Unit Mix_vm'!$D$15,0)</f>
        <v>119.04761904761905</v>
      </c>
      <c r="F52" s="37">
        <f>IFERROR(E52/'Unit Mix_vm'!$F$15,0)</f>
        <v>0.13222516055912353</v>
      </c>
      <c r="G52" s="25">
        <f t="shared" ca="1" si="7"/>
        <v>5.0187673670703322E-4</v>
      </c>
    </row>
    <row r="53" spans="2:7">
      <c r="B53" t="s">
        <v>153</v>
      </c>
      <c r="C53" s="24" t="s">
        <v>82</v>
      </c>
      <c r="D53" s="76">
        <v>300000</v>
      </c>
      <c r="E53" s="52">
        <f>IFERROR(D53/'Unit Mix_vm'!$D$15,0)</f>
        <v>1020.4081632653061</v>
      </c>
      <c r="F53" s="37">
        <f>IFERROR(E53/'Unit Mix_vm'!$F$15,0)</f>
        <v>1.1333585190782016</v>
      </c>
      <c r="G53" s="25">
        <f t="shared" ca="1" si="7"/>
        <v>4.3018006003459983E-3</v>
      </c>
    </row>
    <row r="54" spans="2:7">
      <c r="B54" t="s">
        <v>154</v>
      </c>
      <c r="C54" s="24" t="s">
        <v>82</v>
      </c>
      <c r="D54" s="52">
        <f>E54*'Unit Mix_vm'!$D$15</f>
        <v>1793400</v>
      </c>
      <c r="E54" s="76">
        <v>6100</v>
      </c>
      <c r="F54" s="37">
        <f>IFERROR(E54/'Unit Mix_vm'!$F$15,0)</f>
        <v>6.7752172270494899</v>
      </c>
      <c r="G54" s="25">
        <f t="shared" ca="1" si="7"/>
        <v>2.571616398886838E-2</v>
      </c>
    </row>
    <row r="55" spans="2:7">
      <c r="B55" t="s">
        <v>155</v>
      </c>
      <c r="C55" s="24" t="s">
        <v>82</v>
      </c>
      <c r="D55" s="76">
        <v>25000</v>
      </c>
      <c r="E55" s="52">
        <f>IFERROR(D55/'Unit Mix_vm'!$D$15,0)</f>
        <v>85.034013605442183</v>
      </c>
      <c r="F55" s="37">
        <f>IFERROR(E55/'Unit Mix_vm'!$F$15,0)</f>
        <v>9.4446543256516816E-2</v>
      </c>
      <c r="G55" s="25">
        <f t="shared" ca="1" si="7"/>
        <v>3.5848338336216655E-4</v>
      </c>
    </row>
    <row r="56" spans="2:7">
      <c r="B56" t="s">
        <v>156</v>
      </c>
      <c r="C56" s="24" t="s">
        <v>82</v>
      </c>
      <c r="D56" s="76">
        <v>500000</v>
      </c>
      <c r="E56" s="52">
        <f>IFERROR(D56/'Unit Mix_vm'!$D$15,0)</f>
        <v>1700.6802721088436</v>
      </c>
      <c r="F56" s="37">
        <f>IFERROR(E56/'Unit Mix_vm'!$F$15,0)</f>
        <v>1.8889308651303363</v>
      </c>
      <c r="G56" s="25">
        <f t="shared" ca="1" si="7"/>
        <v>7.1696676672433311E-3</v>
      </c>
    </row>
    <row r="57" spans="2:7">
      <c r="B57" t="s">
        <v>157</v>
      </c>
      <c r="C57" s="24" t="s">
        <v>82</v>
      </c>
      <c r="D57" s="76">
        <v>80000</v>
      </c>
      <c r="E57" s="52">
        <f>IFERROR(D57/'Unit Mix_vm'!$D$15,0)</f>
        <v>272.10884353741494</v>
      </c>
      <c r="F57" s="37">
        <f>IFERROR(E57/'Unit Mix_vm'!$F$15,0)</f>
        <v>0.30222893842085374</v>
      </c>
      <c r="G57" s="25">
        <f t="shared" ca="1" si="7"/>
        <v>1.1471468267589329E-3</v>
      </c>
    </row>
    <row r="58" spans="2:7">
      <c r="B58" t="s">
        <v>158</v>
      </c>
      <c r="C58" s="24" t="s">
        <v>82</v>
      </c>
      <c r="D58" s="76">
        <v>100000</v>
      </c>
      <c r="E58" s="52">
        <f>IFERROR(D58/'Unit Mix_vm'!$D$15,0)</f>
        <v>340.13605442176873</v>
      </c>
      <c r="F58" s="37">
        <f>IFERROR(E58/'Unit Mix_vm'!$F$15,0)</f>
        <v>0.37778617302606726</v>
      </c>
      <c r="G58" s="25">
        <f t="shared" ca="1" si="7"/>
        <v>1.4339335334486662E-3</v>
      </c>
    </row>
    <row r="59" spans="2:7">
      <c r="B59" t="s">
        <v>159</v>
      </c>
      <c r="C59" s="24" t="s">
        <v>82</v>
      </c>
      <c r="D59" s="76">
        <v>100000</v>
      </c>
      <c r="E59" s="52">
        <f>IFERROR(D59/'Unit Mix_vm'!$D$15,0)</f>
        <v>340.13605442176873</v>
      </c>
      <c r="F59" s="37">
        <f>IFERROR(E59/'Unit Mix_vm'!$F$15,0)</f>
        <v>0.37778617302606726</v>
      </c>
      <c r="G59" s="25">
        <f t="shared" ca="1" si="7"/>
        <v>1.4339335334486662E-3</v>
      </c>
    </row>
    <row r="60" spans="2:7">
      <c r="B60" t="s">
        <v>160</v>
      </c>
      <c r="C60" s="24" t="s">
        <v>82</v>
      </c>
      <c r="D60" s="76">
        <v>150000</v>
      </c>
      <c r="E60" s="52">
        <f>IFERROR(D60/'Unit Mix_vm'!$D$15,0)</f>
        <v>510.20408163265307</v>
      </c>
      <c r="F60" s="37">
        <f>IFERROR(E60/'Unit Mix_vm'!$F$15,0)</f>
        <v>0.56667925953910081</v>
      </c>
      <c r="G60" s="25">
        <f t="shared" ca="1" si="7"/>
        <v>2.1509003001729992E-3</v>
      </c>
    </row>
    <row r="61" spans="2:7">
      <c r="B61" t="s">
        <v>161</v>
      </c>
      <c r="C61" s="24" t="s">
        <v>82</v>
      </c>
      <c r="D61" s="52">
        <f>E61*'Unit Mix_vm'!$D$15</f>
        <v>44100</v>
      </c>
      <c r="E61" s="76">
        <v>150</v>
      </c>
      <c r="F61" s="37">
        <f>IFERROR(E61/'Unit Mix_vm'!$F$15,0)</f>
        <v>0.16660370230449564</v>
      </c>
      <c r="G61" s="25">
        <f t="shared" ca="1" si="7"/>
        <v>6.3236468825086174E-4</v>
      </c>
    </row>
    <row r="62" spans="2:7">
      <c r="B62" t="s">
        <v>162</v>
      </c>
      <c r="C62" s="24" t="s">
        <v>82</v>
      </c>
      <c r="D62" s="76">
        <v>150000</v>
      </c>
      <c r="E62" s="52">
        <f>IFERROR(D62/'Unit Mix_vm'!$D$15,0)</f>
        <v>510.20408163265307</v>
      </c>
      <c r="F62" s="37">
        <f>IFERROR(E62/'Unit Mix_vm'!$F$15,0)</f>
        <v>0.56667925953910081</v>
      </c>
      <c r="G62" s="25">
        <f t="shared" ca="1" si="7"/>
        <v>2.1509003001729992E-3</v>
      </c>
    </row>
    <row r="63" spans="2:7">
      <c r="B63" t="s">
        <v>163</v>
      </c>
      <c r="C63" s="24" t="s">
        <v>82</v>
      </c>
      <c r="D63" s="76">
        <v>0</v>
      </c>
      <c r="E63" s="52">
        <f>IFERROR(D63/'Unit Mix_vm'!$D$15,0)</f>
        <v>0</v>
      </c>
      <c r="F63" s="37">
        <f>IFERROR(E63/'Unit Mix_vm'!$F$15,0)</f>
        <v>0</v>
      </c>
      <c r="G63" s="25">
        <f t="shared" ca="1" si="7"/>
        <v>0</v>
      </c>
    </row>
    <row r="64" spans="2:7">
      <c r="B64" s="3" t="s">
        <v>164</v>
      </c>
      <c r="C64" s="3"/>
      <c r="D64" s="13">
        <f>+SUM(D46:D63)</f>
        <v>4728500</v>
      </c>
      <c r="E64" s="13">
        <f>SUM(E46:E63)</f>
        <v>16083.333333333338</v>
      </c>
      <c r="F64" s="13">
        <f>SUM(F46:F63)</f>
        <v>17.863619191537587</v>
      </c>
      <c r="G64" s="26">
        <f ca="1">SUM(G46:G63)</f>
        <v>6.7803547129120179E-2</v>
      </c>
    </row>
    <row r="65" spans="2:7">
      <c r="D65" s="14"/>
      <c r="E65" s="14"/>
      <c r="F65" s="14"/>
    </row>
    <row r="66" spans="2:7">
      <c r="B66" s="12" t="s">
        <v>93</v>
      </c>
      <c r="C66" s="12"/>
      <c r="D66" s="15"/>
      <c r="E66" s="15"/>
      <c r="F66" s="15"/>
      <c r="G66" s="12"/>
    </row>
    <row r="67" spans="2:7">
      <c r="B67" t="s">
        <v>165</v>
      </c>
      <c r="C67" s="24" t="s">
        <v>93</v>
      </c>
      <c r="D67" s="31">
        <f>F67*'Unit Mix_vm'!$D$15*'Unit Mix_vm'!$F$15</f>
        <v>46322500</v>
      </c>
      <c r="E67" s="37">
        <f>IFERROR(D67/'Unit Mix_vm'!$D$15,0)</f>
        <v>157559.52380952382</v>
      </c>
      <c r="F67" s="76">
        <v>175</v>
      </c>
      <c r="G67" s="25">
        <f t="shared" ref="G67:G71" ca="1" si="8">+IFERROR(D67/D$86,0)</f>
        <v>0.66423386103175841</v>
      </c>
    </row>
    <row r="68" spans="2:7">
      <c r="B68" t="s">
        <v>166</v>
      </c>
      <c r="C68" s="24" t="s">
        <v>93</v>
      </c>
      <c r="D68" s="31">
        <v>0</v>
      </c>
      <c r="E68" s="37">
        <f>IFERROR(D68/'Unit Mix_vm'!$D$15,0)</f>
        <v>0</v>
      </c>
      <c r="F68" s="37">
        <f>IFERROR(E68/'Unit Mix_vm'!$F$15,0)</f>
        <v>0</v>
      </c>
      <c r="G68" s="25">
        <f t="shared" ca="1" si="8"/>
        <v>0</v>
      </c>
    </row>
    <row r="69" spans="2:7">
      <c r="B69" t="s">
        <v>167</v>
      </c>
      <c r="C69" s="24" t="s">
        <v>93</v>
      </c>
      <c r="D69" s="16">
        <v>0</v>
      </c>
      <c r="E69" s="37">
        <f>IFERROR(D69/'Unit Mix_vm'!$D$15,0)</f>
        <v>0</v>
      </c>
      <c r="F69" s="37">
        <f>IFERROR(E69/'Unit Mix_vm'!$F$15,0)</f>
        <v>0</v>
      </c>
      <c r="G69" s="25">
        <f t="shared" ca="1" si="8"/>
        <v>0</v>
      </c>
    </row>
    <row r="70" spans="2:7">
      <c r="B70" t="s">
        <v>168</v>
      </c>
      <c r="C70" s="24" t="s">
        <v>93</v>
      </c>
      <c r="D70" s="52">
        <f>E70*'Unit Mix_vm'!$D$15</f>
        <v>0</v>
      </c>
      <c r="E70" s="76">
        <v>0</v>
      </c>
      <c r="F70" s="37">
        <f>IFERROR(E70/'Unit Mix_vm'!$F$15,0)</f>
        <v>0</v>
      </c>
      <c r="G70" s="25">
        <f t="shared" ca="1" si="8"/>
        <v>0</v>
      </c>
    </row>
    <row r="71" spans="2:7">
      <c r="B71" t="s">
        <v>169</v>
      </c>
      <c r="C71" s="24" t="s">
        <v>93</v>
      </c>
      <c r="D71" s="16">
        <v>0</v>
      </c>
      <c r="E71" s="37">
        <f>IFERROR(D71/'Unit Mix_vm'!$D$15,0)</f>
        <v>0</v>
      </c>
      <c r="F71" s="37">
        <f>IFERROR(E71/'Unit Mix_vm'!$F$15,0)</f>
        <v>0</v>
      </c>
      <c r="G71" s="25">
        <f t="shared" ca="1" si="8"/>
        <v>0</v>
      </c>
    </row>
    <row r="72" spans="2:7">
      <c r="B72" s="3" t="s">
        <v>170</v>
      </c>
      <c r="C72" s="3"/>
      <c r="D72" s="13">
        <f>+SUM(D67:D71)</f>
        <v>46322500</v>
      </c>
      <c r="E72" s="13">
        <f>SUM(E67:E71)</f>
        <v>157559.52380952382</v>
      </c>
      <c r="F72" s="13">
        <f>SUM(F67:F71)</f>
        <v>175</v>
      </c>
      <c r="G72" s="26">
        <f ca="1">SUM(G67:G71)</f>
        <v>0.66423386103175841</v>
      </c>
    </row>
    <row r="73" spans="2:7" hidden="1" outlineLevel="1">
      <c r="D73" s="14"/>
      <c r="E73" s="14"/>
      <c r="F73" s="14"/>
    </row>
    <row r="74" spans="2:7" hidden="1" outlineLevel="1">
      <c r="B74" s="12" t="s">
        <v>171</v>
      </c>
      <c r="C74" s="12"/>
      <c r="D74" s="15"/>
      <c r="E74" s="15"/>
      <c r="F74" s="15"/>
      <c r="G74" s="12"/>
    </row>
    <row r="75" spans="2:7" hidden="1" outlineLevel="1">
      <c r="B75" t="s">
        <v>172</v>
      </c>
      <c r="C75" s="24" t="s">
        <v>82</v>
      </c>
      <c r="D75" s="76">
        <v>0</v>
      </c>
      <c r="E75" s="37">
        <f>IFERROR(D75/'Unit Mix_vm'!$D$15,0)</f>
        <v>0</v>
      </c>
      <c r="F75" s="37">
        <f>IFERROR(E75/'Unit Mix_vm'!$F$15,0)</f>
        <v>0</v>
      </c>
      <c r="G75" s="25">
        <f t="shared" ref="G75:G77" ca="1" si="9">+IFERROR(D75/D$86,0)</f>
        <v>0</v>
      </c>
    </row>
    <row r="76" spans="2:7" hidden="1" outlineLevel="1">
      <c r="B76" t="s">
        <v>173</v>
      </c>
      <c r="C76" s="24" t="s">
        <v>82</v>
      </c>
      <c r="D76" s="76">
        <v>0</v>
      </c>
      <c r="E76" s="37">
        <f>IFERROR(D76/'Unit Mix_vm'!$D$15,0)</f>
        <v>0</v>
      </c>
      <c r="F76" s="37">
        <f>IFERROR(E76/'Unit Mix_vm'!$F$15,0)</f>
        <v>0</v>
      </c>
      <c r="G76" s="25">
        <f t="shared" ca="1" si="9"/>
        <v>0</v>
      </c>
    </row>
    <row r="77" spans="2:7" hidden="1" outlineLevel="1">
      <c r="B77" t="s">
        <v>174</v>
      </c>
      <c r="C77" s="24" t="s">
        <v>82</v>
      </c>
      <c r="D77" s="16">
        <v>0</v>
      </c>
      <c r="E77" s="37">
        <f>IFERROR(D77/'Unit Mix_vm'!$D$15,0)</f>
        <v>0</v>
      </c>
      <c r="F77" s="37">
        <f>IFERROR(E77/'Unit Mix_vm'!$F$15,0)</f>
        <v>0</v>
      </c>
      <c r="G77" s="25">
        <f t="shared" ca="1" si="9"/>
        <v>0</v>
      </c>
    </row>
    <row r="78" spans="2:7" hidden="1" outlineLevel="1">
      <c r="B78" s="3" t="s">
        <v>175</v>
      </c>
      <c r="C78" s="3"/>
      <c r="D78" s="13">
        <f>+SUM(D75:D77)</f>
        <v>0</v>
      </c>
      <c r="E78" s="13">
        <f>SUM(E75:E77)</f>
        <v>0</v>
      </c>
      <c r="F78" s="13">
        <f>SUM(F75:F77)</f>
        <v>0</v>
      </c>
      <c r="G78" s="26">
        <f ca="1">SUM(G75:G77)</f>
        <v>0</v>
      </c>
    </row>
    <row r="79" spans="2:7" collapsed="1">
      <c r="D79" s="14"/>
      <c r="E79" s="14"/>
      <c r="F79" s="14"/>
    </row>
    <row r="80" spans="2:7">
      <c r="B80" s="12" t="s">
        <v>176</v>
      </c>
      <c r="C80" s="12"/>
      <c r="D80" s="15"/>
      <c r="E80" s="15"/>
      <c r="F80" s="15"/>
      <c r="G80" s="12"/>
    </row>
    <row r="81" spans="2:11">
      <c r="B81" t="s">
        <v>177</v>
      </c>
      <c r="C81" s="24" t="s">
        <v>82</v>
      </c>
      <c r="D81" s="14">
        <f>+I81*D72</f>
        <v>2316125</v>
      </c>
      <c r="E81" s="37">
        <f>IFERROR(D81/'Unit Mix_vm'!$D$15,0)</f>
        <v>7877.9761904761908</v>
      </c>
      <c r="F81" s="37">
        <f>IFERROR(E81/'Unit Mix_vm'!$F$15,0)</f>
        <v>8.75</v>
      </c>
      <c r="G81" s="25">
        <f t="shared" ref="G81:G83" ca="1" si="10">+IFERROR(D81/D$86,0)</f>
        <v>3.3211693051587922E-2</v>
      </c>
      <c r="I81" s="21">
        <v>0.05</v>
      </c>
      <c r="J81" s="20" t="s">
        <v>178</v>
      </c>
      <c r="K81" s="20"/>
    </row>
    <row r="82" spans="2:11">
      <c r="B82" t="s">
        <v>179</v>
      </c>
      <c r="C82" s="24" t="s">
        <v>82</v>
      </c>
      <c r="D82" s="31">
        <f ca="1">+IF(Global!C16="On",0,I82*N17)</f>
        <v>745536.9896285627</v>
      </c>
      <c r="E82" s="37">
        <f ca="1">IFERROR(D82/'Unit Mix_vm'!$D$15,0)</f>
        <v>2535.8401007774241</v>
      </c>
      <c r="F82" s="37">
        <f ca="1">IFERROR(E82/'Unit Mix_vm'!$F$15,0)</f>
        <v>2.8165356616114949</v>
      </c>
      <c r="G82" s="25">
        <f t="shared" ca="1" si="10"/>
        <v>1.0690504898547665E-2</v>
      </c>
      <c r="I82" s="21">
        <v>0.05</v>
      </c>
      <c r="J82" s="20" t="s">
        <v>180</v>
      </c>
      <c r="K82" s="20"/>
    </row>
    <row r="83" spans="2:11">
      <c r="B83" t="s">
        <v>181</v>
      </c>
      <c r="C83" s="24" t="s">
        <v>82</v>
      </c>
      <c r="D83" s="16">
        <v>0</v>
      </c>
      <c r="E83" s="37">
        <f>IFERROR(D83/'Unit Mix_vm'!$D$15,0)</f>
        <v>0</v>
      </c>
      <c r="F83" s="37">
        <f>IFERROR(E83/'Unit Mix_vm'!$F$15,0)</f>
        <v>0</v>
      </c>
      <c r="G83" s="25">
        <f t="shared" ca="1" si="10"/>
        <v>0</v>
      </c>
    </row>
    <row r="84" spans="2:11">
      <c r="B84" s="3" t="s">
        <v>182</v>
      </c>
      <c r="C84" s="3"/>
      <c r="D84" s="13">
        <f ca="1">+SUM(D81:D83)</f>
        <v>3061661.9896285627</v>
      </c>
      <c r="E84" s="13">
        <f ca="1">SUM(E81:E83)</f>
        <v>10413.816291253615</v>
      </c>
      <c r="F84" s="13">
        <f ca="1">SUM(F81:F83)</f>
        <v>11.566535661611494</v>
      </c>
      <c r="G84" s="26">
        <f ca="1">SUM(G81:G83)</f>
        <v>4.3902197950135585E-2</v>
      </c>
    </row>
    <row r="86" spans="2:11">
      <c r="B86" s="17" t="s">
        <v>183</v>
      </c>
      <c r="C86" s="22"/>
      <c r="D86" s="18">
        <f ca="1">+SUM(D84,D78,D72,D64,D43,D30,D24,D8)</f>
        <v>69738239.37257126</v>
      </c>
      <c r="E86" s="19">
        <f ca="1">+SUM(E84,E78,E72,E64,E43,E30,E24,E8)</f>
        <v>237204.89582507231</v>
      </c>
      <c r="F86" s="19">
        <f ca="1">+SUM(F84,F78,F72,F64,F43,F30,F24,F8)</f>
        <v>263.46142566139497</v>
      </c>
      <c r="G86" s="27">
        <f ca="1">+SUM(G84,G78,G72,G64,G43,G30,G24,G8)</f>
        <v>0.99999999999999989</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9" width="12.7109375" style="23" customWidth="1"/>
    <col min="20" max="20" width="12.7109375" customWidth="1"/>
  </cols>
  <sheetData>
    <row r="1" spans="1:20" s="142" customFormat="1" ht="25.9">
      <c r="A1" s="145" t="str">
        <f>TEXT(Global!$C$7,"")</f>
        <v>S. Miami Blvd</v>
      </c>
      <c r="B1" s="144"/>
      <c r="K1" s="143"/>
      <c r="L1" s="143"/>
      <c r="M1" s="143"/>
      <c r="N1" s="143"/>
      <c r="O1" s="143"/>
      <c r="P1" s="143"/>
      <c r="Q1" s="143"/>
      <c r="R1" s="143"/>
      <c r="S1" s="143"/>
    </row>
    <row r="2" spans="1:20" s="142" customFormat="1" ht="19.899999999999999">
      <c r="A2" s="146" t="s">
        <v>184</v>
      </c>
      <c r="B2" s="144"/>
      <c r="K2" s="143"/>
      <c r="L2" s="143"/>
      <c r="M2" s="143"/>
      <c r="N2" s="143"/>
      <c r="O2" s="143"/>
      <c r="P2" s="143"/>
      <c r="Q2" s="143"/>
      <c r="R2" s="143"/>
      <c r="S2" s="143"/>
    </row>
    <row r="6" spans="1:20" ht="16.149999999999999">
      <c r="B6" s="166"/>
      <c r="C6" s="167" t="s">
        <v>185</v>
      </c>
      <c r="D6" s="167"/>
    </row>
    <row r="7" spans="1:20">
      <c r="B7" s="168"/>
      <c r="C7" s="169" t="s">
        <v>70</v>
      </c>
      <c r="D7" s="169" t="s">
        <v>186</v>
      </c>
      <c r="F7" s="140" t="s">
        <v>187</v>
      </c>
      <c r="G7" s="141"/>
      <c r="I7" s="140" t="s">
        <v>188</v>
      </c>
      <c r="J7" s="156" t="s">
        <v>61</v>
      </c>
      <c r="K7" s="156" t="s">
        <v>189</v>
      </c>
      <c r="L7" s="156" t="s">
        <v>49</v>
      </c>
      <c r="M7" s="156" t="s">
        <v>190</v>
      </c>
      <c r="N7" s="156" t="s">
        <v>191</v>
      </c>
      <c r="O7" s="156" t="s">
        <v>192</v>
      </c>
      <c r="P7" s="156" t="s">
        <v>193</v>
      </c>
      <c r="Q7" s="156" t="s">
        <v>194</v>
      </c>
      <c r="R7" s="156" t="s">
        <v>195</v>
      </c>
      <c r="S7" s="156" t="s">
        <v>62</v>
      </c>
      <c r="T7" s="157" t="s">
        <v>196</v>
      </c>
    </row>
    <row r="8" spans="1:20">
      <c r="B8" s="68"/>
      <c r="C8" s="64"/>
      <c r="D8" s="57"/>
      <c r="F8" s="56" t="s">
        <v>197</v>
      </c>
      <c r="G8" s="129">
        <f>G9*'Unit Mix_vm'!$D$15</f>
        <v>59388000</v>
      </c>
      <c r="I8" s="245" t="s">
        <v>198</v>
      </c>
      <c r="J8" s="264" t="s">
        <v>61</v>
      </c>
      <c r="K8" s="240">
        <v>428</v>
      </c>
      <c r="L8" s="240">
        <v>2024</v>
      </c>
      <c r="M8" s="240">
        <v>2025</v>
      </c>
      <c r="N8" s="242">
        <v>105098496</v>
      </c>
      <c r="O8" s="36">
        <f>N8/$K8</f>
        <v>245557.23364485981</v>
      </c>
      <c r="P8" s="240">
        <v>0.99129999999999996</v>
      </c>
      <c r="Q8" s="242">
        <v>0</v>
      </c>
      <c r="R8" s="36">
        <f>Q8/$K8</f>
        <v>0</v>
      </c>
      <c r="S8" s="36">
        <f>N8*P8/100+Q8</f>
        <v>1041841.390848</v>
      </c>
      <c r="T8" s="231">
        <f>S8/$K8</f>
        <v>2434.2088571214954</v>
      </c>
    </row>
    <row r="9" spans="1:20">
      <c r="B9" s="68" t="s">
        <v>199</v>
      </c>
      <c r="C9" s="64">
        <f>+D9*'Unit Mix_vm'!D15*12</f>
        <v>6004656</v>
      </c>
      <c r="D9" s="78">
        <f>+'Unit Mix_vm'!G15</f>
        <v>1702</v>
      </c>
      <c r="F9" s="56" t="s">
        <v>200</v>
      </c>
      <c r="G9" s="249">
        <v>202000</v>
      </c>
      <c r="I9" s="245" t="s">
        <v>201</v>
      </c>
      <c r="J9" s="264" t="s">
        <v>61</v>
      </c>
      <c r="K9" s="240">
        <v>336</v>
      </c>
      <c r="L9" s="240">
        <v>2023</v>
      </c>
      <c r="M9" s="240">
        <v>2025</v>
      </c>
      <c r="N9" s="242">
        <v>65009814</v>
      </c>
      <c r="O9" s="36">
        <f>N9/$K9</f>
        <v>193481.58928571429</v>
      </c>
      <c r="P9" s="240">
        <v>0.99129999999999996</v>
      </c>
      <c r="Q9" s="242">
        <v>0</v>
      </c>
      <c r="R9" s="36">
        <f>Q9/$K9</f>
        <v>0</v>
      </c>
      <c r="S9" s="36">
        <f t="shared" ref="S9:S10" si="0">N9*P9/100+Q9</f>
        <v>644442.28618199995</v>
      </c>
      <c r="T9" s="231">
        <f>S9/$K9</f>
        <v>1917.9829945892857</v>
      </c>
    </row>
    <row r="10" spans="1:20">
      <c r="B10" s="68" t="s">
        <v>202</v>
      </c>
      <c r="C10" s="80">
        <f>-D10*C9</f>
        <v>-60046.559999999998</v>
      </c>
      <c r="D10" s="261">
        <v>0.01</v>
      </c>
      <c r="F10" s="56"/>
      <c r="G10" s="57"/>
      <c r="I10" s="246" t="s">
        <v>203</v>
      </c>
      <c r="J10" s="281" t="s">
        <v>61</v>
      </c>
      <c r="K10" s="247">
        <v>168</v>
      </c>
      <c r="L10" s="247">
        <v>2024</v>
      </c>
      <c r="M10" s="247">
        <v>2025</v>
      </c>
      <c r="N10" s="248">
        <v>28043109</v>
      </c>
      <c r="O10" s="228">
        <f>N10/$K10</f>
        <v>166923.26785714287</v>
      </c>
      <c r="P10" s="247">
        <v>0.99129999999999996</v>
      </c>
      <c r="Q10" s="248">
        <v>0</v>
      </c>
      <c r="R10" s="228">
        <f>Q10/$K10</f>
        <v>0</v>
      </c>
      <c r="S10" s="228">
        <f t="shared" si="0"/>
        <v>277991.33951699996</v>
      </c>
      <c r="T10" s="237">
        <f>S10/$K10</f>
        <v>1654.7103542678569</v>
      </c>
    </row>
    <row r="11" spans="1:20">
      <c r="B11" s="68" t="s">
        <v>204</v>
      </c>
      <c r="C11" s="80">
        <f>-D11*C9</f>
        <v>-20424</v>
      </c>
      <c r="D11" s="261">
        <f>1/'Unit Mix_vm'!$D$15</f>
        <v>3.4013605442176869E-3</v>
      </c>
      <c r="F11" s="56" t="s">
        <v>205</v>
      </c>
      <c r="G11" s="244">
        <v>0.99129999999999996</v>
      </c>
    </row>
    <row r="12" spans="1:20">
      <c r="B12" s="69" t="s">
        <v>206</v>
      </c>
      <c r="C12" s="65">
        <f>SUM(C9:C11)</f>
        <v>5924185.4400000004</v>
      </c>
      <c r="D12" s="72">
        <f>IFERROR(C12/'Unit Mix_vm'!$D$15/12,0)</f>
        <v>1679.1908843537415</v>
      </c>
      <c r="F12" s="56" t="s">
        <v>207</v>
      </c>
      <c r="G12" s="129">
        <f>G13*'Unit Mix_vm'!$D$15</f>
        <v>67326</v>
      </c>
    </row>
    <row r="13" spans="1:20">
      <c r="B13" s="68"/>
      <c r="C13" s="64"/>
      <c r="D13" s="57"/>
      <c r="F13" s="56" t="s">
        <v>208</v>
      </c>
      <c r="G13" s="249">
        <v>229</v>
      </c>
    </row>
    <row r="14" spans="1:20">
      <c r="B14" s="68" t="s">
        <v>209</v>
      </c>
      <c r="C14" s="64">
        <f>+D14*'Unit Mix_vm'!$D$15*12</f>
        <v>698496</v>
      </c>
      <c r="D14" s="129">
        <f>$N$57</f>
        <v>197.98639455782313</v>
      </c>
      <c r="F14" s="56" t="s">
        <v>210</v>
      </c>
      <c r="G14" s="243">
        <v>0</v>
      </c>
      <c r="I14" s="123" t="s">
        <v>211</v>
      </c>
      <c r="J14" s="178"/>
      <c r="K14" s="124"/>
      <c r="L14" s="124" t="s">
        <v>212</v>
      </c>
      <c r="M14" s="124" t="s">
        <v>62</v>
      </c>
      <c r="N14" s="125" t="s">
        <v>71</v>
      </c>
    </row>
    <row r="15" spans="1:20">
      <c r="B15" s="68" t="s">
        <v>213</v>
      </c>
      <c r="C15" s="79">
        <v>0</v>
      </c>
      <c r="D15" s="71">
        <f>IFERROR(C15/'Unit Mix_vm'!$D$15/12,0)</f>
        <v>0</v>
      </c>
      <c r="F15" s="56"/>
      <c r="G15" s="57"/>
      <c r="I15" s="189" t="s">
        <v>214</v>
      </c>
      <c r="J15" s="190"/>
      <c r="K15" s="191"/>
      <c r="L15" s="191"/>
      <c r="M15" s="191"/>
      <c r="N15" s="192"/>
    </row>
    <row r="16" spans="1:20">
      <c r="B16" s="69" t="s">
        <v>215</v>
      </c>
      <c r="C16" s="65">
        <f>SUM(C14:C15,C12)</f>
        <v>6622681.4400000004</v>
      </c>
      <c r="D16" s="72">
        <f>IFERROR(C16/'Unit Mix_vm'!$D$15/12,0)</f>
        <v>1877.1772789115648</v>
      </c>
      <c r="F16" s="56" t="s">
        <v>216</v>
      </c>
      <c r="G16" s="82">
        <f>(G11*G8/100+G12)*(1-G14)</f>
        <v>656039.24399999995</v>
      </c>
      <c r="I16" s="179" t="s">
        <v>217</v>
      </c>
      <c r="J16" s="173"/>
      <c r="K16" s="174"/>
      <c r="L16" s="172">
        <v>4000</v>
      </c>
      <c r="M16" s="180">
        <f>L16*12</f>
        <v>48000</v>
      </c>
      <c r="N16" s="181">
        <f>M16/'Unit Mix_vm'!$D$15</f>
        <v>163.26530612244898</v>
      </c>
    </row>
    <row r="17" spans="2:14">
      <c r="B17" s="68"/>
      <c r="C17" s="64"/>
      <c r="D17" s="57"/>
      <c r="F17" s="56" t="s">
        <v>218</v>
      </c>
      <c r="G17" s="82">
        <f>+G16/'Unit Mix_vm'!$D$15</f>
        <v>2231.4259999999999</v>
      </c>
      <c r="I17" s="179" t="s">
        <v>219</v>
      </c>
      <c r="J17" s="173"/>
      <c r="K17" s="174"/>
      <c r="L17" s="182">
        <v>3</v>
      </c>
      <c r="M17" s="180">
        <f>L17*'Unit Mix_vm'!$D$15*12</f>
        <v>10584</v>
      </c>
      <c r="N17" s="181">
        <f>M17/'Unit Mix_vm'!$D$15</f>
        <v>36</v>
      </c>
    </row>
    <row r="18" spans="2:14">
      <c r="B18" s="68" t="s">
        <v>52</v>
      </c>
      <c r="C18" s="73">
        <f>-D18*SUM(C9,C14)</f>
        <v>-335157.60000000003</v>
      </c>
      <c r="D18" s="261">
        <v>0.05</v>
      </c>
      <c r="F18" s="56"/>
      <c r="G18" s="57"/>
      <c r="I18" s="179" t="s">
        <v>220</v>
      </c>
      <c r="J18" s="173"/>
      <c r="K18" s="174"/>
      <c r="L18" s="172">
        <v>2000</v>
      </c>
      <c r="M18" s="180">
        <f>L18*12</f>
        <v>24000</v>
      </c>
      <c r="N18" s="181">
        <f>M18/'Unit Mix_vm'!$D$15</f>
        <v>81.632653061224488</v>
      </c>
    </row>
    <row r="19" spans="2:14">
      <c r="B19" s="68" t="s">
        <v>221</v>
      </c>
      <c r="C19" s="73">
        <f>-D19*SUM(C9,C14,C18)</f>
        <v>0</v>
      </c>
      <c r="D19" s="261">
        <v>0</v>
      </c>
      <c r="F19" s="56" t="s">
        <v>222</v>
      </c>
      <c r="G19" s="83">
        <v>0</v>
      </c>
      <c r="I19" s="179" t="s">
        <v>223</v>
      </c>
      <c r="J19" s="173"/>
      <c r="K19" s="174"/>
      <c r="L19" s="182">
        <v>10</v>
      </c>
      <c r="M19" s="180">
        <f>L19*'Unit Mix_vm'!$D$15*12</f>
        <v>35280</v>
      </c>
      <c r="N19" s="181">
        <f>M19/'Unit Mix_vm'!$D$15</f>
        <v>120</v>
      </c>
    </row>
    <row r="20" spans="2:14">
      <c r="B20" s="69" t="s">
        <v>224</v>
      </c>
      <c r="C20" s="65">
        <f>SUM(C18:C19,C16)</f>
        <v>6287523.8400000008</v>
      </c>
      <c r="D20" s="72">
        <f>IFERROR(C20/#REF!/12,0)</f>
        <v>0</v>
      </c>
      <c r="F20" s="56"/>
      <c r="G20" s="57"/>
      <c r="I20" s="179" t="s">
        <v>225</v>
      </c>
      <c r="J20" s="173"/>
      <c r="K20" s="174"/>
      <c r="L20" s="182">
        <v>30</v>
      </c>
      <c r="M20" s="180">
        <f>L20*'Unit Mix_vm'!$D$15*12</f>
        <v>105840</v>
      </c>
      <c r="N20" s="181">
        <f>M20/'Unit Mix_vm'!$D$15</f>
        <v>360</v>
      </c>
    </row>
    <row r="21" spans="2:14">
      <c r="B21" s="68"/>
      <c r="C21" s="64"/>
      <c r="D21" s="57"/>
      <c r="F21" s="56" t="s">
        <v>226</v>
      </c>
      <c r="G21" s="84">
        <f>+G16+G19</f>
        <v>656039.24399999995</v>
      </c>
      <c r="I21" s="179" t="s">
        <v>227</v>
      </c>
      <c r="J21" s="173"/>
      <c r="K21" s="174"/>
      <c r="L21" s="172">
        <v>500</v>
      </c>
      <c r="M21" s="180">
        <f>L21*12</f>
        <v>6000</v>
      </c>
      <c r="N21" s="181">
        <f>M21/'Unit Mix_vm'!$D$15</f>
        <v>20.408163265306122</v>
      </c>
    </row>
    <row r="22" spans="2:14">
      <c r="B22" s="68" t="s">
        <v>228</v>
      </c>
      <c r="C22" s="73">
        <f>D22*C20</f>
        <v>172906.90560000003</v>
      </c>
      <c r="D22" s="261">
        <v>2.75E-2</v>
      </c>
      <c r="F22" s="59" t="s">
        <v>229</v>
      </c>
      <c r="G22" s="85">
        <f>+G21/'Unit Mix_vm'!$D$15</f>
        <v>2231.4259999999999</v>
      </c>
      <c r="I22" s="179" t="s">
        <v>230</v>
      </c>
      <c r="J22" s="173"/>
      <c r="K22" s="174"/>
      <c r="L22" s="172">
        <v>1500</v>
      </c>
      <c r="M22" s="180">
        <f>L22*12</f>
        <v>18000</v>
      </c>
      <c r="N22" s="181">
        <f>M22/'Unit Mix_vm'!$D$15</f>
        <v>61.224489795918366</v>
      </c>
    </row>
    <row r="23" spans="2:14">
      <c r="B23" s="120" t="s">
        <v>231</v>
      </c>
      <c r="C23" s="130">
        <f>G21</f>
        <v>656039.24399999995</v>
      </c>
      <c r="D23" s="82">
        <f>IFERROR(C23/'Unit Mix_vm'!$D$15,0)</f>
        <v>2231.4259999999999</v>
      </c>
      <c r="I23" s="179" t="s">
        <v>232</v>
      </c>
      <c r="J23" s="173"/>
      <c r="K23" s="174"/>
      <c r="L23" s="172">
        <v>0</v>
      </c>
      <c r="M23" s="180">
        <f t="shared" ref="M23" si="1">L23*12</f>
        <v>0</v>
      </c>
      <c r="N23" s="181">
        <f>M23/'Unit Mix_vm'!$D$15</f>
        <v>0</v>
      </c>
    </row>
    <row r="24" spans="2:14">
      <c r="B24" s="68" t="s">
        <v>233</v>
      </c>
      <c r="C24" s="73">
        <f>+D24*'Unit Mix_vm'!$D$15</f>
        <v>176400</v>
      </c>
      <c r="D24" s="83">
        <v>600</v>
      </c>
      <c r="F24" s="123" t="s">
        <v>234</v>
      </c>
      <c r="G24" s="257"/>
      <c r="I24" s="187" t="s">
        <v>235</v>
      </c>
      <c r="J24" s="175"/>
      <c r="K24" s="176"/>
      <c r="L24" s="176"/>
      <c r="M24" s="177">
        <f>SUM(M16:M23)</f>
        <v>247704</v>
      </c>
      <c r="N24" s="188">
        <f>M24/'Unit Mix_vm'!$D$15</f>
        <v>842.53061224489795</v>
      </c>
    </row>
    <row r="25" spans="2:14">
      <c r="B25" s="68" t="s">
        <v>236</v>
      </c>
      <c r="C25" s="73">
        <f>+D25*'Unit Mix_vm'!$D$15</f>
        <v>0</v>
      </c>
      <c r="D25" s="83">
        <v>0</v>
      </c>
      <c r="F25" s="225" t="s">
        <v>74</v>
      </c>
      <c r="G25" s="226">
        <f>Budget_vm!E8</f>
        <v>28928.57</v>
      </c>
      <c r="I25" s="189" t="s">
        <v>237</v>
      </c>
      <c r="J25" s="190"/>
      <c r="K25" s="191"/>
      <c r="L25" s="191"/>
      <c r="M25" s="191"/>
      <c r="N25" s="192"/>
    </row>
    <row r="26" spans="2:14">
      <c r="B26" s="68" t="s">
        <v>238</v>
      </c>
      <c r="C26" s="73">
        <f>+D26*'Unit Mix_vm'!$D$15</f>
        <v>0</v>
      </c>
      <c r="D26" s="83">
        <v>0</v>
      </c>
      <c r="F26" s="56" t="s">
        <v>93</v>
      </c>
      <c r="G26" s="223">
        <f>Budget_vm!E67</f>
        <v>157559.52380952382</v>
      </c>
      <c r="I26" s="179" t="s">
        <v>239</v>
      </c>
      <c r="J26" s="173"/>
      <c r="K26" s="174"/>
      <c r="L26" s="182">
        <v>50</v>
      </c>
      <c r="M26" s="180">
        <f>L26*'Unit Mix_vm'!$D$15*12*5%</f>
        <v>8820</v>
      </c>
      <c r="N26" s="181">
        <f>M26/'Unit Mix_vm'!$D$15</f>
        <v>30</v>
      </c>
    </row>
    <row r="27" spans="2:14">
      <c r="B27" s="68" t="s">
        <v>237</v>
      </c>
      <c r="C27" s="73">
        <f>+D27*'Unit Mix_vm'!$D$15</f>
        <v>175560</v>
      </c>
      <c r="D27" s="129">
        <f>N32</f>
        <v>597.14285714285711</v>
      </c>
      <c r="F27" s="225" t="s">
        <v>62</v>
      </c>
      <c r="G27" s="224">
        <f>SUM(G25:G26)</f>
        <v>186488.09380952382</v>
      </c>
      <c r="I27" s="179" t="s">
        <v>240</v>
      </c>
      <c r="J27" s="173"/>
      <c r="K27" s="174"/>
      <c r="L27" s="182">
        <v>75</v>
      </c>
      <c r="M27" s="180">
        <f>L27*12</f>
        <v>900</v>
      </c>
      <c r="N27" s="181">
        <f>M27/'Unit Mix_vm'!$D$15</f>
        <v>3.0612244897959182</v>
      </c>
    </row>
    <row r="28" spans="2:14">
      <c r="B28" s="68" t="s">
        <v>214</v>
      </c>
      <c r="C28" s="73">
        <f>+D28*'Unit Mix_vm'!$D$15</f>
        <v>247704</v>
      </c>
      <c r="D28" s="129">
        <f>N24</f>
        <v>842.53061224489795</v>
      </c>
      <c r="F28" s="59" t="s">
        <v>73</v>
      </c>
      <c r="G28" s="227">
        <f>G27/G9</f>
        <v>0.92320838519566251</v>
      </c>
      <c r="I28" s="179" t="s">
        <v>241</v>
      </c>
      <c r="J28" s="173"/>
      <c r="K28" s="174"/>
      <c r="L28" s="172">
        <v>5000</v>
      </c>
      <c r="M28" s="180">
        <f>L28*12</f>
        <v>60000</v>
      </c>
      <c r="N28" s="181">
        <f>M28/'Unit Mix_vm'!$D$15</f>
        <v>204.08163265306123</v>
      </c>
    </row>
    <row r="29" spans="2:14">
      <c r="B29" s="68" t="s">
        <v>242</v>
      </c>
      <c r="C29" s="73">
        <f>+D29*'Unit Mix_vm'!$D$15</f>
        <v>73500</v>
      </c>
      <c r="D29" s="83">
        <v>250</v>
      </c>
      <c r="I29" s="179" t="s">
        <v>243</v>
      </c>
      <c r="J29" s="173"/>
      <c r="K29" s="174"/>
      <c r="L29" s="182">
        <v>30</v>
      </c>
      <c r="M29" s="180">
        <f>L29*'Unit Mix_vm'!$D$15*12</f>
        <v>105840</v>
      </c>
      <c r="N29" s="181">
        <f>M29/'Unit Mix_vm'!$D$15</f>
        <v>360</v>
      </c>
    </row>
    <row r="30" spans="2:14">
      <c r="B30" s="68" t="s">
        <v>244</v>
      </c>
      <c r="C30" s="73">
        <f>+D30*'Unit Mix_vm'!$D$15</f>
        <v>80850</v>
      </c>
      <c r="D30" s="83">
        <v>275</v>
      </c>
      <c r="I30" s="179" t="s">
        <v>245</v>
      </c>
      <c r="J30" s="173"/>
      <c r="K30" s="174"/>
      <c r="L30" s="182">
        <v>0</v>
      </c>
      <c r="M30" s="180">
        <f>L30*'Unit Mix_vm'!$D$15*12*5%</f>
        <v>0</v>
      </c>
      <c r="N30" s="181">
        <f>M30/'Unit Mix_vm'!$D$15</f>
        <v>0</v>
      </c>
    </row>
    <row r="31" spans="2:14">
      <c r="B31" s="68" t="s">
        <v>246</v>
      </c>
      <c r="C31" s="73">
        <f>+D31*'Unit Mix_vm'!$D$15</f>
        <v>8820</v>
      </c>
      <c r="D31" s="83">
        <v>30</v>
      </c>
      <c r="I31" s="179" t="s">
        <v>232</v>
      </c>
      <c r="J31" s="173"/>
      <c r="K31" s="174"/>
      <c r="L31" s="172">
        <v>0</v>
      </c>
      <c r="M31" s="180">
        <f t="shared" ref="M31" si="2">L31*12</f>
        <v>0</v>
      </c>
      <c r="N31" s="181">
        <f>M31/'Unit Mix_vm'!$D$15</f>
        <v>0</v>
      </c>
    </row>
    <row r="32" spans="2:14">
      <c r="B32" s="68" t="s">
        <v>247</v>
      </c>
      <c r="C32" s="73">
        <f>+D32*'Unit Mix_vm'!$D$15</f>
        <v>102900</v>
      </c>
      <c r="D32" s="83">
        <v>350</v>
      </c>
      <c r="I32" s="183" t="s">
        <v>248</v>
      </c>
      <c r="J32" s="184"/>
      <c r="K32" s="185"/>
      <c r="L32" s="185"/>
      <c r="M32" s="171">
        <f>SUM(M26:M31)</f>
        <v>175560</v>
      </c>
      <c r="N32" s="186">
        <f>M32/'Unit Mix_vm'!$D$15</f>
        <v>597.14285714285711</v>
      </c>
    </row>
    <row r="33" spans="2:15">
      <c r="B33" s="68" t="s">
        <v>249</v>
      </c>
      <c r="C33" s="73">
        <f>+D33*'Unit Mix_vm'!$D$15</f>
        <v>438440.04</v>
      </c>
      <c r="D33" s="129">
        <f>N46</f>
        <v>1491.2926530612244</v>
      </c>
      <c r="F33" s="30"/>
      <c r="I33" s="189" t="s">
        <v>249</v>
      </c>
      <c r="J33" s="190"/>
      <c r="K33" s="191"/>
      <c r="L33" s="191"/>
      <c r="M33" s="191"/>
      <c r="N33" s="192"/>
    </row>
    <row r="34" spans="2:15">
      <c r="B34" s="68" t="s">
        <v>250</v>
      </c>
      <c r="C34" s="73">
        <f>+D34*'Unit Mix_vm'!$D$15</f>
        <v>58800</v>
      </c>
      <c r="D34" s="83">
        <v>200</v>
      </c>
      <c r="I34" s="193" t="s">
        <v>251</v>
      </c>
      <c r="J34" s="173"/>
      <c r="K34" s="194">
        <v>35</v>
      </c>
      <c r="L34" s="195">
        <v>2080</v>
      </c>
      <c r="M34" s="196">
        <f>K34*L34</f>
        <v>72800</v>
      </c>
      <c r="N34" s="197">
        <f>M34/'Unit Mix_vm'!$D$15</f>
        <v>247.61904761904762</v>
      </c>
    </row>
    <row r="35" spans="2:15">
      <c r="B35" s="68" t="s">
        <v>252</v>
      </c>
      <c r="C35" s="73">
        <f>+D35*'Unit Mix_vm'!$D$15</f>
        <v>44100</v>
      </c>
      <c r="D35" s="83">
        <v>150</v>
      </c>
      <c r="I35" s="198" t="s">
        <v>253</v>
      </c>
      <c r="J35" s="173"/>
      <c r="K35" s="172"/>
      <c r="L35" s="199">
        <v>0.2</v>
      </c>
      <c r="M35" s="196">
        <f>M34*L35</f>
        <v>14560</v>
      </c>
      <c r="N35" s="197">
        <f>M35/'Unit Mix_vm'!$D$15</f>
        <v>49.523809523809526</v>
      </c>
    </row>
    <row r="36" spans="2:15">
      <c r="B36" s="68" t="s">
        <v>254</v>
      </c>
      <c r="C36" s="73">
        <f>+D36*'Unit Mix_vm'!$D$15</f>
        <v>0</v>
      </c>
      <c r="D36" s="83">
        <v>0</v>
      </c>
      <c r="I36" s="193" t="s">
        <v>255</v>
      </c>
      <c r="J36" s="173"/>
      <c r="K36" s="194">
        <v>25</v>
      </c>
      <c r="L36" s="195">
        <v>2080</v>
      </c>
      <c r="M36" s="196">
        <f>K36*L36</f>
        <v>52000</v>
      </c>
      <c r="N36" s="197">
        <f>M36/'Unit Mix_vm'!$D$15</f>
        <v>176.87074829931973</v>
      </c>
    </row>
    <row r="37" spans="2:15">
      <c r="B37" s="69" t="s">
        <v>256</v>
      </c>
      <c r="C37" s="65">
        <f>+SUM(C22:C36)</f>
        <v>2236020.1896000002</v>
      </c>
      <c r="D37" s="72">
        <f>IFERROR(C37/'Unit Mix_vm'!$D$15,0)</f>
        <v>7605.5108489795921</v>
      </c>
      <c r="I37" s="198" t="s">
        <v>253</v>
      </c>
      <c r="J37" s="173"/>
      <c r="K37" s="172"/>
      <c r="L37" s="199">
        <v>0</v>
      </c>
      <c r="M37" s="196">
        <f>M36*L37</f>
        <v>0</v>
      </c>
      <c r="N37" s="197">
        <f>M37/'Unit Mix_vm'!$D$15</f>
        <v>0</v>
      </c>
    </row>
    <row r="38" spans="2:15">
      <c r="B38" s="56"/>
      <c r="C38" s="64"/>
      <c r="D38" s="57"/>
      <c r="I38" s="193" t="s">
        <v>257</v>
      </c>
      <c r="J38" s="173"/>
      <c r="K38" s="194">
        <v>20</v>
      </c>
      <c r="L38" s="195">
        <v>2080</v>
      </c>
      <c r="M38" s="196">
        <f>K38*L38</f>
        <v>41600</v>
      </c>
      <c r="N38" s="197">
        <f>M38/'Unit Mix_vm'!$D$15</f>
        <v>141.49659863945578</v>
      </c>
    </row>
    <row r="39" spans="2:15">
      <c r="B39" s="68" t="s">
        <v>258</v>
      </c>
      <c r="C39" s="64">
        <f>+C20-C37</f>
        <v>4051503.6504000006</v>
      </c>
      <c r="D39" s="71">
        <f>IFERROR(C39/#REF!,0)</f>
        <v>0</v>
      </c>
      <c r="I39" s="193" t="s">
        <v>259</v>
      </c>
      <c r="J39" s="173"/>
      <c r="K39" s="194">
        <v>0</v>
      </c>
      <c r="L39" s="195">
        <v>0</v>
      </c>
      <c r="M39" s="196">
        <f>K39*L39</f>
        <v>0</v>
      </c>
      <c r="N39" s="197">
        <f>M39/'Unit Mix_vm'!$D$15</f>
        <v>0</v>
      </c>
    </row>
    <row r="40" spans="2:15">
      <c r="B40" s="70" t="s">
        <v>260</v>
      </c>
      <c r="C40" s="66">
        <f>IFERROR(C39/C20,0)</f>
        <v>0.64437189480302637</v>
      </c>
      <c r="D40" s="57"/>
      <c r="I40" s="193" t="s">
        <v>261</v>
      </c>
      <c r="J40" s="173"/>
      <c r="K40" s="194">
        <v>32</v>
      </c>
      <c r="L40" s="195">
        <v>2080</v>
      </c>
      <c r="M40" s="196">
        <f>K40*L40</f>
        <v>66560</v>
      </c>
      <c r="N40" s="197">
        <f>M40/'Unit Mix_vm'!$D$15</f>
        <v>226.39455782312925</v>
      </c>
    </row>
    <row r="41" spans="2:15">
      <c r="B41" s="56"/>
      <c r="C41" s="56"/>
      <c r="D41" s="57"/>
      <c r="I41" s="198" t="s">
        <v>253</v>
      </c>
      <c r="J41" s="173"/>
      <c r="K41" s="172"/>
      <c r="L41" s="199">
        <v>0.1</v>
      </c>
      <c r="M41" s="196">
        <f>M40*L41</f>
        <v>6656</v>
      </c>
      <c r="N41" s="197">
        <f>M41/'Unit Mix_vm'!$D$15</f>
        <v>22.639455782312925</v>
      </c>
    </row>
    <row r="42" spans="2:15">
      <c r="B42" s="62" t="s">
        <v>262</v>
      </c>
      <c r="C42" s="67">
        <f ca="1">C39/Budget_vm!D86</f>
        <v>5.8095869451982425E-2</v>
      </c>
      <c r="D42" s="63"/>
      <c r="I42" s="193" t="s">
        <v>263</v>
      </c>
      <c r="J42" s="173"/>
      <c r="K42" s="194">
        <v>20</v>
      </c>
      <c r="L42" s="195">
        <v>2080</v>
      </c>
      <c r="M42" s="196">
        <f>K42*L42</f>
        <v>41600</v>
      </c>
      <c r="N42" s="197">
        <f>M42/'Unit Mix_vm'!$D$15</f>
        <v>141.49659863945578</v>
      </c>
    </row>
    <row r="43" spans="2:15">
      <c r="I43" s="193" t="s">
        <v>264</v>
      </c>
      <c r="J43" s="173"/>
      <c r="K43" s="194">
        <v>0</v>
      </c>
      <c r="L43" s="195">
        <v>0</v>
      </c>
      <c r="M43" s="196">
        <f>K43*L43</f>
        <v>0</v>
      </c>
      <c r="N43" s="197">
        <f>M43/'Unit Mix_vm'!$D$15</f>
        <v>0</v>
      </c>
    </row>
    <row r="44" spans="2:15">
      <c r="I44" s="193" t="s">
        <v>265</v>
      </c>
      <c r="J44" s="173"/>
      <c r="K44" s="172"/>
      <c r="L44" s="203">
        <v>150</v>
      </c>
      <c r="M44" s="196">
        <f>L44*'Unit Mix_vm'!D15</f>
        <v>44100</v>
      </c>
      <c r="N44" s="197">
        <f>M44/'Unit Mix_vm'!$D$15</f>
        <v>150</v>
      </c>
    </row>
    <row r="45" spans="2:15">
      <c r="I45" s="193" t="s">
        <v>266</v>
      </c>
      <c r="J45" s="173"/>
      <c r="K45" s="172"/>
      <c r="L45" s="199">
        <v>0.28999999999999998</v>
      </c>
      <c r="M45" s="196">
        <f>SUM(M34:M44)*L45</f>
        <v>98564.04</v>
      </c>
      <c r="N45" s="197">
        <f>M45/'Unit Mix_vm'!$D$15</f>
        <v>335.25183673469388</v>
      </c>
    </row>
    <row r="46" spans="2:15">
      <c r="I46" s="200" t="s">
        <v>267</v>
      </c>
      <c r="J46" s="184"/>
      <c r="K46" s="184"/>
      <c r="L46" s="184"/>
      <c r="M46" s="201">
        <f>SUM(M34:M45)</f>
        <v>438440.04</v>
      </c>
      <c r="N46" s="202">
        <f>M46/'Unit Mix_vm'!$D$15</f>
        <v>1491.2926530612244</v>
      </c>
      <c r="O46" s="238"/>
    </row>
    <row r="48" spans="2:15">
      <c r="I48" s="189" t="s">
        <v>209</v>
      </c>
      <c r="J48" s="229" t="s">
        <v>37</v>
      </c>
      <c r="K48" s="229" t="s">
        <v>36</v>
      </c>
      <c r="L48" s="229" t="s">
        <v>212</v>
      </c>
      <c r="M48" s="229" t="s">
        <v>62</v>
      </c>
      <c r="N48" s="230" t="s">
        <v>268</v>
      </c>
    </row>
    <row r="49" spans="9:16">
      <c r="I49" s="193" t="s">
        <v>269</v>
      </c>
      <c r="J49" s="251">
        <v>1</v>
      </c>
      <c r="K49" s="252">
        <f>'Unit Mix_vm'!$D$15</f>
        <v>294</v>
      </c>
      <c r="L49" s="182">
        <v>65</v>
      </c>
      <c r="M49" s="180">
        <f>L49*K49*J49*12</f>
        <v>229320</v>
      </c>
      <c r="N49" s="253">
        <f>M49/'Unit Mix_vm'!$D$15/12</f>
        <v>65</v>
      </c>
      <c r="O49" s="36"/>
      <c r="P49" s="239"/>
    </row>
    <row r="50" spans="9:16">
      <c r="I50" s="193" t="s">
        <v>270</v>
      </c>
      <c r="J50" s="251">
        <v>1</v>
      </c>
      <c r="K50" s="252">
        <f>'Unit Mix_vm'!$D$15</f>
        <v>294</v>
      </c>
      <c r="L50" s="182">
        <v>70</v>
      </c>
      <c r="M50" s="180">
        <f t="shared" ref="M50:M55" si="3">L50*K50*J50*12</f>
        <v>246960</v>
      </c>
      <c r="N50" s="253">
        <f>M50/'Unit Mix_vm'!$D$15/12</f>
        <v>70</v>
      </c>
    </row>
    <row r="51" spans="9:16">
      <c r="I51" s="193" t="s">
        <v>223</v>
      </c>
      <c r="J51" s="251">
        <v>1</v>
      </c>
      <c r="K51" s="252">
        <f>'Unit Mix_vm'!$D$15</f>
        <v>294</v>
      </c>
      <c r="L51" s="182">
        <v>25</v>
      </c>
      <c r="M51" s="180">
        <f t="shared" si="3"/>
        <v>88200</v>
      </c>
      <c r="N51" s="253">
        <f>M51/'Unit Mix_vm'!$D$15/12</f>
        <v>25</v>
      </c>
    </row>
    <row r="52" spans="9:16">
      <c r="I52" s="193" t="s">
        <v>219</v>
      </c>
      <c r="J52" s="251">
        <v>1</v>
      </c>
      <c r="K52" s="252">
        <f>'Unit Mix_vm'!$D$15</f>
        <v>294</v>
      </c>
      <c r="L52" s="182">
        <v>5</v>
      </c>
      <c r="M52" s="180">
        <f t="shared" si="3"/>
        <v>17640</v>
      </c>
      <c r="N52" s="253">
        <f>M52/'Unit Mix_vm'!$D$15/12</f>
        <v>5</v>
      </c>
    </row>
    <row r="53" spans="9:16">
      <c r="I53" s="193" t="s">
        <v>243</v>
      </c>
      <c r="J53" s="251">
        <v>0.9</v>
      </c>
      <c r="K53" s="252">
        <f>'Unit Mix_vm'!$D$15</f>
        <v>294</v>
      </c>
      <c r="L53" s="254">
        <f>$L$29</f>
        <v>30</v>
      </c>
      <c r="M53" s="180">
        <f t="shared" si="3"/>
        <v>95256</v>
      </c>
      <c r="N53" s="253">
        <f>M53/'Unit Mix_vm'!$D$15/12</f>
        <v>27</v>
      </c>
    </row>
    <row r="54" spans="9:16">
      <c r="I54" s="193" t="s">
        <v>271</v>
      </c>
      <c r="J54" s="251">
        <v>1</v>
      </c>
      <c r="K54" s="255">
        <v>32</v>
      </c>
      <c r="L54" s="256">
        <v>55</v>
      </c>
      <c r="M54" s="180">
        <f t="shared" si="3"/>
        <v>21120</v>
      </c>
      <c r="N54" s="253">
        <f>M54/'Unit Mix_vm'!$D$15/12</f>
        <v>5.9863945578231288</v>
      </c>
    </row>
    <row r="55" spans="9:16">
      <c r="I55" s="193" t="s">
        <v>272</v>
      </c>
      <c r="J55" s="251">
        <v>1</v>
      </c>
      <c r="K55" s="255">
        <v>0</v>
      </c>
      <c r="L55" s="256">
        <v>200</v>
      </c>
      <c r="M55" s="180">
        <f t="shared" si="3"/>
        <v>0</v>
      </c>
      <c r="N55" s="253">
        <f>M55/'Unit Mix_vm'!$D$15/12</f>
        <v>0</v>
      </c>
    </row>
    <row r="56" spans="9:16">
      <c r="I56" s="193" t="s">
        <v>273</v>
      </c>
      <c r="J56" s="251">
        <v>1</v>
      </c>
      <c r="K56" s="252">
        <f>'Unit Mix_vm'!$D$15</f>
        <v>294</v>
      </c>
      <c r="L56" s="182">
        <v>0</v>
      </c>
      <c r="M56" s="180">
        <f t="shared" ref="M56" si="4">L56*K56*J56*12</f>
        <v>0</v>
      </c>
      <c r="N56" s="253">
        <f>M56/'Unit Mix_vm'!$D$15/12</f>
        <v>0</v>
      </c>
    </row>
    <row r="57" spans="9:16">
      <c r="I57" s="232" t="s">
        <v>274</v>
      </c>
      <c r="J57" s="233"/>
      <c r="K57" s="234"/>
      <c r="L57" s="235"/>
      <c r="M57" s="128">
        <f>SUM(M49:M56)</f>
        <v>698496</v>
      </c>
      <c r="N57" s="236">
        <f>M57/'Unit Mix_vm'!$D$15/12</f>
        <v>197.98639455782313</v>
      </c>
    </row>
  </sheetData>
  <hyperlinks>
    <hyperlink ref="J8" r:id="rId1" location="/search/ELLIS%20ROAD%20COMMERICAL%20LP" xr:uid="{43424FCD-3A90-4431-8146-249EBB9E50B1}"/>
    <hyperlink ref="J9" r:id="rId2" location="/search/ELEVATE%20AT%20THE%20PARK%20LLC" xr:uid="{43532E25-BA2F-4D7C-84FC-EC439708F4BC}"/>
    <hyperlink ref="J10" r:id="rId3" location="/search/FOXWOOD%20CROSSING%20SPE%20LLC" xr:uid="{4D67BB3D-E992-4F06-B94C-3152037D2D9E}"/>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276</v>
      </c>
    </row>
    <row r="3" spans="2:2" ht="130.9">
      <c r="B3" s="77" t="s">
        <v>277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278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279</v>
      </c>
      <c r="D6" s="89" t="s">
        <v>280</v>
      </c>
      <c r="E6" s="89" t="s">
        <v>281</v>
      </c>
      <c r="F6" s="89" t="s">
        <v>282</v>
      </c>
      <c r="G6" s="89" t="s">
        <v>283</v>
      </c>
      <c r="H6" s="89" t="s">
        <v>284</v>
      </c>
      <c r="I6" s="89" t="s">
        <v>285</v>
      </c>
      <c r="J6" s="89" t="s">
        <v>286</v>
      </c>
      <c r="K6" s="89" t="s">
        <v>287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288</v>
      </c>
      <c r="C8"/>
      <c r="D8"/>
      <c r="E8"/>
      <c r="F8"/>
      <c r="G8"/>
      <c r="H8"/>
      <c r="I8"/>
      <c r="J8"/>
      <c r="K8"/>
      <c r="L8"/>
      <c r="M8" s="111" t="s">
        <v>289</v>
      </c>
      <c r="N8" s="111" t="s">
        <v>289</v>
      </c>
      <c r="O8" s="111" t="s">
        <v>289</v>
      </c>
      <c r="P8" s="111" t="s">
        <v>289</v>
      </c>
      <c r="Q8" s="111" t="s">
        <v>289</v>
      </c>
      <c r="R8" s="111" t="s">
        <v>289</v>
      </c>
      <c r="S8" s="111" t="s">
        <v>289</v>
      </c>
      <c r="T8" s="111" t="s">
        <v>289</v>
      </c>
      <c r="U8" s="111" t="s">
        <v>289</v>
      </c>
      <c r="V8" s="111" t="s">
        <v>289</v>
      </c>
      <c r="W8" s="111" t="s">
        <v>289</v>
      </c>
      <c r="X8" s="111" t="s">
        <v>289</v>
      </c>
      <c r="Y8" s="111" t="s">
        <v>289</v>
      </c>
      <c r="Z8" s="111" t="s">
        <v>289</v>
      </c>
      <c r="AA8" s="111" t="s">
        <v>289</v>
      </c>
      <c r="AB8" s="111" t="s">
        <v>289</v>
      </c>
      <c r="AC8" s="111" t="s">
        <v>289</v>
      </c>
      <c r="AD8" s="111" t="s">
        <v>289</v>
      </c>
      <c r="AE8" s="111" t="s">
        <v>289</v>
      </c>
      <c r="AF8" s="111" t="s">
        <v>289</v>
      </c>
      <c r="AG8" s="111" t="s">
        <v>289</v>
      </c>
      <c r="AH8" s="111" t="s">
        <v>289</v>
      </c>
      <c r="AI8" s="111" t="s">
        <v>289</v>
      </c>
      <c r="AJ8" s="111" t="s">
        <v>289</v>
      </c>
      <c r="AK8" s="111" t="s">
        <v>289</v>
      </c>
      <c r="AL8" s="111" t="s">
        <v>289</v>
      </c>
      <c r="AM8" s="111" t="s">
        <v>289</v>
      </c>
      <c r="AN8" s="111" t="s">
        <v>289</v>
      </c>
      <c r="AO8" s="111" t="s">
        <v>289</v>
      </c>
      <c r="AP8" s="111" t="s">
        <v>289</v>
      </c>
      <c r="AQ8" s="111" t="s">
        <v>289</v>
      </c>
      <c r="AR8" s="111" t="s">
        <v>289</v>
      </c>
      <c r="AS8" s="111" t="s">
        <v>289</v>
      </c>
      <c r="AT8" s="111" t="s">
        <v>289</v>
      </c>
      <c r="AU8" s="111" t="s">
        <v>289</v>
      </c>
      <c r="AV8" s="111" t="s">
        <v>289</v>
      </c>
      <c r="AW8" s="111" t="s">
        <v>289</v>
      </c>
      <c r="AX8" s="111" t="s">
        <v>289</v>
      </c>
      <c r="AY8" s="111" t="s">
        <v>289</v>
      </c>
      <c r="AZ8" s="111" t="s">
        <v>289</v>
      </c>
      <c r="BA8" s="111" t="s">
        <v>289</v>
      </c>
      <c r="BB8" s="111" t="s">
        <v>289</v>
      </c>
      <c r="BC8" s="111" t="s">
        <v>289</v>
      </c>
      <c r="BD8" s="111" t="s">
        <v>289</v>
      </c>
      <c r="BE8" s="111" t="s">
        <v>289</v>
      </c>
      <c r="BF8" s="111" t="s">
        <v>289</v>
      </c>
      <c r="BG8" s="111" t="s">
        <v>289</v>
      </c>
      <c r="BH8" s="111" t="s">
        <v>289</v>
      </c>
      <c r="BI8" s="111" t="s">
        <v>289</v>
      </c>
      <c r="BJ8" s="111" t="s">
        <v>289</v>
      </c>
      <c r="BK8" s="111" t="s">
        <v>289</v>
      </c>
      <c r="BL8" s="111" t="s">
        <v>289</v>
      </c>
      <c r="BM8" s="111" t="s">
        <v>289</v>
      </c>
      <c r="BN8" s="111" t="s">
        <v>289</v>
      </c>
      <c r="BO8" s="111" t="s">
        <v>289</v>
      </c>
      <c r="BP8" s="111" t="s">
        <v>289</v>
      </c>
      <c r="BQ8" s="111" t="s">
        <v>289</v>
      </c>
      <c r="BR8" s="111" t="s">
        <v>289</v>
      </c>
      <c r="BS8" s="111" t="s">
        <v>289</v>
      </c>
      <c r="BT8" s="111" t="s">
        <v>289</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88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98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99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108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138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149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148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158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159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165</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166</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167</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297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298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172</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173</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174</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177</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179</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181</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299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288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304</v>
      </c>
      <c r="C11" s="96" t="s">
        <v>305</v>
      </c>
      <c r="D11" s="96" t="s">
        <v>306</v>
      </c>
      <c r="E11" s="96" t="s">
        <v>78</v>
      </c>
      <c r="F11" s="96" t="s">
        <v>307</v>
      </c>
      <c r="G11" s="96" t="s">
        <v>308</v>
      </c>
      <c r="H11" s="97" t="s">
        <v>309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310</v>
      </c>
      <c r="C12" s="49">
        <f>IFERROR(XIRR(C66:BJ66,C6:BJ6,0),0)</f>
        <v>0</v>
      </c>
      <c r="D12" s="49">
        <f>IFERROR(XIRR(C112:BJ112,C6:BJ6,0),0)</f>
        <v>0</v>
      </c>
      <c r="E12" s="49">
        <f>IFERROR(XIRR(C122:BJ122,C6:BJ6,0),0)</f>
        <v>0</v>
      </c>
      <c r="F12" s="49">
        <f>IFERROR(XIRR(C256:BJ256,C6:BJ6,0),0)</f>
        <v>0</v>
      </c>
      <c r="G12" s="49">
        <f>IFERROR(XIRR(C247:BJ247,C6:BJ6,0),0)</f>
        <v>0</v>
      </c>
      <c r="H12" s="49" t="s">
        <v>311</v>
      </c>
      <c r="I12"/>
      <c r="J12" s="113" t="s">
        <v>312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313</v>
      </c>
      <c r="C13" s="98">
        <f>IFERROR(C15/C14,0)</f>
        <v>0</v>
      </c>
      <c r="D13" s="98">
        <f t="shared" ref="D13:G13" si="59">IFERROR(D15/D14,0)</f>
        <v>0</v>
      </c>
      <c r="E13" s="98">
        <f t="shared" si="59"/>
        <v>0</v>
      </c>
      <c r="F13" s="98">
        <f t="shared" si="59"/>
        <v>0</v>
      </c>
      <c r="G13" s="98">
        <f t="shared" si="59"/>
        <v>0</v>
      </c>
      <c r="H13" s="98" t="s">
        <v>311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314</v>
      </c>
      <c r="C14" s="36" t="e">
        <f>-SUM(C58:BJ58)</f>
        <v>#REF!</v>
      </c>
      <c r="D14" s="36" t="e">
        <f>-SUM(C108:BJ108)</f>
        <v>#REF!</v>
      </c>
      <c r="E14" s="36">
        <f>-SUM(C118:BJ118)</f>
        <v>0</v>
      </c>
      <c r="F14" s="36">
        <f>-SUM(C250:BJ250)</f>
        <v>0</v>
      </c>
      <c r="G14" s="36">
        <f>-SUM(C241:BJ241)</f>
        <v>0</v>
      </c>
      <c r="H14" s="36" t="s">
        <v>311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316</v>
      </c>
      <c r="C16" s="36" t="e">
        <f>+C15-C14</f>
        <v>#REF!</v>
      </c>
      <c r="D16" s="36" t="e">
        <f t="shared" ref="D16:G16" si="60">+D15-D14</f>
        <v>#REF!</v>
      </c>
      <c r="E16" s="36" t="e">
        <f t="shared" si="60"/>
        <v>#REF!</v>
      </c>
      <c r="F16" s="36" t="e">
        <f t="shared" si="60"/>
        <v>#REF!</v>
      </c>
      <c r="G16" s="36" t="e">
        <f t="shared" si="60"/>
        <v>#REF!</v>
      </c>
      <c r="H16" s="36" t="s">
        <v>311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317</v>
      </c>
      <c r="C18" s="74" t="s">
        <v>318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319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320</v>
      </c>
      <c r="C20" s="23" t="s">
        <v>321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322</v>
      </c>
      <c r="C21" s="50">
        <v>1</v>
      </c>
      <c r="D21" s="24" t="s">
        <v>323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326</v>
      </c>
      <c r="C30" s="74" t="s">
        <v>70</v>
      </c>
      <c r="D30" s="74" t="s">
        <v>37</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308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307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62</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327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328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329</v>
      </c>
      <c r="C38" s="74" t="s">
        <v>70</v>
      </c>
      <c r="D38" s="74" t="s">
        <v>71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337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338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189</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339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308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307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338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339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348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349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349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357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347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358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359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347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367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62</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368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308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307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369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347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349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349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377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378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349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379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349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347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387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388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389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389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347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397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398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399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347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398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399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407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408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409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347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367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62</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417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367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62</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369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367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62</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309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409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62</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418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419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299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288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426</v>
      </c>
      <c r="D11" s="96" t="s">
        <v>427</v>
      </c>
      <c r="E11" s="96" t="s">
        <v>428</v>
      </c>
      <c r="F11" s="96" t="s">
        <v>429</v>
      </c>
      <c r="G11" s="97" t="s">
        <v>430</v>
      </c>
      <c r="H11"/>
      <c r="I11" s="114" t="s">
        <v>431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310</v>
      </c>
      <c r="C12" s="49">
        <f>IFERROR(XIRR(C39:BJ39,C6:BJ6,0),0)</f>
        <v>0</v>
      </c>
      <c r="D12" s="49">
        <f>IFERROR(XIRR(C81:BJ81,C6:BJ6,0),0)</f>
        <v>0</v>
      </c>
      <c r="E12" s="49" t="s">
        <v>311</v>
      </c>
      <c r="F12" s="49">
        <f>IFERROR(XIRR(C107:BJ107,C6:BJ6,0),0)</f>
        <v>0</v>
      </c>
      <c r="G12" s="49">
        <f>IFERROR(XIRR(C101:BJ101,C6:BJ6,0),0)</f>
        <v>0</v>
      </c>
      <c r="H12" s="49"/>
      <c r="I12" t="s">
        <v>432</v>
      </c>
      <c r="J12"/>
      <c r="K12" s="36" t="e">
        <f>-SUM(C36:BJ36)</f>
        <v>#REF!</v>
      </c>
      <c r="L12"/>
      <c r="M12" s="113" t="s">
        <v>312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313</v>
      </c>
      <c r="C13" s="119">
        <f>IFERROR(C15/C14,0)</f>
        <v>0</v>
      </c>
      <c r="D13" s="119">
        <f t="shared" ref="D13:G13" si="2">IFERROR(D15/D14,0)</f>
        <v>0</v>
      </c>
      <c r="E13" s="119" t="s">
        <v>311</v>
      </c>
      <c r="F13" s="119">
        <f t="shared" si="2"/>
        <v>0</v>
      </c>
      <c r="G13" s="119">
        <f t="shared" si="2"/>
        <v>0</v>
      </c>
      <c r="H13" s="98"/>
      <c r="I13" t="s">
        <v>430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314</v>
      </c>
      <c r="C14" s="36">
        <f>-SUM(C32:BJ32)</f>
        <v>0</v>
      </c>
      <c r="D14" s="36">
        <f>-SUM(C77:BJ77)</f>
        <v>0</v>
      </c>
      <c r="E14" s="36" t="s">
        <v>311</v>
      </c>
      <c r="F14" s="36">
        <f>-SUM(C104:BJ104)</f>
        <v>0</v>
      </c>
      <c r="G14" s="36">
        <f>-SUM(C98:BJ98)</f>
        <v>0</v>
      </c>
      <c r="H14" s="36"/>
      <c r="I14" s="3" t="s">
        <v>433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316</v>
      </c>
      <c r="C16" s="36" t="e">
        <f>+C15-C14</f>
        <v>#REF!</v>
      </c>
      <c r="D16" s="36" t="e">
        <f>+D15-D14</f>
        <v>#REF!</v>
      </c>
      <c r="E16" s="36" t="s">
        <v>311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434</v>
      </c>
      <c r="C18" s="74" t="s">
        <v>70</v>
      </c>
      <c r="D18" s="74" t="s">
        <v>37</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429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62</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435</v>
      </c>
      <c r="C23" s="74" t="s">
        <v>318</v>
      </c>
      <c r="D23" s="74" t="s">
        <v>436</v>
      </c>
      <c r="E23" s="74" t="s">
        <v>437</v>
      </c>
      <c r="F23" s="74" t="s">
        <v>438</v>
      </c>
      <c r="G23" s="74" t="s">
        <v>439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447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349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448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349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449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347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62</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62</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62</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457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458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62</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459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457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458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62</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418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62</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299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S. Miami Blvd</v>
      </c>
      <c r="B1"/>
      <c r="C1"/>
      <c r="D1"/>
      <c r="E1"/>
      <c r="F1" s="5"/>
    </row>
    <row r="2" spans="1:7" ht="20.45" thickBot="1">
      <c r="A2" s="8" t="s">
        <v>462</v>
      </c>
      <c r="B2" s="2"/>
      <c r="C2" s="2"/>
      <c r="D2" s="2"/>
      <c r="E2" s="2"/>
      <c r="F2" s="5"/>
    </row>
    <row r="5" spans="1:7">
      <c r="A5" s="3"/>
      <c r="B5" s="3"/>
      <c r="C5" s="3"/>
      <c r="D5" s="3"/>
      <c r="E5" s="3"/>
      <c r="F5" s="5"/>
    </row>
    <row r="6" spans="1:7">
      <c r="A6"/>
      <c r="B6" s="11" t="s">
        <v>301</v>
      </c>
      <c r="C6" s="11" t="s">
        <v>463</v>
      </c>
      <c r="D6" s="11" t="s">
        <v>110</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925EE4B4-E307-41EE-9FB0-2152597E229F}"/>
</file>

<file path=customXml/itemProps2.xml><?xml version="1.0" encoding="utf-8"?>
<ds:datastoreItem xmlns:ds="http://schemas.openxmlformats.org/officeDocument/2006/customXml" ds:itemID="{49082EFF-04D5-4BF3-9159-A11267B5C375}"/>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
  <cp:revision/>
  <dcterms:created xsi:type="dcterms:W3CDTF">2024-03-25T15:55:55Z</dcterms:created>
  <dcterms:modified xsi:type="dcterms:W3CDTF">2026-04-27T19:31:34Z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