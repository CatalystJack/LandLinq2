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75 The Commons at Starwood/"/>
    </mc:Choice>
  </mc:AlternateContent>
  <xr:revisionPtr revIDLastSave="0" documentId="8_{FD4FE148-D0D8-4DAA-8694-6FCD4FDF2E3D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38" l="1"/>
  <c r="Q32" i="38" s="1"/>
  <c r="S31" i="38"/>
  <c r="S30" i="38"/>
  <c r="S29" i="38"/>
  <c r="S28" i="38"/>
  <c r="S27" i="38"/>
  <c r="O23" i="38"/>
  <c r="Q23" i="38" s="1"/>
  <c r="S22" i="38"/>
  <c r="S21" i="38"/>
  <c r="P21" i="38"/>
  <c r="S20" i="38"/>
  <c r="S19" i="38"/>
  <c r="S18" i="38"/>
  <c r="O14" i="38"/>
  <c r="P28" i="38" s="1"/>
  <c r="S13" i="38"/>
  <c r="S12" i="38"/>
  <c r="S11" i="38"/>
  <c r="S10" i="38"/>
  <c r="S9" i="38"/>
  <c r="S10" i="39"/>
  <c r="T10" i="39" s="1"/>
  <c r="R10" i="39"/>
  <c r="O10" i="39"/>
  <c r="R9" i="39"/>
  <c r="N9" i="39"/>
  <c r="S9" i="39" s="1"/>
  <c r="T9" i="39" s="1"/>
  <c r="R8" i="39"/>
  <c r="N8" i="39"/>
  <c r="S8" i="39" s="1"/>
  <c r="T8" i="39" s="1"/>
  <c r="M69" i="35"/>
  <c r="M68" i="35"/>
  <c r="M67" i="35"/>
  <c r="Q14" i="38" l="1"/>
  <c r="P30" i="38"/>
  <c r="P31" i="38"/>
  <c r="P19" i="38"/>
  <c r="P29" i="38"/>
  <c r="P12" i="38"/>
  <c r="P27" i="38"/>
  <c r="P22" i="38"/>
  <c r="P9" i="38"/>
  <c r="P14" i="38" s="1"/>
  <c r="P10" i="38"/>
  <c r="P20" i="38"/>
  <c r="R14" i="38"/>
  <c r="S14" i="38" s="1"/>
  <c r="P18" i="38"/>
  <c r="P11" i="38"/>
  <c r="P13" i="38"/>
  <c r="O8" i="39"/>
  <c r="O9" i="39"/>
  <c r="M17" i="39"/>
  <c r="P32" i="38" l="1"/>
  <c r="R32" i="38" s="1"/>
  <c r="S32" i="38" s="1"/>
  <c r="P23" i="38"/>
  <c r="R23" i="38" s="1"/>
  <c r="S23" i="38" s="1"/>
  <c r="P69" i="35"/>
  <c r="P68" i="35"/>
  <c r="P67" i="35"/>
  <c r="G9" i="38"/>
  <c r="N69" i="35" s="1"/>
  <c r="Q69" i="35" s="1"/>
  <c r="G8" i="38"/>
  <c r="N68" i="35" s="1"/>
  <c r="Q68" i="35" s="1"/>
  <c r="G7" i="38"/>
  <c r="N67" i="35" s="1"/>
  <c r="Q67" i="35" s="1"/>
  <c r="Q70" i="35" s="1"/>
  <c r="M56" i="39"/>
  <c r="M55" i="39"/>
  <c r="L54" i="39"/>
  <c r="G22" i="38" l="1"/>
  <c r="J22" i="38" s="1" a="1"/>
  <c r="J22" i="38" s="1"/>
  <c r="N70" i="35"/>
  <c r="P70" i="35" s="1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I22" i="38" l="1" a="1"/>
  <c r="I22" i="38" s="1"/>
  <c r="K22" i="38" s="1"/>
  <c r="O70" i="35"/>
  <c r="F67" i="35" s="1"/>
  <c r="M41" i="39"/>
  <c r="M35" i="39"/>
  <c r="N37" i="35" l="1"/>
  <c r="G15" i="38" l="1"/>
  <c r="M29" i="39" l="1"/>
  <c r="N29" i="39" s="1"/>
  <c r="M30" i="39"/>
  <c r="N30" i="39" s="1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K14" i="38"/>
  <c r="K13" i="38"/>
  <c r="K12" i="38"/>
  <c r="K11" i="38"/>
  <c r="K10" i="38"/>
  <c r="K9" i="38"/>
  <c r="K8" i="38"/>
  <c r="K7" i="38"/>
  <c r="A1" i="38"/>
  <c r="D78" i="35"/>
  <c r="N15" i="35"/>
  <c r="A1" i="35"/>
  <c r="J17" i="38" l="1" a="1"/>
  <c r="J17" i="38" s="1"/>
  <c r="G23" i="38"/>
  <c r="H22" i="38" s="1"/>
  <c r="D64" i="35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H17" i="38"/>
  <c r="I23" i="38" l="1"/>
  <c r="J23" i="38"/>
  <c r="F70" i="35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K17" i="38"/>
  <c r="E78" i="35"/>
  <c r="H23" i="38" l="1"/>
  <c r="J15" i="38"/>
  <c r="V39" i="35" s="1"/>
  <c r="K23" i="38"/>
  <c r="F64" i="35"/>
  <c r="F78" i="35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tc={E9DFD177-195C-422E-BCEE-11E4FD86EC35}</author>
  </authors>
  <commentList>
    <comment ref="D8" authorId="0" shapeId="0" xr:uid="{E9DFD177-195C-422E-BCEE-11E4FD86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figure out what actual box size 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<sst xmlns="http://schemas.openxmlformats.org/spreadsheetml/2006/main" count="903" uniqueCount="463">
  <si>
    <t>Global Assumptions</t>
  </si>
  <si>
    <t>Property Name</t>
  </si>
  <si>
    <t>The Commons at Starwood</t>
  </si>
  <si>
    <t>Project Type</t>
  </si>
  <si>
    <t>3-Story Walk-Up</t>
  </si>
  <si>
    <t>Market</t>
  </si>
  <si>
    <t>Nashville</t>
  </si>
  <si>
    <t xml:space="preserve">Notes: </t>
  </si>
  <si>
    <t>Submarket</t>
  </si>
  <si>
    <t>Antioch</t>
  </si>
  <si>
    <t>We have taken rent comps from both zillow and HelloData.</t>
  </si>
  <si>
    <t>Address</t>
  </si>
  <si>
    <t>Hobson Pike &amp; Murfreesboro Pike</t>
  </si>
  <si>
    <t>3rd comp is an individual property taken from Zillow. Year built is not available.</t>
  </si>
  <si>
    <t>City, State</t>
  </si>
  <si>
    <t>Nashville, TN</t>
  </si>
  <si>
    <t>We can increase the rents for our property as our property is bigger than our comps.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</si>
  <si>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</si>
  <si>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</si>
  <si>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</si>
  <si>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</si>
  <si>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</si>
  <si>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</si>
  <si>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</si>
  <si>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</si>
  <si>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</si>
  <si>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</si>
  <si>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</si>
  <si>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</si>
  <si>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</si>
  <si>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</si>
  <si>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</si>
  <si>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</si>
  <si>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</si>
  <si>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3 BR / 2.5 BA</t>
  </si>
  <si>
    <t>SFR</t>
  </si>
  <si>
    <t>30 x 42</t>
  </si>
  <si>
    <t>1)1104 Residences</t>
  </si>
  <si>
    <t>4 BR / 3.5 BA</t>
  </si>
  <si>
    <t>30 x 46</t>
  </si>
  <si>
    <t>SF</t>
  </si>
  <si>
    <t>Rent</t>
  </si>
  <si>
    <t>Rent PSF</t>
  </si>
  <si>
    <t>Single Family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</si>
  <si>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</si>
  <si>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</si>
  <si>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</si>
  <si>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</si>
  <si>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</si>
  <si>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</si>
  <si>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</si>
  <si>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</si>
  <si>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ACPF SPRING PATH ANTIOCH, LLC</t>
  </si>
  <si>
    <t>TH</t>
  </si>
  <si>
    <t>Link to Website</t>
  </si>
  <si>
    <t>1104 Residences</t>
  </si>
  <si>
    <t>Total</t>
  </si>
  <si>
    <t>2) Mountain Springs</t>
  </si>
  <si>
    <t>1 Bedroom</t>
  </si>
  <si>
    <t>2 Bedroom</t>
  </si>
  <si>
    <t>3 Bedroom</t>
  </si>
  <si>
    <t>Townhouse</t>
  </si>
  <si>
    <t>AMH MOUNTAIN SPRINGS DEVELOPMENT, LLC</t>
  </si>
  <si>
    <t>Mountain Springs</t>
  </si>
  <si>
    <t>3) 6240 Rocky Top Dr</t>
  </si>
  <si>
    <t>6240 Rocky Top Dr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</si>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</sst>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0" borderId="0" xfId="0" applyFont="1" applyAlignment="1">
      <alignment horizontal="center"/>
    </xf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8E22FEC2-622B-4B93-B0EA-96F86D4B0399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3-05T16:02:04.85" personId="{8E22FEC2-622B-4B93-B0EA-96F86D4B0399}" id="{E9DFD177-195C-422E-BCEE-11E4FD86EC35}">
    <text>Need to figure out what actual box size is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homedetails/6240-Rocky-Top-Dr-Antioch-TN-37013/41205252_zpid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ommunities.amh.com/communities/mountainsprings" TargetMode="External"/><Relationship Id="rId1" Type="http://schemas.openxmlformats.org/officeDocument/2006/relationships/hyperlink" Target="https://www.1104residences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ashville-tn.mygovonline.com/mod.php?mod=propertytax&amp;mode=public_view&amp;id=6152697&amp;title=" TargetMode="External"/><Relationship Id="rId2" Type="http://schemas.openxmlformats.org/officeDocument/2006/relationships/hyperlink" Target="https://nashville-tn.mygovonline.com/mod.php?mod=propertytax&amp;mode=public_lookup&amp;action=&amp;title=" TargetMode="External"/><Relationship Id="rId1" Type="http://schemas.openxmlformats.org/officeDocument/2006/relationships/hyperlink" Target="https://nashville-tn.mygovonline.com/mod.php?mod=propertytax&amp;mode=public_lookup&amp;action=&amp;title=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H16"/>
  <sheetViews>
    <sheetView showGridLines="0" zoomScale="115" zoomScaleNormal="115" workbookViewId="0">
      <selection activeCell="G18" sqref="G18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8" s="142" customFormat="1" ht="25.9">
      <c r="A1" s="145" t="str">
        <f>TEXT(C7,"")</f>
        <v>The Commons at Starwood</v>
      </c>
    </row>
    <row r="2" spans="1:8" s="142" customFormat="1" ht="19.899999999999999">
      <c r="A2" s="146" t="s">
        <v>0</v>
      </c>
    </row>
    <row r="6" spans="1:8">
      <c r="B6" s="123" t="s">
        <v>0</v>
      </c>
      <c r="C6" s="163"/>
    </row>
    <row r="7" spans="1:8">
      <c r="B7" s="56" t="s">
        <v>1</v>
      </c>
      <c r="C7" s="164" t="s">
        <v>2</v>
      </c>
    </row>
    <row r="8" spans="1:8">
      <c r="B8" s="56" t="s">
        <v>3</v>
      </c>
      <c r="C8" s="164" t="s">
        <v>4</v>
      </c>
    </row>
    <row r="9" spans="1:8">
      <c r="B9" s="56" t="s">
        <v>5</v>
      </c>
      <c r="C9" s="164" t="s">
        <v>6</v>
      </c>
      <c r="H9" s="1" t="s">
        <v>7</v>
      </c>
    </row>
    <row r="10" spans="1:8">
      <c r="B10" s="56" t="s">
        <v>8</v>
      </c>
      <c r="C10" s="164" t="s">
        <v>9</v>
      </c>
      <c r="G10" t="s">
        <v>10</v>
      </c>
    </row>
    <row r="11" spans="1:8">
      <c r="B11" s="56" t="s">
        <v>11</v>
      </c>
      <c r="C11" s="164" t="s">
        <v>12</v>
      </c>
      <c r="G11" t="s">
        <v>13</v>
      </c>
    </row>
    <row r="12" spans="1:8">
      <c r="B12" s="56" t="s">
        <v>14</v>
      </c>
      <c r="C12" s="164" t="s">
        <v>15</v>
      </c>
      <c r="G12" t="s">
        <v>16</v>
      </c>
    </row>
    <row r="13" spans="1:8">
      <c r="B13" s="56" t="s">
        <v>17</v>
      </c>
      <c r="C13" s="164">
        <v>37013</v>
      </c>
    </row>
    <row r="14" spans="1:8">
      <c r="B14" s="56" t="s">
        <v>18</v>
      </c>
      <c r="C14" s="164" t="s">
        <v>19</v>
      </c>
    </row>
    <row r="15" spans="1:8">
      <c r="B15" s="56"/>
      <c r="C15" s="57"/>
    </row>
    <row r="16" spans="1:8">
      <c r="B16" s="59" t="s">
        <v>20</v>
      </c>
      <c r="C16" s="165" t="s">
        <v>21</v>
      </c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6"/>
  <sheetViews>
    <sheetView showGridLines="0" zoomScale="85" zoomScaleNormal="85" workbookViewId="0">
      <pane ySplit="6" topLeftCell="A7" activePane="bottomLeft" state="frozen"/>
      <selection pane="bottomLeft" activeCell="C38" sqref="C38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40.85546875" style="208" bestFit="1" customWidth="1"/>
  </cols>
  <sheetData>
    <row r="1" spans="1:22" s="142" customFormat="1" ht="25.9">
      <c r="A1" s="145" t="str">
        <f>TEXT(Global!$C$7,"")</f>
        <v>The Commons at Starwood</v>
      </c>
      <c r="B1" s="205"/>
      <c r="U1" s="205"/>
      <c r="V1" s="205"/>
    </row>
    <row r="2" spans="1:22" s="142" customFormat="1" ht="19.899999999999999">
      <c r="A2" s="146" t="s">
        <v>22</v>
      </c>
      <c r="B2" s="205"/>
      <c r="U2" s="205"/>
      <c r="V2" s="205"/>
    </row>
    <row r="4" spans="1:22">
      <c r="B4" s="227" t="s">
        <v>23</v>
      </c>
      <c r="C4" s="252"/>
      <c r="D4" s="252"/>
      <c r="E4" s="252"/>
      <c r="F4" s="252"/>
      <c r="G4" s="253">
        <v>61</v>
      </c>
    </row>
    <row r="6" spans="1:22">
      <c r="B6" s="206" t="s">
        <v>24</v>
      </c>
      <c r="C6" s="156" t="s">
        <v>25</v>
      </c>
      <c r="D6" s="156" t="s">
        <v>26</v>
      </c>
      <c r="E6" s="156" t="s">
        <v>27</v>
      </c>
      <c r="F6" s="156" t="s">
        <v>28</v>
      </c>
      <c r="G6" s="156" t="s">
        <v>29</v>
      </c>
      <c r="H6" s="156" t="s">
        <v>30</v>
      </c>
      <c r="I6" s="156" t="s">
        <v>31</v>
      </c>
      <c r="J6" s="156" t="s">
        <v>32</v>
      </c>
      <c r="K6" s="157" t="s">
        <v>33</v>
      </c>
    </row>
    <row r="7" spans="1:22">
      <c r="B7" s="257" t="s">
        <v>34</v>
      </c>
      <c r="C7" s="24" t="s">
        <v>35</v>
      </c>
      <c r="D7" s="24" t="s">
        <v>36</v>
      </c>
      <c r="E7" s="24">
        <v>2</v>
      </c>
      <c r="F7" s="24">
        <v>3</v>
      </c>
      <c r="G7" s="251">
        <f>ROUND($G$4*$H7,0)</f>
        <v>18</v>
      </c>
      <c r="H7" s="256">
        <v>0.3</v>
      </c>
      <c r="I7" s="32">
        <v>2020</v>
      </c>
      <c r="J7" s="237">
        <v>2435</v>
      </c>
      <c r="K7" s="148">
        <f>IFERROR(J7/I7,0)</f>
        <v>1.2054455445544554</v>
      </c>
      <c r="N7" s="140" t="s">
        <v>37</v>
      </c>
      <c r="O7" s="170"/>
      <c r="P7" s="170"/>
      <c r="Q7" s="170"/>
      <c r="R7" s="170"/>
      <c r="S7" s="141"/>
    </row>
    <row r="8" spans="1:22">
      <c r="B8" s="257" t="s">
        <v>38</v>
      </c>
      <c r="C8" s="24" t="s">
        <v>35</v>
      </c>
      <c r="D8" s="265" t="s">
        <v>39</v>
      </c>
      <c r="E8" s="24">
        <v>2</v>
      </c>
      <c r="F8" s="24">
        <v>3</v>
      </c>
      <c r="G8" s="251">
        <f>ROUND($G$4*$H8,0)</f>
        <v>43</v>
      </c>
      <c r="H8" s="256">
        <v>0.7</v>
      </c>
      <c r="I8" s="32">
        <v>2600</v>
      </c>
      <c r="J8" s="237">
        <v>2690</v>
      </c>
      <c r="K8" s="148">
        <f t="shared" ref="K8:K14" si="0">IFERROR(J8/I8,0)</f>
        <v>1.0346153846153847</v>
      </c>
      <c r="N8" s="211" t="s">
        <v>25</v>
      </c>
      <c r="O8" s="212" t="s">
        <v>29</v>
      </c>
      <c r="P8" s="212" t="s">
        <v>30</v>
      </c>
      <c r="Q8" s="212" t="s">
        <v>40</v>
      </c>
      <c r="R8" s="212" t="s">
        <v>41</v>
      </c>
      <c r="S8" s="213" t="s">
        <v>42</v>
      </c>
      <c r="U8" s="218" t="s">
        <v>25</v>
      </c>
      <c r="V8" s="220" t="s">
        <v>43</v>
      </c>
    </row>
    <row r="9" spans="1:22">
      <c r="B9" s="257"/>
      <c r="C9" s="24"/>
      <c r="D9" s="24"/>
      <c r="E9" s="24"/>
      <c r="F9" s="24"/>
      <c r="G9" s="251">
        <f>ROUND($G$4*$H9,0)</f>
        <v>0</v>
      </c>
      <c r="H9" s="256"/>
      <c r="I9" s="32"/>
      <c r="J9" s="237"/>
      <c r="K9" s="148">
        <f t="shared" si="0"/>
        <v>0</v>
      </c>
      <c r="N9" s="56" t="s">
        <v>44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45</v>
      </c>
      <c r="V9" s="221">
        <v>2023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46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47</v>
      </c>
      <c r="V10" s="222">
        <v>0.105</v>
      </c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48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49</v>
      </c>
      <c r="V11" s="221"/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50</v>
      </c>
      <c r="O12" s="235"/>
      <c r="P12" s="204" t="e">
        <f t="shared" si="1"/>
        <v>#DIV/0!</v>
      </c>
      <c r="Q12" s="236">
        <v>1767</v>
      </c>
      <c r="R12" s="237">
        <v>2386</v>
      </c>
      <c r="S12" s="216">
        <f t="shared" si="2"/>
        <v>1.3503112620260329</v>
      </c>
      <c r="U12" s="193" t="s">
        <v>51</v>
      </c>
      <c r="V12" s="221" t="s">
        <v>52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53</v>
      </c>
      <c r="O13" s="235"/>
      <c r="P13" s="204" t="e">
        <f t="shared" si="1"/>
        <v>#DIV/0!</v>
      </c>
      <c r="Q13" s="236">
        <v>2000</v>
      </c>
      <c r="R13" s="237">
        <v>2900</v>
      </c>
      <c r="S13" s="216">
        <f t="shared" si="2"/>
        <v>1.45</v>
      </c>
      <c r="U13" s="219" t="s">
        <v>54</v>
      </c>
      <c r="V13" s="267" t="s">
        <v>55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56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56</v>
      </c>
      <c r="C15" s="22"/>
      <c r="D15" s="22"/>
      <c r="E15" s="22"/>
      <c r="F15" s="22"/>
      <c r="G15" s="149">
        <f>+SUM(G7:G14)</f>
        <v>61</v>
      </c>
      <c r="H15" s="150">
        <f>+SUM(H7:H14)</f>
        <v>1</v>
      </c>
      <c r="I15" s="149">
        <f>IFERROR(SUMPRODUCT(I7:I14,G7:G14)/G15,0)</f>
        <v>2428.8524590163934</v>
      </c>
      <c r="J15" s="151">
        <f>IFERROR(SUMPRODUCT(J7:J14,H7:H14)/H15,0)</f>
        <v>2613.5</v>
      </c>
      <c r="K15" s="152">
        <f>IFERROR(J15/I15,0)</f>
        <v>1.0760225431965442</v>
      </c>
    </row>
    <row r="16" spans="1:22">
      <c r="N16" s="140" t="s">
        <v>57</v>
      </c>
      <c r="O16" s="170"/>
      <c r="P16" s="170"/>
      <c r="Q16" s="170"/>
      <c r="R16" s="170"/>
      <c r="S16" s="141"/>
    </row>
    <row r="17" spans="2:22">
      <c r="B17" s="209" t="s">
        <v>44</v>
      </c>
      <c r="C17" s="3"/>
      <c r="D17" s="3"/>
      <c r="E17" s="3"/>
      <c r="F17" s="3"/>
      <c r="G17" s="153">
        <f t="shared" ref="G17:G22" si="3">SUMIF($C$7:$C$14,$B17,G$7:G$14)</f>
        <v>0</v>
      </c>
      <c r="H17" s="99">
        <f>IFERROR(G17/G$23,0)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25</v>
      </c>
      <c r="O17" s="212" t="s">
        <v>29</v>
      </c>
      <c r="P17" s="212" t="s">
        <v>30</v>
      </c>
      <c r="Q17" s="212" t="s">
        <v>40</v>
      </c>
      <c r="R17" s="212" t="s">
        <v>41</v>
      </c>
      <c r="S17" s="213" t="s">
        <v>42</v>
      </c>
      <c r="U17" s="218" t="s">
        <v>25</v>
      </c>
      <c r="V17" s="220" t="s">
        <v>43</v>
      </c>
    </row>
    <row r="18" spans="2:22">
      <c r="B18" s="210" t="s">
        <v>58</v>
      </c>
      <c r="G18" s="155">
        <f t="shared" si="3"/>
        <v>0</v>
      </c>
      <c r="H18" s="147">
        <f t="shared" ref="H18:H22" si="4">IFERROR(G18/G$23,0)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3" si="5">IFERROR(J18/I18,0)</f>
        <v>0</v>
      </c>
      <c r="N18" s="56" t="s">
        <v>44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45</v>
      </c>
      <c r="V18" s="221">
        <v>2019</v>
      </c>
    </row>
    <row r="19" spans="2:22">
      <c r="B19" s="210" t="s">
        <v>59</v>
      </c>
      <c r="G19" s="155">
        <f t="shared" si="3"/>
        <v>0</v>
      </c>
      <c r="H19" s="147">
        <f t="shared" si="4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5"/>
        <v>0</v>
      </c>
      <c r="N19" s="56" t="s">
        <v>46</v>
      </c>
      <c r="O19" s="235"/>
      <c r="P19" s="204" t="e">
        <f t="shared" ref="P19:P21" si="6">O19/$O$14</f>
        <v>#DIV/0!</v>
      </c>
      <c r="Q19" s="236"/>
      <c r="R19" s="237"/>
      <c r="S19" s="216" t="str">
        <f t="shared" ref="S19:S21" si="7">IFERROR(R19/Q19,"-")</f>
        <v>-</v>
      </c>
      <c r="U19" s="193" t="s">
        <v>47</v>
      </c>
      <c r="V19" s="222"/>
    </row>
    <row r="20" spans="2:22">
      <c r="B20" s="210" t="s">
        <v>60</v>
      </c>
      <c r="G20" s="155">
        <f t="shared" si="3"/>
        <v>0</v>
      </c>
      <c r="H20" s="147">
        <f t="shared" si="4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5"/>
        <v>0</v>
      </c>
      <c r="N20" s="56" t="s">
        <v>48</v>
      </c>
      <c r="O20" s="235"/>
      <c r="P20" s="204" t="e">
        <f t="shared" si="6"/>
        <v>#DIV/0!</v>
      </c>
      <c r="Q20" s="236"/>
      <c r="R20" s="237"/>
      <c r="S20" s="216" t="str">
        <f t="shared" si="7"/>
        <v>-</v>
      </c>
      <c r="U20" s="193" t="s">
        <v>49</v>
      </c>
      <c r="V20" s="221"/>
    </row>
    <row r="21" spans="2:22">
      <c r="B21" s="210" t="s">
        <v>61</v>
      </c>
      <c r="G21" s="155">
        <f t="shared" si="3"/>
        <v>0</v>
      </c>
      <c r="H21" s="147">
        <f t="shared" si="4"/>
        <v>0</v>
      </c>
      <c r="I21" s="155" cm="1">
        <f t="array" ref="I21">IFERROR(SUMPRODUCT(($C$7:$C$14=$B21)*($G$7:$G$14)*($I$7:$I$14))/$G21,0)</f>
        <v>0</v>
      </c>
      <c r="J21" s="36" cm="1">
        <f t="array" ref="J21">IFERROR(SUMPRODUCT(($C$7:$C$14=$B21)*($G$7:$G$14)*($J$7:$J$14))/$G21,0)</f>
        <v>0</v>
      </c>
      <c r="K21" s="148">
        <f t="shared" si="5"/>
        <v>0</v>
      </c>
      <c r="N21" s="56" t="s">
        <v>50</v>
      </c>
      <c r="O21" s="235"/>
      <c r="P21" s="204" t="e">
        <f t="shared" si="6"/>
        <v>#DIV/0!</v>
      </c>
      <c r="Q21" s="236"/>
      <c r="R21" s="237"/>
      <c r="S21" s="216" t="str">
        <f t="shared" si="7"/>
        <v>-</v>
      </c>
      <c r="U21" s="193" t="s">
        <v>51</v>
      </c>
      <c r="V21" s="221" t="s">
        <v>62</v>
      </c>
    </row>
    <row r="22" spans="2:22">
      <c r="B22" s="210" t="s">
        <v>35</v>
      </c>
      <c r="G22" s="155">
        <f t="shared" si="3"/>
        <v>61</v>
      </c>
      <c r="H22" s="147">
        <f t="shared" si="4"/>
        <v>1</v>
      </c>
      <c r="I22" s="155" cm="1">
        <f t="array" ref="I22">IFERROR(SUMPRODUCT(($C$7:$C$14=$B22)*($G$7:$G$14)*($I$7:$I$14))/$G22,0)</f>
        <v>2428.8524590163934</v>
      </c>
      <c r="J22" s="36" cm="1">
        <f t="array" ref="J22">IFERROR(SUMPRODUCT(($C$7:$C$14=$B22)*($G$7:$G$14)*($J$7:$J$14))/$G22,0)</f>
        <v>2614.7540983606559</v>
      </c>
      <c r="K22" s="148">
        <f t="shared" si="5"/>
        <v>1.076538876889849</v>
      </c>
      <c r="N22" s="56" t="s">
        <v>53</v>
      </c>
      <c r="O22" s="235"/>
      <c r="P22" s="204" t="e">
        <f>O22/$O$14</f>
        <v>#DIV/0!</v>
      </c>
      <c r="Q22" s="236">
        <v>2209</v>
      </c>
      <c r="R22" s="237">
        <v>2510</v>
      </c>
      <c r="S22" s="216">
        <f>IFERROR(R22/Q22,"-")</f>
        <v>1.1362607514712539</v>
      </c>
      <c r="U22" s="219" t="s">
        <v>54</v>
      </c>
      <c r="V22" s="267" t="s">
        <v>63</v>
      </c>
    </row>
    <row r="23" spans="2:22">
      <c r="B23" s="207" t="s">
        <v>56</v>
      </c>
      <c r="C23" s="22"/>
      <c r="D23" s="22"/>
      <c r="E23" s="22"/>
      <c r="F23" s="22"/>
      <c r="G23" s="149">
        <f>SUM(G17:G22)</f>
        <v>61</v>
      </c>
      <c r="H23" s="150">
        <f>SUM(H17:H22)</f>
        <v>1</v>
      </c>
      <c r="I23" s="149">
        <f>IFERROR(SUMPRODUCT(I17:I22,$G17:$G22)/$G23,0)</f>
        <v>2428.8524590163934</v>
      </c>
      <c r="J23" s="151">
        <f>IFERROR(SUMPRODUCT(J17:J22,$G17:$G22)/$G23,0)</f>
        <v>2614.7540983606559</v>
      </c>
      <c r="K23" s="152">
        <f t="shared" si="5"/>
        <v>1.076538876889849</v>
      </c>
      <c r="N23" s="126" t="s">
        <v>56</v>
      </c>
      <c r="O23" s="214">
        <f>SUM(O18:O22)</f>
        <v>0</v>
      </c>
      <c r="P23" s="215" t="e">
        <f>SUM(P18:P22)</f>
        <v>#DIV/0!</v>
      </c>
      <c r="Q23" s="127" t="e">
        <f>SUMPRODUCT(Q18:Q22,O18:O22)/O23</f>
        <v>#DIV/0!</v>
      </c>
      <c r="R23" s="128" t="e">
        <f>SUMPRODUCT(R18:R22,P18:P22)/P23</f>
        <v>#DIV/0!</v>
      </c>
      <c r="S23" s="217" t="str">
        <f>IFERROR(R23/Q23,"-")</f>
        <v>-</v>
      </c>
    </row>
    <row r="25" spans="2:22">
      <c r="C25" s="208"/>
      <c r="D25" s="208"/>
      <c r="E25" s="208"/>
      <c r="F25" s="208"/>
      <c r="G25" s="208"/>
      <c r="H25" s="208"/>
      <c r="I25" s="208"/>
      <c r="N25" s="140" t="s">
        <v>64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25</v>
      </c>
      <c r="O26" s="212" t="s">
        <v>29</v>
      </c>
      <c r="P26" s="212" t="s">
        <v>30</v>
      </c>
      <c r="Q26" s="212" t="s">
        <v>40</v>
      </c>
      <c r="R26" s="212" t="s">
        <v>41</v>
      </c>
      <c r="S26" s="213" t="s">
        <v>42</v>
      </c>
      <c r="U26" s="218" t="s">
        <v>25</v>
      </c>
      <c r="V26" s="220" t="s">
        <v>43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44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45</v>
      </c>
      <c r="V27" s="221"/>
    </row>
    <row r="28" spans="2:22">
      <c r="C28" s="208"/>
      <c r="D28" s="208"/>
      <c r="E28" s="208"/>
      <c r="F28" s="208"/>
      <c r="G28" s="208"/>
      <c r="H28" s="208"/>
      <c r="I28" s="208"/>
      <c r="N28" s="56" t="s">
        <v>46</v>
      </c>
      <c r="O28" s="235"/>
      <c r="P28" s="204" t="e">
        <f t="shared" ref="P28:P31" si="8">O28/$O$14</f>
        <v>#DIV/0!</v>
      </c>
      <c r="Q28" s="236"/>
      <c r="R28" s="237"/>
      <c r="S28" s="216" t="str">
        <f t="shared" ref="S28:S32" si="9">IFERROR(R28/Q28,"-")</f>
        <v>-</v>
      </c>
      <c r="U28" s="193" t="s">
        <v>47</v>
      </c>
      <c r="V28" s="222"/>
    </row>
    <row r="29" spans="2:22">
      <c r="C29" s="208"/>
      <c r="D29" s="208"/>
      <c r="E29" s="208"/>
      <c r="F29" s="208"/>
      <c r="G29" s="208"/>
      <c r="H29" s="208"/>
      <c r="I29" s="208"/>
      <c r="N29" s="56" t="s">
        <v>48</v>
      </c>
      <c r="O29" s="235"/>
      <c r="P29" s="204" t="e">
        <f t="shared" si="8"/>
        <v>#DIV/0!</v>
      </c>
      <c r="Q29" s="236"/>
      <c r="R29" s="237"/>
      <c r="S29" s="216" t="str">
        <f t="shared" si="9"/>
        <v>-</v>
      </c>
      <c r="U29" s="193" t="s">
        <v>49</v>
      </c>
      <c r="V29" s="221"/>
    </row>
    <row r="30" spans="2:22">
      <c r="C30" s="208"/>
      <c r="D30" s="208"/>
      <c r="E30" s="208"/>
      <c r="F30" s="208"/>
      <c r="G30" s="208"/>
      <c r="H30" s="208"/>
      <c r="I30" s="208"/>
      <c r="N30" s="56" t="s">
        <v>50</v>
      </c>
      <c r="O30" s="235"/>
      <c r="P30" s="204" t="e">
        <f t="shared" si="8"/>
        <v>#DIV/0!</v>
      </c>
      <c r="Q30" s="236"/>
      <c r="R30" s="237"/>
      <c r="S30" s="216" t="str">
        <f t="shared" si="9"/>
        <v>-</v>
      </c>
      <c r="U30" s="193" t="s">
        <v>51</v>
      </c>
      <c r="V30" s="221"/>
    </row>
    <row r="31" spans="2:22">
      <c r="C31" s="208"/>
      <c r="D31" s="208"/>
      <c r="E31" s="208"/>
      <c r="F31" s="208"/>
      <c r="G31" s="208"/>
      <c r="H31" s="208"/>
      <c r="I31" s="208"/>
      <c r="N31" s="56" t="s">
        <v>53</v>
      </c>
      <c r="O31" s="235"/>
      <c r="P31" s="204" t="e">
        <f t="shared" si="8"/>
        <v>#DIV/0!</v>
      </c>
      <c r="Q31" s="236">
        <v>1900</v>
      </c>
      <c r="R31" s="237">
        <v>2500</v>
      </c>
      <c r="S31" s="216">
        <f t="shared" si="9"/>
        <v>1.3157894736842106</v>
      </c>
      <c r="U31" s="219" t="s">
        <v>54</v>
      </c>
      <c r="V31" s="267" t="s">
        <v>65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56</v>
      </c>
      <c r="O32" s="214">
        <f>SUM(O27:O31)</f>
        <v>0</v>
      </c>
      <c r="P32" s="215" t="e">
        <f>SUM(P27:P31)</f>
        <v>#DIV/0!</v>
      </c>
      <c r="Q32" s="127" t="e">
        <f>SUMPRODUCT(Q27:Q31,O27:O31)/O32</f>
        <v>#DIV/0!</v>
      </c>
      <c r="R32" s="128" t="e">
        <f>SUMPRODUCT(R27:R31,P27:P31)/P32</f>
        <v>#DIV/0!</v>
      </c>
      <c r="S32" s="217" t="str">
        <f t="shared" si="9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  <row r="36" spans="3:9">
      <c r="C36" s="208"/>
      <c r="D36" s="208"/>
      <c r="E36" s="208"/>
      <c r="F36" s="208"/>
      <c r="G36" s="208"/>
      <c r="H36" s="208"/>
      <c r="I36" s="208"/>
    </row>
  </sheetData>
  <dataValidations disablePrompts="1" count="1">
    <dataValidation type="list" allowBlank="1" showInputMessage="1" showErrorMessage="1" sqref="C7:C14" xr:uid="{508B2A46-B9EE-4273-B6FC-FA6B422D82CC}">
      <formula1>$B$17:$B$22</formula1>
    </dataValidation>
  </dataValidations>
  <hyperlinks>
    <hyperlink ref="V13" r:id="rId1" xr:uid="{A34CDE74-C5CF-401E-A48C-8568612D9A2D}"/>
    <hyperlink ref="V22" r:id="rId2" xr:uid="{E367C39E-EDEE-4126-B57A-BB0FA07EFEF7}"/>
    <hyperlink ref="V31" r:id="rId3" xr:uid="{EC433A31-1E50-447F-8F15-04B55362E1D9}"/>
  </hyperlinks>
  <pageMargins left="0.7" right="0.7" top="0.75" bottom="0.75" header="0.3" footer="0.3"/>
  <pageSetup orientation="portrait" verticalDpi="0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70" zoomScaleNormal="70" workbookViewId="0">
      <pane ySplit="6" topLeftCell="A67" activePane="bottomLeft" state="frozen"/>
      <selection pane="bottomLeft" activeCell="F46" sqref="F46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The Commons at Starwood</v>
      </c>
    </row>
    <row r="2" spans="1:17" s="142" customFormat="1" ht="19.899999999999999">
      <c r="A2" s="146" t="s">
        <v>66</v>
      </c>
    </row>
    <row r="6" spans="1:17">
      <c r="B6" s="121" t="s">
        <v>67</v>
      </c>
      <c r="C6" s="122" t="s">
        <v>68</v>
      </c>
      <c r="D6" s="122" t="s">
        <v>69</v>
      </c>
      <c r="E6" s="122" t="s">
        <v>70</v>
      </c>
      <c r="F6" s="122" t="s">
        <v>71</v>
      </c>
      <c r="G6" s="122" t="s">
        <v>72</v>
      </c>
    </row>
    <row r="7" spans="1:17">
      <c r="B7" s="12" t="s">
        <v>73</v>
      </c>
      <c r="C7" s="12"/>
      <c r="D7" s="12"/>
      <c r="E7" s="12"/>
      <c r="F7" s="12"/>
      <c r="G7" s="12"/>
      <c r="M7" s="158" t="s">
        <v>74</v>
      </c>
      <c r="N7" s="122" t="s">
        <v>69</v>
      </c>
      <c r="O7" s="122" t="s">
        <v>70</v>
      </c>
      <c r="P7" s="122" t="s">
        <v>71</v>
      </c>
      <c r="Q7" s="122" t="s">
        <v>72</v>
      </c>
    </row>
    <row r="8" spans="1:17">
      <c r="B8" t="s">
        <v>75</v>
      </c>
      <c r="C8" s="24" t="s">
        <v>73</v>
      </c>
      <c r="D8" s="52">
        <f>E8*'Unit Mix_vm'!$G$15</f>
        <v>3050000</v>
      </c>
      <c r="E8" s="244">
        <v>50000</v>
      </c>
      <c r="F8" s="37">
        <f>IFERROR(E8/'Unit Mix_vm'!$I$15,0)</f>
        <v>20.58585313174946</v>
      </c>
      <c r="G8" s="25">
        <f ca="1">+IFERROR(D8/D$86,0)</f>
        <v>0.12437372877204783</v>
      </c>
      <c r="M8" s="28" t="s">
        <v>76</v>
      </c>
    </row>
    <row r="9" spans="1:17">
      <c r="D9" s="14"/>
      <c r="E9" s="14"/>
      <c r="F9" s="14"/>
      <c r="M9" t="s">
        <v>77</v>
      </c>
      <c r="N9" s="52">
        <f ca="1">N41</f>
        <v>9809145.4847029317</v>
      </c>
      <c r="O9" s="37">
        <f ca="1">IFERROR(N9/'Unit Mix_vm'!$G$15,0)</f>
        <v>160805.66368365462</v>
      </c>
      <c r="P9" s="37">
        <f ca="1">IFERROR(O9/'Unit Mix_vm'!$I$15,0)</f>
        <v>66.206435506904242</v>
      </c>
      <c r="Q9" s="25">
        <f ca="1">IFERROR(N9/N$12,0)</f>
        <v>0.4</v>
      </c>
    </row>
    <row r="10" spans="1:17">
      <c r="B10" s="12" t="s">
        <v>78</v>
      </c>
      <c r="C10" s="12"/>
      <c r="D10" s="15"/>
      <c r="E10" s="15"/>
      <c r="F10" s="15"/>
      <c r="G10" s="12"/>
      <c r="M10" t="s">
        <v>79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80</v>
      </c>
      <c r="C11" s="24" t="s">
        <v>81</v>
      </c>
      <c r="D11" s="52">
        <f ca="1">+IF(Global!$C$16="On",0,I11*$N$11)</f>
        <v>73568.591135271985</v>
      </c>
      <c r="E11" s="37">
        <f ca="1">IFERROR(D11/'Unit Mix_vm'!$G$15,0)</f>
        <v>1206.0424776274097</v>
      </c>
      <c r="F11" s="37">
        <f ca="1">IFERROR(E11/'Unit Mix_vm'!$I$15,0)</f>
        <v>0.49654826630178178</v>
      </c>
      <c r="G11" s="25">
        <f t="shared" ref="G11:G23" ca="1" si="1">+IFERROR(D11/D$86,0)</f>
        <v>3.0000000000000001E-3</v>
      </c>
      <c r="I11" s="21">
        <v>5.0000000000000001E-3</v>
      </c>
      <c r="J11" s="20" t="s">
        <v>82</v>
      </c>
      <c r="M11" t="s">
        <v>83</v>
      </c>
      <c r="N11" s="52">
        <f ca="1">+N23</f>
        <v>14713718.227054397</v>
      </c>
      <c r="O11" s="37">
        <f ca="1">IFERROR(N11/'Unit Mix_vm'!$G$15,0)</f>
        <v>241208.49552548191</v>
      </c>
      <c r="P11" s="37">
        <f ca="1">IFERROR(O11/'Unit Mix_vm'!$I$15,0)</f>
        <v>99.309653260356356</v>
      </c>
      <c r="Q11" s="25">
        <f t="shared" ca="1" si="0"/>
        <v>0.6</v>
      </c>
    </row>
    <row r="12" spans="1:17">
      <c r="B12" t="s">
        <v>84</v>
      </c>
      <c r="C12" s="24" t="s">
        <v>81</v>
      </c>
      <c r="D12" s="52">
        <f ca="1">+IF(Global!$C$16="On",0,I12*$N$11)</f>
        <v>110352.88670290797</v>
      </c>
      <c r="E12" s="37">
        <f ca="1">IFERROR(D12/'Unit Mix_vm'!$G$15,0)</f>
        <v>1809.0637164411144</v>
      </c>
      <c r="F12" s="37">
        <f ca="1">IFERROR(E12/'Unit Mix_vm'!$I$15,0)</f>
        <v>0.7448223994526727</v>
      </c>
      <c r="G12" s="25">
        <f t="shared" ca="1" si="1"/>
        <v>4.4999999999999997E-3</v>
      </c>
      <c r="I12" s="21">
        <v>7.4999999999999997E-3</v>
      </c>
      <c r="J12" s="20" t="s">
        <v>82</v>
      </c>
      <c r="M12" s="3" t="s">
        <v>85</v>
      </c>
      <c r="N12" s="13">
        <f ca="1">SUM(N9:N11)</f>
        <v>24522863.711757328</v>
      </c>
      <c r="O12" s="13">
        <f ca="1">SUM(O9:O11)</f>
        <v>402014.1592091365</v>
      </c>
      <c r="P12" s="29">
        <f ca="1">SUM(P9:P11)</f>
        <v>165.51608876726061</v>
      </c>
      <c r="Q12" s="26">
        <f ca="1">SUM(Q9:Q11)</f>
        <v>1</v>
      </c>
    </row>
    <row r="13" spans="1:17">
      <c r="B13" t="s">
        <v>86</v>
      </c>
      <c r="C13" s="24" t="s">
        <v>81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87</v>
      </c>
      <c r="C14" s="24" t="s">
        <v>81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88</v>
      </c>
      <c r="M14" s="28" t="s">
        <v>89</v>
      </c>
    </row>
    <row r="15" spans="1:17">
      <c r="B15" t="s">
        <v>90</v>
      </c>
      <c r="C15" s="24" t="s">
        <v>81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88</v>
      </c>
      <c r="M15" t="s">
        <v>73</v>
      </c>
      <c r="N15" s="14">
        <f>+SUMIF($C$8:$C$86,$M15,$D$8:$D$86)</f>
        <v>3050000</v>
      </c>
      <c r="O15" s="37">
        <f>IFERROR(N15/'Unit Mix_vm'!$G$15,0)</f>
        <v>50000</v>
      </c>
      <c r="P15" s="37">
        <f>IFERROR(O15/'Unit Mix_vm'!$I$15,0)</f>
        <v>20.58585313174946</v>
      </c>
      <c r="Q15" s="25">
        <f ca="1">IFERROR(N15/N$18,0)</f>
        <v>0.12437372877204783</v>
      </c>
    </row>
    <row r="16" spans="1:17">
      <c r="B16" t="s">
        <v>91</v>
      </c>
      <c r="C16" s="24" t="s">
        <v>81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92</v>
      </c>
      <c r="N16" s="14">
        <f>+SUMIF($C$8:$C$86,$M16,$D$8:$D$86)</f>
        <v>15733000</v>
      </c>
      <c r="O16" s="37">
        <f>IFERROR(N16/'Unit Mix_vm'!$G$15,0)</f>
        <v>257918.03278688525</v>
      </c>
      <c r="P16" s="37">
        <f>IFERROR(O16/'Unit Mix_vm'!$I$15,0)</f>
        <v>106.18925485961124</v>
      </c>
      <c r="Q16" s="25">
        <f t="shared" ref="Q16:Q17" ca="1" si="2">IFERROR(N16/N$18,0)</f>
        <v>0.64156454910512406</v>
      </c>
    </row>
    <row r="17" spans="2:17">
      <c r="B17" t="s">
        <v>93</v>
      </c>
      <c r="C17" s="24" t="s">
        <v>81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94</v>
      </c>
      <c r="M17" t="s">
        <v>81</v>
      </c>
      <c r="N17" s="14">
        <f ca="1">+SUMIF($C$8:$C$86,$M17,$D$8:$D$86)</f>
        <v>5739863.7117573274</v>
      </c>
      <c r="O17" s="37">
        <f ca="1">IFERROR(N17/'Unit Mix_vm'!$G$15,0)</f>
        <v>94096.126422251269</v>
      </c>
      <c r="P17" s="37">
        <f ca="1">IFERROR(O17/'Unit Mix_vm'!$I$15,0)</f>
        <v>38.740980775899892</v>
      </c>
      <c r="Q17" s="25">
        <f t="shared" ca="1" si="2"/>
        <v>0.23406172212282805</v>
      </c>
    </row>
    <row r="18" spans="2:17">
      <c r="B18" t="s">
        <v>95</v>
      </c>
      <c r="C18" s="24" t="s">
        <v>81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94</v>
      </c>
      <c r="M18" s="3" t="s">
        <v>96</v>
      </c>
      <c r="N18" s="13">
        <f ca="1">SUM(N15:N17)</f>
        <v>24522863.711757328</v>
      </c>
      <c r="O18" s="29">
        <f ca="1">SUM(O15:O17)</f>
        <v>402014.15920913656</v>
      </c>
      <c r="P18" s="29">
        <f ca="1">SUM(P15:P17)</f>
        <v>165.51608876726058</v>
      </c>
      <c r="Q18" s="26">
        <f ca="1">SUM(Q15:Q17)</f>
        <v>1</v>
      </c>
    </row>
    <row r="19" spans="2:17">
      <c r="B19" t="s">
        <v>97</v>
      </c>
      <c r="C19" s="24" t="s">
        <v>81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98</v>
      </c>
      <c r="C20" s="24" t="s">
        <v>81</v>
      </c>
      <c r="D20" s="76">
        <v>275000</v>
      </c>
      <c r="E20" s="37">
        <f>IFERROR(D20/'Unit Mix_vm'!$G$15,0)</f>
        <v>4508.1967213114758</v>
      </c>
      <c r="F20" s="37">
        <f>IFERROR(E20/'Unit Mix_vm'!$I$15,0)</f>
        <v>1.8561015118790498</v>
      </c>
      <c r="G20" s="25">
        <f t="shared" ca="1" si="1"/>
        <v>1.1214024725348574E-2</v>
      </c>
      <c r="M20" s="1"/>
    </row>
    <row r="21" spans="2:17">
      <c r="B21" t="s">
        <v>99</v>
      </c>
      <c r="C21" s="24" t="s">
        <v>81</v>
      </c>
      <c r="D21" s="76">
        <v>250000</v>
      </c>
      <c r="E21" s="37">
        <f>IFERROR(D21/'Unit Mix_vm'!$G$15,0)</f>
        <v>4098.3606557377052</v>
      </c>
      <c r="F21" s="37">
        <f>IFERROR(E21/'Unit Mix_vm'!$I$15,0)</f>
        <v>1.6873650107991363</v>
      </c>
      <c r="G21" s="25">
        <f t="shared" ca="1" si="1"/>
        <v>1.0194567932135069E-2</v>
      </c>
      <c r="M21" s="158" t="s">
        <v>100</v>
      </c>
      <c r="N21" s="122"/>
      <c r="O21" s="122"/>
      <c r="P21" s="122"/>
      <c r="Q21" s="122"/>
    </row>
    <row r="22" spans="2:17">
      <c r="B22" t="s">
        <v>101</v>
      </c>
      <c r="C22" s="24" t="s">
        <v>81</v>
      </c>
      <c r="D22" s="52">
        <f>E22*'Unit Mix_vm'!$G$15</f>
        <v>396500</v>
      </c>
      <c r="E22" s="76">
        <v>6500</v>
      </c>
      <c r="F22" s="37">
        <f>IFERROR(E22/'Unit Mix_vm'!$I$15,0)</f>
        <v>2.6761609071274299</v>
      </c>
      <c r="G22" s="25">
        <f t="shared" ca="1" si="1"/>
        <v>1.6168584740366216E-2</v>
      </c>
      <c r="M22" s="55" t="s">
        <v>83</v>
      </c>
    </row>
    <row r="23" spans="2:17">
      <c r="B23" t="s">
        <v>102</v>
      </c>
      <c r="C23" s="24" t="s">
        <v>81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83</v>
      </c>
      <c r="N23" s="36">
        <f ca="1">D86*N24</f>
        <v>14713718.227054397</v>
      </c>
    </row>
    <row r="24" spans="2:17">
      <c r="B24" s="3" t="s">
        <v>103</v>
      </c>
      <c r="C24" s="3"/>
      <c r="D24" s="13">
        <f ca="1">+SUM(D11:D23)</f>
        <v>1105421.47783818</v>
      </c>
      <c r="E24" s="13">
        <f ca="1">SUM(E11:E23)</f>
        <v>18121.663571117704</v>
      </c>
      <c r="F24" s="13">
        <f ca="1">SUM(F11:F23)</f>
        <v>7.4609980955600701</v>
      </c>
      <c r="G24" s="26">
        <f ca="1">SUM(G11:G23)</f>
        <v>4.507717739784986E-2</v>
      </c>
      <c r="M24" t="s">
        <v>104</v>
      </c>
      <c r="N24" s="44">
        <v>0.6</v>
      </c>
    </row>
    <row r="25" spans="2:17">
      <c r="D25" s="14"/>
      <c r="E25" s="14"/>
      <c r="F25" s="14"/>
      <c r="M25" t="s">
        <v>105</v>
      </c>
      <c r="N25" s="49">
        <f ca="1">IFERROR('Pro-Forma_vm'!$C$39/Budget_vm!N23,0)</f>
        <v>7.6054451031615691E-2</v>
      </c>
      <c r="O25" s="53"/>
    </row>
    <row r="26" spans="2:17">
      <c r="B26" s="12" t="s">
        <v>106</v>
      </c>
      <c r="C26" s="12"/>
      <c r="D26" s="15"/>
      <c r="E26" s="15"/>
      <c r="F26" s="15"/>
      <c r="G26" s="12"/>
      <c r="O26" s="54"/>
    </row>
    <row r="27" spans="2:17">
      <c r="B27" t="s">
        <v>107</v>
      </c>
      <c r="C27" s="24" t="s">
        <v>81</v>
      </c>
      <c r="D27" s="52">
        <f ca="1">I27*(D86-D8)</f>
        <v>751550.22991150653</v>
      </c>
      <c r="E27" s="37">
        <f ca="1">IFERROR(D27/'Unit Mix_vm'!$G$15,0)</f>
        <v>12320.49557231978</v>
      </c>
      <c r="F27" s="37">
        <f ca="1">IFERROR(E27/'Unit Mix_vm'!$I$15,0)</f>
        <v>5.0725582472428901</v>
      </c>
      <c r="G27" s="25">
        <f t="shared" ref="G27:G29" ca="1" si="3">+IFERROR(D27/D$86,0)</f>
        <v>3.0646919492978326E-2</v>
      </c>
      <c r="I27" s="21">
        <v>3.5000000000000003E-2</v>
      </c>
      <c r="J27" s="20" t="s">
        <v>108</v>
      </c>
      <c r="K27" s="20"/>
      <c r="M27" t="s">
        <v>109</v>
      </c>
      <c r="N27" s="45">
        <v>0.04</v>
      </c>
    </row>
    <row r="28" spans="2:17">
      <c r="B28" t="s">
        <v>110</v>
      </c>
      <c r="C28" s="24" t="s">
        <v>81</v>
      </c>
      <c r="D28" s="14">
        <f>+I28*SUM(D67:D68)</f>
        <v>126830</v>
      </c>
      <c r="E28" s="37">
        <f>IFERROR(D28/'Unit Mix_vm'!$G$15,0)</f>
        <v>2079.1803278688526</v>
      </c>
      <c r="F28" s="37">
        <f>IFERROR(E28/'Unit Mix_vm'!$I$15,0)</f>
        <v>0.85603401727861783</v>
      </c>
      <c r="G28" s="25">
        <f t="shared" ca="1" si="3"/>
        <v>5.1719082033307622E-3</v>
      </c>
      <c r="I28" s="21">
        <v>0.01</v>
      </c>
      <c r="J28" s="20" t="s">
        <v>111</v>
      </c>
      <c r="K28" s="20"/>
      <c r="M28" t="s">
        <v>112</v>
      </c>
      <c r="N28" s="45">
        <v>0.03</v>
      </c>
      <c r="O28" s="30"/>
    </row>
    <row r="29" spans="2:17">
      <c r="B29" t="s">
        <v>113</v>
      </c>
      <c r="C29" s="24" t="s">
        <v>81</v>
      </c>
      <c r="D29" s="76">
        <v>300000</v>
      </c>
      <c r="E29" s="37">
        <f>IFERROR(D29/'Unit Mix_vm'!$G$15,0)</f>
        <v>4918.0327868852455</v>
      </c>
      <c r="F29" s="37">
        <f>IFERROR(E29/'Unit Mix_vm'!$I$15,0)</f>
        <v>2.0248380129589632</v>
      </c>
      <c r="G29" s="25">
        <f t="shared" ca="1" si="3"/>
        <v>1.2233481518562081E-2</v>
      </c>
      <c r="M29" s="3" t="s">
        <v>114</v>
      </c>
      <c r="N29" s="47">
        <f>SUM(N27:N28)</f>
        <v>7.0000000000000007E-2</v>
      </c>
    </row>
    <row r="30" spans="2:17">
      <c r="B30" s="3" t="s">
        <v>115</v>
      </c>
      <c r="C30" s="3"/>
      <c r="D30" s="13">
        <f ca="1">+SUM(D27:D29)</f>
        <v>1178380.2299115066</v>
      </c>
      <c r="E30" s="13">
        <f ca="1">SUM(E27:E29)</f>
        <v>19317.708687073879</v>
      </c>
      <c r="F30" s="13">
        <f ca="1">SUM(F27:F29)</f>
        <v>7.9534302774804715</v>
      </c>
      <c r="G30" s="26">
        <f ca="1">SUM(G27:G29)</f>
        <v>4.8052309214871171E-2</v>
      </c>
    </row>
    <row r="31" spans="2:17">
      <c r="D31" s="14"/>
      <c r="E31" s="14"/>
      <c r="F31" s="14"/>
      <c r="M31" t="s">
        <v>116</v>
      </c>
      <c r="N31" s="32">
        <v>21</v>
      </c>
      <c r="O31" s="30"/>
    </row>
    <row r="32" spans="2:17">
      <c r="B32" s="12" t="s">
        <v>117</v>
      </c>
      <c r="C32" s="12"/>
      <c r="D32" s="15"/>
      <c r="E32" s="15"/>
      <c r="F32" s="15"/>
      <c r="G32" s="12"/>
      <c r="M32" t="s">
        <v>118</v>
      </c>
      <c r="N32" s="44">
        <v>0.5</v>
      </c>
    </row>
    <row r="33" spans="2:22">
      <c r="B33" t="s">
        <v>119</v>
      </c>
      <c r="C33" s="24" t="s">
        <v>81</v>
      </c>
      <c r="D33" s="76">
        <v>300000</v>
      </c>
      <c r="E33" s="37">
        <f>IFERROR(D33/'Unit Mix_vm'!$G$15,0)</f>
        <v>4918.0327868852455</v>
      </c>
      <c r="F33" s="37">
        <f>IFERROR(E33/'Unit Mix_vm'!$I$15,0)</f>
        <v>2.0248380129589632</v>
      </c>
      <c r="G33" s="25">
        <f t="shared" ref="G33:G42" ca="1" si="4">+IFERROR(D33/D$86,0)</f>
        <v>1.2233481518562081E-2</v>
      </c>
      <c r="M33" t="s">
        <v>120</v>
      </c>
      <c r="N33" s="36">
        <f ca="1">+N23*N29*N31*N32/12</f>
        <v>901215.24140708195</v>
      </c>
    </row>
    <row r="34" spans="2:22">
      <c r="B34" t="s">
        <v>121</v>
      </c>
      <c r="C34" s="24" t="s">
        <v>81</v>
      </c>
      <c r="D34" s="76">
        <v>400000</v>
      </c>
      <c r="E34" s="37">
        <f>IFERROR(D34/'Unit Mix_vm'!$G$15,0)</f>
        <v>6557.377049180328</v>
      </c>
      <c r="F34" s="37">
        <f>IFERROR(E34/'Unit Mix_vm'!$I$15,0)</f>
        <v>2.6997840172786178</v>
      </c>
      <c r="G34" s="25">
        <f t="shared" ca="1" si="4"/>
        <v>1.6311308691416108E-2</v>
      </c>
      <c r="O34" s="42"/>
      <c r="U34" s="136" t="s">
        <v>122</v>
      </c>
      <c r="V34" s="137"/>
    </row>
    <row r="35" spans="2:22">
      <c r="B35" t="s">
        <v>123</v>
      </c>
      <c r="C35" s="24" t="s">
        <v>81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82</v>
      </c>
      <c r="K35" s="20"/>
      <c r="M35" s="55" t="s">
        <v>79</v>
      </c>
      <c r="U35" s="131" t="s">
        <v>124</v>
      </c>
      <c r="V35" s="138">
        <v>0.45</v>
      </c>
    </row>
    <row r="36" spans="2:22">
      <c r="B36" t="s">
        <v>125</v>
      </c>
      <c r="C36" s="24" t="s">
        <v>81</v>
      </c>
      <c r="D36" s="76">
        <v>50000</v>
      </c>
      <c r="E36" s="37">
        <f>IFERROR(D36/'Unit Mix_vm'!$G$15,0)</f>
        <v>819.67213114754099</v>
      </c>
      <c r="F36" s="37">
        <f>IFERROR(E36/'Unit Mix_vm'!$I$15,0)</f>
        <v>0.33747300215982723</v>
      </c>
      <c r="G36" s="25">
        <f t="shared" ca="1" si="4"/>
        <v>2.0389135864270136E-3</v>
      </c>
      <c r="M36" t="s">
        <v>79</v>
      </c>
      <c r="N36" s="36">
        <f ca="1">D86*N37-N23</f>
        <v>0</v>
      </c>
      <c r="U36" s="5"/>
      <c r="V36" s="132"/>
    </row>
    <row r="37" spans="2:22">
      <c r="B37" t="s">
        <v>126</v>
      </c>
      <c r="C37" s="24" t="s">
        <v>81</v>
      </c>
      <c r="D37" s="52">
        <f ca="1">I37*D86</f>
        <v>16920.775961112555</v>
      </c>
      <c r="E37" s="37">
        <f ca="1">IFERROR(D37/'Unit Mix_vm'!$G$15,0)</f>
        <v>277.38976985430418</v>
      </c>
      <c r="F37" s="37">
        <f ca="1">IFERROR(E37/'Unit Mix_vm'!$I$15,0)</f>
        <v>0.11420610124940979</v>
      </c>
      <c r="G37" s="25">
        <f t="shared" ca="1" si="4"/>
        <v>6.8999999999999997E-4</v>
      </c>
      <c r="I37" s="21">
        <v>6.8999999999999997E-4</v>
      </c>
      <c r="J37" s="20" t="s">
        <v>108</v>
      </c>
      <c r="M37" t="s">
        <v>127</v>
      </c>
      <c r="N37" s="44">
        <f>+N24</f>
        <v>0.6</v>
      </c>
      <c r="U37" s="5" t="s">
        <v>128</v>
      </c>
      <c r="V37" s="133">
        <f>N16</f>
        <v>15733000</v>
      </c>
    </row>
    <row r="38" spans="2:22">
      <c r="B38" t="s">
        <v>129</v>
      </c>
      <c r="C38" s="24" t="s">
        <v>81</v>
      </c>
      <c r="D38" s="52">
        <f ca="1">(((V40/100)*V35)*2)+60000</f>
        <v>270473.51140581595</v>
      </c>
      <c r="E38" s="52">
        <f ca="1">IFERROR(D38/'Unit Mix_vm'!$G$15,0)</f>
        <v>4433.9919902592783</v>
      </c>
      <c r="F38" s="52">
        <f ca="1">IFERROR(E38/'Unit Mix_vm'!$I$15,0)</f>
        <v>1.8255501579766198</v>
      </c>
      <c r="G38" s="139">
        <f t="shared" ca="1" si="4"/>
        <v>1.10294423434788E-2</v>
      </c>
      <c r="M38" t="s">
        <v>130</v>
      </c>
      <c r="N38" s="49">
        <f ca="1">IFERROR('Pro-Forma_vm'!$C$39/SUM(N36,N23),0)</f>
        <v>7.6054451031615691E-2</v>
      </c>
      <c r="U38" s="5" t="s">
        <v>131</v>
      </c>
      <c r="V38" s="133">
        <f t="shared" ref="V38" ca="1" si="5">N17</f>
        <v>5739863.7117573274</v>
      </c>
    </row>
    <row r="39" spans="2:22">
      <c r="B39" t="s">
        <v>132</v>
      </c>
      <c r="C39" s="24" t="s">
        <v>81</v>
      </c>
      <c r="D39" s="52">
        <f>((V45/1000)*V43)+30000</f>
        <v>54874.53105284617</v>
      </c>
      <c r="E39" s="52">
        <f>IFERROR(D39/'Unit Mix_vm'!$G$15,0)</f>
        <v>899.58247627616674</v>
      </c>
      <c r="F39" s="52">
        <f>IFERROR(E39/'Unit Mix_vm'!$I$15,0)</f>
        <v>0.37037345473033323</v>
      </c>
      <c r="G39" s="139">
        <f t="shared" ref="G39" ca="1" si="6">+IFERROR(D39/D$86,0)</f>
        <v>2.237688538249182E-3</v>
      </c>
      <c r="N39" s="49"/>
      <c r="U39" s="5" t="s">
        <v>133</v>
      </c>
      <c r="V39" s="133">
        <f>'Unit Mix_vm'!G15*'Unit Mix_vm'!J15*12</f>
        <v>1913082</v>
      </c>
    </row>
    <row r="40" spans="2:22">
      <c r="B40" t="s">
        <v>134</v>
      </c>
      <c r="C40" s="24" t="s">
        <v>81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77</v>
      </c>
      <c r="U40" s="134" t="s">
        <v>56</v>
      </c>
      <c r="V40" s="135">
        <f ca="1">SUM(V37:V39)</f>
        <v>23385945.711757328</v>
      </c>
    </row>
    <row r="41" spans="2:22">
      <c r="B41" t="s">
        <v>135</v>
      </c>
      <c r="C41" s="24" t="s">
        <v>81</v>
      </c>
      <c r="D41" s="76">
        <v>50000</v>
      </c>
      <c r="E41" s="37">
        <f>IFERROR(D41/'Unit Mix_vm'!$G$15,0)</f>
        <v>819.67213114754099</v>
      </c>
      <c r="F41" s="37">
        <f>IFERROR(E41/'Unit Mix_vm'!$I$15,0)</f>
        <v>0.33747300215982723</v>
      </c>
      <c r="G41" s="25">
        <f t="shared" ca="1" si="4"/>
        <v>2.0389135864270136E-3</v>
      </c>
      <c r="M41" t="s">
        <v>136</v>
      </c>
      <c r="N41" s="58">
        <f ca="1">D86-N23-N36</f>
        <v>9809145.4847029317</v>
      </c>
      <c r="U41" s="4"/>
      <c r="V41" s="4"/>
    </row>
    <row r="42" spans="2:22">
      <c r="B42" t="s">
        <v>137</v>
      </c>
      <c r="C42" s="24" t="s">
        <v>81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138</v>
      </c>
      <c r="V42" s="137"/>
    </row>
    <row r="43" spans="2:22">
      <c r="B43" s="3" t="s">
        <v>139</v>
      </c>
      <c r="C43" s="3"/>
      <c r="D43" s="13">
        <f ca="1">+SUM(D33:D42)</f>
        <v>1142268.8184197748</v>
      </c>
      <c r="E43" s="13">
        <f ca="1">SUM(E33:E42)</f>
        <v>18725.718334750403</v>
      </c>
      <c r="F43" s="13">
        <f ca="1">SUM(F33:F42)</f>
        <v>7.7096977485135989</v>
      </c>
      <c r="G43" s="26">
        <f ca="1">SUM(G33:G42)</f>
        <v>4.6579748264560204E-2</v>
      </c>
      <c r="M43" t="s">
        <v>140</v>
      </c>
      <c r="N43" s="34">
        <f ca="1">+N41*0.1</f>
        <v>980914.54847029317</v>
      </c>
      <c r="O43" s="46">
        <f ca="1">+N43/N41</f>
        <v>0.1</v>
      </c>
      <c r="U43" s="5" t="s">
        <v>124</v>
      </c>
      <c r="V43" s="159">
        <v>1.1000000000000001</v>
      </c>
    </row>
    <row r="44" spans="2:22">
      <c r="D44" s="14"/>
      <c r="E44" s="14"/>
      <c r="F44" s="14"/>
      <c r="M44" t="s">
        <v>141</v>
      </c>
      <c r="N44" s="36">
        <f ca="1">+N41-N43</f>
        <v>8828230.9362326376</v>
      </c>
      <c r="O44" s="51">
        <f ca="1">1-O43</f>
        <v>0.9</v>
      </c>
      <c r="U44" s="5" t="s">
        <v>142</v>
      </c>
      <c r="V44" s="160">
        <v>5.2499999999999998E-2</v>
      </c>
    </row>
    <row r="45" spans="2:22">
      <c r="B45" s="12" t="s">
        <v>143</v>
      </c>
      <c r="C45" s="12"/>
      <c r="D45" s="15"/>
      <c r="E45" s="15"/>
      <c r="F45" s="15"/>
      <c r="G45" s="12"/>
      <c r="U45" s="161" t="s">
        <v>144</v>
      </c>
      <c r="V45" s="162">
        <f>(('Pro-Forma_vm'!C39*1.03*1.03)/Budget_vm!V44)</f>
        <v>22613210.04804197</v>
      </c>
    </row>
    <row r="46" spans="2:22">
      <c r="B46" t="s">
        <v>145</v>
      </c>
      <c r="C46" s="24" t="s">
        <v>81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146</v>
      </c>
      <c r="C47" s="24" t="s">
        <v>81</v>
      </c>
      <c r="D47" s="76">
        <v>25000</v>
      </c>
      <c r="E47" s="37">
        <f>IFERROR(D47/'Unit Mix_vm'!$G$15,0)</f>
        <v>409.8360655737705</v>
      </c>
      <c r="F47" s="37">
        <f>IFERROR(E47/'Unit Mix_vm'!$I$15,0)</f>
        <v>0.16873650107991361</v>
      </c>
      <c r="G47" s="25">
        <f t="shared" ca="1" si="7"/>
        <v>1.0194567932135068E-3</v>
      </c>
    </row>
    <row r="48" spans="2:22">
      <c r="B48" t="s">
        <v>147</v>
      </c>
      <c r="C48" s="24" t="s">
        <v>81</v>
      </c>
      <c r="D48" s="76">
        <v>50000</v>
      </c>
      <c r="E48" s="37">
        <f>IFERROR(D48/'Unit Mix_vm'!$G$15,0)</f>
        <v>819.67213114754099</v>
      </c>
      <c r="F48" s="37">
        <f>IFERROR(E48/'Unit Mix_vm'!$I$15,0)</f>
        <v>0.33747300215982723</v>
      </c>
      <c r="G48" s="25">
        <f t="shared" ca="1" si="7"/>
        <v>2.0389135864270136E-3</v>
      </c>
    </row>
    <row r="49" spans="2:7">
      <c r="B49" t="s">
        <v>148</v>
      </c>
      <c r="C49" s="24" t="s">
        <v>81</v>
      </c>
      <c r="D49" s="52">
        <f>E49*'Unit Mix_vm'!$G$15</f>
        <v>183000</v>
      </c>
      <c r="E49" s="264">
        <v>3000</v>
      </c>
      <c r="F49" s="37">
        <f>IFERROR(E49/'Unit Mix_vm'!$I$15,0)</f>
        <v>1.2351511879049677</v>
      </c>
      <c r="G49" s="25">
        <f t="shared" ca="1" si="7"/>
        <v>7.4624237263228701E-3</v>
      </c>
    </row>
    <row r="50" spans="2:7">
      <c r="B50" t="s">
        <v>149</v>
      </c>
      <c r="C50" s="24" t="s">
        <v>81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150</v>
      </c>
      <c r="C51" s="24" t="s">
        <v>81</v>
      </c>
      <c r="D51" s="76">
        <v>150000</v>
      </c>
      <c r="E51" s="37">
        <f>IFERROR(D51/'Unit Mix_vm'!$G$15,0)</f>
        <v>2459.0163934426228</v>
      </c>
      <c r="F51" s="37">
        <f>IFERROR(E51/'Unit Mix_vm'!$I$15,0)</f>
        <v>1.0124190064794816</v>
      </c>
      <c r="G51" s="25">
        <f t="shared" ca="1" si="7"/>
        <v>6.1167407592810407E-3</v>
      </c>
    </row>
    <row r="52" spans="2:7">
      <c r="B52" t="s">
        <v>151</v>
      </c>
      <c r="C52" s="24" t="s">
        <v>81</v>
      </c>
      <c r="D52" s="76">
        <v>60000</v>
      </c>
      <c r="E52" s="52">
        <f>IFERROR(D52/'Unit Mix_vm'!$G$15,0)</f>
        <v>983.60655737704917</v>
      </c>
      <c r="F52" s="37">
        <f>IFERROR(E52/'Unit Mix_vm'!$I$15,0)</f>
        <v>0.40496760259179265</v>
      </c>
      <c r="G52" s="25">
        <f t="shared" ca="1" si="7"/>
        <v>2.4466963037124163E-3</v>
      </c>
    </row>
    <row r="53" spans="2:7">
      <c r="B53" t="s">
        <v>152</v>
      </c>
      <c r="C53" s="24" t="s">
        <v>81</v>
      </c>
      <c r="D53" s="76">
        <v>300000</v>
      </c>
      <c r="E53" s="52">
        <f>IFERROR(D53/'Unit Mix_vm'!$G$15,0)</f>
        <v>4918.0327868852455</v>
      </c>
      <c r="F53" s="37">
        <f>IFERROR(E53/'Unit Mix_vm'!$I$15,0)</f>
        <v>2.0248380129589632</v>
      </c>
      <c r="G53" s="25">
        <f t="shared" ca="1" si="7"/>
        <v>1.2233481518562081E-2</v>
      </c>
    </row>
    <row r="54" spans="2:7">
      <c r="B54" t="s">
        <v>153</v>
      </c>
      <c r="C54" s="24" t="s">
        <v>81</v>
      </c>
      <c r="D54" s="52">
        <f>E54*'Unit Mix_vm'!$G$15</f>
        <v>183000</v>
      </c>
      <c r="E54" s="76">
        <v>3000</v>
      </c>
      <c r="F54" s="37">
        <f>IFERROR(E54/'Unit Mix_vm'!$I$15,0)</f>
        <v>1.2351511879049677</v>
      </c>
      <c r="G54" s="25">
        <f t="shared" ca="1" si="7"/>
        <v>7.4624237263228701E-3</v>
      </c>
    </row>
    <row r="55" spans="2:7">
      <c r="B55" t="s">
        <v>154</v>
      </c>
      <c r="C55" s="24" t="s">
        <v>81</v>
      </c>
      <c r="D55" s="76">
        <v>25000</v>
      </c>
      <c r="E55" s="37">
        <f>IFERROR(D55/'Unit Mix_vm'!$G$15,0)</f>
        <v>409.8360655737705</v>
      </c>
      <c r="F55" s="37">
        <f>IFERROR(E55/'Unit Mix_vm'!$I$15,0)</f>
        <v>0.16873650107991361</v>
      </c>
      <c r="G55" s="25">
        <f t="shared" ca="1" si="7"/>
        <v>1.0194567932135068E-3</v>
      </c>
    </row>
    <row r="56" spans="2:7">
      <c r="B56" t="s">
        <v>155</v>
      </c>
      <c r="C56" s="24" t="s">
        <v>81</v>
      </c>
      <c r="D56" s="76">
        <v>100000</v>
      </c>
      <c r="E56" s="37">
        <f>IFERROR(D56/'Unit Mix_vm'!$G$15,0)</f>
        <v>1639.344262295082</v>
      </c>
      <c r="F56" s="37">
        <f>IFERROR(E56/'Unit Mix_vm'!$I$15,0)</f>
        <v>0.67494600431965446</v>
      </c>
      <c r="G56" s="25">
        <f t="shared" ca="1" si="7"/>
        <v>4.0778271728540271E-3</v>
      </c>
    </row>
    <row r="57" spans="2:7">
      <c r="B57" t="s">
        <v>156</v>
      </c>
      <c r="C57" s="24" t="s">
        <v>81</v>
      </c>
      <c r="D57" s="76">
        <v>55000</v>
      </c>
      <c r="E57" s="37">
        <f>IFERROR(D57/'Unit Mix_vm'!$G$15,0)</f>
        <v>901.63934426229503</v>
      </c>
      <c r="F57" s="37">
        <f>IFERROR(E57/'Unit Mix_vm'!$I$15,0)</f>
        <v>0.37122030237580994</v>
      </c>
      <c r="G57" s="25">
        <f t="shared" ca="1" si="7"/>
        <v>2.2428049450697149E-3</v>
      </c>
    </row>
    <row r="58" spans="2:7">
      <c r="B58" t="s">
        <v>157</v>
      </c>
      <c r="C58" s="24" t="s">
        <v>81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158</v>
      </c>
      <c r="C59" s="24" t="s">
        <v>81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159</v>
      </c>
      <c r="C60" s="24" t="s">
        <v>81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160</v>
      </c>
      <c r="C61" s="24" t="s">
        <v>81</v>
      </c>
      <c r="D61" s="52">
        <f>E61*'Unit Mix_vm'!$G$15</f>
        <v>9150</v>
      </c>
      <c r="E61" s="76">
        <v>150</v>
      </c>
      <c r="F61" s="37">
        <f>IFERROR(E61/'Unit Mix_vm'!$I$15,0)</f>
        <v>6.1757559395248379E-2</v>
      </c>
      <c r="G61" s="25">
        <f t="shared" ca="1" si="7"/>
        <v>3.7312118631614347E-4</v>
      </c>
    </row>
    <row r="62" spans="2:7">
      <c r="B62" t="s">
        <v>161</v>
      </c>
      <c r="C62" s="24" t="s">
        <v>81</v>
      </c>
      <c r="D62" s="76">
        <v>100000</v>
      </c>
      <c r="E62" s="52">
        <f>IFERROR(D62/'Unit Mix_vm'!$G$15,0)</f>
        <v>1639.344262295082</v>
      </c>
      <c r="F62" s="37">
        <f>IFERROR(E62/'Unit Mix_vm'!$I$15,0)</f>
        <v>0.67494600431965446</v>
      </c>
      <c r="G62" s="25">
        <f t="shared" ca="1" si="7"/>
        <v>4.0778271728540271E-3</v>
      </c>
    </row>
    <row r="63" spans="2:7">
      <c r="B63" t="s">
        <v>162</v>
      </c>
      <c r="C63" s="24" t="s">
        <v>81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163</v>
      </c>
      <c r="C64" s="3"/>
      <c r="D64" s="13">
        <f>+SUM(D46:D63)</f>
        <v>1240150</v>
      </c>
      <c r="E64" s="13">
        <f>SUM(E46:E63)</f>
        <v>20330.327868852459</v>
      </c>
      <c r="F64" s="13">
        <f>SUM(F46:F63)</f>
        <v>8.3703428725701947</v>
      </c>
      <c r="G64" s="26">
        <f ca="1">SUM(G46:G63)</f>
        <v>5.057117368414922E-2</v>
      </c>
    </row>
    <row r="65" spans="2:17">
      <c r="D65" s="14"/>
      <c r="E65" s="14"/>
      <c r="F65" s="14"/>
    </row>
    <row r="66" spans="2:17">
      <c r="B66" s="12" t="s">
        <v>92</v>
      </c>
      <c r="C66" s="12"/>
      <c r="D66" s="15"/>
      <c r="E66" s="15"/>
      <c r="F66" s="15"/>
      <c r="G66" s="12"/>
      <c r="M66" s="258" t="s">
        <v>164</v>
      </c>
      <c r="N66" s="259" t="s">
        <v>29</v>
      </c>
      <c r="O66" s="259" t="s">
        <v>165</v>
      </c>
      <c r="P66" s="259" t="s">
        <v>40</v>
      </c>
      <c r="Q66" s="259" t="s">
        <v>56</v>
      </c>
    </row>
    <row r="67" spans="2:17">
      <c r="B67" t="s">
        <v>166</v>
      </c>
      <c r="C67" s="24" t="s">
        <v>92</v>
      </c>
      <c r="D67" s="31">
        <f>F67*'Unit Mix_vm'!$G$15*'Unit Mix_vm'!$I$15</f>
        <v>12683000</v>
      </c>
      <c r="E67" s="37">
        <f>IFERROR(D67/'Unit Mix_vm'!$G$15,0)</f>
        <v>207918.03278688525</v>
      </c>
      <c r="F67" s="52">
        <f>O70</f>
        <v>85.603401727861765</v>
      </c>
      <c r="G67" s="25">
        <f t="shared" ref="G67:G71" ca="1" si="8">+IFERROR(D67/D$86,0)</f>
        <v>0.51719082033307628</v>
      </c>
      <c r="M67" t="str">
        <f>CONCATENATE('Unit Mix_vm'!B7,"; ",TEXT('Unit Mix_vm'!E7,"0")," Garage; ",TEXT('Unit Mix_vm'!F7,"0")," Story")</f>
        <v>3 BR / 2.5 BA; 2 Garage; 3 Story</v>
      </c>
      <c r="N67" s="260">
        <f>'Unit Mix_vm'!G7</f>
        <v>18</v>
      </c>
      <c r="O67" s="34">
        <v>94.554455445544548</v>
      </c>
      <c r="P67" s="260">
        <f>'Unit Mix_vm'!I7</f>
        <v>2020</v>
      </c>
      <c r="Q67" s="36">
        <f>O67*P67*N67</f>
        <v>3438000</v>
      </c>
    </row>
    <row r="68" spans="2:17">
      <c r="B68" t="s">
        <v>167</v>
      </c>
      <c r="C68" s="24" t="s">
        <v>92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4 BR / 3.5 BA; 2 Garage; 3 Story</v>
      </c>
      <c r="N68" s="260">
        <f>'Unit Mix_vm'!G8</f>
        <v>43</v>
      </c>
      <c r="O68" s="34">
        <v>82.692307692307693</v>
      </c>
      <c r="P68" s="260">
        <f>'Unit Mix_vm'!I8</f>
        <v>2600</v>
      </c>
      <c r="Q68" s="36">
        <f>O68*P68*N68</f>
        <v>9245000</v>
      </c>
    </row>
    <row r="69" spans="2:17">
      <c r="B69" t="s">
        <v>168</v>
      </c>
      <c r="C69" s="24" t="s">
        <v>92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; 0 Garage; 0 Story</v>
      </c>
      <c r="N69" s="260">
        <f>'Unit Mix_vm'!G9</f>
        <v>0</v>
      </c>
      <c r="O69" s="34">
        <v>0</v>
      </c>
      <c r="P69" s="260">
        <f>'Unit Mix_vm'!I9</f>
        <v>0</v>
      </c>
      <c r="Q69" s="36">
        <f>O69*P69*N69</f>
        <v>0</v>
      </c>
    </row>
    <row r="70" spans="2:17">
      <c r="B70" t="s">
        <v>169</v>
      </c>
      <c r="C70" s="24" t="s">
        <v>92</v>
      </c>
      <c r="D70" s="52">
        <f>E70*'Unit Mix_vm'!$G$15</f>
        <v>3050000</v>
      </c>
      <c r="E70" s="76">
        <v>50000</v>
      </c>
      <c r="F70" s="37">
        <f>IFERROR(E70/'Unit Mix_vm'!$I$15,0)</f>
        <v>20.58585313174946</v>
      </c>
      <c r="G70" s="25">
        <f t="shared" ca="1" si="8"/>
        <v>0.12437372877204783</v>
      </c>
      <c r="M70" s="261" t="s">
        <v>170</v>
      </c>
      <c r="N70" s="262">
        <f>SUM(N67:N69)</f>
        <v>61</v>
      </c>
      <c r="O70" s="263">
        <f>Q70/P70/N70</f>
        <v>85.603401727861765</v>
      </c>
      <c r="P70" s="262">
        <f>SUMPRODUCT(P67:P69,N67:N69)/N70</f>
        <v>2428.8524590163934</v>
      </c>
      <c r="Q70" s="263">
        <f>SUM(Q67:Q69)</f>
        <v>12683000</v>
      </c>
    </row>
    <row r="71" spans="2:17">
      <c r="B71" t="s">
        <v>171</v>
      </c>
      <c r="C71" s="24" t="s">
        <v>92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172</v>
      </c>
      <c r="C72" s="3"/>
      <c r="D72" s="13">
        <f>+SUM(D67:D71)</f>
        <v>15733000</v>
      </c>
      <c r="E72" s="13">
        <f>SUM(E67:E71)</f>
        <v>257918.03278688525</v>
      </c>
      <c r="F72" s="13">
        <f>SUM(F67:F71)</f>
        <v>106.18925485961122</v>
      </c>
      <c r="G72" s="26">
        <f ca="1">SUM(G67:G71)</f>
        <v>0.64156454910512406</v>
      </c>
    </row>
    <row r="73" spans="2:17">
      <c r="D73" s="14"/>
      <c r="E73" s="14"/>
      <c r="F73" s="14"/>
    </row>
    <row r="74" spans="2:17">
      <c r="B74" s="12" t="s">
        <v>173</v>
      </c>
      <c r="C74" s="12"/>
      <c r="D74" s="15"/>
      <c r="E74" s="15"/>
      <c r="F74" s="15"/>
      <c r="G74" s="12"/>
    </row>
    <row r="75" spans="2:17">
      <c r="B75" t="s">
        <v>174</v>
      </c>
      <c r="C75" s="24" t="s">
        <v>81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9">+IFERROR(D75/D$86,0)</f>
        <v>0</v>
      </c>
    </row>
    <row r="76" spans="2:17">
      <c r="B76" t="s">
        <v>175</v>
      </c>
      <c r="C76" s="24" t="s">
        <v>81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9"/>
        <v>0</v>
      </c>
    </row>
    <row r="77" spans="2:17">
      <c r="B77" t="s">
        <v>176</v>
      </c>
      <c r="C77" s="24" t="s">
        <v>81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9"/>
        <v>0</v>
      </c>
    </row>
    <row r="78" spans="2:17">
      <c r="B78" s="3" t="s">
        <v>177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178</v>
      </c>
      <c r="C80" s="12"/>
      <c r="D80" s="15"/>
      <c r="E80" s="15"/>
      <c r="F80" s="15"/>
      <c r="G80" s="12"/>
    </row>
    <row r="81" spans="2:11">
      <c r="B81" t="s">
        <v>179</v>
      </c>
      <c r="C81" s="24" t="s">
        <v>81</v>
      </c>
      <c r="D81" s="14">
        <f>+I81*D72</f>
        <v>786650</v>
      </c>
      <c r="E81" s="37">
        <f>IFERROR(D81/'Unit Mix_vm'!$G$15,0)</f>
        <v>12895.901639344262</v>
      </c>
      <c r="F81" s="37">
        <f>IFERROR(E81/'Unit Mix_vm'!$I$15,0)</f>
        <v>5.3094627429805614</v>
      </c>
      <c r="G81" s="25">
        <f t="shared" ref="G81:G83" ca="1" si="10">+IFERROR(D81/D$86,0)</f>
        <v>3.2078227455256202E-2</v>
      </c>
      <c r="I81" s="21">
        <v>0.05</v>
      </c>
      <c r="J81" s="20" t="s">
        <v>180</v>
      </c>
      <c r="K81" s="20"/>
    </row>
    <row r="82" spans="2:11">
      <c r="B82" t="s">
        <v>181</v>
      </c>
      <c r="C82" s="24" t="s">
        <v>81</v>
      </c>
      <c r="D82" s="31">
        <f ca="1">+IF(Global!C16="On",0,I82*N17)</f>
        <v>286993.18558786641</v>
      </c>
      <c r="E82" s="37">
        <f ca="1">IFERROR(D82/'Unit Mix_vm'!$G$15,0)</f>
        <v>4704.8063211125636</v>
      </c>
      <c r="F82" s="37">
        <f ca="1">IFERROR(E82/'Unit Mix_vm'!$I$15,0)</f>
        <v>1.9370490387949946</v>
      </c>
      <c r="G82" s="25">
        <f t="shared" ca="1" si="10"/>
        <v>1.1703086106141404E-2</v>
      </c>
      <c r="I82" s="21">
        <v>0.05</v>
      </c>
      <c r="J82" s="20" t="s">
        <v>182</v>
      </c>
      <c r="K82" s="20"/>
    </row>
    <row r="83" spans="2:11">
      <c r="B83" t="s">
        <v>183</v>
      </c>
      <c r="C83" s="24" t="s">
        <v>81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0"/>
        <v>0</v>
      </c>
    </row>
    <row r="84" spans="2:11">
      <c r="B84" s="3" t="s">
        <v>184</v>
      </c>
      <c r="C84" s="3"/>
      <c r="D84" s="13">
        <f ca="1">+SUM(D81:D83)</f>
        <v>1073643.1855878665</v>
      </c>
      <c r="E84" s="13">
        <f ca="1">SUM(E81:E83)</f>
        <v>17600.707960456824</v>
      </c>
      <c r="F84" s="13">
        <f ca="1">SUM(F81:F83)</f>
        <v>7.2465117817755562</v>
      </c>
      <c r="G84" s="26">
        <f ca="1">SUM(G81:G83)</f>
        <v>4.3781313561397604E-2</v>
      </c>
    </row>
    <row r="86" spans="2:11">
      <c r="B86" s="17" t="s">
        <v>185</v>
      </c>
      <c r="C86" s="22"/>
      <c r="D86" s="18">
        <f ca="1">+SUM(D84,D78,D72,D64,D43,D30,D24,D8)</f>
        <v>24522863.711757328</v>
      </c>
      <c r="E86" s="19">
        <f ca="1">+SUM(E84,E78,E72,E64,E43,E30,E24,E8)</f>
        <v>402014.1592091365</v>
      </c>
      <c r="F86" s="19">
        <f ca="1">+SUM(F84,F78,F72,F64,F43,F30,F24,F8)</f>
        <v>165.51608876726056</v>
      </c>
      <c r="G86" s="27">
        <f ca="1">+SUM(G84,G78,G72,G64,G43,G30,G24,G8)</f>
        <v>1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A8" zoomScale="70" zoomScaleNormal="70" workbookViewId="0">
      <selection activeCell="N8" sqref="N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The Commons at Starwood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186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187</v>
      </c>
      <c r="D6" s="167"/>
    </row>
    <row r="7" spans="1:20">
      <c r="B7" s="168"/>
      <c r="C7" s="169" t="s">
        <v>69</v>
      </c>
      <c r="D7" s="169" t="s">
        <v>188</v>
      </c>
      <c r="F7" s="140" t="s">
        <v>189</v>
      </c>
      <c r="G7" s="141"/>
      <c r="I7" s="140" t="s">
        <v>190</v>
      </c>
      <c r="J7" s="156" t="s">
        <v>191</v>
      </c>
      <c r="K7" s="156" t="s">
        <v>192</v>
      </c>
      <c r="L7" s="156" t="s">
        <v>45</v>
      </c>
      <c r="M7" s="156" t="s">
        <v>193</v>
      </c>
      <c r="N7" s="156" t="s">
        <v>194</v>
      </c>
      <c r="O7" s="156" t="s">
        <v>195</v>
      </c>
      <c r="P7" s="156" t="s">
        <v>196</v>
      </c>
      <c r="Q7" s="156" t="s">
        <v>197</v>
      </c>
      <c r="R7" s="156" t="s">
        <v>198</v>
      </c>
      <c r="S7" s="156" t="s">
        <v>56</v>
      </c>
      <c r="T7" s="157" t="s">
        <v>199</v>
      </c>
    </row>
    <row r="8" spans="1:20">
      <c r="B8" s="68"/>
      <c r="C8" s="64"/>
      <c r="D8" s="57"/>
      <c r="F8" s="56" t="s">
        <v>200</v>
      </c>
      <c r="G8" s="129">
        <f>G9*'Unit Mix_vm'!$G$15</f>
        <v>9150000</v>
      </c>
      <c r="I8" s="239" t="s">
        <v>55</v>
      </c>
      <c r="J8" s="266" t="s">
        <v>191</v>
      </c>
      <c r="K8" s="235">
        <v>105</v>
      </c>
      <c r="L8" s="235">
        <v>2023</v>
      </c>
      <c r="M8" s="235">
        <v>2025</v>
      </c>
      <c r="N8" s="237">
        <f>189265*K8</f>
        <v>19872825</v>
      </c>
      <c r="O8" s="36">
        <f>N8/$K8</f>
        <v>189265</v>
      </c>
      <c r="P8" s="235">
        <v>2.782</v>
      </c>
      <c r="Q8" s="237">
        <v>0</v>
      </c>
      <c r="R8" s="36">
        <f>Q8/$K8</f>
        <v>0</v>
      </c>
      <c r="S8" s="36">
        <f>N8*P8/100+Q8</f>
        <v>552861.9915</v>
      </c>
      <c r="T8" s="226">
        <f>S8/$K8</f>
        <v>5265.3523000000005</v>
      </c>
    </row>
    <row r="9" spans="1:20">
      <c r="B9" s="68" t="s">
        <v>201</v>
      </c>
      <c r="C9" s="64">
        <f>+D9*'Unit Mix_vm'!G15*12</f>
        <v>1913082</v>
      </c>
      <c r="D9" s="78">
        <f>+'Unit Mix_vm'!J15</f>
        <v>2613.5</v>
      </c>
      <c r="F9" s="56" t="s">
        <v>202</v>
      </c>
      <c r="G9" s="243">
        <v>150000</v>
      </c>
      <c r="I9" s="239" t="s">
        <v>63</v>
      </c>
      <c r="J9" s="266" t="s">
        <v>191</v>
      </c>
      <c r="K9" s="235">
        <v>186</v>
      </c>
      <c r="L9" s="235">
        <v>2019</v>
      </c>
      <c r="M9" s="235">
        <v>2025</v>
      </c>
      <c r="N9" s="237">
        <f>171541.05*K9</f>
        <v>31906635.299999997</v>
      </c>
      <c r="O9" s="36">
        <f>N9/$K9</f>
        <v>171541.05</v>
      </c>
      <c r="P9" s="235">
        <v>2.8140000000000001</v>
      </c>
      <c r="Q9" s="237">
        <v>0</v>
      </c>
      <c r="R9" s="36">
        <f>Q9/$K9</f>
        <v>0</v>
      </c>
      <c r="S9" s="36">
        <f t="shared" ref="S9:S10" si="0">N9*P9/100+Q9</f>
        <v>897852.71734199999</v>
      </c>
      <c r="T9" s="226">
        <f>S9/$K9</f>
        <v>4827.1651469999997</v>
      </c>
    </row>
    <row r="10" spans="1:20">
      <c r="B10" s="68" t="s">
        <v>203</v>
      </c>
      <c r="C10" s="80">
        <f>-D10*C9</f>
        <v>0</v>
      </c>
      <c r="D10" s="254">
        <v>0</v>
      </c>
      <c r="F10" s="56"/>
      <c r="G10" s="57"/>
      <c r="I10" s="240" t="s">
        <v>65</v>
      </c>
      <c r="J10" s="268" t="s">
        <v>191</v>
      </c>
      <c r="K10" s="241">
        <v>1</v>
      </c>
      <c r="L10" s="241"/>
      <c r="M10" s="241">
        <v>2025</v>
      </c>
      <c r="N10" s="242">
        <v>91100</v>
      </c>
      <c r="O10" s="223">
        <f>N10/$K10</f>
        <v>91100</v>
      </c>
      <c r="P10" s="241">
        <v>2.8140000000000001</v>
      </c>
      <c r="Q10" s="242">
        <v>0</v>
      </c>
      <c r="R10" s="223">
        <f>Q10/$K10</f>
        <v>0</v>
      </c>
      <c r="S10" s="223">
        <f t="shared" si="0"/>
        <v>2563.5540000000001</v>
      </c>
      <c r="T10" s="232">
        <f>S10/$K10</f>
        <v>2563.5540000000001</v>
      </c>
    </row>
    <row r="11" spans="1:20">
      <c r="B11" s="68" t="s">
        <v>204</v>
      </c>
      <c r="C11" s="80">
        <f>-D11*C9</f>
        <v>-31362</v>
      </c>
      <c r="D11" s="254">
        <f>1/'Unit Mix_vm'!$G$15</f>
        <v>1.6393442622950821E-2</v>
      </c>
      <c r="F11" s="56" t="s">
        <v>205</v>
      </c>
      <c r="G11" s="238">
        <v>2.782</v>
      </c>
    </row>
    <row r="12" spans="1:20">
      <c r="B12" s="69" t="s">
        <v>206</v>
      </c>
      <c r="C12" s="65">
        <f>SUM(C9:C11)</f>
        <v>1881720</v>
      </c>
      <c r="D12" s="72">
        <f>IFERROR(C12/'Unit Mix_vm'!$G$15/12,0)</f>
        <v>2570.655737704918</v>
      </c>
      <c r="F12" s="56" t="s">
        <v>207</v>
      </c>
      <c r="G12" s="129">
        <f>G13*'Unit Mix_vm'!$G$15</f>
        <v>0</v>
      </c>
    </row>
    <row r="13" spans="1:20">
      <c r="B13" s="68"/>
      <c r="C13" s="64"/>
      <c r="D13" s="57"/>
      <c r="F13" s="56" t="s">
        <v>208</v>
      </c>
      <c r="G13" s="243">
        <v>0</v>
      </c>
    </row>
    <row r="14" spans="1:20">
      <c r="B14" s="68" t="s">
        <v>209</v>
      </c>
      <c r="C14" s="64">
        <f>+D14*'Unit Mix_vm'!$G$15*12</f>
        <v>195518.99999999997</v>
      </c>
      <c r="D14" s="129">
        <f>$N$58</f>
        <v>267.10245901639342</v>
      </c>
      <c r="F14" s="56" t="s">
        <v>210</v>
      </c>
      <c r="G14" s="254">
        <v>0</v>
      </c>
      <c r="I14" s="123" t="s">
        <v>211</v>
      </c>
      <c r="J14" s="178"/>
      <c r="K14" s="124"/>
      <c r="L14" s="124" t="s">
        <v>212</v>
      </c>
      <c r="M14" s="124" t="s">
        <v>56</v>
      </c>
      <c r="N14" s="125" t="s">
        <v>70</v>
      </c>
    </row>
    <row r="15" spans="1:20">
      <c r="B15" s="68" t="s">
        <v>213</v>
      </c>
      <c r="C15" s="79">
        <v>0</v>
      </c>
      <c r="D15" s="71">
        <f>IFERROR(C15/'Unit Mix_vm'!$G$15/12,0)</f>
        <v>0</v>
      </c>
      <c r="F15" s="56"/>
      <c r="G15" s="57"/>
      <c r="I15" s="189" t="s">
        <v>214</v>
      </c>
      <c r="J15" s="190"/>
      <c r="K15" s="191"/>
      <c r="L15" s="191"/>
      <c r="M15" s="191"/>
      <c r="N15" s="192"/>
    </row>
    <row r="16" spans="1:20">
      <c r="B16" s="69" t="s">
        <v>215</v>
      </c>
      <c r="C16" s="65">
        <f>SUM(C14:C15,C12)</f>
        <v>2077239</v>
      </c>
      <c r="D16" s="72">
        <f>IFERROR(C16/'Unit Mix_vm'!$G$15/12,0)</f>
        <v>2837.7581967213114</v>
      </c>
      <c r="F16" s="56" t="s">
        <v>216</v>
      </c>
      <c r="G16" s="82">
        <f>(G11*G8/100+G12)*(1-G14)</f>
        <v>254553</v>
      </c>
      <c r="I16" s="179" t="s">
        <v>217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786.88524590163934</v>
      </c>
    </row>
    <row r="17" spans="2:14">
      <c r="B17" s="68"/>
      <c r="C17" s="64"/>
      <c r="D17" s="57"/>
      <c r="F17" s="56" t="s">
        <v>218</v>
      </c>
      <c r="G17" s="82">
        <f>+G16/'Unit Mix_vm'!$G$15</f>
        <v>4173</v>
      </c>
      <c r="I17" s="179" t="s">
        <v>219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88.52459016393442</v>
      </c>
    </row>
    <row r="18" spans="2:14">
      <c r="B18" s="68" t="s">
        <v>47</v>
      </c>
      <c r="C18" s="73">
        <f>-D18*SUM(C9,C14)</f>
        <v>-105430.05</v>
      </c>
      <c r="D18" s="254">
        <v>0.05</v>
      </c>
      <c r="F18" s="56"/>
      <c r="G18" s="57"/>
      <c r="I18" s="179" t="s">
        <v>220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24.590163934426229</v>
      </c>
    </row>
    <row r="19" spans="2:14">
      <c r="B19" s="68" t="s">
        <v>221</v>
      </c>
      <c r="C19" s="73">
        <f>-D19*SUM(C9,C14,C18)</f>
        <v>-10015.85475</v>
      </c>
      <c r="D19" s="254">
        <v>5.0000000000000001E-3</v>
      </c>
      <c r="F19" s="56" t="s">
        <v>222</v>
      </c>
      <c r="G19" s="83">
        <v>0</v>
      </c>
      <c r="I19" s="179" t="s">
        <v>223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224</v>
      </c>
      <c r="C20" s="65">
        <f>SUM(C18:C19,C16)</f>
        <v>1961793.09525</v>
      </c>
      <c r="D20" s="255">
        <f>IFERROR(C20/#REF!/12,0)</f>
        <v>0</v>
      </c>
      <c r="F20" s="56"/>
      <c r="G20" s="57"/>
      <c r="I20" s="179" t="s">
        <v>225</v>
      </c>
      <c r="J20" s="173"/>
      <c r="K20" s="174"/>
      <c r="L20" s="182">
        <v>35</v>
      </c>
      <c r="M20" s="180">
        <f>L20*'Unit Mix_vm'!$G$15*12</f>
        <v>25620</v>
      </c>
      <c r="N20" s="181">
        <f>M20/'Unit Mix_vm'!$G$15</f>
        <v>420</v>
      </c>
    </row>
    <row r="21" spans="2:14">
      <c r="B21" s="68"/>
      <c r="C21" s="64"/>
      <c r="D21" s="57"/>
      <c r="F21" s="56" t="s">
        <v>226</v>
      </c>
      <c r="G21" s="84">
        <f>+G16+G19</f>
        <v>254553</v>
      </c>
      <c r="I21" s="179" t="s">
        <v>227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228</v>
      </c>
      <c r="C22" s="73">
        <f>D22*C20</f>
        <v>58853.792857499997</v>
      </c>
      <c r="D22" s="254">
        <v>0.03</v>
      </c>
      <c r="F22" s="59" t="s">
        <v>229</v>
      </c>
      <c r="G22" s="85">
        <f>+G21/'Unit Mix_vm'!$G$15</f>
        <v>4173</v>
      </c>
      <c r="I22" s="179" t="s">
        <v>230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231</v>
      </c>
      <c r="C23" s="130">
        <f>G21</f>
        <v>254553</v>
      </c>
      <c r="D23" s="82">
        <f>IFERROR(C23/'Unit Mix_vm'!$G$15,0)</f>
        <v>4173</v>
      </c>
      <c r="I23" s="179" t="s">
        <v>232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233</v>
      </c>
      <c r="C24" s="73">
        <f>+D24*'Unit Mix_vm'!$G$15</f>
        <v>45750</v>
      </c>
      <c r="D24" s="83">
        <v>750</v>
      </c>
      <c r="I24" s="187" t="s">
        <v>234</v>
      </c>
      <c r="J24" s="175"/>
      <c r="K24" s="176"/>
      <c r="L24" s="176"/>
      <c r="M24" s="177">
        <f>SUM(M16:M23)</f>
        <v>80520</v>
      </c>
      <c r="N24" s="188">
        <f>M24/'Unit Mix_vm'!$G$15</f>
        <v>1320</v>
      </c>
    </row>
    <row r="25" spans="2:14">
      <c r="B25" s="68" t="s">
        <v>235</v>
      </c>
      <c r="C25" s="73">
        <f>+D25*'Unit Mix_vm'!$G$15</f>
        <v>0</v>
      </c>
      <c r="D25" s="83">
        <v>0</v>
      </c>
      <c r="I25" s="189" t="s">
        <v>236</v>
      </c>
      <c r="J25" s="190"/>
      <c r="K25" s="191"/>
      <c r="L25" s="191"/>
      <c r="M25" s="191"/>
      <c r="N25" s="192"/>
    </row>
    <row r="26" spans="2:14">
      <c r="B26" s="68" t="s">
        <v>237</v>
      </c>
      <c r="C26" s="73">
        <f>+D26*'Unit Mix_vm'!$G$15</f>
        <v>0</v>
      </c>
      <c r="D26" s="83">
        <v>0</v>
      </c>
      <c r="I26" s="179" t="s">
        <v>238</v>
      </c>
      <c r="J26" s="173"/>
      <c r="K26" s="174"/>
      <c r="L26" s="182">
        <v>75</v>
      </c>
      <c r="M26" s="180">
        <f>L26*'Unit Mix_vm'!$G$15*12*5%</f>
        <v>2745</v>
      </c>
      <c r="N26" s="181">
        <f>M26/'Unit Mix_vm'!$G$15</f>
        <v>45</v>
      </c>
    </row>
    <row r="27" spans="2:14">
      <c r="B27" s="68" t="s">
        <v>236</v>
      </c>
      <c r="C27" s="73">
        <f>+D27*'Unit Mix_vm'!$G$15</f>
        <v>51825</v>
      </c>
      <c r="D27" s="129">
        <f>N32</f>
        <v>849.59016393442619</v>
      </c>
      <c r="I27" s="179" t="s">
        <v>239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24.590163934426229</v>
      </c>
    </row>
    <row r="28" spans="2:14">
      <c r="B28" s="68" t="s">
        <v>214</v>
      </c>
      <c r="C28" s="73">
        <f>+D28*'Unit Mix_vm'!$G$15</f>
        <v>80520</v>
      </c>
      <c r="D28" s="129">
        <f>N24</f>
        <v>1320</v>
      </c>
      <c r="I28" s="179" t="s">
        <v>240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241</v>
      </c>
      <c r="C29" s="73">
        <f>+D29*'Unit Mix_vm'!$G$15</f>
        <v>21350</v>
      </c>
      <c r="D29" s="83">
        <v>350</v>
      </c>
      <c r="I29" s="179" t="s">
        <v>242</v>
      </c>
      <c r="J29" s="173"/>
      <c r="K29" s="174"/>
      <c r="L29" s="182">
        <v>35</v>
      </c>
      <c r="M29" s="180">
        <f>L29*'Unit Mix_vm'!$G$15*12</f>
        <v>25620</v>
      </c>
      <c r="N29" s="181">
        <f>M29/'Unit Mix_vm'!$G$15</f>
        <v>420</v>
      </c>
    </row>
    <row r="30" spans="2:14">
      <c r="B30" s="68" t="s">
        <v>243</v>
      </c>
      <c r="C30" s="73">
        <f>+D30*'Unit Mix_vm'!$G$15</f>
        <v>15250</v>
      </c>
      <c r="D30" s="83">
        <v>250</v>
      </c>
      <c r="I30" s="179" t="s">
        <v>244</v>
      </c>
      <c r="J30" s="173"/>
      <c r="K30" s="174"/>
      <c r="L30" s="182">
        <v>30</v>
      </c>
      <c r="M30" s="180">
        <f>L30*'Unit Mix_vm'!$G$15*12</f>
        <v>21960</v>
      </c>
      <c r="N30" s="181">
        <f>M30/'Unit Mix_vm'!$G$15</f>
        <v>360</v>
      </c>
    </row>
    <row r="31" spans="2:14">
      <c r="B31" s="68" t="s">
        <v>245</v>
      </c>
      <c r="C31" s="73">
        <f>+D31*'Unit Mix_vm'!$G$15</f>
        <v>0</v>
      </c>
      <c r="D31" s="83">
        <v>0</v>
      </c>
      <c r="I31" s="179" t="s">
        <v>232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246</v>
      </c>
      <c r="C32" s="73">
        <f>+D32*'Unit Mix_vm'!$G$15</f>
        <v>30500</v>
      </c>
      <c r="D32" s="83">
        <v>500</v>
      </c>
      <c r="I32" s="183" t="s">
        <v>247</v>
      </c>
      <c r="J32" s="184"/>
      <c r="K32" s="185"/>
      <c r="L32" s="185"/>
      <c r="M32" s="171">
        <f>SUM(M26:M31)</f>
        <v>51825</v>
      </c>
      <c r="N32" s="186">
        <f>M32/'Unit Mix_vm'!$G$15</f>
        <v>849.59016393442619</v>
      </c>
    </row>
    <row r="33" spans="2:15">
      <c r="B33" s="68" t="s">
        <v>248</v>
      </c>
      <c r="C33" s="73">
        <f>+D33*'Unit Mix_vm'!$G$15</f>
        <v>253647.53999999995</v>
      </c>
      <c r="D33" s="129">
        <f>N46</f>
        <v>4158.1563934426222</v>
      </c>
      <c r="F33" s="30"/>
      <c r="I33" s="189" t="s">
        <v>248</v>
      </c>
      <c r="J33" s="190"/>
      <c r="K33" s="191"/>
      <c r="L33" s="191"/>
      <c r="M33" s="191"/>
      <c r="N33" s="192"/>
    </row>
    <row r="34" spans="2:15">
      <c r="B34" s="68" t="s">
        <v>249</v>
      </c>
      <c r="C34" s="73">
        <f>+D34*'Unit Mix_vm'!$G$15</f>
        <v>18300</v>
      </c>
      <c r="D34" s="83">
        <v>300</v>
      </c>
      <c r="I34" s="193" t="s">
        <v>250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1193.4426229508197</v>
      </c>
    </row>
    <row r="35" spans="2:15">
      <c r="B35" s="68" t="s">
        <v>251</v>
      </c>
      <c r="C35" s="73">
        <f>+D35*'Unit Mix_vm'!$G$15</f>
        <v>12200</v>
      </c>
      <c r="D35" s="83">
        <v>200</v>
      </c>
      <c r="I35" s="198" t="s">
        <v>252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238.68852459016392</v>
      </c>
    </row>
    <row r="36" spans="2:15">
      <c r="B36" s="68" t="s">
        <v>253</v>
      </c>
      <c r="C36" s="73">
        <f>+D36*'Unit Mix_vm'!$G$15</f>
        <v>0</v>
      </c>
      <c r="D36" s="83">
        <v>0</v>
      </c>
      <c r="I36" s="193" t="s">
        <v>254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255</v>
      </c>
      <c r="C37" s="65">
        <f>+SUM(C22:C36)</f>
        <v>842749.33285749995</v>
      </c>
      <c r="D37" s="255">
        <f>IFERROR(C37/'Unit Mix_vm'!$G$15,0)</f>
        <v>13815.562833729507</v>
      </c>
      <c r="I37" s="198" t="s">
        <v>252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256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340.98360655737707</v>
      </c>
    </row>
    <row r="39" spans="2:15">
      <c r="B39" s="68" t="s">
        <v>257</v>
      </c>
      <c r="C39" s="64">
        <f>+C20-C37</f>
        <v>1119043.7623924999</v>
      </c>
      <c r="D39" s="71">
        <f>IFERROR(C39/#REF!,0)</f>
        <v>0</v>
      </c>
      <c r="I39" s="193" t="s">
        <v>258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259</v>
      </c>
      <c r="C40" s="66">
        <f>IFERROR(C39/C20,0)</f>
        <v>0.57041885054136932</v>
      </c>
      <c r="D40" s="57"/>
      <c r="I40" s="193" t="s">
        <v>260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1091.1475409836066</v>
      </c>
    </row>
    <row r="41" spans="2:15">
      <c r="B41" s="56"/>
      <c r="C41" s="56"/>
      <c r="D41" s="57"/>
      <c r="I41" s="198" t="s">
        <v>252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109.11475409836065</v>
      </c>
    </row>
    <row r="42" spans="2:15">
      <c r="B42" s="62" t="s">
        <v>261</v>
      </c>
      <c r="C42" s="67">
        <f ca="1">C39/Budget_vm!D86</f>
        <v>4.5632670618969418E-2</v>
      </c>
      <c r="D42" s="63"/>
      <c r="I42" s="193" t="s">
        <v>262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263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264</v>
      </c>
      <c r="J44" s="173"/>
      <c r="K44" s="172"/>
      <c r="L44" s="203">
        <v>250</v>
      </c>
      <c r="M44" s="196">
        <f>L44*'Unit Mix_vm'!G15</f>
        <v>15250</v>
      </c>
      <c r="N44" s="197">
        <f>M44/'Unit Mix_vm'!$G$15</f>
        <v>250</v>
      </c>
    </row>
    <row r="45" spans="2:15">
      <c r="I45" s="193" t="s">
        <v>265</v>
      </c>
      <c r="J45" s="173"/>
      <c r="K45" s="172"/>
      <c r="L45" s="199">
        <v>0.28999999999999998</v>
      </c>
      <c r="M45" s="196">
        <f>SUM(M34:M44)*L45</f>
        <v>57021.539999999994</v>
      </c>
      <c r="N45" s="197">
        <f>M45/'Unit Mix_vm'!$G$15</f>
        <v>934.77934426229501</v>
      </c>
    </row>
    <row r="46" spans="2:15">
      <c r="I46" s="200" t="s">
        <v>266</v>
      </c>
      <c r="J46" s="184"/>
      <c r="K46" s="184"/>
      <c r="L46" s="184"/>
      <c r="M46" s="201">
        <f>SUM(M34:M45)</f>
        <v>253647.53999999998</v>
      </c>
      <c r="N46" s="202">
        <f>M46/'Unit Mix_vm'!$G$15</f>
        <v>4158.1563934426222</v>
      </c>
      <c r="O46" s="233"/>
    </row>
    <row r="48" spans="2:15">
      <c r="I48" s="189" t="s">
        <v>209</v>
      </c>
      <c r="J48" s="224" t="s">
        <v>30</v>
      </c>
      <c r="K48" s="224" t="s">
        <v>29</v>
      </c>
      <c r="L48" s="224" t="s">
        <v>212</v>
      </c>
      <c r="M48" s="224" t="s">
        <v>56</v>
      </c>
      <c r="N48" s="225" t="s">
        <v>267</v>
      </c>
    </row>
    <row r="49" spans="9:16">
      <c r="I49" s="193" t="s">
        <v>268</v>
      </c>
      <c r="J49" s="245">
        <v>1</v>
      </c>
      <c r="K49" s="246">
        <f>'Unit Mix_vm'!$G$15</f>
        <v>61</v>
      </c>
      <c r="L49" s="182">
        <v>65</v>
      </c>
      <c r="M49" s="180">
        <f>L49*K49*J49*12</f>
        <v>47580</v>
      </c>
      <c r="N49" s="247">
        <f>M49/'Unit Mix_vm'!$G$15/12</f>
        <v>65</v>
      </c>
      <c r="O49" s="36"/>
      <c r="P49" s="234"/>
    </row>
    <row r="50" spans="9:16">
      <c r="I50" s="193" t="s">
        <v>269</v>
      </c>
      <c r="J50" s="245">
        <v>1</v>
      </c>
      <c r="K50" s="246">
        <f>'Unit Mix_vm'!$G$15</f>
        <v>61</v>
      </c>
      <c r="L50" s="182">
        <v>70</v>
      </c>
      <c r="M50" s="180">
        <f t="shared" ref="M50:M51" si="4">L50*K50*J50*12</f>
        <v>51240</v>
      </c>
      <c r="N50" s="247">
        <f>M50/'Unit Mix_vm'!$G$15/12</f>
        <v>70</v>
      </c>
    </row>
    <row r="51" spans="9:16">
      <c r="I51" s="193" t="s">
        <v>223</v>
      </c>
      <c r="J51" s="245">
        <v>1</v>
      </c>
      <c r="K51" s="246">
        <f>'Unit Mix_vm'!$G$15</f>
        <v>61</v>
      </c>
      <c r="L51" s="182">
        <v>30</v>
      </c>
      <c r="M51" s="180">
        <f t="shared" si="4"/>
        <v>21960</v>
      </c>
      <c r="N51" s="247">
        <f>M51/'Unit Mix_vm'!$G$15/12</f>
        <v>30</v>
      </c>
    </row>
    <row r="52" spans="9:16">
      <c r="I52" s="193" t="s">
        <v>217</v>
      </c>
      <c r="J52" s="245">
        <v>1</v>
      </c>
      <c r="K52" s="246">
        <f>'Unit Mix_vm'!$G$15</f>
        <v>61</v>
      </c>
      <c r="L52" s="182">
        <v>35</v>
      </c>
      <c r="M52" s="180">
        <f t="shared" ref="M52" si="5">L52*K52*J52*12</f>
        <v>25620</v>
      </c>
      <c r="N52" s="247">
        <f>M52/'Unit Mix_vm'!$G$15/12</f>
        <v>35</v>
      </c>
    </row>
    <row r="53" spans="9:16">
      <c r="I53" s="193" t="s">
        <v>219</v>
      </c>
      <c r="J53" s="245">
        <v>1</v>
      </c>
      <c r="K53" s="246">
        <f>'Unit Mix_vm'!$G$15</f>
        <v>61</v>
      </c>
      <c r="L53" s="182">
        <v>5</v>
      </c>
      <c r="M53" s="180">
        <f>L53*K53*J53*12</f>
        <v>3660</v>
      </c>
      <c r="N53" s="247">
        <f>M53/'Unit Mix_vm'!$G$15/12</f>
        <v>5</v>
      </c>
    </row>
    <row r="54" spans="9:16">
      <c r="I54" s="193" t="s">
        <v>242</v>
      </c>
      <c r="J54" s="245">
        <v>0.95</v>
      </c>
      <c r="K54" s="246">
        <f>'Unit Mix_vm'!$G$15</f>
        <v>61</v>
      </c>
      <c r="L54" s="248">
        <f>$L$29</f>
        <v>35</v>
      </c>
      <c r="M54" s="180">
        <f>L54*K54*J54*12</f>
        <v>24339</v>
      </c>
      <c r="N54" s="247">
        <f>M54/'Unit Mix_vm'!$G$15/12</f>
        <v>33.25</v>
      </c>
    </row>
    <row r="55" spans="9:16">
      <c r="I55" s="193" t="s">
        <v>270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28.852459016393443</v>
      </c>
    </row>
    <row r="56" spans="9:16">
      <c r="I56" s="193" t="s">
        <v>271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272</v>
      </c>
      <c r="J57" s="245">
        <v>1</v>
      </c>
      <c r="K57" s="246">
        <f>'Unit Mix_vm'!$G$15</f>
        <v>61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273</v>
      </c>
      <c r="J58" s="228"/>
      <c r="K58" s="229"/>
      <c r="L58" s="230"/>
      <c r="M58" s="128">
        <f>SUM(M49:M57)</f>
        <v>195519</v>
      </c>
      <c r="N58" s="231">
        <f>M58/'Unit Mix_vm'!$G$15/12</f>
        <v>267.10245901639342</v>
      </c>
    </row>
  </sheetData>
  <hyperlinks>
    <hyperlink ref="J8" r:id="rId1" xr:uid="{E1F243FC-E225-41D6-A20A-C7B284262587}"/>
    <hyperlink ref="J9" r:id="rId2" xr:uid="{0FB48128-99AC-4B04-B762-0B6BE2333B31}"/>
    <hyperlink ref="J10" r:id="rId3" xr:uid="{A804B36B-27AC-4E50-93B4-CB156D7D7E9E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275</v>
      </c>
    </row>
    <row r="3" spans="2:2" ht="130.9">
      <c r="B3" s="77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278</v>
      </c>
      <c r="D6" s="89" t="s">
        <v>279</v>
      </c>
      <c r="E6" s="89" t="s">
        <v>280</v>
      </c>
      <c r="F6" s="89" t="s">
        <v>281</v>
      </c>
      <c r="G6" s="89" t="s">
        <v>282</v>
      </c>
      <c r="H6" s="89" t="s">
        <v>283</v>
      </c>
      <c r="I6" s="89" t="s">
        <v>284</v>
      </c>
      <c r="J6" s="89" t="s">
        <v>285</v>
      </c>
      <c r="K6" s="89" t="s">
        <v>286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287</v>
      </c>
      <c r="C8"/>
      <c r="D8"/>
      <c r="E8"/>
      <c r="F8"/>
      <c r="G8"/>
      <c r="H8"/>
      <c r="I8"/>
      <c r="J8"/>
      <c r="K8"/>
      <c r="L8"/>
      <c r="M8" s="111" t="s">
        <v>288</v>
      </c>
      <c r="N8" s="111" t="s">
        <v>288</v>
      </c>
      <c r="O8" s="111" t="s">
        <v>288</v>
      </c>
      <c r="P8" s="111" t="s">
        <v>288</v>
      </c>
      <c r="Q8" s="111" t="s">
        <v>288</v>
      </c>
      <c r="R8" s="111" t="s">
        <v>288</v>
      </c>
      <c r="S8" s="111" t="s">
        <v>288</v>
      </c>
      <c r="T8" s="111" t="s">
        <v>288</v>
      </c>
      <c r="U8" s="111" t="s">
        <v>288</v>
      </c>
      <c r="V8" s="111" t="s">
        <v>288</v>
      </c>
      <c r="W8" s="111" t="s">
        <v>288</v>
      </c>
      <c r="X8" s="111" t="s">
        <v>288</v>
      </c>
      <c r="Y8" s="111" t="s">
        <v>288</v>
      </c>
      <c r="Z8" s="111" t="s">
        <v>288</v>
      </c>
      <c r="AA8" s="111" t="s">
        <v>288</v>
      </c>
      <c r="AB8" s="111" t="s">
        <v>288</v>
      </c>
      <c r="AC8" s="111" t="s">
        <v>288</v>
      </c>
      <c r="AD8" s="111" t="s">
        <v>288</v>
      </c>
      <c r="AE8" s="111" t="s">
        <v>288</v>
      </c>
      <c r="AF8" s="111" t="s">
        <v>288</v>
      </c>
      <c r="AG8" s="111" t="s">
        <v>288</v>
      </c>
      <c r="AH8" s="111" t="s">
        <v>288</v>
      </c>
      <c r="AI8" s="111" t="s">
        <v>288</v>
      </c>
      <c r="AJ8" s="111" t="s">
        <v>288</v>
      </c>
      <c r="AK8" s="111" t="s">
        <v>288</v>
      </c>
      <c r="AL8" s="111" t="s">
        <v>288</v>
      </c>
      <c r="AM8" s="111" t="s">
        <v>288</v>
      </c>
      <c r="AN8" s="111" t="s">
        <v>288</v>
      </c>
      <c r="AO8" s="111" t="s">
        <v>288</v>
      </c>
      <c r="AP8" s="111" t="s">
        <v>288</v>
      </c>
      <c r="AQ8" s="111" t="s">
        <v>288</v>
      </c>
      <c r="AR8" s="111" t="s">
        <v>288</v>
      </c>
      <c r="AS8" s="111" t="s">
        <v>288</v>
      </c>
      <c r="AT8" s="111" t="s">
        <v>288</v>
      </c>
      <c r="AU8" s="111" t="s">
        <v>288</v>
      </c>
      <c r="AV8" s="111" t="s">
        <v>288</v>
      </c>
      <c r="AW8" s="111" t="s">
        <v>288</v>
      </c>
      <c r="AX8" s="111" t="s">
        <v>288</v>
      </c>
      <c r="AY8" s="111" t="s">
        <v>288</v>
      </c>
      <c r="AZ8" s="111" t="s">
        <v>288</v>
      </c>
      <c r="BA8" s="111" t="s">
        <v>288</v>
      </c>
      <c r="BB8" s="111" t="s">
        <v>288</v>
      </c>
      <c r="BC8" s="111" t="s">
        <v>288</v>
      </c>
      <c r="BD8" s="111" t="s">
        <v>288</v>
      </c>
      <c r="BE8" s="111" t="s">
        <v>288</v>
      </c>
      <c r="BF8" s="111" t="s">
        <v>288</v>
      </c>
      <c r="BG8" s="111" t="s">
        <v>288</v>
      </c>
      <c r="BH8" s="111" t="s">
        <v>288</v>
      </c>
      <c r="BI8" s="111" t="s">
        <v>288</v>
      </c>
      <c r="BJ8" s="111" t="s">
        <v>288</v>
      </c>
      <c r="BK8" s="111" t="s">
        <v>288</v>
      </c>
      <c r="BL8" s="111" t="s">
        <v>288</v>
      </c>
      <c r="BM8" s="111" t="s">
        <v>288</v>
      </c>
      <c r="BN8" s="111" t="s">
        <v>288</v>
      </c>
      <c r="BO8" s="111" t="s">
        <v>288</v>
      </c>
      <c r="BP8" s="111" t="s">
        <v>288</v>
      </c>
      <c r="BQ8" s="111" t="s">
        <v>288</v>
      </c>
      <c r="BR8" s="111" t="s">
        <v>288</v>
      </c>
      <c r="BS8" s="111" t="s">
        <v>288</v>
      </c>
      <c r="BT8" s="111" t="s">
        <v>288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289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290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291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83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85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292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75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80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84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86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87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90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91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93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95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97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98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99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101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102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107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110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293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119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121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294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125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126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129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134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135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137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145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148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147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146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149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150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151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152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153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154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155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156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157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158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159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160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161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295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296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297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174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175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176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179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181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183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96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298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300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301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302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303</v>
      </c>
      <c r="C11" s="96" t="s">
        <v>304</v>
      </c>
      <c r="D11" s="96" t="s">
        <v>305</v>
      </c>
      <c r="E11" s="96" t="s">
        <v>77</v>
      </c>
      <c r="F11" s="96" t="s">
        <v>306</v>
      </c>
      <c r="G11" s="96" t="s">
        <v>307</v>
      </c>
      <c r="H11" s="97" t="s">
        <v>308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309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310</v>
      </c>
      <c r="I12"/>
      <c r="J12" s="113" t="s">
        <v>311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312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310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313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310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314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315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310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316</v>
      </c>
      <c r="C18" s="74" t="s">
        <v>317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318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319</v>
      </c>
      <c r="C20" s="23" t="s">
        <v>320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321</v>
      </c>
      <c r="C21" s="50">
        <v>1</v>
      </c>
      <c r="D21" s="24" t="s">
        <v>322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323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324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324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325</v>
      </c>
      <c r="C30" s="74" t="s">
        <v>69</v>
      </c>
      <c r="D30" s="74" t="s">
        <v>30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307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306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56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326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327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328</v>
      </c>
      <c r="C38" s="74" t="s">
        <v>69</v>
      </c>
      <c r="D38" s="74" t="s">
        <v>70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329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330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121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331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332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272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333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334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335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336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337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192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338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339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307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306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79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340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341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337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342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343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344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338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79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345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346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347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348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349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350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351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348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352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349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353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354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355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356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346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357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352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353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358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359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346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360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355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359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361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362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361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363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313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364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365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366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56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367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339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307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306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340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344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368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346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369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370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371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348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349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372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373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348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374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349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375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376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377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348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349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378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379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348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374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349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375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380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381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382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383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346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369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370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384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374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375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385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386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374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375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387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388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389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390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391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381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388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392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393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394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382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389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395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393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346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369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370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396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397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374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355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359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361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398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399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400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401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402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346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369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370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403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397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374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355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359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361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404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398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405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406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407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408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346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369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370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409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410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411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412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413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313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364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365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366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414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415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56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416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313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364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365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366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414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415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56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368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313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364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365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366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414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415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56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308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402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408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412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56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417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418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419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420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421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422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423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298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300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301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302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425</v>
      </c>
      <c r="D11" s="96" t="s">
        <v>426</v>
      </c>
      <c r="E11" s="96" t="s">
        <v>427</v>
      </c>
      <c r="F11" s="96" t="s">
        <v>428</v>
      </c>
      <c r="G11" s="97" t="s">
        <v>429</v>
      </c>
      <c r="H11"/>
      <c r="I11" s="114" t="s">
        <v>430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309</v>
      </c>
      <c r="C12" s="49">
        <f>IFERROR(XIRR(C39:BJ39,C6:BJ6,0),0)</f>
        <v>0</v>
      </c>
      <c r="D12" s="49">
        <f>IFERROR(XIRR(C81:BJ81,C6:BJ6,0),0)</f>
        <v>0</v>
      </c>
      <c r="E12" s="49" t="s">
        <v>310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431</v>
      </c>
      <c r="J12"/>
      <c r="K12" s="36" t="e">
        <f>-SUM(C36:BJ36)</f>
        <v>#REF!</v>
      </c>
      <c r="L12"/>
      <c r="M12" s="113" t="s">
        <v>311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312</v>
      </c>
      <c r="C13" s="119">
        <f>IFERROR(C15/C14,0)</f>
        <v>0</v>
      </c>
      <c r="D13" s="119">
        <f t="shared" ref="D13:G13" si="2">IFERROR(D15/D14,0)</f>
        <v>0</v>
      </c>
      <c r="E13" s="119" t="s">
        <v>310</v>
      </c>
      <c r="F13" s="119">
        <f t="shared" si="2"/>
        <v>0</v>
      </c>
      <c r="G13" s="119">
        <f t="shared" si="2"/>
        <v>0</v>
      </c>
      <c r="H13" s="98"/>
      <c r="I13" t="s">
        <v>429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313</v>
      </c>
      <c r="C14" s="36">
        <f>-SUM(C32:BJ32)</f>
        <v>0</v>
      </c>
      <c r="D14" s="36">
        <f>-SUM(C77:BJ77)</f>
        <v>0</v>
      </c>
      <c r="E14" s="36" t="s">
        <v>310</v>
      </c>
      <c r="F14" s="36">
        <f>-SUM(C104:BJ104)</f>
        <v>0</v>
      </c>
      <c r="G14" s="36">
        <f>-SUM(C98:BJ98)</f>
        <v>0</v>
      </c>
      <c r="H14" s="36"/>
      <c r="I14" s="3" t="s">
        <v>432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314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315</v>
      </c>
      <c r="C16" s="36" t="e">
        <f>+C15-C14</f>
        <v>#REF!</v>
      </c>
      <c r="D16" s="36" t="e">
        <f>+D15-D14</f>
        <v>#REF!</v>
      </c>
      <c r="E16" s="36" t="s">
        <v>310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433</v>
      </c>
      <c r="C18" s="74" t="s">
        <v>69</v>
      </c>
      <c r="D18" s="74" t="s">
        <v>30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429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428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56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434</v>
      </c>
      <c r="C23" s="74" t="s">
        <v>317</v>
      </c>
      <c r="D23" s="74" t="s">
        <v>435</v>
      </c>
      <c r="E23" s="74" t="s">
        <v>436</v>
      </c>
      <c r="F23" s="74" t="s">
        <v>437</v>
      </c>
      <c r="G23" s="74" t="s">
        <v>438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439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339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440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441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340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442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443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444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344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445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446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346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347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348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349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350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447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348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374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349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375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448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355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346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449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374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375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450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359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346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451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452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401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453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313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355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359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361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56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454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313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355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359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361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56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445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313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355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359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361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56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455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313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456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457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56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458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313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456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457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56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417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459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460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56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421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422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423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298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The Commons at Starwood</v>
      </c>
      <c r="B1"/>
      <c r="C1"/>
      <c r="D1"/>
      <c r="E1"/>
      <c r="F1" s="5"/>
    </row>
    <row r="2" spans="1:7" ht="20.45" thickBot="1">
      <c r="A2" s="8" t="s">
        <v>461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300</v>
      </c>
      <c r="C6" s="11" t="s">
        <v>462</v>
      </c>
      <c r="D6" s="11" t="s">
        <v>109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2026-03-30T15:27:33Z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