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9"/>
  <workbookPr/>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0" documentId="8_{48332C4C-6AC6-40E7-98B8-B5128967C753}" xr6:coauthVersionLast="47" xr6:coauthVersionMax="47" xr10:uidLastSave="{00000000-0000-0000-0000-000000000000}"/>
  <bookViews>
    <workbookView xWindow="28680" yWindow="-120" windowWidth="29040" windowHeight="15720" firstSheet="3" activeTab="3" xr2:uid="{1FBF3EEB-554F-4B6D-9829-CE2F719AA780}"/>
  </bookViews>
  <sheets>
    <sheet name="Global" sheetId="1" r:id="rId1"/>
    <sheet name="Unit Mix_vm" sheetId="38" r:id="rId2"/>
    <sheet name="Budget_vm" sheetId="35" r:id="rId3"/>
    <sheet name="Pro-Forma_vm" sheetId="39" r:id="rId4"/>
    <sheet name="&gt;&gt; Full Model &gt;&gt;" sheetId="37" state="hidden" r:id="rId5"/>
    <sheet name="&gt;&gt; Reforecast + Dispo &gt;&gt; " sheetId="42" state="hidden" r:id="rId6"/>
    <sheet name="Reforecast" sheetId="43" state="hidden" r:id="rId7"/>
    <sheet name="Dispo - Deal Waterfall" sheetId="44" state="hidden" r:id="rId8"/>
    <sheet name="Dispo - SRIF I Waterfall" sheetId="45" state="hidden" r:id="rId9"/>
    <sheet name="SOFR - Reforecast" sheetId="47" state="hidden" r:id="rId10"/>
  </sheets>
  <definedNames>
    <definedName name="_xlnm.Print_Area" localSheetId="3">'Pro-Forma_vm'!$B$6:$D$42</definedName>
  </definedName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 i="39" l="1"/>
  <c r="P9" i="39"/>
  <c r="P8" i="39"/>
  <c r="G11" i="39"/>
  <c r="S10" i="39"/>
  <c r="T10" i="39" s="1"/>
  <c r="R10" i="39"/>
  <c r="O10" i="39"/>
  <c r="S9" i="39"/>
  <c r="T9" i="39" s="1"/>
  <c r="R9" i="39"/>
  <c r="O9" i="39"/>
  <c r="R8" i="39"/>
  <c r="S8" i="39"/>
  <c r="T8" i="39" s="1"/>
  <c r="O8" i="39"/>
  <c r="O32" i="38"/>
  <c r="N32" i="38"/>
  <c r="O23" i="38"/>
  <c r="N23" i="38"/>
  <c r="D11" i="38"/>
  <c r="D10" i="38"/>
  <c r="D9" i="38"/>
  <c r="D8" i="38"/>
  <c r="D7" i="38"/>
  <c r="M32" i="38"/>
  <c r="L32" i="38"/>
  <c r="P31" i="38"/>
  <c r="M31" i="38"/>
  <c r="P30" i="38"/>
  <c r="M30" i="38"/>
  <c r="P29" i="38"/>
  <c r="M29" i="38"/>
  <c r="P28" i="38"/>
  <c r="M28" i="38"/>
  <c r="P27" i="38"/>
  <c r="M27" i="38"/>
  <c r="M23" i="38"/>
  <c r="L23" i="38"/>
  <c r="P22" i="38"/>
  <c r="M22" i="38"/>
  <c r="P21" i="38"/>
  <c r="M21" i="38"/>
  <c r="P20" i="38"/>
  <c r="M20" i="38"/>
  <c r="P19" i="38"/>
  <c r="M19" i="38"/>
  <c r="P18" i="38"/>
  <c r="M18" i="38"/>
  <c r="M55" i="39"/>
  <c r="M54" i="39"/>
  <c r="L53" i="39"/>
  <c r="P32" i="38" l="1"/>
  <c r="P23" i="38"/>
  <c r="G25" i="39"/>
  <c r="P13" i="38"/>
  <c r="P12" i="38"/>
  <c r="P11" i="38"/>
  <c r="P10" i="38"/>
  <c r="P9" i="38"/>
  <c r="L14" i="38"/>
  <c r="M43" i="39"/>
  <c r="M42" i="39"/>
  <c r="M40" i="39"/>
  <c r="M39" i="39"/>
  <c r="M38" i="39"/>
  <c r="M36" i="39"/>
  <c r="M37" i="39" s="1"/>
  <c r="M34" i="39"/>
  <c r="M31" i="39"/>
  <c r="M28" i="39"/>
  <c r="M27" i="39"/>
  <c r="M23" i="39"/>
  <c r="M22" i="39"/>
  <c r="M21" i="39"/>
  <c r="M18" i="39"/>
  <c r="M16" i="39"/>
  <c r="M11" i="38" l="1"/>
  <c r="M13" i="38"/>
  <c r="N14" i="38"/>
  <c r="M9" i="38"/>
  <c r="M14" i="38" s="1"/>
  <c r="M10" i="38"/>
  <c r="M12" i="38"/>
  <c r="O14" i="38"/>
  <c r="M41" i="39"/>
  <c r="M35" i="39"/>
  <c r="P14" i="38" l="1"/>
  <c r="N37" i="35" l="1"/>
  <c r="D15" i="38" l="1"/>
  <c r="M29" i="39" s="1"/>
  <c r="D11" i="39" l="1"/>
  <c r="D70" i="35"/>
  <c r="D49" i="35"/>
  <c r="D46" i="35"/>
  <c r="D8" i="35"/>
  <c r="K56" i="39"/>
  <c r="M56" i="39" s="1"/>
  <c r="K50" i="39"/>
  <c r="M50" i="39" s="1"/>
  <c r="N50" i="39" s="1"/>
  <c r="K49" i="39"/>
  <c r="M49" i="39" s="1"/>
  <c r="N49" i="39" s="1"/>
  <c r="N55" i="39"/>
  <c r="K53" i="39"/>
  <c r="M53" i="39" s="1"/>
  <c r="N53" i="39" s="1"/>
  <c r="K52" i="39"/>
  <c r="M52" i="39" s="1"/>
  <c r="N52" i="39" s="1"/>
  <c r="K51" i="39"/>
  <c r="M51" i="39" s="1"/>
  <c r="N51" i="39" s="1"/>
  <c r="N54" i="39"/>
  <c r="N43" i="39"/>
  <c r="M19" i="39"/>
  <c r="N19" i="39" s="1"/>
  <c r="N42" i="39"/>
  <c r="N35" i="39"/>
  <c r="N34" i="39"/>
  <c r="M44" i="39"/>
  <c r="M26" i="39"/>
  <c r="M17" i="39"/>
  <c r="N40" i="39"/>
  <c r="N38" i="39"/>
  <c r="N18" i="39"/>
  <c r="N29" i="39"/>
  <c r="M20" i="39"/>
  <c r="N20" i="39" s="1"/>
  <c r="N41" i="39"/>
  <c r="N31" i="39"/>
  <c r="N39" i="39"/>
  <c r="M30" i="39"/>
  <c r="N30" i="39" s="1"/>
  <c r="N36" i="39"/>
  <c r="N22" i="39"/>
  <c r="N37" i="39"/>
  <c r="N16" i="39"/>
  <c r="N28" i="39"/>
  <c r="N27" i="39"/>
  <c r="N21" i="39"/>
  <c r="N23" i="39"/>
  <c r="D61" i="35"/>
  <c r="G12" i="39"/>
  <c r="D54" i="35"/>
  <c r="D22" i="35"/>
  <c r="M57" i="39" l="1"/>
  <c r="N57" i="39" s="1"/>
  <c r="D14" i="39" s="1"/>
  <c r="N56" i="39"/>
  <c r="N26" i="39"/>
  <c r="M32" i="39"/>
  <c r="N32" i="39" s="1"/>
  <c r="D27" i="39" s="1"/>
  <c r="N44" i="39"/>
  <c r="M45" i="39"/>
  <c r="N45" i="39" s="1"/>
  <c r="N17" i="39"/>
  <c r="M24" i="39"/>
  <c r="N24" i="39" s="1"/>
  <c r="D28" i="39" s="1"/>
  <c r="R114" i="45"/>
  <c r="AH114" i="45"/>
  <c r="AX114" i="45"/>
  <c r="E110" i="45"/>
  <c r="F110" i="45"/>
  <c r="G110" i="45"/>
  <c r="H110" i="45"/>
  <c r="H112" i="45" s="1"/>
  <c r="O110" i="45"/>
  <c r="O112" i="45" s="1"/>
  <c r="S110" i="45"/>
  <c r="T110" i="45"/>
  <c r="V110" i="45"/>
  <c r="W110" i="45"/>
  <c r="X110" i="45"/>
  <c r="X112" i="45" s="1"/>
  <c r="AE110" i="45"/>
  <c r="AE112" i="45" s="1"/>
  <c r="AI110" i="45"/>
  <c r="AJ110" i="45"/>
  <c r="AL110" i="45"/>
  <c r="AM110" i="45"/>
  <c r="AN110" i="45"/>
  <c r="AU110" i="45"/>
  <c r="AU112" i="45" s="1"/>
  <c r="AY110" i="45"/>
  <c r="AZ110" i="45"/>
  <c r="BB110" i="45"/>
  <c r="BC110" i="45"/>
  <c r="BD110" i="45"/>
  <c r="BD112" i="45" s="1"/>
  <c r="J111" i="45"/>
  <c r="K111" i="45"/>
  <c r="L111" i="45"/>
  <c r="M111" i="45"/>
  <c r="N111" i="45"/>
  <c r="O111" i="45"/>
  <c r="Z111" i="45"/>
  <c r="AA111" i="45"/>
  <c r="AB111" i="45"/>
  <c r="AC111" i="45"/>
  <c r="AD111" i="45"/>
  <c r="AE111" i="45"/>
  <c r="AP111" i="45"/>
  <c r="AQ111" i="45"/>
  <c r="AR111" i="45"/>
  <c r="AS111" i="45"/>
  <c r="AT111" i="45"/>
  <c r="AU111" i="45"/>
  <c r="BF111" i="45"/>
  <c r="BG111" i="45"/>
  <c r="BH111" i="45"/>
  <c r="BI111" i="45"/>
  <c r="BJ111" i="45"/>
  <c r="C111" i="45"/>
  <c r="R91" i="45"/>
  <c r="AH91" i="45"/>
  <c r="AX91" i="45"/>
  <c r="F77" i="45"/>
  <c r="F91" i="45" s="1"/>
  <c r="G77" i="45"/>
  <c r="G91" i="45" s="1"/>
  <c r="H77" i="45"/>
  <c r="H91" i="45" s="1"/>
  <c r="M77" i="45"/>
  <c r="M91" i="45" s="1"/>
  <c r="O77" i="45"/>
  <c r="O91" i="45" s="1"/>
  <c r="Q77" i="45"/>
  <c r="Q91" i="45" s="1"/>
  <c r="R77" i="45"/>
  <c r="S77" i="45"/>
  <c r="S91" i="45" s="1"/>
  <c r="V77" i="45"/>
  <c r="V91" i="45" s="1"/>
  <c r="W77" i="45"/>
  <c r="W91" i="45" s="1"/>
  <c r="X77" i="45"/>
  <c r="X91" i="45" s="1"/>
  <c r="AC77" i="45"/>
  <c r="AC91" i="45" s="1"/>
  <c r="AE77" i="45"/>
  <c r="AE91" i="45" s="1"/>
  <c r="AG77" i="45"/>
  <c r="AG91" i="45" s="1"/>
  <c r="AH77" i="45"/>
  <c r="AI77" i="45"/>
  <c r="AI91" i="45" s="1"/>
  <c r="AL77" i="45"/>
  <c r="AL91" i="45" s="1"/>
  <c r="AM77" i="45"/>
  <c r="AM91" i="45" s="1"/>
  <c r="AN77" i="45"/>
  <c r="AN91" i="45" s="1"/>
  <c r="AS77" i="45"/>
  <c r="AS91" i="45" s="1"/>
  <c r="AU77" i="45"/>
  <c r="AU91" i="45" s="1"/>
  <c r="AW77" i="45"/>
  <c r="AW91" i="45" s="1"/>
  <c r="AX77" i="45"/>
  <c r="AY77" i="45"/>
  <c r="AY91" i="45" s="1"/>
  <c r="BB77" i="45"/>
  <c r="BB91" i="45" s="1"/>
  <c r="BC77" i="45"/>
  <c r="BC91" i="45" s="1"/>
  <c r="BD77" i="45"/>
  <c r="BD91" i="45" s="1"/>
  <c r="BI77" i="45"/>
  <c r="BI91" i="45" s="1"/>
  <c r="O52" i="45"/>
  <c r="P52" i="45"/>
  <c r="T52" i="45"/>
  <c r="AE52" i="45"/>
  <c r="AF52" i="45"/>
  <c r="AJ52" i="45"/>
  <c r="AU52" i="45"/>
  <c r="AV52" i="45"/>
  <c r="AZ52" i="45"/>
  <c r="E63" i="45"/>
  <c r="E52" i="45" s="1"/>
  <c r="F63" i="45"/>
  <c r="F52" i="45" s="1"/>
  <c r="G63" i="45"/>
  <c r="G52" i="45" s="1"/>
  <c r="H63" i="45"/>
  <c r="H52" i="45" s="1"/>
  <c r="I63" i="45"/>
  <c r="I52" i="45" s="1"/>
  <c r="O63" i="45"/>
  <c r="P63" i="45"/>
  <c r="T63" i="45"/>
  <c r="U63" i="45"/>
  <c r="U52" i="45" s="1"/>
  <c r="V63" i="45"/>
  <c r="V52" i="45" s="1"/>
  <c r="W63" i="45"/>
  <c r="W52" i="45" s="1"/>
  <c r="X63" i="45"/>
  <c r="X52" i="45" s="1"/>
  <c r="Y63" i="45"/>
  <c r="Y52" i="45" s="1"/>
  <c r="AE63" i="45"/>
  <c r="AF63" i="45"/>
  <c r="AJ63" i="45"/>
  <c r="AK63" i="45"/>
  <c r="AK52" i="45" s="1"/>
  <c r="AL63" i="45"/>
  <c r="AL52" i="45" s="1"/>
  <c r="AM63" i="45"/>
  <c r="AM52" i="45" s="1"/>
  <c r="AN63" i="45"/>
  <c r="AN52" i="45" s="1"/>
  <c r="AO63" i="45"/>
  <c r="AO52" i="45" s="1"/>
  <c r="AU63" i="45"/>
  <c r="AV63" i="45"/>
  <c r="AZ63" i="45"/>
  <c r="BA63" i="45"/>
  <c r="BA52" i="45" s="1"/>
  <c r="BB63" i="45"/>
  <c r="BB52" i="45" s="1"/>
  <c r="BC63" i="45"/>
  <c r="BC52" i="45" s="1"/>
  <c r="BD63" i="45"/>
  <c r="BD52" i="45" s="1"/>
  <c r="BE63" i="45"/>
  <c r="BE52" i="45" s="1"/>
  <c r="G43" i="45"/>
  <c r="I43" i="45"/>
  <c r="J43" i="45"/>
  <c r="K43" i="45"/>
  <c r="N43" i="45"/>
  <c r="O43" i="45"/>
  <c r="P43" i="45"/>
  <c r="U43" i="45"/>
  <c r="W43" i="45"/>
  <c r="Y43" i="45"/>
  <c r="Z43" i="45"/>
  <c r="AA43" i="45"/>
  <c r="AD43" i="45"/>
  <c r="AE43" i="45"/>
  <c r="AF43" i="45"/>
  <c r="AK43" i="45"/>
  <c r="AM43" i="45"/>
  <c r="AO43" i="45"/>
  <c r="AP43" i="45"/>
  <c r="AQ43" i="45"/>
  <c r="AT43" i="45"/>
  <c r="AU43" i="45"/>
  <c r="AV43" i="45"/>
  <c r="BA43" i="45"/>
  <c r="BC43" i="45"/>
  <c r="BE43" i="45"/>
  <c r="BF43" i="45"/>
  <c r="BG43" i="45"/>
  <c r="BJ43" i="45"/>
  <c r="G39" i="45"/>
  <c r="M39" i="45"/>
  <c r="N39" i="45"/>
  <c r="O39" i="45"/>
  <c r="P39" i="45"/>
  <c r="W39" i="45"/>
  <c r="AC39" i="45"/>
  <c r="AD39" i="45"/>
  <c r="AE39" i="45"/>
  <c r="AF39" i="45"/>
  <c r="AM39" i="45"/>
  <c r="AS39" i="45"/>
  <c r="AT39" i="45"/>
  <c r="AU39" i="45"/>
  <c r="AV39" i="45"/>
  <c r="BC39" i="45"/>
  <c r="BI39" i="45"/>
  <c r="BJ39" i="45"/>
  <c r="C43" i="45"/>
  <c r="F37" i="45"/>
  <c r="F43" i="45" s="1"/>
  <c r="G37" i="45"/>
  <c r="G111" i="45" s="1"/>
  <c r="H37" i="45"/>
  <c r="H111" i="45" s="1"/>
  <c r="I37" i="45"/>
  <c r="I111" i="45" s="1"/>
  <c r="J37" i="45"/>
  <c r="K37" i="45"/>
  <c r="L37" i="45"/>
  <c r="L43" i="45" s="1"/>
  <c r="M37" i="45"/>
  <c r="M43" i="45" s="1"/>
  <c r="N37" i="45"/>
  <c r="O37" i="45"/>
  <c r="P37" i="45"/>
  <c r="P111" i="45" s="1"/>
  <c r="Q37" i="45"/>
  <c r="Q43" i="45" s="1"/>
  <c r="R37" i="45"/>
  <c r="R43" i="45" s="1"/>
  <c r="S37" i="45"/>
  <c r="S43" i="45" s="1"/>
  <c r="T37" i="45"/>
  <c r="T43" i="45" s="1"/>
  <c r="U37" i="45"/>
  <c r="U111" i="45" s="1"/>
  <c r="V37" i="45"/>
  <c r="V43" i="45" s="1"/>
  <c r="W37" i="45"/>
  <c r="W111" i="45" s="1"/>
  <c r="X37" i="45"/>
  <c r="X111" i="45" s="1"/>
  <c r="Y37" i="45"/>
  <c r="Y111" i="45" s="1"/>
  <c r="Z37" i="45"/>
  <c r="AA37" i="45"/>
  <c r="AB37" i="45"/>
  <c r="AB43" i="45" s="1"/>
  <c r="AC37" i="45"/>
  <c r="AC43" i="45" s="1"/>
  <c r="AD37" i="45"/>
  <c r="AE37" i="45"/>
  <c r="AF37" i="45"/>
  <c r="AF111" i="45" s="1"/>
  <c r="AG37" i="45"/>
  <c r="AG43" i="45" s="1"/>
  <c r="AH37" i="45"/>
  <c r="AH43" i="45" s="1"/>
  <c r="AI37" i="45"/>
  <c r="AI43" i="45" s="1"/>
  <c r="AJ37" i="45"/>
  <c r="AJ43" i="45" s="1"/>
  <c r="AK37" i="45"/>
  <c r="AK111" i="45" s="1"/>
  <c r="AL37" i="45"/>
  <c r="AL43" i="45" s="1"/>
  <c r="AM37" i="45"/>
  <c r="AM111" i="45" s="1"/>
  <c r="AN37" i="45"/>
  <c r="AN111" i="45" s="1"/>
  <c r="AO37" i="45"/>
  <c r="AO111" i="45" s="1"/>
  <c r="AP37" i="45"/>
  <c r="AQ37" i="45"/>
  <c r="AR37" i="45"/>
  <c r="AR43" i="45" s="1"/>
  <c r="AS37" i="45"/>
  <c r="AS43" i="45" s="1"/>
  <c r="AT37" i="45"/>
  <c r="AU37" i="45"/>
  <c r="AV37" i="45"/>
  <c r="AV111" i="45" s="1"/>
  <c r="AW37" i="45"/>
  <c r="AW43" i="45" s="1"/>
  <c r="AX37" i="45"/>
  <c r="AX43" i="45" s="1"/>
  <c r="AY37" i="45"/>
  <c r="AY43" i="45" s="1"/>
  <c r="AZ37" i="45"/>
  <c r="AZ43" i="45" s="1"/>
  <c r="BA37" i="45"/>
  <c r="BA111" i="45" s="1"/>
  <c r="BB37" i="45"/>
  <c r="BB43" i="45" s="1"/>
  <c r="BC37" i="45"/>
  <c r="BC111" i="45" s="1"/>
  <c r="BD37" i="45"/>
  <c r="BD111" i="45" s="1"/>
  <c r="BE37" i="45"/>
  <c r="BE111" i="45" s="1"/>
  <c r="BF37" i="45"/>
  <c r="BG37" i="45"/>
  <c r="BH37" i="45"/>
  <c r="BH43" i="45" s="1"/>
  <c r="BI37" i="45"/>
  <c r="BI43" i="45" s="1"/>
  <c r="BJ37" i="45"/>
  <c r="G32" i="45"/>
  <c r="H32" i="45"/>
  <c r="H39" i="45" s="1"/>
  <c r="I32" i="45"/>
  <c r="I77" i="45" s="1"/>
  <c r="I91" i="45" s="1"/>
  <c r="J32" i="45"/>
  <c r="J77" i="45" s="1"/>
  <c r="J91" i="45" s="1"/>
  <c r="K32" i="45"/>
  <c r="K77" i="45" s="1"/>
  <c r="K91" i="45" s="1"/>
  <c r="L32" i="45"/>
  <c r="L77" i="45" s="1"/>
  <c r="L91" i="45" s="1"/>
  <c r="M32" i="45"/>
  <c r="M63" i="45" s="1"/>
  <c r="M52" i="45" s="1"/>
  <c r="N32" i="45"/>
  <c r="N77" i="45" s="1"/>
  <c r="N91" i="45" s="1"/>
  <c r="O32" i="45"/>
  <c r="P32" i="45"/>
  <c r="P110" i="45" s="1"/>
  <c r="P112" i="45" s="1"/>
  <c r="Q32" i="45"/>
  <c r="Q63" i="45" s="1"/>
  <c r="Q52" i="45" s="1"/>
  <c r="R32" i="45"/>
  <c r="R63" i="45" s="1"/>
  <c r="R52" i="45" s="1"/>
  <c r="S32" i="45"/>
  <c r="S63" i="45" s="1"/>
  <c r="S52" i="45" s="1"/>
  <c r="T32" i="45"/>
  <c r="T77" i="45" s="1"/>
  <c r="T91" i="45" s="1"/>
  <c r="U32" i="45"/>
  <c r="U110" i="45" s="1"/>
  <c r="U112" i="45" s="1"/>
  <c r="V32" i="45"/>
  <c r="W32" i="45"/>
  <c r="X32" i="45"/>
  <c r="X39" i="45" s="1"/>
  <c r="Y32" i="45"/>
  <c r="Y77" i="45" s="1"/>
  <c r="Y91" i="45" s="1"/>
  <c r="Z32" i="45"/>
  <c r="Z77" i="45" s="1"/>
  <c r="Z91" i="45" s="1"/>
  <c r="AA32" i="45"/>
  <c r="AA77" i="45" s="1"/>
  <c r="AA91" i="45" s="1"/>
  <c r="AB32" i="45"/>
  <c r="AB39" i="45" s="1"/>
  <c r="AC32" i="45"/>
  <c r="AC63" i="45" s="1"/>
  <c r="AC52" i="45" s="1"/>
  <c r="AD32" i="45"/>
  <c r="AD77" i="45" s="1"/>
  <c r="AD91" i="45" s="1"/>
  <c r="AE32" i="45"/>
  <c r="AF32" i="45"/>
  <c r="AF110" i="45" s="1"/>
  <c r="AF112" i="45" s="1"/>
  <c r="AG32" i="45"/>
  <c r="AG63" i="45" s="1"/>
  <c r="AG52" i="45" s="1"/>
  <c r="AH32" i="45"/>
  <c r="AH63" i="45" s="1"/>
  <c r="AH52" i="45" s="1"/>
  <c r="AI32" i="45"/>
  <c r="AI63" i="45" s="1"/>
  <c r="AI52" i="45" s="1"/>
  <c r="AJ32" i="45"/>
  <c r="AJ77" i="45" s="1"/>
  <c r="AJ91" i="45" s="1"/>
  <c r="AK32" i="45"/>
  <c r="AK110" i="45" s="1"/>
  <c r="AK112" i="45" s="1"/>
  <c r="AL32" i="45"/>
  <c r="AM32" i="45"/>
  <c r="AN32" i="45"/>
  <c r="AN39" i="45" s="1"/>
  <c r="AO32" i="45"/>
  <c r="AO77" i="45" s="1"/>
  <c r="AO91" i="45" s="1"/>
  <c r="AP32" i="45"/>
  <c r="AP77" i="45" s="1"/>
  <c r="AP91" i="45" s="1"/>
  <c r="AQ32" i="45"/>
  <c r="AQ77" i="45" s="1"/>
  <c r="AQ91" i="45" s="1"/>
  <c r="AR32" i="45"/>
  <c r="AR77" i="45" s="1"/>
  <c r="AR91" i="45" s="1"/>
  <c r="AS32" i="45"/>
  <c r="AS63" i="45" s="1"/>
  <c r="AS52" i="45" s="1"/>
  <c r="AT32" i="45"/>
  <c r="AT77" i="45" s="1"/>
  <c r="AT91" i="45" s="1"/>
  <c r="AU32" i="45"/>
  <c r="AV32" i="45"/>
  <c r="AV110" i="45" s="1"/>
  <c r="AV112" i="45" s="1"/>
  <c r="AW32" i="45"/>
  <c r="AW63" i="45" s="1"/>
  <c r="AW52" i="45" s="1"/>
  <c r="AX32" i="45"/>
  <c r="AX63" i="45" s="1"/>
  <c r="AX52" i="45" s="1"/>
  <c r="AY32" i="45"/>
  <c r="AY63" i="45" s="1"/>
  <c r="AY52" i="45" s="1"/>
  <c r="AZ32" i="45"/>
  <c r="AZ77" i="45" s="1"/>
  <c r="AZ91" i="45" s="1"/>
  <c r="BA32" i="45"/>
  <c r="BA110" i="45" s="1"/>
  <c r="BA112" i="45" s="1"/>
  <c r="BB32" i="45"/>
  <c r="BC32" i="45"/>
  <c r="BD32" i="45"/>
  <c r="BD39" i="45" s="1"/>
  <c r="BE32" i="45"/>
  <c r="BE77" i="45" s="1"/>
  <c r="BE91" i="45" s="1"/>
  <c r="BF32" i="45"/>
  <c r="BF77" i="45" s="1"/>
  <c r="BF91" i="45" s="1"/>
  <c r="BG32" i="45"/>
  <c r="BG77" i="45" s="1"/>
  <c r="BG91" i="45" s="1"/>
  <c r="BH32" i="45"/>
  <c r="BH39" i="45" s="1"/>
  <c r="BI32" i="45"/>
  <c r="BI63" i="45" s="1"/>
  <c r="BI52" i="45" s="1"/>
  <c r="BJ32" i="45"/>
  <c r="BJ77" i="45" s="1"/>
  <c r="BJ91" i="45" s="1"/>
  <c r="C37" i="45"/>
  <c r="D32" i="45"/>
  <c r="D63" i="45" s="1"/>
  <c r="D52" i="45" s="1"/>
  <c r="E32" i="45"/>
  <c r="E77" i="45" s="1"/>
  <c r="E91" i="45" s="1"/>
  <c r="F32" i="45"/>
  <c r="D26" i="45"/>
  <c r="E26" i="45" s="1"/>
  <c r="C26" i="45"/>
  <c r="C25" i="45"/>
  <c r="C24" i="45"/>
  <c r="C46" i="45" s="1"/>
  <c r="C47" i="45" s="1"/>
  <c r="C57" i="45" s="1"/>
  <c r="C78" i="45" s="1"/>
  <c r="C92" i="45" s="1"/>
  <c r="B26" i="45"/>
  <c r="B69" i="45" s="1"/>
  <c r="B25" i="45"/>
  <c r="B59" i="45" s="1"/>
  <c r="B24" i="45"/>
  <c r="B42" i="45" s="1"/>
  <c r="E25" i="45"/>
  <c r="E24" i="45"/>
  <c r="C20" i="45"/>
  <c r="C19" i="45"/>
  <c r="E19" i="45"/>
  <c r="F19" i="45"/>
  <c r="G19" i="45"/>
  <c r="E20" i="45"/>
  <c r="F20" i="45"/>
  <c r="G20" i="45"/>
  <c r="E21" i="45"/>
  <c r="F21" i="45"/>
  <c r="G21" i="45"/>
  <c r="G18" i="45"/>
  <c r="F18" i="45"/>
  <c r="E18" i="45"/>
  <c r="AX8" i="45"/>
  <c r="AP8" i="45"/>
  <c r="AO8" i="45"/>
  <c r="AN8" i="45"/>
  <c r="AM8" i="45"/>
  <c r="AH8" i="45"/>
  <c r="AG8" i="45"/>
  <c r="R8" i="45"/>
  <c r="J8" i="45"/>
  <c r="I8" i="45"/>
  <c r="H8" i="45"/>
  <c r="G8" i="45"/>
  <c r="BJ7" i="45"/>
  <c r="BJ8" i="45" s="1"/>
  <c r="BI7" i="45"/>
  <c r="BI8" i="45" s="1"/>
  <c r="BH7" i="45"/>
  <c r="BH8" i="45" s="1"/>
  <c r="BG7" i="45"/>
  <c r="BG8" i="45" s="1"/>
  <c r="BF7" i="45"/>
  <c r="BF8" i="45" s="1"/>
  <c r="BE7" i="45"/>
  <c r="BE8" i="45" s="1"/>
  <c r="BD7" i="45"/>
  <c r="BD8" i="45" s="1"/>
  <c r="BC7" i="45"/>
  <c r="BC8" i="45" s="1"/>
  <c r="BB7" i="45"/>
  <c r="BB8" i="45" s="1"/>
  <c r="BA7" i="45"/>
  <c r="BA8" i="45" s="1"/>
  <c r="AZ7" i="45"/>
  <c r="AZ8" i="45" s="1"/>
  <c r="AY7" i="45"/>
  <c r="AY8" i="45" s="1"/>
  <c r="AX7" i="45"/>
  <c r="AW7" i="45"/>
  <c r="AW8" i="45" s="1"/>
  <c r="AV7" i="45"/>
  <c r="AV8" i="45" s="1"/>
  <c r="AU7" i="45"/>
  <c r="AU8" i="45" s="1"/>
  <c r="AT7" i="45"/>
  <c r="AT8" i="45" s="1"/>
  <c r="AS7" i="45"/>
  <c r="AS8" i="45" s="1"/>
  <c r="AR7" i="45"/>
  <c r="AR8" i="45" s="1"/>
  <c r="AQ7" i="45"/>
  <c r="AQ8" i="45" s="1"/>
  <c r="AP7" i="45"/>
  <c r="AO7" i="45"/>
  <c r="AN7" i="45"/>
  <c r="AM7" i="45"/>
  <c r="AL7" i="45"/>
  <c r="AL8" i="45" s="1"/>
  <c r="AK7" i="45"/>
  <c r="AK8" i="45" s="1"/>
  <c r="AJ7" i="45"/>
  <c r="AJ8" i="45" s="1"/>
  <c r="AI7" i="45"/>
  <c r="AI8" i="45" s="1"/>
  <c r="AH7" i="45"/>
  <c r="AG7" i="45"/>
  <c r="AF7" i="45"/>
  <c r="AF8" i="45" s="1"/>
  <c r="AE7" i="45"/>
  <c r="AE8" i="45" s="1"/>
  <c r="AD7" i="45"/>
  <c r="AD8" i="45" s="1"/>
  <c r="AC7" i="45"/>
  <c r="AC8" i="45" s="1"/>
  <c r="AB7" i="45"/>
  <c r="AB8" i="45" s="1"/>
  <c r="AA7" i="45"/>
  <c r="AA8" i="45" s="1"/>
  <c r="Z7" i="45"/>
  <c r="Z8" i="45" s="1"/>
  <c r="Y7" i="45"/>
  <c r="Y8" i="45" s="1"/>
  <c r="X7" i="45"/>
  <c r="X8" i="45" s="1"/>
  <c r="W7" i="45"/>
  <c r="W8" i="45" s="1"/>
  <c r="V7" i="45"/>
  <c r="V8" i="45" s="1"/>
  <c r="U7" i="45"/>
  <c r="U8" i="45" s="1"/>
  <c r="T7" i="45"/>
  <c r="T8" i="45" s="1"/>
  <c r="S7" i="45"/>
  <c r="S8" i="45" s="1"/>
  <c r="R7" i="45"/>
  <c r="Q7" i="45"/>
  <c r="Q8" i="45" s="1"/>
  <c r="P7" i="45"/>
  <c r="P8" i="45" s="1"/>
  <c r="O7" i="45"/>
  <c r="O8" i="45" s="1"/>
  <c r="N7" i="45"/>
  <c r="N8" i="45" s="1"/>
  <c r="M7" i="45"/>
  <c r="M8" i="45" s="1"/>
  <c r="L7" i="45"/>
  <c r="L8" i="45" s="1"/>
  <c r="K7" i="45"/>
  <c r="K8" i="45" s="1"/>
  <c r="J7" i="45"/>
  <c r="I7" i="45"/>
  <c r="H7" i="45"/>
  <c r="G7" i="45"/>
  <c r="F7" i="45"/>
  <c r="F8" i="45" s="1"/>
  <c r="D7" i="45"/>
  <c r="D8" i="45" s="1"/>
  <c r="C7" i="45"/>
  <c r="C8" i="45" s="1"/>
  <c r="E7" i="45"/>
  <c r="E8" i="45" s="1"/>
  <c r="A1" i="45"/>
  <c r="D24" i="44"/>
  <c r="D26" i="44"/>
  <c r="D27" i="44"/>
  <c r="E26" i="44"/>
  <c r="E27" i="44"/>
  <c r="E28" i="44"/>
  <c r="C39" i="44"/>
  <c r="S278" i="44"/>
  <c r="AI278" i="44"/>
  <c r="AY278" i="44"/>
  <c r="D274" i="44"/>
  <c r="E274" i="44"/>
  <c r="F274" i="44"/>
  <c r="G274" i="44"/>
  <c r="H274" i="44"/>
  <c r="L274" i="44"/>
  <c r="M274" i="44"/>
  <c r="N274" i="44"/>
  <c r="T274" i="44"/>
  <c r="U274" i="44"/>
  <c r="V274" i="44"/>
  <c r="W274" i="44"/>
  <c r="X274" i="44"/>
  <c r="Y274" i="44"/>
  <c r="AB274" i="44"/>
  <c r="AC274" i="44"/>
  <c r="AD274" i="44"/>
  <c r="AJ274" i="44"/>
  <c r="AK274" i="44"/>
  <c r="AL274" i="44"/>
  <c r="AM274" i="44"/>
  <c r="AN274" i="44"/>
  <c r="AO274" i="44"/>
  <c r="AR274" i="44"/>
  <c r="AS274" i="44"/>
  <c r="AT274" i="44"/>
  <c r="AZ274" i="44"/>
  <c r="BA274" i="44"/>
  <c r="BB274" i="44"/>
  <c r="BC274" i="44"/>
  <c r="BD274" i="44"/>
  <c r="BE274" i="44"/>
  <c r="BH274" i="44"/>
  <c r="BI274" i="44"/>
  <c r="BJ274" i="44"/>
  <c r="K275" i="44"/>
  <c r="P275" i="44"/>
  <c r="Q275" i="44"/>
  <c r="R275" i="44"/>
  <c r="S275" i="44"/>
  <c r="T275" i="44"/>
  <c r="T276" i="44" s="1"/>
  <c r="AA275" i="44"/>
  <c r="AF275" i="44"/>
  <c r="AG275" i="44"/>
  <c r="AH275" i="44"/>
  <c r="AI275" i="44"/>
  <c r="AJ275" i="44"/>
  <c r="AJ276" i="44" s="1"/>
  <c r="AQ275" i="44"/>
  <c r="AV275" i="44"/>
  <c r="AW275" i="44"/>
  <c r="AX275" i="44"/>
  <c r="AY275" i="44"/>
  <c r="AZ275" i="44"/>
  <c r="AZ276" i="44" s="1"/>
  <c r="BG275" i="44"/>
  <c r="E259" i="44"/>
  <c r="E278" i="44" s="1"/>
  <c r="F259" i="44"/>
  <c r="F278" i="44" s="1"/>
  <c r="G259" i="44"/>
  <c r="G278" i="44" s="1"/>
  <c r="H259" i="44"/>
  <c r="H278" i="44" s="1"/>
  <c r="S259" i="44"/>
  <c r="U259" i="44"/>
  <c r="U278" i="44" s="1"/>
  <c r="V259" i="44"/>
  <c r="V278" i="44" s="1"/>
  <c r="W259" i="44"/>
  <c r="W278" i="44" s="1"/>
  <c r="X259" i="44"/>
  <c r="X278" i="44" s="1"/>
  <c r="AI259" i="44"/>
  <c r="AK259" i="44"/>
  <c r="AK278" i="44" s="1"/>
  <c r="AL259" i="44"/>
  <c r="AL278" i="44" s="1"/>
  <c r="AM259" i="44"/>
  <c r="AM278" i="44" s="1"/>
  <c r="AN259" i="44"/>
  <c r="AN278" i="44" s="1"/>
  <c r="AY259" i="44"/>
  <c r="BA259" i="44"/>
  <c r="BA278" i="44" s="1"/>
  <c r="BB259" i="44"/>
  <c r="BB278" i="44" s="1"/>
  <c r="BC259" i="44"/>
  <c r="BC278" i="44" s="1"/>
  <c r="BD259" i="44"/>
  <c r="BD278" i="44" s="1"/>
  <c r="D250" i="44"/>
  <c r="D259" i="44" s="1"/>
  <c r="D278" i="44" s="1"/>
  <c r="E250" i="44"/>
  <c r="F250" i="44"/>
  <c r="G250" i="44"/>
  <c r="H250" i="44"/>
  <c r="I250" i="44"/>
  <c r="J250" i="44"/>
  <c r="K250" i="44"/>
  <c r="L250" i="44"/>
  <c r="M250" i="44"/>
  <c r="N250" i="44"/>
  <c r="O250" i="44"/>
  <c r="P250" i="44"/>
  <c r="Q250" i="44"/>
  <c r="R250" i="44"/>
  <c r="S250" i="44"/>
  <c r="T250" i="44"/>
  <c r="T259" i="44" s="1"/>
  <c r="T278" i="44" s="1"/>
  <c r="U250" i="44"/>
  <c r="V250" i="44"/>
  <c r="W250" i="44"/>
  <c r="X250" i="44"/>
  <c r="Y250" i="44"/>
  <c r="Z250" i="44"/>
  <c r="AA250" i="44"/>
  <c r="AB250" i="44"/>
  <c r="AC250" i="44"/>
  <c r="AD250" i="44"/>
  <c r="AE250" i="44"/>
  <c r="AF250" i="44"/>
  <c r="AG250" i="44"/>
  <c r="AH250" i="44"/>
  <c r="AI250" i="44"/>
  <c r="AJ250" i="44"/>
  <c r="AJ259" i="44" s="1"/>
  <c r="AJ278" i="44" s="1"/>
  <c r="AK250" i="44"/>
  <c r="AL250" i="44"/>
  <c r="AM250" i="44"/>
  <c r="AN250" i="44"/>
  <c r="AO250" i="44"/>
  <c r="AP250" i="44"/>
  <c r="AQ250" i="44"/>
  <c r="AR250" i="44"/>
  <c r="AS250" i="44"/>
  <c r="AT250" i="44"/>
  <c r="AU250" i="44"/>
  <c r="AV250" i="44"/>
  <c r="AW250" i="44"/>
  <c r="AX250" i="44"/>
  <c r="AY250" i="44"/>
  <c r="AZ250" i="44"/>
  <c r="AZ259" i="44" s="1"/>
  <c r="AZ278" i="44" s="1"/>
  <c r="BA250" i="44"/>
  <c r="BB250" i="44"/>
  <c r="BC250" i="44"/>
  <c r="BD250" i="44"/>
  <c r="BE250" i="44"/>
  <c r="BF250" i="44"/>
  <c r="BG250" i="44"/>
  <c r="BH250" i="44"/>
  <c r="BI250" i="44"/>
  <c r="BJ250" i="44"/>
  <c r="D241" i="44"/>
  <c r="E241" i="44"/>
  <c r="F241" i="44"/>
  <c r="G241" i="44"/>
  <c r="H241" i="44"/>
  <c r="I241" i="44"/>
  <c r="I259" i="44" s="1"/>
  <c r="I278" i="44" s="1"/>
  <c r="J241" i="44"/>
  <c r="J259" i="44" s="1"/>
  <c r="J278" i="44" s="1"/>
  <c r="K241" i="44"/>
  <c r="K259" i="44" s="1"/>
  <c r="K278" i="44" s="1"/>
  <c r="L241" i="44"/>
  <c r="L259" i="44" s="1"/>
  <c r="L278" i="44" s="1"/>
  <c r="M241" i="44"/>
  <c r="M259" i="44" s="1"/>
  <c r="M278" i="44" s="1"/>
  <c r="N241" i="44"/>
  <c r="N259" i="44" s="1"/>
  <c r="N278" i="44" s="1"/>
  <c r="O241" i="44"/>
  <c r="O259" i="44" s="1"/>
  <c r="O278" i="44" s="1"/>
  <c r="P241" i="44"/>
  <c r="P259" i="44" s="1"/>
  <c r="P278" i="44" s="1"/>
  <c r="Q241" i="44"/>
  <c r="Q259" i="44" s="1"/>
  <c r="Q278" i="44" s="1"/>
  <c r="R241" i="44"/>
  <c r="R259" i="44" s="1"/>
  <c r="R278" i="44" s="1"/>
  <c r="S241" i="44"/>
  <c r="T241" i="44"/>
  <c r="U241" i="44"/>
  <c r="V241" i="44"/>
  <c r="W241" i="44"/>
  <c r="X241" i="44"/>
  <c r="Y241" i="44"/>
  <c r="Y259" i="44" s="1"/>
  <c r="Y278" i="44" s="1"/>
  <c r="Z241" i="44"/>
  <c r="Z259" i="44" s="1"/>
  <c r="Z278" i="44" s="1"/>
  <c r="AA241" i="44"/>
  <c r="AA259" i="44" s="1"/>
  <c r="AA278" i="44" s="1"/>
  <c r="AB241" i="44"/>
  <c r="AB259" i="44" s="1"/>
  <c r="AB278" i="44" s="1"/>
  <c r="AC241" i="44"/>
  <c r="AC259" i="44" s="1"/>
  <c r="AC278" i="44" s="1"/>
  <c r="AD241" i="44"/>
  <c r="AD259" i="44" s="1"/>
  <c r="AD278" i="44" s="1"/>
  <c r="AE241" i="44"/>
  <c r="AE259" i="44" s="1"/>
  <c r="AE278" i="44" s="1"/>
  <c r="AF241" i="44"/>
  <c r="AF259" i="44" s="1"/>
  <c r="AF278" i="44" s="1"/>
  <c r="AG241" i="44"/>
  <c r="AG259" i="44" s="1"/>
  <c r="AG278" i="44" s="1"/>
  <c r="AH241" i="44"/>
  <c r="AH259" i="44" s="1"/>
  <c r="AH278" i="44" s="1"/>
  <c r="AI241" i="44"/>
  <c r="AJ241" i="44"/>
  <c r="AK241" i="44"/>
  <c r="AL241" i="44"/>
  <c r="AM241" i="44"/>
  <c r="AN241" i="44"/>
  <c r="AO241" i="44"/>
  <c r="AO259" i="44" s="1"/>
  <c r="AO278" i="44" s="1"/>
  <c r="AP241" i="44"/>
  <c r="AP259" i="44" s="1"/>
  <c r="AP278" i="44" s="1"/>
  <c r="AQ241" i="44"/>
  <c r="AQ259" i="44" s="1"/>
  <c r="AQ278" i="44" s="1"/>
  <c r="AR241" i="44"/>
  <c r="AR259" i="44" s="1"/>
  <c r="AR278" i="44" s="1"/>
  <c r="AS241" i="44"/>
  <c r="AS259" i="44" s="1"/>
  <c r="AS278" i="44" s="1"/>
  <c r="AT241" i="44"/>
  <c r="AT259" i="44" s="1"/>
  <c r="AT278" i="44" s="1"/>
  <c r="AU241" i="44"/>
  <c r="AU259" i="44" s="1"/>
  <c r="AU278" i="44" s="1"/>
  <c r="AV241" i="44"/>
  <c r="AV259" i="44" s="1"/>
  <c r="AV278" i="44" s="1"/>
  <c r="AW241" i="44"/>
  <c r="AW259" i="44" s="1"/>
  <c r="AW278" i="44" s="1"/>
  <c r="AX241" i="44"/>
  <c r="AX259" i="44" s="1"/>
  <c r="AX278" i="44" s="1"/>
  <c r="AY241" i="44"/>
  <c r="AZ241" i="44"/>
  <c r="BA241" i="44"/>
  <c r="BB241" i="44"/>
  <c r="BC241" i="44"/>
  <c r="BD241" i="44"/>
  <c r="BE241" i="44"/>
  <c r="BE259" i="44" s="1"/>
  <c r="BE278" i="44" s="1"/>
  <c r="BF241" i="44"/>
  <c r="BF259" i="44" s="1"/>
  <c r="BF278" i="44" s="1"/>
  <c r="BG241" i="44"/>
  <c r="BG259" i="44" s="1"/>
  <c r="BG278" i="44" s="1"/>
  <c r="BH241" i="44"/>
  <c r="BH259" i="44" s="1"/>
  <c r="BH278" i="44" s="1"/>
  <c r="BI241" i="44"/>
  <c r="BI259" i="44" s="1"/>
  <c r="BI278" i="44" s="1"/>
  <c r="BJ241" i="44"/>
  <c r="BJ259" i="44" s="1"/>
  <c r="BJ278" i="44" s="1"/>
  <c r="D216" i="44"/>
  <c r="L216" i="44"/>
  <c r="M216" i="44"/>
  <c r="AB216" i="44"/>
  <c r="AR216" i="44"/>
  <c r="AS216" i="44"/>
  <c r="BH216" i="44"/>
  <c r="BI216" i="44"/>
  <c r="BJ216" i="44"/>
  <c r="E197" i="44"/>
  <c r="E216" i="44" s="1"/>
  <c r="F197" i="44"/>
  <c r="F216" i="44" s="1"/>
  <c r="G197" i="44"/>
  <c r="G216" i="44" s="1"/>
  <c r="H197" i="44"/>
  <c r="H216" i="44" s="1"/>
  <c r="I197" i="44"/>
  <c r="I216" i="44" s="1"/>
  <c r="J197" i="44"/>
  <c r="J216" i="44" s="1"/>
  <c r="K197" i="44"/>
  <c r="K216" i="44" s="1"/>
  <c r="L197" i="44"/>
  <c r="M197" i="44"/>
  <c r="N197" i="44"/>
  <c r="N216" i="44" s="1"/>
  <c r="O197" i="44"/>
  <c r="O216" i="44" s="1"/>
  <c r="P197" i="44"/>
  <c r="P216" i="44" s="1"/>
  <c r="Q197" i="44"/>
  <c r="Q216" i="44" s="1"/>
  <c r="R197" i="44"/>
  <c r="R216" i="44" s="1"/>
  <c r="S197" i="44"/>
  <c r="S216" i="44" s="1"/>
  <c r="T197" i="44"/>
  <c r="T216" i="44" s="1"/>
  <c r="U197" i="44"/>
  <c r="U216" i="44" s="1"/>
  <c r="V197" i="44"/>
  <c r="V216" i="44" s="1"/>
  <c r="W197" i="44"/>
  <c r="W216" i="44" s="1"/>
  <c r="X197" i="44"/>
  <c r="X216" i="44" s="1"/>
  <c r="Y197" i="44"/>
  <c r="Y216" i="44" s="1"/>
  <c r="Z197" i="44"/>
  <c r="Z216" i="44" s="1"/>
  <c r="AA197" i="44"/>
  <c r="AA216" i="44" s="1"/>
  <c r="AB197" i="44"/>
  <c r="AC197" i="44"/>
  <c r="AC216" i="44" s="1"/>
  <c r="AD197" i="44"/>
  <c r="AD216" i="44" s="1"/>
  <c r="AE197" i="44"/>
  <c r="AE216" i="44" s="1"/>
  <c r="AF197" i="44"/>
  <c r="AF216" i="44" s="1"/>
  <c r="AG197" i="44"/>
  <c r="AG216" i="44" s="1"/>
  <c r="AH197" i="44"/>
  <c r="AH216" i="44" s="1"/>
  <c r="AI197" i="44"/>
  <c r="AI216" i="44" s="1"/>
  <c r="AJ197" i="44"/>
  <c r="AJ216" i="44" s="1"/>
  <c r="AK197" i="44"/>
  <c r="AK216" i="44" s="1"/>
  <c r="AL197" i="44"/>
  <c r="AL216" i="44" s="1"/>
  <c r="AM197" i="44"/>
  <c r="AM216" i="44" s="1"/>
  <c r="AN197" i="44"/>
  <c r="AN216" i="44" s="1"/>
  <c r="AO197" i="44"/>
  <c r="AO216" i="44" s="1"/>
  <c r="AP197" i="44"/>
  <c r="AP216" i="44" s="1"/>
  <c r="AQ197" i="44"/>
  <c r="AQ216" i="44" s="1"/>
  <c r="AR197" i="44"/>
  <c r="AS197" i="44"/>
  <c r="AT197" i="44"/>
  <c r="AT216" i="44" s="1"/>
  <c r="AU197" i="44"/>
  <c r="AU216" i="44" s="1"/>
  <c r="AV197" i="44"/>
  <c r="AV216" i="44" s="1"/>
  <c r="AW197" i="44"/>
  <c r="AW216" i="44" s="1"/>
  <c r="AX197" i="44"/>
  <c r="AX216" i="44" s="1"/>
  <c r="AY197" i="44"/>
  <c r="AY216" i="44" s="1"/>
  <c r="AZ197" i="44"/>
  <c r="AZ216" i="44" s="1"/>
  <c r="BA197" i="44"/>
  <c r="BA216" i="44" s="1"/>
  <c r="BB197" i="44"/>
  <c r="BB216" i="44" s="1"/>
  <c r="BC197" i="44"/>
  <c r="BC216" i="44" s="1"/>
  <c r="BD197" i="44"/>
  <c r="BD216" i="44" s="1"/>
  <c r="BE197" i="44"/>
  <c r="BE216" i="44" s="1"/>
  <c r="BF197" i="44"/>
  <c r="BF216" i="44" s="1"/>
  <c r="BG197" i="44"/>
  <c r="BG216" i="44" s="1"/>
  <c r="BH197" i="44"/>
  <c r="BI197" i="44"/>
  <c r="BJ197" i="44"/>
  <c r="D197" i="44"/>
  <c r="BJ183" i="44"/>
  <c r="BI183" i="44"/>
  <c r="BH183" i="44"/>
  <c r="BG183" i="44"/>
  <c r="BF183" i="44"/>
  <c r="BE183" i="44"/>
  <c r="BD183" i="44"/>
  <c r="BC183" i="44"/>
  <c r="BB183" i="44"/>
  <c r="BA183" i="44"/>
  <c r="AZ183" i="44"/>
  <c r="AY183" i="44"/>
  <c r="AX183" i="44"/>
  <c r="AW183" i="44"/>
  <c r="AV183" i="44"/>
  <c r="AU183" i="44"/>
  <c r="AT183" i="44"/>
  <c r="AS183" i="44"/>
  <c r="AR183" i="44"/>
  <c r="AQ183" i="44"/>
  <c r="AP183" i="44"/>
  <c r="AO183" i="44"/>
  <c r="AN183" i="44"/>
  <c r="AM183" i="44"/>
  <c r="AL183" i="44"/>
  <c r="AK183" i="44"/>
  <c r="AJ183" i="44"/>
  <c r="AI183" i="44"/>
  <c r="AH183" i="44"/>
  <c r="AG183" i="44"/>
  <c r="AF183" i="44"/>
  <c r="AE183" i="44"/>
  <c r="AD183" i="44"/>
  <c r="AC183" i="44"/>
  <c r="AB183" i="44"/>
  <c r="AA183" i="44"/>
  <c r="Z183" i="44"/>
  <c r="Y183" i="44"/>
  <c r="X183" i="44"/>
  <c r="W183" i="44"/>
  <c r="V183" i="44"/>
  <c r="U183" i="44"/>
  <c r="T183" i="44"/>
  <c r="S183" i="44"/>
  <c r="R183" i="44"/>
  <c r="Q183" i="44"/>
  <c r="P183" i="44"/>
  <c r="O183" i="44"/>
  <c r="N183" i="44"/>
  <c r="M183" i="44"/>
  <c r="L183" i="44"/>
  <c r="K183" i="44"/>
  <c r="J183" i="44"/>
  <c r="I183" i="44"/>
  <c r="H183" i="44"/>
  <c r="G183" i="44"/>
  <c r="F183" i="44"/>
  <c r="E183" i="44"/>
  <c r="D183" i="44"/>
  <c r="D176" i="44"/>
  <c r="E176" i="44"/>
  <c r="F176" i="44"/>
  <c r="G176" i="44"/>
  <c r="H176" i="44"/>
  <c r="I176" i="44"/>
  <c r="J176" i="44"/>
  <c r="K176" i="44"/>
  <c r="L176" i="44"/>
  <c r="M176" i="44"/>
  <c r="N176" i="44"/>
  <c r="O176" i="44"/>
  <c r="P176" i="44"/>
  <c r="Q176" i="44"/>
  <c r="R176" i="44"/>
  <c r="S176" i="44"/>
  <c r="T176" i="44"/>
  <c r="U176" i="44"/>
  <c r="V176" i="44"/>
  <c r="W176" i="44"/>
  <c r="X176" i="44"/>
  <c r="Y176" i="44"/>
  <c r="Z176" i="44"/>
  <c r="AA176" i="44"/>
  <c r="AB176" i="44"/>
  <c r="AC176" i="44"/>
  <c r="AD176" i="44"/>
  <c r="AE176" i="44"/>
  <c r="AF176" i="44"/>
  <c r="AG176" i="44"/>
  <c r="AH176" i="44"/>
  <c r="AI176" i="44"/>
  <c r="AJ176" i="44"/>
  <c r="AK176" i="44"/>
  <c r="AL176" i="44"/>
  <c r="AM176" i="44"/>
  <c r="AN176" i="44"/>
  <c r="AO176" i="44"/>
  <c r="AP176" i="44"/>
  <c r="AQ176" i="44"/>
  <c r="AR176" i="44"/>
  <c r="AS176" i="44"/>
  <c r="AT176" i="44"/>
  <c r="AU176" i="44"/>
  <c r="AV176" i="44"/>
  <c r="AW176" i="44"/>
  <c r="AX176" i="44"/>
  <c r="AY176" i="44"/>
  <c r="AZ176" i="44"/>
  <c r="BA176" i="44"/>
  <c r="BB176" i="44"/>
  <c r="BC176" i="44"/>
  <c r="BD176" i="44"/>
  <c r="BE176" i="44"/>
  <c r="BF176" i="44"/>
  <c r="BG176" i="44"/>
  <c r="BH176" i="44"/>
  <c r="BI176" i="44"/>
  <c r="BJ176" i="44"/>
  <c r="D163" i="44"/>
  <c r="D136" i="44" s="1"/>
  <c r="E163" i="44"/>
  <c r="E136" i="44" s="1"/>
  <c r="F163" i="44"/>
  <c r="F136" i="44" s="1"/>
  <c r="G163" i="44"/>
  <c r="G136" i="44" s="1"/>
  <c r="H163" i="44"/>
  <c r="H136" i="44" s="1"/>
  <c r="I163" i="44"/>
  <c r="I136" i="44" s="1"/>
  <c r="J163" i="44"/>
  <c r="J136" i="44" s="1"/>
  <c r="K163" i="44"/>
  <c r="K136" i="44" s="1"/>
  <c r="L163" i="44"/>
  <c r="L136" i="44" s="1"/>
  <c r="M163" i="44"/>
  <c r="M136" i="44" s="1"/>
  <c r="N163" i="44"/>
  <c r="N136" i="44" s="1"/>
  <c r="O163" i="44"/>
  <c r="O136" i="44" s="1"/>
  <c r="P163" i="44"/>
  <c r="P136" i="44" s="1"/>
  <c r="Q163" i="44"/>
  <c r="Q136" i="44" s="1"/>
  <c r="R163" i="44"/>
  <c r="R136" i="44" s="1"/>
  <c r="S163" i="44"/>
  <c r="S136" i="44" s="1"/>
  <c r="T163" i="44"/>
  <c r="T136" i="44" s="1"/>
  <c r="U163" i="44"/>
  <c r="U136" i="44" s="1"/>
  <c r="V163" i="44"/>
  <c r="V136" i="44" s="1"/>
  <c r="W163" i="44"/>
  <c r="W136" i="44" s="1"/>
  <c r="X163" i="44"/>
  <c r="X136" i="44" s="1"/>
  <c r="Y163" i="44"/>
  <c r="Y136" i="44" s="1"/>
  <c r="Z163" i="44"/>
  <c r="Z136" i="44" s="1"/>
  <c r="AA163" i="44"/>
  <c r="AA136" i="44" s="1"/>
  <c r="AB163" i="44"/>
  <c r="AB136" i="44" s="1"/>
  <c r="AC163" i="44"/>
  <c r="AC136" i="44" s="1"/>
  <c r="AD163" i="44"/>
  <c r="AD136" i="44" s="1"/>
  <c r="AE163" i="44"/>
  <c r="AE136" i="44" s="1"/>
  <c r="AF163" i="44"/>
  <c r="AF136" i="44" s="1"/>
  <c r="AG163" i="44"/>
  <c r="AG136" i="44" s="1"/>
  <c r="AH163" i="44"/>
  <c r="AH136" i="44" s="1"/>
  <c r="AI163" i="44"/>
  <c r="AI136" i="44" s="1"/>
  <c r="AJ163" i="44"/>
  <c r="AJ136" i="44" s="1"/>
  <c r="AK163" i="44"/>
  <c r="AK136" i="44" s="1"/>
  <c r="AL163" i="44"/>
  <c r="AL136" i="44" s="1"/>
  <c r="AM163" i="44"/>
  <c r="AM136" i="44" s="1"/>
  <c r="AN163" i="44"/>
  <c r="AN136" i="44" s="1"/>
  <c r="AO163" i="44"/>
  <c r="AO136" i="44" s="1"/>
  <c r="AP163" i="44"/>
  <c r="AP136" i="44" s="1"/>
  <c r="AQ163" i="44"/>
  <c r="AQ136" i="44" s="1"/>
  <c r="AR163" i="44"/>
  <c r="AR136" i="44" s="1"/>
  <c r="AS163" i="44"/>
  <c r="AS136" i="44" s="1"/>
  <c r="AT163" i="44"/>
  <c r="AT136" i="44" s="1"/>
  <c r="AU163" i="44"/>
  <c r="AU136" i="44" s="1"/>
  <c r="AV163" i="44"/>
  <c r="AV136" i="44" s="1"/>
  <c r="AW163" i="44"/>
  <c r="AW136" i="44" s="1"/>
  <c r="AX163" i="44"/>
  <c r="AX136" i="44" s="1"/>
  <c r="AY163" i="44"/>
  <c r="AY136" i="44" s="1"/>
  <c r="AZ163" i="44"/>
  <c r="AZ136" i="44" s="1"/>
  <c r="BA163" i="44"/>
  <c r="BA136" i="44" s="1"/>
  <c r="BB163" i="44"/>
  <c r="BB136" i="44" s="1"/>
  <c r="BC163" i="44"/>
  <c r="BC136" i="44" s="1"/>
  <c r="BD163" i="44"/>
  <c r="BD136" i="44" s="1"/>
  <c r="BE163" i="44"/>
  <c r="BE136" i="44" s="1"/>
  <c r="BF163" i="44"/>
  <c r="BF136" i="44" s="1"/>
  <c r="BG163" i="44"/>
  <c r="BG136" i="44" s="1"/>
  <c r="BH163" i="44"/>
  <c r="BH136" i="44" s="1"/>
  <c r="BI163" i="44"/>
  <c r="BI136" i="44" s="1"/>
  <c r="BJ163" i="44"/>
  <c r="BJ136" i="44" s="1"/>
  <c r="D116" i="44"/>
  <c r="E116" i="44"/>
  <c r="F116" i="44"/>
  <c r="G116" i="44"/>
  <c r="H116" i="44"/>
  <c r="I116" i="44"/>
  <c r="J116" i="44"/>
  <c r="K116" i="44"/>
  <c r="L116" i="44"/>
  <c r="M116" i="44"/>
  <c r="N116" i="44"/>
  <c r="O116" i="44"/>
  <c r="P116" i="44"/>
  <c r="Q116" i="44"/>
  <c r="R116" i="44"/>
  <c r="S116" i="44"/>
  <c r="T116" i="44"/>
  <c r="U116" i="44"/>
  <c r="V116" i="44"/>
  <c r="W116" i="44"/>
  <c r="X116" i="44"/>
  <c r="Y116" i="44"/>
  <c r="Z116" i="44"/>
  <c r="AA116" i="44"/>
  <c r="AB116" i="44"/>
  <c r="AC116" i="44"/>
  <c r="AD116" i="44"/>
  <c r="AE116" i="44"/>
  <c r="AF116" i="44"/>
  <c r="AG116" i="44"/>
  <c r="AH116" i="44"/>
  <c r="AI116" i="44"/>
  <c r="AJ116" i="44"/>
  <c r="AK116" i="44"/>
  <c r="AL116" i="44"/>
  <c r="AM116" i="44"/>
  <c r="AN116" i="44"/>
  <c r="AO116" i="44"/>
  <c r="AP116" i="44"/>
  <c r="AQ116" i="44"/>
  <c r="AR116" i="44"/>
  <c r="AS116" i="44"/>
  <c r="AT116" i="44"/>
  <c r="AU116" i="44"/>
  <c r="AV116" i="44"/>
  <c r="AW116" i="44"/>
  <c r="AX116" i="44"/>
  <c r="AY116" i="44"/>
  <c r="AZ116" i="44"/>
  <c r="BA116" i="44"/>
  <c r="BB116" i="44"/>
  <c r="BC116" i="44"/>
  <c r="BD116" i="44"/>
  <c r="BE116" i="44"/>
  <c r="BF116" i="44"/>
  <c r="BG116" i="44"/>
  <c r="BH116" i="44"/>
  <c r="BI116" i="44"/>
  <c r="BJ116" i="44"/>
  <c r="D117" i="44"/>
  <c r="D168" i="44" s="1"/>
  <c r="D148" i="44" s="1"/>
  <c r="E117" i="44"/>
  <c r="E168" i="44" s="1"/>
  <c r="E148" i="44" s="1"/>
  <c r="F117" i="44"/>
  <c r="F168" i="44" s="1"/>
  <c r="F148" i="44" s="1"/>
  <c r="G117" i="44"/>
  <c r="G168" i="44" s="1"/>
  <c r="G148" i="44" s="1"/>
  <c r="H117" i="44"/>
  <c r="H168" i="44" s="1"/>
  <c r="H148" i="44" s="1"/>
  <c r="I117" i="44"/>
  <c r="I168" i="44" s="1"/>
  <c r="I148" i="44" s="1"/>
  <c r="J117" i="44"/>
  <c r="J168" i="44" s="1"/>
  <c r="J148" i="44" s="1"/>
  <c r="K117" i="44"/>
  <c r="K168" i="44" s="1"/>
  <c r="K148" i="44" s="1"/>
  <c r="L117" i="44"/>
  <c r="L168" i="44" s="1"/>
  <c r="L148" i="44" s="1"/>
  <c r="M117" i="44"/>
  <c r="M168" i="44" s="1"/>
  <c r="M148" i="44" s="1"/>
  <c r="N117" i="44"/>
  <c r="N168" i="44" s="1"/>
  <c r="N148" i="44" s="1"/>
  <c r="O117" i="44"/>
  <c r="O168" i="44" s="1"/>
  <c r="O148" i="44" s="1"/>
  <c r="P117" i="44"/>
  <c r="P168" i="44" s="1"/>
  <c r="P148" i="44" s="1"/>
  <c r="Q117" i="44"/>
  <c r="Q168" i="44" s="1"/>
  <c r="Q148" i="44" s="1"/>
  <c r="R117" i="44"/>
  <c r="R168" i="44" s="1"/>
  <c r="R148" i="44" s="1"/>
  <c r="S117" i="44"/>
  <c r="S168" i="44" s="1"/>
  <c r="S148" i="44" s="1"/>
  <c r="T117" i="44"/>
  <c r="T168" i="44" s="1"/>
  <c r="T148" i="44" s="1"/>
  <c r="U117" i="44"/>
  <c r="U168" i="44" s="1"/>
  <c r="U148" i="44" s="1"/>
  <c r="V117" i="44"/>
  <c r="V168" i="44" s="1"/>
  <c r="V148" i="44" s="1"/>
  <c r="W117" i="44"/>
  <c r="W168" i="44" s="1"/>
  <c r="W148" i="44" s="1"/>
  <c r="X117" i="44"/>
  <c r="X168" i="44" s="1"/>
  <c r="X148" i="44" s="1"/>
  <c r="Y117" i="44"/>
  <c r="Y168" i="44" s="1"/>
  <c r="Y148" i="44" s="1"/>
  <c r="Z117" i="44"/>
  <c r="Z168" i="44" s="1"/>
  <c r="Z148" i="44" s="1"/>
  <c r="AA117" i="44"/>
  <c r="AA168" i="44" s="1"/>
  <c r="AA148" i="44" s="1"/>
  <c r="AB117" i="44"/>
  <c r="AB168" i="44" s="1"/>
  <c r="AB148" i="44" s="1"/>
  <c r="AC117" i="44"/>
  <c r="AC168" i="44" s="1"/>
  <c r="AC148" i="44" s="1"/>
  <c r="AD117" i="44"/>
  <c r="AD168" i="44" s="1"/>
  <c r="AD148" i="44" s="1"/>
  <c r="AE117" i="44"/>
  <c r="AE168" i="44" s="1"/>
  <c r="AE148" i="44" s="1"/>
  <c r="AF117" i="44"/>
  <c r="AF168" i="44" s="1"/>
  <c r="AF148" i="44" s="1"/>
  <c r="AG117" i="44"/>
  <c r="AG168" i="44" s="1"/>
  <c r="AG148" i="44" s="1"/>
  <c r="AH117" i="44"/>
  <c r="AH168" i="44" s="1"/>
  <c r="AH148" i="44" s="1"/>
  <c r="AI117" i="44"/>
  <c r="AI168" i="44" s="1"/>
  <c r="AI148" i="44" s="1"/>
  <c r="AJ117" i="44"/>
  <c r="AJ168" i="44" s="1"/>
  <c r="AJ148" i="44" s="1"/>
  <c r="AK117" i="44"/>
  <c r="AK168" i="44" s="1"/>
  <c r="AK148" i="44" s="1"/>
  <c r="AL117" i="44"/>
  <c r="AL168" i="44" s="1"/>
  <c r="AL148" i="44" s="1"/>
  <c r="AM117" i="44"/>
  <c r="AM168" i="44" s="1"/>
  <c r="AM148" i="44" s="1"/>
  <c r="AN117" i="44"/>
  <c r="AN168" i="44" s="1"/>
  <c r="AN148" i="44" s="1"/>
  <c r="AO117" i="44"/>
  <c r="AO168" i="44" s="1"/>
  <c r="AO148" i="44" s="1"/>
  <c r="AP117" i="44"/>
  <c r="AP168" i="44" s="1"/>
  <c r="AP148" i="44" s="1"/>
  <c r="AQ117" i="44"/>
  <c r="AQ168" i="44" s="1"/>
  <c r="AQ148" i="44" s="1"/>
  <c r="AR117" i="44"/>
  <c r="AR168" i="44" s="1"/>
  <c r="AR148" i="44" s="1"/>
  <c r="AS117" i="44"/>
  <c r="AS168" i="44" s="1"/>
  <c r="AS148" i="44" s="1"/>
  <c r="AT117" i="44"/>
  <c r="AT168" i="44" s="1"/>
  <c r="AT148" i="44" s="1"/>
  <c r="AU117" i="44"/>
  <c r="AU168" i="44" s="1"/>
  <c r="AU148" i="44" s="1"/>
  <c r="AV117" i="44"/>
  <c r="AV168" i="44" s="1"/>
  <c r="AV148" i="44" s="1"/>
  <c r="AW117" i="44"/>
  <c r="AW168" i="44" s="1"/>
  <c r="AW148" i="44" s="1"/>
  <c r="AX117" i="44"/>
  <c r="AX168" i="44" s="1"/>
  <c r="AX148" i="44" s="1"/>
  <c r="AY117" i="44"/>
  <c r="AY168" i="44" s="1"/>
  <c r="AY148" i="44" s="1"/>
  <c r="AZ117" i="44"/>
  <c r="AZ168" i="44" s="1"/>
  <c r="AZ148" i="44" s="1"/>
  <c r="BA117" i="44"/>
  <c r="BA168" i="44" s="1"/>
  <c r="BA148" i="44" s="1"/>
  <c r="BB117" i="44"/>
  <c r="BB168" i="44" s="1"/>
  <c r="BB148" i="44" s="1"/>
  <c r="BC117" i="44"/>
  <c r="BC168" i="44" s="1"/>
  <c r="BC148" i="44" s="1"/>
  <c r="BD117" i="44"/>
  <c r="BD168" i="44" s="1"/>
  <c r="BD148" i="44" s="1"/>
  <c r="BE117" i="44"/>
  <c r="BE168" i="44" s="1"/>
  <c r="BE148" i="44" s="1"/>
  <c r="BF117" i="44"/>
  <c r="BF168" i="44" s="1"/>
  <c r="BF148" i="44" s="1"/>
  <c r="BG117" i="44"/>
  <c r="BG168" i="44" s="1"/>
  <c r="BG148" i="44" s="1"/>
  <c r="BH117" i="44"/>
  <c r="BH168" i="44" s="1"/>
  <c r="BH148" i="44" s="1"/>
  <c r="BI117" i="44"/>
  <c r="BI168" i="44" s="1"/>
  <c r="BI148" i="44" s="1"/>
  <c r="BJ117" i="44"/>
  <c r="BJ168" i="44" s="1"/>
  <c r="BJ148" i="44" s="1"/>
  <c r="D108" i="44"/>
  <c r="E108" i="44"/>
  <c r="F108" i="44"/>
  <c r="G108" i="44"/>
  <c r="H108" i="44"/>
  <c r="I108" i="44"/>
  <c r="J108" i="44"/>
  <c r="K108" i="44"/>
  <c r="L108" i="44"/>
  <c r="M108" i="44"/>
  <c r="N108" i="44"/>
  <c r="O108" i="44"/>
  <c r="P108" i="44"/>
  <c r="Q108" i="44"/>
  <c r="R108" i="44"/>
  <c r="S108" i="44"/>
  <c r="T108" i="44"/>
  <c r="U108" i="44"/>
  <c r="V108" i="44"/>
  <c r="W108" i="44"/>
  <c r="X108" i="44"/>
  <c r="Y108" i="44"/>
  <c r="Z108" i="44"/>
  <c r="AA108" i="44"/>
  <c r="AB108" i="44"/>
  <c r="AC108" i="44"/>
  <c r="AD108" i="44"/>
  <c r="AE108" i="44"/>
  <c r="AF108" i="44"/>
  <c r="AG108" i="44"/>
  <c r="AH108" i="44"/>
  <c r="AI108" i="44"/>
  <c r="AJ108" i="44"/>
  <c r="AK108" i="44"/>
  <c r="AL108" i="44"/>
  <c r="AM108" i="44"/>
  <c r="AN108" i="44"/>
  <c r="AO108" i="44"/>
  <c r="AP108" i="44"/>
  <c r="AQ108" i="44"/>
  <c r="AR108" i="44"/>
  <c r="AS108" i="44"/>
  <c r="AT108" i="44"/>
  <c r="AU108" i="44"/>
  <c r="AV108" i="44"/>
  <c r="AW108" i="44"/>
  <c r="AX108" i="44"/>
  <c r="AY108" i="44"/>
  <c r="AZ108" i="44"/>
  <c r="BA108" i="44"/>
  <c r="BB108" i="44"/>
  <c r="BC108" i="44"/>
  <c r="BD108" i="44"/>
  <c r="BE108" i="44"/>
  <c r="BF108" i="44"/>
  <c r="BG108" i="44"/>
  <c r="BH108" i="44"/>
  <c r="BI108" i="44"/>
  <c r="BJ108" i="44"/>
  <c r="C100" i="44"/>
  <c r="B96" i="44"/>
  <c r="D90" i="44"/>
  <c r="D79" i="44" s="1"/>
  <c r="E90" i="44"/>
  <c r="E79" i="44" s="1"/>
  <c r="F90" i="44"/>
  <c r="F79" i="44" s="1"/>
  <c r="G90" i="44"/>
  <c r="G79" i="44" s="1"/>
  <c r="H90" i="44"/>
  <c r="H79" i="44" s="1"/>
  <c r="I90" i="44"/>
  <c r="I79" i="44" s="1"/>
  <c r="J90" i="44"/>
  <c r="J79" i="44" s="1"/>
  <c r="K90" i="44"/>
  <c r="K79" i="44" s="1"/>
  <c r="L90" i="44"/>
  <c r="L79" i="44" s="1"/>
  <c r="M90" i="44"/>
  <c r="M79" i="44" s="1"/>
  <c r="N90" i="44"/>
  <c r="N79" i="44" s="1"/>
  <c r="O90" i="44"/>
  <c r="O79" i="44" s="1"/>
  <c r="P90" i="44"/>
  <c r="P79" i="44" s="1"/>
  <c r="Q90" i="44"/>
  <c r="Q79" i="44" s="1"/>
  <c r="R90" i="44"/>
  <c r="R79" i="44" s="1"/>
  <c r="S90" i="44"/>
  <c r="S79" i="44" s="1"/>
  <c r="T90" i="44"/>
  <c r="T79" i="44" s="1"/>
  <c r="U90" i="44"/>
  <c r="U79" i="44" s="1"/>
  <c r="V90" i="44"/>
  <c r="V79" i="44" s="1"/>
  <c r="W90" i="44"/>
  <c r="W79" i="44" s="1"/>
  <c r="X90" i="44"/>
  <c r="X79" i="44" s="1"/>
  <c r="Y90" i="44"/>
  <c r="Y79" i="44" s="1"/>
  <c r="Z90" i="44"/>
  <c r="Z79" i="44" s="1"/>
  <c r="AA90" i="44"/>
  <c r="AA79" i="44" s="1"/>
  <c r="AB90" i="44"/>
  <c r="AB79" i="44" s="1"/>
  <c r="AC90" i="44"/>
  <c r="AC79" i="44" s="1"/>
  <c r="AD90" i="44"/>
  <c r="AD79" i="44" s="1"/>
  <c r="AE90" i="44"/>
  <c r="AE79" i="44" s="1"/>
  <c r="AF90" i="44"/>
  <c r="AF79" i="44" s="1"/>
  <c r="AG90" i="44"/>
  <c r="AG79" i="44" s="1"/>
  <c r="AH90" i="44"/>
  <c r="AH79" i="44" s="1"/>
  <c r="AI90" i="44"/>
  <c r="AI79" i="44" s="1"/>
  <c r="AJ90" i="44"/>
  <c r="AJ79" i="44" s="1"/>
  <c r="AK90" i="44"/>
  <c r="AK79" i="44" s="1"/>
  <c r="AL90" i="44"/>
  <c r="AL79" i="44" s="1"/>
  <c r="AM90" i="44"/>
  <c r="AM79" i="44" s="1"/>
  <c r="AN90" i="44"/>
  <c r="AN79" i="44" s="1"/>
  <c r="AO90" i="44"/>
  <c r="AO79" i="44" s="1"/>
  <c r="AP90" i="44"/>
  <c r="AP79" i="44" s="1"/>
  <c r="AQ90" i="44"/>
  <c r="AQ79" i="44" s="1"/>
  <c r="AR90" i="44"/>
  <c r="AR79" i="44" s="1"/>
  <c r="AS90" i="44"/>
  <c r="AS79" i="44" s="1"/>
  <c r="AT90" i="44"/>
  <c r="AT79" i="44" s="1"/>
  <c r="AU90" i="44"/>
  <c r="AU79" i="44" s="1"/>
  <c r="AV90" i="44"/>
  <c r="AV79" i="44" s="1"/>
  <c r="AW90" i="44"/>
  <c r="AW79" i="44" s="1"/>
  <c r="AX90" i="44"/>
  <c r="AX79" i="44" s="1"/>
  <c r="AY90" i="44"/>
  <c r="AY79" i="44" s="1"/>
  <c r="AZ90" i="44"/>
  <c r="AZ79" i="44" s="1"/>
  <c r="BA90" i="44"/>
  <c r="BA79" i="44" s="1"/>
  <c r="BB90" i="44"/>
  <c r="BB79" i="44" s="1"/>
  <c r="BC90" i="44"/>
  <c r="BC79" i="44" s="1"/>
  <c r="BD90" i="44"/>
  <c r="BD79" i="44" s="1"/>
  <c r="BE90" i="44"/>
  <c r="BE79" i="44" s="1"/>
  <c r="BF90" i="44"/>
  <c r="BF79" i="44" s="1"/>
  <c r="BG90" i="44"/>
  <c r="BG79" i="44" s="1"/>
  <c r="BH90" i="44"/>
  <c r="BH79" i="44" s="1"/>
  <c r="BI90" i="44"/>
  <c r="BI79" i="44" s="1"/>
  <c r="BJ90" i="44"/>
  <c r="BJ79" i="44" s="1"/>
  <c r="C40" i="44"/>
  <c r="E64" i="44"/>
  <c r="E70" i="44" s="1"/>
  <c r="F64" i="44"/>
  <c r="F70" i="44" s="1"/>
  <c r="G64" i="44"/>
  <c r="G70" i="44" s="1"/>
  <c r="H64" i="44"/>
  <c r="H70" i="44" s="1"/>
  <c r="I64" i="44"/>
  <c r="I70" i="44" s="1"/>
  <c r="J64" i="44"/>
  <c r="J70" i="44" s="1"/>
  <c r="K64" i="44"/>
  <c r="K70" i="44" s="1"/>
  <c r="L64" i="44"/>
  <c r="L70" i="44" s="1"/>
  <c r="M64" i="44"/>
  <c r="M70" i="44" s="1"/>
  <c r="N64" i="44"/>
  <c r="N70" i="44" s="1"/>
  <c r="O64" i="44"/>
  <c r="O70" i="44" s="1"/>
  <c r="P64" i="44"/>
  <c r="P70" i="44" s="1"/>
  <c r="Q64" i="44"/>
  <c r="Q70" i="44" s="1"/>
  <c r="R64" i="44"/>
  <c r="R70" i="44" s="1"/>
  <c r="S64" i="44"/>
  <c r="S70" i="44" s="1"/>
  <c r="T64" i="44"/>
  <c r="T70" i="44" s="1"/>
  <c r="U64" i="44"/>
  <c r="U70" i="44" s="1"/>
  <c r="V64" i="44"/>
  <c r="V70" i="44" s="1"/>
  <c r="W64" i="44"/>
  <c r="W70" i="44" s="1"/>
  <c r="X64" i="44"/>
  <c r="X70" i="44" s="1"/>
  <c r="Y64" i="44"/>
  <c r="Y70" i="44" s="1"/>
  <c r="Z64" i="44"/>
  <c r="Z70" i="44" s="1"/>
  <c r="AA64" i="44"/>
  <c r="AA70" i="44" s="1"/>
  <c r="AB64" i="44"/>
  <c r="AB70" i="44" s="1"/>
  <c r="AC64" i="44"/>
  <c r="AC70" i="44" s="1"/>
  <c r="AD64" i="44"/>
  <c r="AD70" i="44" s="1"/>
  <c r="AE64" i="44"/>
  <c r="AE70" i="44" s="1"/>
  <c r="AF64" i="44"/>
  <c r="AF70" i="44" s="1"/>
  <c r="AG64" i="44"/>
  <c r="AG70" i="44" s="1"/>
  <c r="AH64" i="44"/>
  <c r="AH70" i="44" s="1"/>
  <c r="AI64" i="44"/>
  <c r="AI70" i="44" s="1"/>
  <c r="AJ64" i="44"/>
  <c r="AJ70" i="44" s="1"/>
  <c r="AK64" i="44"/>
  <c r="AK70" i="44" s="1"/>
  <c r="AL64" i="44"/>
  <c r="AL70" i="44" s="1"/>
  <c r="AM64" i="44"/>
  <c r="AM70" i="44" s="1"/>
  <c r="AN64" i="44"/>
  <c r="AN70" i="44" s="1"/>
  <c r="AO64" i="44"/>
  <c r="AO70" i="44" s="1"/>
  <c r="AP64" i="44"/>
  <c r="AP70" i="44" s="1"/>
  <c r="AQ64" i="44"/>
  <c r="AQ70" i="44" s="1"/>
  <c r="AR64" i="44"/>
  <c r="AR70" i="44" s="1"/>
  <c r="AS64" i="44"/>
  <c r="AS70" i="44" s="1"/>
  <c r="AT64" i="44"/>
  <c r="AT70" i="44" s="1"/>
  <c r="AU64" i="44"/>
  <c r="AU70" i="44" s="1"/>
  <c r="AV64" i="44"/>
  <c r="AV70" i="44" s="1"/>
  <c r="AW64" i="44"/>
  <c r="AW70" i="44" s="1"/>
  <c r="AX64" i="44"/>
  <c r="AX70" i="44" s="1"/>
  <c r="AY64" i="44"/>
  <c r="AY70" i="44" s="1"/>
  <c r="AZ64" i="44"/>
  <c r="AZ70" i="44" s="1"/>
  <c r="BA64" i="44"/>
  <c r="BA70" i="44" s="1"/>
  <c r="BB64" i="44"/>
  <c r="BB70" i="44" s="1"/>
  <c r="BC64" i="44"/>
  <c r="BC70" i="44" s="1"/>
  <c r="BD64" i="44"/>
  <c r="BD70" i="44" s="1"/>
  <c r="BE64" i="44"/>
  <c r="BE70" i="44" s="1"/>
  <c r="BF64" i="44"/>
  <c r="BF70" i="44" s="1"/>
  <c r="BG64" i="44"/>
  <c r="BG70" i="44" s="1"/>
  <c r="BH64" i="44"/>
  <c r="BH70" i="44" s="1"/>
  <c r="BI64" i="44"/>
  <c r="BI70" i="44" s="1"/>
  <c r="BJ64" i="44"/>
  <c r="BJ70" i="44" s="1"/>
  <c r="C64" i="44"/>
  <c r="C70" i="44" s="1"/>
  <c r="D58" i="44"/>
  <c r="E58" i="44"/>
  <c r="F58" i="44"/>
  <c r="G58" i="44"/>
  <c r="H58" i="44"/>
  <c r="I58" i="44"/>
  <c r="I274" i="44" s="1"/>
  <c r="J58" i="44"/>
  <c r="J274" i="44" s="1"/>
  <c r="K58" i="44"/>
  <c r="K274" i="44" s="1"/>
  <c r="K276" i="44" s="1"/>
  <c r="L58" i="44"/>
  <c r="M58" i="44"/>
  <c r="N58" i="44"/>
  <c r="O58" i="44"/>
  <c r="O274" i="44" s="1"/>
  <c r="P58" i="44"/>
  <c r="P274" i="44" s="1"/>
  <c r="P276" i="44" s="1"/>
  <c r="Q58" i="44"/>
  <c r="Q274" i="44" s="1"/>
  <c r="Q276" i="44" s="1"/>
  <c r="R58" i="44"/>
  <c r="R274" i="44" s="1"/>
  <c r="R276" i="44" s="1"/>
  <c r="S58" i="44"/>
  <c r="S274" i="44" s="1"/>
  <c r="S276" i="44" s="1"/>
  <c r="T58" i="44"/>
  <c r="U58" i="44"/>
  <c r="V58" i="44"/>
  <c r="W58" i="44"/>
  <c r="X58" i="44"/>
  <c r="Y58" i="44"/>
  <c r="Z58" i="44"/>
  <c r="Z274" i="44" s="1"/>
  <c r="AA58" i="44"/>
  <c r="AA274" i="44" s="1"/>
  <c r="AA276" i="44" s="1"/>
  <c r="AB58" i="44"/>
  <c r="AC58" i="44"/>
  <c r="AD58" i="44"/>
  <c r="AE58" i="44"/>
  <c r="AE274" i="44" s="1"/>
  <c r="AF58" i="44"/>
  <c r="AF274" i="44" s="1"/>
  <c r="AF276" i="44" s="1"/>
  <c r="AG58" i="44"/>
  <c r="AG274" i="44" s="1"/>
  <c r="AG276" i="44" s="1"/>
  <c r="AH58" i="44"/>
  <c r="AH274" i="44" s="1"/>
  <c r="AH276" i="44" s="1"/>
  <c r="AI58" i="44"/>
  <c r="AI274" i="44" s="1"/>
  <c r="AI276" i="44" s="1"/>
  <c r="AJ58" i="44"/>
  <c r="AK58" i="44"/>
  <c r="AL58" i="44"/>
  <c r="AM58" i="44"/>
  <c r="AN58" i="44"/>
  <c r="AO58" i="44"/>
  <c r="AP58" i="44"/>
  <c r="AP274" i="44" s="1"/>
  <c r="AQ58" i="44"/>
  <c r="AQ274" i="44" s="1"/>
  <c r="AQ276" i="44" s="1"/>
  <c r="AR58" i="44"/>
  <c r="AS58" i="44"/>
  <c r="AT58" i="44"/>
  <c r="AU58" i="44"/>
  <c r="AU274" i="44" s="1"/>
  <c r="AV58" i="44"/>
  <c r="AV274" i="44" s="1"/>
  <c r="AV276" i="44" s="1"/>
  <c r="AW58" i="44"/>
  <c r="AW274" i="44" s="1"/>
  <c r="AW276" i="44" s="1"/>
  <c r="AX58" i="44"/>
  <c r="AX274" i="44" s="1"/>
  <c r="AX276" i="44" s="1"/>
  <c r="AY58" i="44"/>
  <c r="AY274" i="44" s="1"/>
  <c r="AY276" i="44" s="1"/>
  <c r="AZ58" i="44"/>
  <c r="BA58" i="44"/>
  <c r="BB58" i="44"/>
  <c r="BC58" i="44"/>
  <c r="BD58" i="44"/>
  <c r="BE58" i="44"/>
  <c r="BF58" i="44"/>
  <c r="BF274" i="44" s="1"/>
  <c r="BG58" i="44"/>
  <c r="BG274" i="44" s="1"/>
  <c r="BG276" i="44" s="1"/>
  <c r="BH58" i="44"/>
  <c r="BI58" i="44"/>
  <c r="BJ58" i="44"/>
  <c r="M46" i="39" l="1"/>
  <c r="N46" i="39" s="1"/>
  <c r="D33" i="39" s="1"/>
  <c r="D20" i="45"/>
  <c r="AX104" i="45" s="1"/>
  <c r="D19" i="45"/>
  <c r="S98" i="45" s="1"/>
  <c r="C21" i="45"/>
  <c r="C60" i="45"/>
  <c r="BI114" i="45"/>
  <c r="X114" i="45"/>
  <c r="BC114" i="45"/>
  <c r="E114" i="45"/>
  <c r="V112" i="45"/>
  <c r="AJ114" i="45"/>
  <c r="AY114" i="45"/>
  <c r="S114" i="45"/>
  <c r="W112" i="45"/>
  <c r="AW114" i="45"/>
  <c r="AW104" i="45"/>
  <c r="Q98" i="45"/>
  <c r="Q114" i="45"/>
  <c r="T112" i="45"/>
  <c r="BD114" i="45"/>
  <c r="BD104" i="45"/>
  <c r="W114" i="45"/>
  <c r="BB114" i="45"/>
  <c r="O114" i="45"/>
  <c r="O104" i="45"/>
  <c r="AI112" i="45"/>
  <c r="T114" i="45"/>
  <c r="S112" i="45"/>
  <c r="AD114" i="45"/>
  <c r="AP114" i="45"/>
  <c r="AZ104" i="45"/>
  <c r="AZ98" i="45"/>
  <c r="AZ114" i="45"/>
  <c r="BJ114" i="45"/>
  <c r="N114" i="45"/>
  <c r="N104" i="45"/>
  <c r="H114" i="45"/>
  <c r="G114" i="45"/>
  <c r="BG114" i="45"/>
  <c r="AA114" i="45"/>
  <c r="AL104" i="45"/>
  <c r="AL114" i="45"/>
  <c r="F112" i="45"/>
  <c r="BF114" i="45"/>
  <c r="Z114" i="45"/>
  <c r="J114" i="45"/>
  <c r="AI104" i="45"/>
  <c r="AI114" i="45"/>
  <c r="BE114" i="45"/>
  <c r="AO114" i="45"/>
  <c r="AO104" i="45"/>
  <c r="Y114" i="45"/>
  <c r="I114" i="45"/>
  <c r="I104" i="45"/>
  <c r="AN112" i="45"/>
  <c r="AU114" i="45"/>
  <c r="M114" i="45"/>
  <c r="M104" i="45"/>
  <c r="M98" i="45"/>
  <c r="AR114" i="45"/>
  <c r="AG114" i="45"/>
  <c r="AG104" i="45"/>
  <c r="AM112" i="45"/>
  <c r="AC114" i="45"/>
  <c r="V114" i="45"/>
  <c r="AT114" i="45"/>
  <c r="AT98" i="45"/>
  <c r="AS114" i="45"/>
  <c r="BC112" i="45"/>
  <c r="AN114" i="45"/>
  <c r="BB112" i="45"/>
  <c r="L114" i="45"/>
  <c r="AM114" i="45"/>
  <c r="G112" i="45"/>
  <c r="AQ114" i="45"/>
  <c r="K114" i="45"/>
  <c r="K104" i="45"/>
  <c r="F104" i="45"/>
  <c r="F114" i="45"/>
  <c r="AE114" i="45"/>
  <c r="AL112" i="45"/>
  <c r="V111" i="45"/>
  <c r="V39" i="45"/>
  <c r="BA39" i="45"/>
  <c r="AK39" i="45"/>
  <c r="U39" i="45"/>
  <c r="BJ63" i="45"/>
  <c r="BJ52" i="45" s="1"/>
  <c r="AT63" i="45"/>
  <c r="AT52" i="45" s="1"/>
  <c r="AD63" i="45"/>
  <c r="AD52" i="45" s="1"/>
  <c r="N63" i="45"/>
  <c r="N52" i="45" s="1"/>
  <c r="AZ111" i="45"/>
  <c r="AZ112" i="45" s="1"/>
  <c r="AJ111" i="45"/>
  <c r="AJ112" i="45" s="1"/>
  <c r="T111" i="45"/>
  <c r="BI110" i="45"/>
  <c r="BI112" i="45" s="1"/>
  <c r="AS110" i="45"/>
  <c r="AS112" i="45" s="1"/>
  <c r="AC110" i="45"/>
  <c r="AC112" i="45" s="1"/>
  <c r="M110" i="45"/>
  <c r="M112" i="45" s="1"/>
  <c r="BB111" i="45"/>
  <c r="AL39" i="45"/>
  <c r="BJ110" i="45"/>
  <c r="BJ112" i="45" s="1"/>
  <c r="AD110" i="45"/>
  <c r="AD112" i="45" s="1"/>
  <c r="AZ39" i="45"/>
  <c r="AJ39" i="45"/>
  <c r="T39" i="45"/>
  <c r="BA77" i="45"/>
  <c r="BA91" i="45" s="1"/>
  <c r="AK77" i="45"/>
  <c r="AK91" i="45" s="1"/>
  <c r="U77" i="45"/>
  <c r="U91" i="45" s="1"/>
  <c r="AY111" i="45"/>
  <c r="AY112" i="45" s="1"/>
  <c r="AI111" i="45"/>
  <c r="S111" i="45"/>
  <c r="BH110" i="45"/>
  <c r="BH112" i="45" s="1"/>
  <c r="AR110" i="45"/>
  <c r="AR112" i="45" s="1"/>
  <c r="AB110" i="45"/>
  <c r="AB112" i="45" s="1"/>
  <c r="L110" i="45"/>
  <c r="L112" i="45" s="1"/>
  <c r="AL111" i="45"/>
  <c r="F111" i="45"/>
  <c r="BB39" i="45"/>
  <c r="F39" i="45"/>
  <c r="AT110" i="45"/>
  <c r="AT112" i="45" s="1"/>
  <c r="N110" i="45"/>
  <c r="N112" i="45" s="1"/>
  <c r="AY39" i="45"/>
  <c r="AI39" i="45"/>
  <c r="S39" i="45"/>
  <c r="BH63" i="45"/>
  <c r="BH52" i="45" s="1"/>
  <c r="AR63" i="45"/>
  <c r="AR52" i="45" s="1"/>
  <c r="AB63" i="45"/>
  <c r="AB52" i="45" s="1"/>
  <c r="L63" i="45"/>
  <c r="L52" i="45" s="1"/>
  <c r="D77" i="45"/>
  <c r="D91" i="45" s="1"/>
  <c r="AX111" i="45"/>
  <c r="AH111" i="45"/>
  <c r="R111" i="45"/>
  <c r="BG110" i="45"/>
  <c r="BG112" i="45" s="1"/>
  <c r="AQ110" i="45"/>
  <c r="AQ112" i="45" s="1"/>
  <c r="AA110" i="45"/>
  <c r="AA112" i="45" s="1"/>
  <c r="K110" i="45"/>
  <c r="K112" i="45" s="1"/>
  <c r="R39" i="45"/>
  <c r="AX39" i="45"/>
  <c r="AH39" i="45"/>
  <c r="BG63" i="45"/>
  <c r="BG52" i="45" s="1"/>
  <c r="AQ63" i="45"/>
  <c r="AQ52" i="45" s="1"/>
  <c r="AA63" i="45"/>
  <c r="AA52" i="45" s="1"/>
  <c r="K63" i="45"/>
  <c r="K52" i="45" s="1"/>
  <c r="AW111" i="45"/>
  <c r="AG111" i="45"/>
  <c r="Q111" i="45"/>
  <c r="BF110" i="45"/>
  <c r="BF112" i="45" s="1"/>
  <c r="AP110" i="45"/>
  <c r="AP112" i="45" s="1"/>
  <c r="Z110" i="45"/>
  <c r="Z112" i="45" s="1"/>
  <c r="J110" i="45"/>
  <c r="J112" i="45" s="1"/>
  <c r="AW39" i="45"/>
  <c r="AG39" i="45"/>
  <c r="Q39" i="45"/>
  <c r="BF63" i="45"/>
  <c r="BF52" i="45" s="1"/>
  <c r="AP63" i="45"/>
  <c r="AP52" i="45" s="1"/>
  <c r="Z63" i="45"/>
  <c r="Z52" i="45" s="1"/>
  <c r="J63" i="45"/>
  <c r="J52" i="45" s="1"/>
  <c r="BE110" i="45"/>
  <c r="BE112" i="45" s="1"/>
  <c r="AO110" i="45"/>
  <c r="AO112" i="45" s="1"/>
  <c r="Y110" i="45"/>
  <c r="Y112" i="45" s="1"/>
  <c r="I110" i="45"/>
  <c r="I112" i="45" s="1"/>
  <c r="BD43" i="45"/>
  <c r="AN43" i="45"/>
  <c r="X43" i="45"/>
  <c r="H43" i="45"/>
  <c r="AV77" i="45"/>
  <c r="AV91" i="45" s="1"/>
  <c r="AF77" i="45"/>
  <c r="AF91" i="45" s="1"/>
  <c r="P77" i="45"/>
  <c r="P91" i="45" s="1"/>
  <c r="AR39" i="45"/>
  <c r="L39" i="45"/>
  <c r="D110" i="45"/>
  <c r="BG39" i="45"/>
  <c r="AA39" i="45"/>
  <c r="C51" i="45"/>
  <c r="BH77" i="45"/>
  <c r="BH91" i="45" s="1"/>
  <c r="AQ39" i="45"/>
  <c r="K39" i="45"/>
  <c r="AB77" i="45"/>
  <c r="AB91" i="45" s="1"/>
  <c r="BF39" i="45"/>
  <c r="AP39" i="45"/>
  <c r="Z39" i="45"/>
  <c r="J39" i="45"/>
  <c r="C53" i="45"/>
  <c r="AX110" i="45"/>
  <c r="AX112" i="45" s="1"/>
  <c r="AH110" i="45"/>
  <c r="AH112" i="45" s="1"/>
  <c r="R110" i="45"/>
  <c r="R112" i="45" s="1"/>
  <c r="BE39" i="45"/>
  <c r="AO39" i="45"/>
  <c r="Y39" i="45"/>
  <c r="I39" i="45"/>
  <c r="AW110" i="45"/>
  <c r="AG110" i="45"/>
  <c r="AG112" i="45" s="1"/>
  <c r="Q110" i="45"/>
  <c r="Q112" i="45" s="1"/>
  <c r="C48" i="45"/>
  <c r="D45" i="45" s="1"/>
  <c r="AP276" i="44"/>
  <c r="W276" i="44"/>
  <c r="N276" i="44"/>
  <c r="AL276" i="44"/>
  <c r="X276" i="44"/>
  <c r="AR276" i="44"/>
  <c r="AO276" i="44"/>
  <c r="AN276" i="44"/>
  <c r="AD276" i="44"/>
  <c r="BB276" i="44"/>
  <c r="AU276" i="44"/>
  <c r="BE276" i="44"/>
  <c r="AC276" i="44"/>
  <c r="AE276" i="44"/>
  <c r="BF276" i="44"/>
  <c r="BC276" i="44"/>
  <c r="C275" i="44"/>
  <c r="AU275" i="44"/>
  <c r="AE275" i="44"/>
  <c r="O275" i="44"/>
  <c r="O276" i="44" s="1"/>
  <c r="BH275" i="44"/>
  <c r="BH276" i="44" s="1"/>
  <c r="AR275" i="44"/>
  <c r="AB275" i="44"/>
  <c r="AB276" i="44" s="1"/>
  <c r="L275" i="44"/>
  <c r="L276" i="44" s="1"/>
  <c r="AT275" i="44"/>
  <c r="AT276" i="44" s="1"/>
  <c r="AD275" i="44"/>
  <c r="BF275" i="44"/>
  <c r="AP275" i="44"/>
  <c r="Z275" i="44"/>
  <c r="Z276" i="44" s="1"/>
  <c r="J275" i="44"/>
  <c r="J276" i="44" s="1"/>
  <c r="N275" i="44"/>
  <c r="AC275" i="44"/>
  <c r="BE275" i="44"/>
  <c r="AO275" i="44"/>
  <c r="Y275" i="44"/>
  <c r="Y276" i="44" s="1"/>
  <c r="I275" i="44"/>
  <c r="I276" i="44" s="1"/>
  <c r="X275" i="44"/>
  <c r="BJ275" i="44"/>
  <c r="BJ276" i="44" s="1"/>
  <c r="BI275" i="44"/>
  <c r="BI276" i="44" s="1"/>
  <c r="M275" i="44"/>
  <c r="M276" i="44" s="1"/>
  <c r="AS275" i="44"/>
  <c r="AS276" i="44" s="1"/>
  <c r="AN275" i="44"/>
  <c r="BC275" i="44"/>
  <c r="W275" i="44"/>
  <c r="BB275" i="44"/>
  <c r="AL275" i="44"/>
  <c r="V275" i="44"/>
  <c r="V276" i="44" s="1"/>
  <c r="F275" i="44"/>
  <c r="F276" i="44" s="1"/>
  <c r="BD275" i="44"/>
  <c r="BD276" i="44" s="1"/>
  <c r="H275" i="44"/>
  <c r="H276" i="44" s="1"/>
  <c r="AM275" i="44"/>
  <c r="AM276" i="44" s="1"/>
  <c r="G275" i="44"/>
  <c r="G276" i="44" s="1"/>
  <c r="BA275" i="44"/>
  <c r="BA276" i="44" s="1"/>
  <c r="AK275" i="44"/>
  <c r="AK276" i="44" s="1"/>
  <c r="U275" i="44"/>
  <c r="U276" i="44" s="1"/>
  <c r="E275" i="44"/>
  <c r="E276" i="44" s="1"/>
  <c r="AP118" i="44"/>
  <c r="Z118" i="44"/>
  <c r="J118" i="44"/>
  <c r="BE118" i="44"/>
  <c r="BD118" i="44"/>
  <c r="AN118" i="44"/>
  <c r="X118" i="44"/>
  <c r="H118" i="44"/>
  <c r="Y118" i="44"/>
  <c r="BC118" i="44"/>
  <c r="AM118" i="44"/>
  <c r="W118" i="44"/>
  <c r="G118" i="44"/>
  <c r="AO118" i="44"/>
  <c r="AL118" i="44"/>
  <c r="I118" i="44"/>
  <c r="AV118" i="44"/>
  <c r="AF118" i="44"/>
  <c r="P118" i="44"/>
  <c r="AK118" i="44"/>
  <c r="BB118" i="44"/>
  <c r="V118" i="44"/>
  <c r="F118" i="44"/>
  <c r="BF118" i="44"/>
  <c r="BA118" i="44"/>
  <c r="U118" i="44"/>
  <c r="E118" i="44"/>
  <c r="AX118" i="44"/>
  <c r="AH118" i="44"/>
  <c r="R118" i="44"/>
  <c r="AZ118" i="44"/>
  <c r="AJ118" i="44"/>
  <c r="T118" i="44"/>
  <c r="D118" i="44"/>
  <c r="AU118" i="44"/>
  <c r="AE118" i="44"/>
  <c r="O118" i="44"/>
  <c r="AY118" i="44"/>
  <c r="AI118" i="44"/>
  <c r="S118" i="44"/>
  <c r="BJ118" i="44"/>
  <c r="AT118" i="44"/>
  <c r="AD118" i="44"/>
  <c r="N118" i="44"/>
  <c r="BI118" i="44"/>
  <c r="AS118" i="44"/>
  <c r="AC118" i="44"/>
  <c r="M118" i="44"/>
  <c r="AW118" i="44"/>
  <c r="AG118" i="44"/>
  <c r="Q118" i="44"/>
  <c r="BH118" i="44"/>
  <c r="AR118" i="44"/>
  <c r="AB118" i="44"/>
  <c r="L118" i="44"/>
  <c r="BG118" i="44"/>
  <c r="AQ118" i="44"/>
  <c r="AA118" i="44"/>
  <c r="K118" i="44"/>
  <c r="BJ66" i="44"/>
  <c r="AE66" i="44"/>
  <c r="BH66" i="44"/>
  <c r="AB66" i="44"/>
  <c r="L66" i="44"/>
  <c r="AR66" i="44"/>
  <c r="J66" i="44"/>
  <c r="Y66" i="44"/>
  <c r="AP66" i="44"/>
  <c r="I66" i="44"/>
  <c r="BF66" i="44"/>
  <c r="BE66" i="44"/>
  <c r="Z66" i="44"/>
  <c r="AO66" i="44"/>
  <c r="AH66" i="44"/>
  <c r="AD66" i="44"/>
  <c r="M66" i="44"/>
  <c r="AV66" i="44"/>
  <c r="AF66" i="44"/>
  <c r="P66" i="44"/>
  <c r="AT66" i="44"/>
  <c r="N66" i="44"/>
  <c r="AJ66" i="44"/>
  <c r="BI66" i="44"/>
  <c r="AS66" i="44"/>
  <c r="BG66" i="44"/>
  <c r="AQ66" i="44"/>
  <c r="AA66" i="44"/>
  <c r="K66" i="44"/>
  <c r="AZ66" i="44"/>
  <c r="AY66" i="44"/>
  <c r="AX66" i="44"/>
  <c r="R66" i="44"/>
  <c r="T66" i="44"/>
  <c r="S66" i="44"/>
  <c r="AW66" i="44"/>
  <c r="Q66" i="44"/>
  <c r="AI66" i="44"/>
  <c r="AU66" i="44"/>
  <c r="AG66" i="44"/>
  <c r="AC66" i="44"/>
  <c r="AN66" i="44"/>
  <c r="BD66" i="44"/>
  <c r="BA66" i="44"/>
  <c r="X66" i="44"/>
  <c r="BB66" i="44"/>
  <c r="W66" i="44"/>
  <c r="F66" i="44"/>
  <c r="AL66" i="44"/>
  <c r="E66" i="44"/>
  <c r="AM66" i="44"/>
  <c r="U66" i="44"/>
  <c r="V66" i="44"/>
  <c r="BC66" i="44"/>
  <c r="H66" i="44"/>
  <c r="G66" i="44"/>
  <c r="AK66" i="44"/>
  <c r="O66" i="44"/>
  <c r="C42" i="44"/>
  <c r="AE104" i="45" l="1"/>
  <c r="AG98" i="45"/>
  <c r="J104" i="45"/>
  <c r="BJ98" i="45"/>
  <c r="BD98" i="45"/>
  <c r="BI98" i="45"/>
  <c r="F25" i="45"/>
  <c r="G25" i="45" s="1"/>
  <c r="Y104" i="45"/>
  <c r="T104" i="45"/>
  <c r="BI104" i="45"/>
  <c r="L104" i="45"/>
  <c r="F26" i="45"/>
  <c r="G26" i="45" s="1"/>
  <c r="AR104" i="45"/>
  <c r="J98" i="45"/>
  <c r="BG104" i="45"/>
  <c r="Q104" i="45"/>
  <c r="AJ98" i="45"/>
  <c r="AE98" i="45"/>
  <c r="AM98" i="45"/>
  <c r="AT104" i="45"/>
  <c r="AI98" i="45"/>
  <c r="AA104" i="45"/>
  <c r="AY104" i="45"/>
  <c r="X98" i="45"/>
  <c r="AM104" i="45"/>
  <c r="I98" i="45"/>
  <c r="AA98" i="45"/>
  <c r="T98" i="45"/>
  <c r="AY98" i="45"/>
  <c r="L98" i="45"/>
  <c r="AR98" i="45"/>
  <c r="BJ104" i="45"/>
  <c r="F98" i="45"/>
  <c r="F24" i="45"/>
  <c r="G24" i="45" s="1"/>
  <c r="Y98" i="45"/>
  <c r="Z104" i="45"/>
  <c r="BG98" i="45"/>
  <c r="O98" i="45"/>
  <c r="AJ104" i="45"/>
  <c r="V98" i="45"/>
  <c r="Z98" i="45"/>
  <c r="K98" i="45"/>
  <c r="AN104" i="45"/>
  <c r="V104" i="45"/>
  <c r="AO98" i="45"/>
  <c r="BF104" i="45"/>
  <c r="E98" i="45"/>
  <c r="AU98" i="45"/>
  <c r="AP104" i="45"/>
  <c r="AW98" i="45"/>
  <c r="G98" i="45"/>
  <c r="AH104" i="45"/>
  <c r="AN98" i="45"/>
  <c r="AC98" i="45"/>
  <c r="BE104" i="45"/>
  <c r="G104" i="45"/>
  <c r="BB98" i="45"/>
  <c r="E104" i="45"/>
  <c r="D21" i="45"/>
  <c r="R104" i="45"/>
  <c r="AQ104" i="45"/>
  <c r="AC104" i="45"/>
  <c r="AU104" i="45"/>
  <c r="BF98" i="45"/>
  <c r="AP98" i="45"/>
  <c r="BB104" i="45"/>
  <c r="AQ98" i="45"/>
  <c r="AS98" i="45"/>
  <c r="BE98" i="45"/>
  <c r="H104" i="45"/>
  <c r="AD98" i="45"/>
  <c r="BC98" i="45"/>
  <c r="AS104" i="45"/>
  <c r="AX98" i="45"/>
  <c r="H98" i="45"/>
  <c r="AD104" i="45"/>
  <c r="W98" i="45"/>
  <c r="S104" i="45"/>
  <c r="BC104" i="45"/>
  <c r="R98" i="45"/>
  <c r="AH98" i="45"/>
  <c r="AL98" i="45"/>
  <c r="N98" i="45"/>
  <c r="W104" i="45"/>
  <c r="X104" i="45"/>
  <c r="AK104" i="45"/>
  <c r="AK98" i="45"/>
  <c r="AK114" i="45"/>
  <c r="AF98" i="45"/>
  <c r="AF114" i="45"/>
  <c r="AF104" i="45"/>
  <c r="BA104" i="45"/>
  <c r="BA98" i="45"/>
  <c r="BA114" i="45"/>
  <c r="P98" i="45"/>
  <c r="P114" i="45"/>
  <c r="P104" i="45"/>
  <c r="BH114" i="45"/>
  <c r="BH104" i="45"/>
  <c r="BH98" i="45"/>
  <c r="U104" i="45"/>
  <c r="U98" i="45"/>
  <c r="U114" i="45"/>
  <c r="AV98" i="45"/>
  <c r="AV114" i="45"/>
  <c r="AV104" i="45"/>
  <c r="AW112" i="45"/>
  <c r="AB114" i="45"/>
  <c r="AB104" i="45"/>
  <c r="AB98" i="45"/>
  <c r="D104" i="45"/>
  <c r="D98" i="45"/>
  <c r="D114" i="45"/>
  <c r="E25" i="44"/>
  <c r="E24" i="44"/>
  <c r="D28" i="44"/>
  <c r="D25" i="44"/>
  <c r="G23" i="44"/>
  <c r="F23" i="44"/>
  <c r="E23" i="44"/>
  <c r="D23" i="44"/>
  <c r="C23" i="44"/>
  <c r="B28" i="44"/>
  <c r="B229" i="44" s="1"/>
  <c r="B27" i="44"/>
  <c r="B209" i="44" s="1"/>
  <c r="B26" i="44"/>
  <c r="B190" i="44" s="1"/>
  <c r="B25" i="44"/>
  <c r="B157" i="44" s="1"/>
  <c r="B24" i="44"/>
  <c r="B124" i="44" s="1"/>
  <c r="C7" i="44"/>
  <c r="C8" i="44" s="1"/>
  <c r="A1" i="44"/>
  <c r="N79" i="43"/>
  <c r="O79" i="43"/>
  <c r="P79" i="43"/>
  <c r="Q79" i="43"/>
  <c r="R79" i="43"/>
  <c r="S79" i="43"/>
  <c r="T79" i="43"/>
  <c r="U79" i="43"/>
  <c r="V79" i="43"/>
  <c r="W79" i="43"/>
  <c r="X79" i="43"/>
  <c r="Y79" i="43"/>
  <c r="Z79" i="43"/>
  <c r="AA79" i="43"/>
  <c r="AB79" i="43"/>
  <c r="AC79" i="43"/>
  <c r="AD79" i="43"/>
  <c r="AE79" i="43"/>
  <c r="AF79" i="43"/>
  <c r="AG79" i="43"/>
  <c r="AH79" i="43"/>
  <c r="AI79" i="43"/>
  <c r="AJ79" i="43"/>
  <c r="AK79" i="43"/>
  <c r="AL79" i="43"/>
  <c r="AM79" i="43"/>
  <c r="AN79" i="43"/>
  <c r="AO79" i="43"/>
  <c r="AP79" i="43"/>
  <c r="AQ79" i="43"/>
  <c r="AR79" i="43"/>
  <c r="AS79" i="43"/>
  <c r="AT79" i="43"/>
  <c r="AU79" i="43"/>
  <c r="AV79" i="43"/>
  <c r="AW79" i="43"/>
  <c r="AX79" i="43"/>
  <c r="AY79" i="43"/>
  <c r="AZ79" i="43"/>
  <c r="BA79" i="43"/>
  <c r="BB79" i="43"/>
  <c r="BC79" i="43"/>
  <c r="BD79" i="43"/>
  <c r="BE79" i="43"/>
  <c r="BF79" i="43"/>
  <c r="BG79" i="43"/>
  <c r="BH79" i="43"/>
  <c r="BI79" i="43"/>
  <c r="BJ79" i="43"/>
  <c r="BK79" i="43"/>
  <c r="BL79" i="43"/>
  <c r="BM79" i="43"/>
  <c r="BN79" i="43"/>
  <c r="BO79" i="43"/>
  <c r="BP79" i="43"/>
  <c r="BP81" i="43" s="1"/>
  <c r="BQ79" i="43"/>
  <c r="BR79" i="43"/>
  <c r="BS79" i="43"/>
  <c r="BT79" i="43"/>
  <c r="D79" i="43"/>
  <c r="F79" i="43"/>
  <c r="M79" i="43"/>
  <c r="I78" i="43"/>
  <c r="J78" i="43" s="1"/>
  <c r="I77" i="43"/>
  <c r="J77" i="43" s="1"/>
  <c r="K77" i="43" s="1"/>
  <c r="I76" i="43"/>
  <c r="J76" i="43" s="1"/>
  <c r="I75" i="43"/>
  <c r="J75" i="43" s="1"/>
  <c r="I74" i="43"/>
  <c r="J74" i="43" s="1"/>
  <c r="I73" i="43"/>
  <c r="J73" i="43" s="1"/>
  <c r="I72" i="43"/>
  <c r="J72" i="43" s="1"/>
  <c r="I71" i="43"/>
  <c r="J71" i="43" s="1"/>
  <c r="I70" i="43"/>
  <c r="J70" i="43" s="1"/>
  <c r="I69" i="43"/>
  <c r="J69" i="43" s="1"/>
  <c r="I68" i="43"/>
  <c r="J68" i="43" s="1"/>
  <c r="I67" i="43"/>
  <c r="J67" i="43" s="1"/>
  <c r="I66" i="43"/>
  <c r="J66" i="43" s="1"/>
  <c r="I65" i="43"/>
  <c r="J65" i="43" s="1"/>
  <c r="I64" i="43"/>
  <c r="J64" i="43" s="1"/>
  <c r="I63" i="43"/>
  <c r="J63" i="43" s="1"/>
  <c r="I62" i="43"/>
  <c r="J62" i="43" s="1"/>
  <c r="I61" i="43"/>
  <c r="J61" i="43" s="1"/>
  <c r="K61" i="43" s="1"/>
  <c r="I60" i="43"/>
  <c r="J60" i="43" s="1"/>
  <c r="I59" i="43"/>
  <c r="J59" i="43" s="1"/>
  <c r="I58" i="43"/>
  <c r="J58" i="43" s="1"/>
  <c r="I57" i="43"/>
  <c r="J57" i="43" s="1"/>
  <c r="I56" i="43"/>
  <c r="J56" i="43" s="1"/>
  <c r="I55" i="43"/>
  <c r="J55" i="43" s="1"/>
  <c r="I54" i="43"/>
  <c r="J54" i="43" s="1"/>
  <c r="I53" i="43"/>
  <c r="J53" i="43" s="1"/>
  <c r="I52" i="43"/>
  <c r="J52" i="43" s="1"/>
  <c r="I51" i="43"/>
  <c r="J51" i="43" s="1"/>
  <c r="I50" i="43"/>
  <c r="J50" i="43" s="1"/>
  <c r="I49" i="43"/>
  <c r="J49" i="43" s="1"/>
  <c r="I48" i="43"/>
  <c r="J48" i="43" s="1"/>
  <c r="I47" i="43"/>
  <c r="J47" i="43" s="1"/>
  <c r="I46" i="43"/>
  <c r="J46" i="43" s="1"/>
  <c r="I45" i="43"/>
  <c r="J45" i="43" s="1"/>
  <c r="K45" i="43" s="1"/>
  <c r="I44" i="43"/>
  <c r="J44" i="43" s="1"/>
  <c r="I43" i="43"/>
  <c r="J43" i="43" s="1"/>
  <c r="I42" i="43"/>
  <c r="J42" i="43" s="1"/>
  <c r="I41" i="43"/>
  <c r="J41" i="43" s="1"/>
  <c r="I40" i="43"/>
  <c r="J40" i="43" s="1"/>
  <c r="I39" i="43"/>
  <c r="J39" i="43" s="1"/>
  <c r="I38" i="43"/>
  <c r="J38" i="43" s="1"/>
  <c r="I37" i="43"/>
  <c r="J37" i="43" s="1"/>
  <c r="I36" i="43"/>
  <c r="J36" i="43" s="1"/>
  <c r="I35" i="43"/>
  <c r="J35" i="43" s="1"/>
  <c r="I34" i="43"/>
  <c r="J34" i="43" s="1"/>
  <c r="I33" i="43"/>
  <c r="J33" i="43" s="1"/>
  <c r="I32" i="43"/>
  <c r="J32" i="43" s="1"/>
  <c r="I31" i="43"/>
  <c r="J31" i="43" s="1"/>
  <c r="I30" i="43"/>
  <c r="J30" i="43" s="1"/>
  <c r="I29" i="43"/>
  <c r="J29" i="43" s="1"/>
  <c r="K29" i="43" s="1"/>
  <c r="I28" i="43"/>
  <c r="J28" i="43" s="1"/>
  <c r="I27" i="43"/>
  <c r="J27" i="43" s="1"/>
  <c r="I26" i="43"/>
  <c r="J26" i="43" s="1"/>
  <c r="I25" i="43"/>
  <c r="J25" i="43" s="1"/>
  <c r="I24" i="43"/>
  <c r="J24" i="43" s="1"/>
  <c r="I23" i="43"/>
  <c r="J23" i="43" s="1"/>
  <c r="K23" i="43" s="1"/>
  <c r="I22" i="43"/>
  <c r="J22" i="43" s="1"/>
  <c r="I21" i="43"/>
  <c r="J21" i="43" s="1"/>
  <c r="I20" i="43"/>
  <c r="J20" i="43" s="1"/>
  <c r="H74" i="43"/>
  <c r="H58" i="43"/>
  <c r="H50" i="43"/>
  <c r="H49" i="43"/>
  <c r="H45" i="43"/>
  <c r="H42" i="43"/>
  <c r="H41" i="43"/>
  <c r="H26" i="43"/>
  <c r="H24" i="43"/>
  <c r="G21" i="43"/>
  <c r="H21" i="43" s="1"/>
  <c r="G22" i="43"/>
  <c r="H22" i="43" s="1"/>
  <c r="G23" i="43"/>
  <c r="H23" i="43" s="1"/>
  <c r="G24" i="43"/>
  <c r="G25" i="43"/>
  <c r="H25" i="43" s="1"/>
  <c r="G26" i="43"/>
  <c r="G27" i="43"/>
  <c r="H27" i="43" s="1"/>
  <c r="G28" i="43"/>
  <c r="H28" i="43" s="1"/>
  <c r="G29" i="43"/>
  <c r="H29" i="43" s="1"/>
  <c r="G30" i="43"/>
  <c r="H30" i="43" s="1"/>
  <c r="G31" i="43"/>
  <c r="H31" i="43" s="1"/>
  <c r="G32" i="43"/>
  <c r="H32" i="43" s="1"/>
  <c r="G33" i="43"/>
  <c r="H33" i="43" s="1"/>
  <c r="G34" i="43"/>
  <c r="H34" i="43" s="1"/>
  <c r="G35" i="43"/>
  <c r="H35" i="43" s="1"/>
  <c r="G36" i="43"/>
  <c r="H36" i="43" s="1"/>
  <c r="G37" i="43"/>
  <c r="H37" i="43" s="1"/>
  <c r="G38" i="43"/>
  <c r="H38" i="43" s="1"/>
  <c r="G39" i="43"/>
  <c r="H39" i="43" s="1"/>
  <c r="G40" i="43"/>
  <c r="H40" i="43" s="1"/>
  <c r="G41" i="43"/>
  <c r="G42" i="43"/>
  <c r="G43" i="43"/>
  <c r="H43" i="43" s="1"/>
  <c r="G44" i="43"/>
  <c r="H44" i="43" s="1"/>
  <c r="G45" i="43"/>
  <c r="G46" i="43"/>
  <c r="H46" i="43" s="1"/>
  <c r="G47" i="43"/>
  <c r="H47" i="43" s="1"/>
  <c r="G48" i="43"/>
  <c r="H48" i="43" s="1"/>
  <c r="G49" i="43"/>
  <c r="G50" i="43"/>
  <c r="G51" i="43"/>
  <c r="H51" i="43" s="1"/>
  <c r="G52" i="43"/>
  <c r="H52" i="43" s="1"/>
  <c r="G53" i="43"/>
  <c r="H53" i="43" s="1"/>
  <c r="G54" i="43"/>
  <c r="H54" i="43" s="1"/>
  <c r="G55" i="43"/>
  <c r="H55" i="43" s="1"/>
  <c r="G56" i="43"/>
  <c r="H56" i="43" s="1"/>
  <c r="G57" i="43"/>
  <c r="H57" i="43" s="1"/>
  <c r="G58" i="43"/>
  <c r="G59" i="43"/>
  <c r="H59" i="43" s="1"/>
  <c r="G60" i="43"/>
  <c r="H60" i="43" s="1"/>
  <c r="G61" i="43"/>
  <c r="H61" i="43" s="1"/>
  <c r="G62" i="43"/>
  <c r="H62" i="43" s="1"/>
  <c r="G63" i="43"/>
  <c r="H63" i="43" s="1"/>
  <c r="G64" i="43"/>
  <c r="H64" i="43" s="1"/>
  <c r="G65" i="43"/>
  <c r="H65" i="43" s="1"/>
  <c r="G66" i="43"/>
  <c r="H66" i="43" s="1"/>
  <c r="G67" i="43"/>
  <c r="H67" i="43" s="1"/>
  <c r="G68" i="43"/>
  <c r="H68" i="43" s="1"/>
  <c r="G69" i="43"/>
  <c r="H69" i="43" s="1"/>
  <c r="G70" i="43"/>
  <c r="H70" i="43" s="1"/>
  <c r="G71" i="43"/>
  <c r="H71" i="43" s="1"/>
  <c r="G72" i="43"/>
  <c r="H72" i="43" s="1"/>
  <c r="G73" i="43"/>
  <c r="H73" i="43" s="1"/>
  <c r="G74" i="43"/>
  <c r="G75" i="43"/>
  <c r="H75" i="43" s="1"/>
  <c r="G76" i="43"/>
  <c r="H76" i="43" s="1"/>
  <c r="G77" i="43"/>
  <c r="H77" i="43" s="1"/>
  <c r="G78" i="43"/>
  <c r="H78" i="43" s="1"/>
  <c r="G20" i="43"/>
  <c r="H20" i="43" s="1"/>
  <c r="E78" i="43"/>
  <c r="E77" i="43"/>
  <c r="E76" i="43"/>
  <c r="E75" i="43"/>
  <c r="E74" i="43"/>
  <c r="E73" i="43"/>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4" i="43"/>
  <c r="E23" i="43"/>
  <c r="E22" i="43"/>
  <c r="E21" i="43"/>
  <c r="E20" i="43"/>
  <c r="N17" i="43"/>
  <c r="N81" i="43" s="1"/>
  <c r="O17" i="43"/>
  <c r="P17" i="43"/>
  <c r="Q17" i="43"/>
  <c r="R17" i="43"/>
  <c r="S17" i="43"/>
  <c r="T17" i="43"/>
  <c r="U17" i="43"/>
  <c r="U81" i="43" s="1"/>
  <c r="V17" i="43"/>
  <c r="W17" i="43"/>
  <c r="W81" i="43" s="1"/>
  <c r="X17" i="43"/>
  <c r="X81" i="43" s="1"/>
  <c r="Y17" i="43"/>
  <c r="Z17" i="43"/>
  <c r="AA17" i="43"/>
  <c r="AB17" i="43"/>
  <c r="AC17" i="43"/>
  <c r="AD17" i="43"/>
  <c r="AD81" i="43" s="1"/>
  <c r="AE17" i="43"/>
  <c r="AF17" i="43"/>
  <c r="AG17" i="43"/>
  <c r="AH17" i="43"/>
  <c r="AI17" i="43"/>
  <c r="AJ17" i="43"/>
  <c r="AK17" i="43"/>
  <c r="AK81" i="43" s="1"/>
  <c r="AL17" i="43"/>
  <c r="AM17" i="43"/>
  <c r="AM81" i="43" s="1"/>
  <c r="AN17" i="43"/>
  <c r="AN81" i="43" s="1"/>
  <c r="AO17" i="43"/>
  <c r="AP17" i="43"/>
  <c r="AQ17" i="43"/>
  <c r="AR17" i="43"/>
  <c r="AS17" i="43"/>
  <c r="AT17" i="43"/>
  <c r="AT81" i="43" s="1"/>
  <c r="AU17" i="43"/>
  <c r="AV17" i="43"/>
  <c r="AW17" i="43"/>
  <c r="AX17" i="43"/>
  <c r="AY17" i="43"/>
  <c r="AZ17" i="43"/>
  <c r="BA17" i="43"/>
  <c r="BA81" i="43" s="1"/>
  <c r="BB17" i="43"/>
  <c r="BC17" i="43"/>
  <c r="BC81" i="43" s="1"/>
  <c r="BD17" i="43"/>
  <c r="BD81" i="43" s="1"/>
  <c r="BE17" i="43"/>
  <c r="BF17" i="43"/>
  <c r="BG17" i="43"/>
  <c r="BH17" i="43"/>
  <c r="BI17" i="43"/>
  <c r="BJ17" i="43"/>
  <c r="BJ81" i="43" s="1"/>
  <c r="BK17" i="43"/>
  <c r="BL17" i="43"/>
  <c r="BM17" i="43"/>
  <c r="BN17" i="43"/>
  <c r="BO17" i="43"/>
  <c r="BP17" i="43"/>
  <c r="BQ17" i="43"/>
  <c r="BQ81" i="43" s="1"/>
  <c r="BR17" i="43"/>
  <c r="BS17" i="43"/>
  <c r="BS81" i="43" s="1"/>
  <c r="BT17" i="43"/>
  <c r="BT81" i="43" s="1"/>
  <c r="M17" i="43"/>
  <c r="I12" i="43"/>
  <c r="J12" i="43" s="1"/>
  <c r="I13" i="43"/>
  <c r="J13" i="43" s="1"/>
  <c r="I14" i="43"/>
  <c r="J14" i="43" s="1"/>
  <c r="I15" i="43"/>
  <c r="J15" i="43" s="1"/>
  <c r="I16" i="43"/>
  <c r="J16" i="43" s="1"/>
  <c r="I11" i="43"/>
  <c r="J11" i="43" s="1"/>
  <c r="N6" i="43"/>
  <c r="O6" i="43" s="1"/>
  <c r="P6" i="43" s="1"/>
  <c r="Q6" i="43" s="1"/>
  <c r="R6" i="43" s="1"/>
  <c r="S6" i="43" s="1"/>
  <c r="T6" i="43" s="1"/>
  <c r="U6" i="43" s="1"/>
  <c r="V6" i="43" s="1"/>
  <c r="W6" i="43" s="1"/>
  <c r="X6" i="43" s="1"/>
  <c r="Y6" i="43" s="1"/>
  <c r="Z6" i="43" s="1"/>
  <c r="AA6" i="43" s="1"/>
  <c r="AB6" i="43" s="1"/>
  <c r="AC6" i="43" s="1"/>
  <c r="AD6" i="43" s="1"/>
  <c r="AE6" i="43" s="1"/>
  <c r="AF6" i="43" s="1"/>
  <c r="AG6" i="43" s="1"/>
  <c r="AH6" i="43" s="1"/>
  <c r="AI6" i="43" s="1"/>
  <c r="AJ6" i="43" s="1"/>
  <c r="AK6" i="43" s="1"/>
  <c r="AL6" i="43" s="1"/>
  <c r="AM6" i="43" s="1"/>
  <c r="AN6" i="43" s="1"/>
  <c r="AO6" i="43" s="1"/>
  <c r="AP6" i="43" s="1"/>
  <c r="AQ6" i="43" s="1"/>
  <c r="AR6" i="43" s="1"/>
  <c r="AS6" i="43" s="1"/>
  <c r="AT6" i="43" s="1"/>
  <c r="AU6" i="43" s="1"/>
  <c r="AV6" i="43" s="1"/>
  <c r="AW6" i="43" s="1"/>
  <c r="AX6" i="43" s="1"/>
  <c r="AY6" i="43" s="1"/>
  <c r="AZ6" i="43" s="1"/>
  <c r="BA6" i="43" s="1"/>
  <c r="BB6" i="43" s="1"/>
  <c r="BC6" i="43" s="1"/>
  <c r="BD6" i="43" s="1"/>
  <c r="BE6" i="43" s="1"/>
  <c r="BF6" i="43" s="1"/>
  <c r="BG6" i="43" s="1"/>
  <c r="BH6" i="43" s="1"/>
  <c r="BI6" i="43" s="1"/>
  <c r="BJ6" i="43" s="1"/>
  <c r="BK6" i="43" s="1"/>
  <c r="BL6" i="43" s="1"/>
  <c r="BM6" i="43" s="1"/>
  <c r="BN6" i="43" s="1"/>
  <c r="BO6" i="43" s="1"/>
  <c r="BP6" i="43" s="1"/>
  <c r="BQ6" i="43" s="1"/>
  <c r="BR6" i="43" s="1"/>
  <c r="BS6" i="43" s="1"/>
  <c r="BT6" i="43" s="1"/>
  <c r="H16" i="43"/>
  <c r="G16" i="43"/>
  <c r="G15" i="43"/>
  <c r="H15" i="43" s="1"/>
  <c r="G14" i="43"/>
  <c r="H14" i="43" s="1"/>
  <c r="G13" i="43"/>
  <c r="H13" i="43" s="1"/>
  <c r="G12" i="43"/>
  <c r="H12" i="43" s="1"/>
  <c r="G11" i="43"/>
  <c r="H11" i="43" s="1"/>
  <c r="F17" i="43"/>
  <c r="F81" i="43" s="1"/>
  <c r="E16" i="43"/>
  <c r="E15" i="43"/>
  <c r="E14" i="43"/>
  <c r="E13" i="43"/>
  <c r="E12" i="43"/>
  <c r="E11" i="43"/>
  <c r="D17" i="43"/>
  <c r="C17" i="43"/>
  <c r="C79" i="43"/>
  <c r="A1" i="43"/>
  <c r="C7" i="47"/>
  <c r="AZ81" i="43" l="1"/>
  <c r="AJ81" i="43"/>
  <c r="T81" i="43"/>
  <c r="BN81" i="43"/>
  <c r="AX81" i="43"/>
  <c r="AH81" i="43"/>
  <c r="R81" i="43"/>
  <c r="BI81" i="43"/>
  <c r="AS81" i="43"/>
  <c r="AC81" i="43"/>
  <c r="K33" i="43"/>
  <c r="K49" i="43"/>
  <c r="K65" i="43"/>
  <c r="K14" i="43"/>
  <c r="AR81" i="43"/>
  <c r="K16" i="43"/>
  <c r="AB81" i="43"/>
  <c r="AQ81" i="43"/>
  <c r="Z81" i="43"/>
  <c r="K36" i="43"/>
  <c r="K52" i="43"/>
  <c r="BH81" i="43"/>
  <c r="BG81" i="43"/>
  <c r="AA81" i="43"/>
  <c r="BF81" i="43"/>
  <c r="AP81" i="43"/>
  <c r="BE81" i="43"/>
  <c r="AO81" i="43"/>
  <c r="Y81" i="43"/>
  <c r="K37" i="43"/>
  <c r="K53" i="43"/>
  <c r="K69" i="43"/>
  <c r="K74" i="43"/>
  <c r="K15" i="43"/>
  <c r="E79" i="43"/>
  <c r="K22" i="43"/>
  <c r="K38" i="43"/>
  <c r="K54" i="43"/>
  <c r="K70" i="43"/>
  <c r="K13" i="43"/>
  <c r="K12" i="43"/>
  <c r="AL81" i="43"/>
  <c r="BB81" i="43"/>
  <c r="K78" i="43"/>
  <c r="AU81" i="43"/>
  <c r="AE81" i="43"/>
  <c r="O81" i="43"/>
  <c r="BR81" i="43"/>
  <c r="V81" i="43"/>
  <c r="K46" i="43"/>
  <c r="K62" i="43"/>
  <c r="BK81" i="43"/>
  <c r="C81" i="43"/>
  <c r="BO81" i="43"/>
  <c r="AY81" i="43"/>
  <c r="AI81" i="43"/>
  <c r="S81" i="43"/>
  <c r="E17" i="43"/>
  <c r="E81" i="43" s="1"/>
  <c r="BM81" i="43"/>
  <c r="AW81" i="43"/>
  <c r="AG81" i="43"/>
  <c r="Q81" i="43"/>
  <c r="K34" i="43"/>
  <c r="K50" i="43"/>
  <c r="K66" i="43"/>
  <c r="M81" i="43"/>
  <c r="BL81" i="43"/>
  <c r="AV81" i="43"/>
  <c r="AF81" i="43"/>
  <c r="P81" i="43"/>
  <c r="K35" i="43"/>
  <c r="K51" i="43"/>
  <c r="K67" i="43"/>
  <c r="K68" i="43"/>
  <c r="C215" i="44"/>
  <c r="C196" i="44"/>
  <c r="C142" i="44"/>
  <c r="C147" i="44" s="1"/>
  <c r="C130" i="44"/>
  <c r="C135" i="44" s="1"/>
  <c r="C73" i="44"/>
  <c r="E7" i="44"/>
  <c r="E8" i="44" s="1"/>
  <c r="D7" i="44"/>
  <c r="D8" i="44" s="1"/>
  <c r="H79" i="43"/>
  <c r="K21" i="43"/>
  <c r="J79" i="43"/>
  <c r="K31" i="43"/>
  <c r="K32" i="43"/>
  <c r="K48" i="43"/>
  <c r="K64" i="43"/>
  <c r="H17" i="43"/>
  <c r="G79" i="43"/>
  <c r="K63" i="43"/>
  <c r="K30" i="43"/>
  <c r="I79" i="43"/>
  <c r="D81" i="43"/>
  <c r="K39" i="43"/>
  <c r="K24" i="43"/>
  <c r="K40" i="43"/>
  <c r="K56" i="43"/>
  <c r="K72" i="43"/>
  <c r="K47" i="43"/>
  <c r="K71" i="43"/>
  <c r="K25" i="43"/>
  <c r="K41" i="43"/>
  <c r="K57" i="43"/>
  <c r="K73" i="43"/>
  <c r="K42" i="43"/>
  <c r="K58" i="43"/>
  <c r="K20" i="43"/>
  <c r="G17" i="43"/>
  <c r="G81" i="43" s="1"/>
  <c r="K27" i="43"/>
  <c r="K43" i="43"/>
  <c r="K59" i="43"/>
  <c r="K75" i="43"/>
  <c r="K55" i="43"/>
  <c r="K28" i="43"/>
  <c r="K44" i="43"/>
  <c r="K60" i="43"/>
  <c r="K76" i="43"/>
  <c r="K26" i="43"/>
  <c r="J17" i="43"/>
  <c r="J81" i="43" s="1"/>
  <c r="K11" i="43"/>
  <c r="I17" i="43"/>
  <c r="K17" i="43" l="1"/>
  <c r="C74" i="44"/>
  <c r="C75" i="44" s="1"/>
  <c r="C78" i="44"/>
  <c r="F7" i="44"/>
  <c r="F8" i="44" s="1"/>
  <c r="G7" i="44"/>
  <c r="G8" i="44" s="1"/>
  <c r="H7" i="44"/>
  <c r="H8" i="44" s="1"/>
  <c r="K79" i="43"/>
  <c r="K81" i="43"/>
  <c r="I81" i="43"/>
  <c r="H81" i="43"/>
  <c r="D72" i="44" l="1"/>
  <c r="C84" i="44"/>
  <c r="C80" i="44"/>
  <c r="I7" i="44"/>
  <c r="I8" i="44" s="1"/>
  <c r="C87" i="44" l="1"/>
  <c r="C109" i="44"/>
  <c r="J7" i="44"/>
  <c r="J8" i="44" s="1"/>
  <c r="K7" i="44" l="1"/>
  <c r="K8" i="44" s="1"/>
  <c r="L7" i="44" l="1"/>
  <c r="L8" i="44" s="1"/>
  <c r="M7" i="44" l="1"/>
  <c r="M8" i="44" s="1"/>
  <c r="N7" i="44" l="1"/>
  <c r="N8" i="44" s="1"/>
  <c r="O7" i="44" l="1"/>
  <c r="O8" i="44" s="1"/>
  <c r="P7" i="44" l="1"/>
  <c r="P8" i="44" s="1"/>
  <c r="Q7" i="44" l="1"/>
  <c r="Q8" i="44" s="1"/>
  <c r="R7" i="44" l="1"/>
  <c r="R8" i="44" s="1"/>
  <c r="S7" i="44" l="1"/>
  <c r="S8" i="44" s="1"/>
  <c r="T7" i="44" l="1"/>
  <c r="T8" i="44" s="1"/>
  <c r="U7" i="44" l="1"/>
  <c r="U8" i="44" s="1"/>
  <c r="V7" i="44" l="1"/>
  <c r="V8" i="44" s="1"/>
  <c r="W7" i="44" l="1"/>
  <c r="W8" i="44" s="1"/>
  <c r="X7" i="44" l="1"/>
  <c r="X8" i="44" s="1"/>
  <c r="Y7" i="44" l="1"/>
  <c r="Y8" i="44" s="1"/>
  <c r="Z7" i="44" l="1"/>
  <c r="Z8" i="44" s="1"/>
  <c r="AA7" i="44" l="1"/>
  <c r="AA8" i="44" s="1"/>
  <c r="AB7" i="44" l="1"/>
  <c r="AB8" i="44" s="1"/>
  <c r="AC7" i="44" l="1"/>
  <c r="AC8" i="44" s="1"/>
  <c r="AD7" i="44" l="1"/>
  <c r="AD8" i="44" s="1"/>
  <c r="AE7" i="44" l="1"/>
  <c r="AE8" i="44" s="1"/>
  <c r="AF7" i="44" l="1"/>
  <c r="AF8" i="44" s="1"/>
  <c r="AG7" i="44" l="1"/>
  <c r="AG8" i="44" s="1"/>
  <c r="AH7" i="44" l="1"/>
  <c r="AH8" i="44" s="1"/>
  <c r="AI7" i="44" l="1"/>
  <c r="AI8" i="44" s="1"/>
  <c r="AJ7" i="44" l="1"/>
  <c r="AJ8" i="44" s="1"/>
  <c r="AK7" i="44" l="1"/>
  <c r="AK8" i="44" s="1"/>
  <c r="AL7" i="44" l="1"/>
  <c r="AL8" i="44" s="1"/>
  <c r="AM7" i="44" l="1"/>
  <c r="AM8" i="44" s="1"/>
  <c r="AN7" i="44" l="1"/>
  <c r="AN8" i="44" s="1"/>
  <c r="AO7" i="44" l="1"/>
  <c r="AO8" i="44" s="1"/>
  <c r="AP7" i="44" l="1"/>
  <c r="AP8" i="44" s="1"/>
  <c r="AQ7" i="44" l="1"/>
  <c r="AQ8" i="44" s="1"/>
  <c r="AR7" i="44" l="1"/>
  <c r="AR8" i="44" s="1"/>
  <c r="AS7" i="44" l="1"/>
  <c r="AS8" i="44" s="1"/>
  <c r="AT7" i="44" l="1"/>
  <c r="AT8" i="44" s="1"/>
  <c r="AU7" i="44" l="1"/>
  <c r="AU8" i="44" s="1"/>
  <c r="AV7" i="44" l="1"/>
  <c r="AV8" i="44" s="1"/>
  <c r="AW7" i="44" l="1"/>
  <c r="AW8" i="44" s="1"/>
  <c r="AX7" i="44" l="1"/>
  <c r="AX8" i="44" s="1"/>
  <c r="AY7" i="44" l="1"/>
  <c r="AY8" i="44" s="1"/>
  <c r="AZ7" i="44" l="1"/>
  <c r="AZ8" i="44" s="1"/>
  <c r="BA7" i="44" l="1"/>
  <c r="BA8" i="44" s="1"/>
  <c r="BB7" i="44" l="1"/>
  <c r="BB8" i="44" s="1"/>
  <c r="BC7" i="44" l="1"/>
  <c r="BC8" i="44" s="1"/>
  <c r="BD7" i="44" l="1"/>
  <c r="BD8" i="44" s="1"/>
  <c r="BE7" i="44" l="1"/>
  <c r="BE8" i="44" s="1"/>
  <c r="BF7" i="44" l="1"/>
  <c r="BF8" i="44" s="1"/>
  <c r="BG7" i="44" l="1"/>
  <c r="BG8" i="44" s="1"/>
  <c r="BH7" i="44" l="1"/>
  <c r="BH8" i="44" s="1"/>
  <c r="BJ7" i="44" l="1"/>
  <c r="BJ8" i="44" s="1"/>
  <c r="BI7" i="44"/>
  <c r="BI8" i="44" s="1"/>
  <c r="C126" i="47" l="1"/>
  <c r="C125" i="47"/>
  <c r="C124" i="47"/>
  <c r="C123" i="47"/>
  <c r="C122" i="47"/>
  <c r="C121" i="47"/>
  <c r="C120" i="47"/>
  <c r="C119" i="47"/>
  <c r="C118" i="47"/>
  <c r="C117" i="47"/>
  <c r="C116" i="47"/>
  <c r="C115" i="47"/>
  <c r="C114" i="47"/>
  <c r="C113" i="47"/>
  <c r="C112" i="47"/>
  <c r="C111" i="47"/>
  <c r="C110" i="47"/>
  <c r="C109" i="47"/>
  <c r="C108" i="47"/>
  <c r="C107" i="47"/>
  <c r="C106" i="47"/>
  <c r="C105" i="47"/>
  <c r="C104" i="47"/>
  <c r="C103" i="47"/>
  <c r="C102" i="47"/>
  <c r="C101" i="47"/>
  <c r="C100" i="47"/>
  <c r="C99" i="47"/>
  <c r="C98" i="47"/>
  <c r="C97" i="47"/>
  <c r="C96" i="47"/>
  <c r="C95" i="47"/>
  <c r="C94" i="47"/>
  <c r="C93" i="47"/>
  <c r="C92" i="47"/>
  <c r="C91" i="47"/>
  <c r="C90" i="47"/>
  <c r="C89" i="47"/>
  <c r="C88" i="47"/>
  <c r="C87" i="47"/>
  <c r="C86" i="47"/>
  <c r="C85" i="47"/>
  <c r="C84" i="47"/>
  <c r="C83" i="47"/>
  <c r="C82" i="47"/>
  <c r="C81" i="47"/>
  <c r="C80" i="47"/>
  <c r="C79" i="47"/>
  <c r="C78" i="47"/>
  <c r="C77" i="47"/>
  <c r="C76" i="47"/>
  <c r="C75" i="47"/>
  <c r="C74" i="47"/>
  <c r="C73" i="47"/>
  <c r="C72" i="47"/>
  <c r="C71" i="47"/>
  <c r="C70" i="47"/>
  <c r="C69" i="47"/>
  <c r="C68" i="47"/>
  <c r="C67" i="47"/>
  <c r="C66" i="47"/>
  <c r="C65" i="47"/>
  <c r="C64" i="47"/>
  <c r="C63" i="47"/>
  <c r="C62" i="47"/>
  <c r="C61" i="47"/>
  <c r="C60" i="47"/>
  <c r="C59" i="47"/>
  <c r="C58" i="47"/>
  <c r="C57" i="47"/>
  <c r="C56" i="47"/>
  <c r="C55" i="47"/>
  <c r="C54" i="47"/>
  <c r="C53" i="47"/>
  <c r="C52" i="47"/>
  <c r="C51" i="47"/>
  <c r="C50" i="47"/>
  <c r="C49" i="47"/>
  <c r="C48" i="47"/>
  <c r="C47" i="47"/>
  <c r="C46" i="47"/>
  <c r="C45" i="47"/>
  <c r="C44" i="47"/>
  <c r="C43" i="47"/>
  <c r="C42" i="47"/>
  <c r="C41" i="47"/>
  <c r="C40" i="47"/>
  <c r="C39" i="47"/>
  <c r="C38" i="47"/>
  <c r="C37" i="47"/>
  <c r="C36" i="47"/>
  <c r="C35" i="47"/>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A1" i="47"/>
  <c r="A1" i="39"/>
  <c r="N29" i="35"/>
  <c r="D21" i="38"/>
  <c r="G21" i="38" s="1" a="1"/>
  <c r="G21" i="38" s="1"/>
  <c r="D20" i="38"/>
  <c r="F20" i="38" s="1" a="1"/>
  <c r="F20" i="38" s="1"/>
  <c r="D19" i="38"/>
  <c r="G19" i="38" s="1" a="1"/>
  <c r="G19" i="38" s="1"/>
  <c r="D18" i="38"/>
  <c r="G18" i="38" s="1" a="1"/>
  <c r="G18" i="38" s="1"/>
  <c r="D17" i="38"/>
  <c r="G17" i="38" s="1" a="1"/>
  <c r="G17" i="38" s="1"/>
  <c r="H14" i="38"/>
  <c r="H13" i="38"/>
  <c r="H12" i="38"/>
  <c r="H11" i="38"/>
  <c r="H10" i="38"/>
  <c r="H9" i="38"/>
  <c r="H8" i="38"/>
  <c r="H7" i="38"/>
  <c r="A1" i="38"/>
  <c r="D78" i="35"/>
  <c r="N15" i="35"/>
  <c r="A1" i="35"/>
  <c r="D64" i="35" l="1"/>
  <c r="C33" i="39"/>
  <c r="D15" i="39"/>
  <c r="C14" i="39"/>
  <c r="O15" i="35"/>
  <c r="E63" i="35"/>
  <c r="E16" i="35"/>
  <c r="E47" i="35"/>
  <c r="E77" i="35"/>
  <c r="E53" i="35"/>
  <c r="E83" i="35"/>
  <c r="E33" i="35"/>
  <c r="E20" i="35"/>
  <c r="E21" i="35"/>
  <c r="E50" i="35"/>
  <c r="E29" i="35"/>
  <c r="E34" i="35"/>
  <c r="E55" i="35"/>
  <c r="E57" i="35"/>
  <c r="E52" i="35"/>
  <c r="E58" i="35"/>
  <c r="E40" i="35"/>
  <c r="E59" i="35"/>
  <c r="E62" i="35"/>
  <c r="E69" i="35"/>
  <c r="E75" i="35"/>
  <c r="E23" i="35"/>
  <c r="E36" i="35"/>
  <c r="E56" i="35"/>
  <c r="E13" i="35"/>
  <c r="E41" i="35"/>
  <c r="E60" i="35"/>
  <c r="E71" i="35"/>
  <c r="C24" i="39"/>
  <c r="C35" i="39"/>
  <c r="E51" i="35"/>
  <c r="E76" i="35"/>
  <c r="C34" i="39"/>
  <c r="E42" i="35"/>
  <c r="E19" i="35"/>
  <c r="E48" i="35"/>
  <c r="G20" i="38" a="1"/>
  <c r="G20" i="38" s="1"/>
  <c r="H20" i="38" s="1"/>
  <c r="F18" i="38" a="1"/>
  <c r="F18" i="38" s="1"/>
  <c r="H18" i="38" s="1"/>
  <c r="F15" i="38"/>
  <c r="F21" i="38" a="1"/>
  <c r="F21" i="38" s="1"/>
  <c r="H21" i="38" s="1"/>
  <c r="F19" i="38" a="1"/>
  <c r="F19" i="38" s="1"/>
  <c r="H19" i="38" s="1"/>
  <c r="F17" i="38" a="1"/>
  <c r="F17" i="38" s="1"/>
  <c r="D22" i="38"/>
  <c r="E17" i="38" s="1"/>
  <c r="F70" i="35" l="1"/>
  <c r="D67" i="35"/>
  <c r="F63" i="35"/>
  <c r="P15" i="35"/>
  <c r="F48" i="35"/>
  <c r="F21" i="35"/>
  <c r="F54" i="35"/>
  <c r="F33" i="35"/>
  <c r="F23" i="35"/>
  <c r="F83" i="35"/>
  <c r="F53" i="35"/>
  <c r="F61" i="35"/>
  <c r="F16" i="35"/>
  <c r="F51" i="35"/>
  <c r="F77" i="35"/>
  <c r="F59" i="35"/>
  <c r="F40" i="35"/>
  <c r="F34" i="35"/>
  <c r="F47" i="35"/>
  <c r="E15" i="38"/>
  <c r="F71" i="35"/>
  <c r="F49" i="35"/>
  <c r="F57" i="35"/>
  <c r="F58" i="35"/>
  <c r="F46" i="35"/>
  <c r="F60" i="35"/>
  <c r="F76" i="35"/>
  <c r="F75" i="35"/>
  <c r="F8" i="35"/>
  <c r="F69" i="35"/>
  <c r="F62" i="35"/>
  <c r="F55" i="35"/>
  <c r="F13" i="35"/>
  <c r="F50" i="35"/>
  <c r="E19" i="38"/>
  <c r="F41" i="35"/>
  <c r="F29" i="35"/>
  <c r="E64" i="35"/>
  <c r="F19" i="35"/>
  <c r="F56" i="35"/>
  <c r="F52" i="35"/>
  <c r="E21" i="38"/>
  <c r="E20" i="38"/>
  <c r="F42" i="35"/>
  <c r="F36" i="35"/>
  <c r="F20" i="35"/>
  <c r="E18" i="38"/>
  <c r="F22" i="38"/>
  <c r="H17" i="38"/>
  <c r="G22" i="38"/>
  <c r="E78" i="35"/>
  <c r="G15" i="38" l="1"/>
  <c r="V39" i="35" s="1"/>
  <c r="H22" i="38"/>
  <c r="F64" i="35"/>
  <c r="F78" i="35"/>
  <c r="E22" i="38"/>
  <c r="D9" i="39" l="1"/>
  <c r="H15" i="38"/>
  <c r="C9" i="39" l="1"/>
  <c r="C51" i="44"/>
  <c r="A1" i="1"/>
  <c r="D39" i="44" l="1"/>
  <c r="D47" i="44"/>
  <c r="D42" i="44"/>
  <c r="D46" i="44"/>
  <c r="D43" i="44"/>
  <c r="D41" i="44"/>
  <c r="D45" i="44"/>
  <c r="D44" i="44"/>
  <c r="D40" i="44"/>
  <c r="C36" i="39"/>
  <c r="C18" i="39" l="1"/>
  <c r="C11" i="39"/>
  <c r="C10" i="39"/>
  <c r="C12" i="39" l="1"/>
  <c r="D12" i="39" s="1"/>
  <c r="C19" i="39"/>
  <c r="C16" i="39" l="1"/>
  <c r="D16" i="39" l="1"/>
  <c r="C20" i="39"/>
  <c r="E68" i="35" l="1"/>
  <c r="F68" i="35" s="1"/>
  <c r="E67" i="35"/>
  <c r="G26" i="39" s="1"/>
  <c r="G27" i="39" s="1"/>
  <c r="G28" i="39" s="1"/>
  <c r="C22" i="39"/>
  <c r="D20" i="39"/>
  <c r="N16" i="35" l="1"/>
  <c r="V37" i="35" s="1"/>
  <c r="D28" i="35"/>
  <c r="E28" i="35" s="1"/>
  <c r="F28" i="35" s="1"/>
  <c r="D72" i="35"/>
  <c r="D81" i="35" s="1"/>
  <c r="E81" i="35" s="1"/>
  <c r="F81" i="35" s="1"/>
  <c r="F72" i="35"/>
  <c r="E72" i="35"/>
  <c r="G8" i="39" s="1"/>
  <c r="G16" i="39" s="1"/>
  <c r="G17" i="39" l="1"/>
  <c r="G21" i="39"/>
  <c r="O16" i="35"/>
  <c r="G22" i="39" l="1"/>
  <c r="C23" i="39"/>
  <c r="D23" i="39" s="1"/>
  <c r="P16" i="35"/>
  <c r="C27" i="39" l="1"/>
  <c r="C28" i="39"/>
  <c r="C29" i="39"/>
  <c r="C30" i="39"/>
  <c r="C31" i="39"/>
  <c r="C32" i="39"/>
  <c r="C25" i="39"/>
  <c r="C26" i="39"/>
  <c r="C37" i="39" l="1"/>
  <c r="C39" i="39" s="1"/>
  <c r="C40" i="39" l="1"/>
  <c r="V45" i="35"/>
  <c r="D39" i="35" s="1"/>
  <c r="E39" i="35" s="1"/>
  <c r="F39" i="35" s="1"/>
  <c r="D37" i="39"/>
  <c r="D39" i="39" l="1"/>
  <c r="C99" i="44"/>
  <c r="D100" i="44"/>
  <c r="E100" i="44"/>
  <c r="F100" i="44"/>
  <c r="G100" i="44"/>
  <c r="H100" i="44"/>
  <c r="I100" i="44"/>
  <c r="J100" i="44"/>
  <c r="K100" i="44"/>
  <c r="L100" i="44"/>
  <c r="M100" i="44"/>
  <c r="N100" i="44"/>
  <c r="O100" i="44"/>
  <c r="P100" i="44"/>
  <c r="Q100" i="44"/>
  <c r="R100" i="44"/>
  <c r="S100" i="44"/>
  <c r="T100" i="44"/>
  <c r="U100" i="44"/>
  <c r="V100" i="44"/>
  <c r="W100" i="44"/>
  <c r="X100" i="44"/>
  <c r="Y100" i="44"/>
  <c r="Z100" i="44"/>
  <c r="AA100" i="44"/>
  <c r="AB100" i="44"/>
  <c r="AC100" i="44"/>
  <c r="AD100" i="44"/>
  <c r="AE100" i="44"/>
  <c r="AF100" i="44"/>
  <c r="AG100" i="44"/>
  <c r="AH100" i="44"/>
  <c r="AI100" i="44"/>
  <c r="AJ100" i="44"/>
  <c r="AK100" i="44"/>
  <c r="AL100" i="44"/>
  <c r="AM100" i="44"/>
  <c r="AN100" i="44"/>
  <c r="AO100" i="44"/>
  <c r="AP100" i="44"/>
  <c r="AQ100" i="44"/>
  <c r="AR100" i="44"/>
  <c r="AS100" i="44"/>
  <c r="AT100" i="44"/>
  <c r="AU100" i="44"/>
  <c r="AV100" i="44"/>
  <c r="AW100" i="44"/>
  <c r="AX100" i="44"/>
  <c r="AY100" i="44"/>
  <c r="AZ100" i="44"/>
  <c r="BA100" i="44"/>
  <c r="BB100" i="44"/>
  <c r="BC100" i="44"/>
  <c r="BD100" i="44"/>
  <c r="BE100" i="44"/>
  <c r="BF100" i="44"/>
  <c r="BG100" i="44"/>
  <c r="BH100" i="44"/>
  <c r="BI100" i="44"/>
  <c r="BJ100" i="44"/>
  <c r="C101" i="44"/>
  <c r="D101" i="44"/>
  <c r="E101" i="44"/>
  <c r="F101" i="44"/>
  <c r="G101" i="44"/>
  <c r="H101" i="44"/>
  <c r="I101" i="44"/>
  <c r="J101" i="44"/>
  <c r="K101" i="44"/>
  <c r="L101" i="44"/>
  <c r="M101" i="44"/>
  <c r="N101" i="44"/>
  <c r="O101" i="44"/>
  <c r="P101" i="44"/>
  <c r="Q101" i="44"/>
  <c r="R101" i="44"/>
  <c r="S101" i="44"/>
  <c r="T101" i="44"/>
  <c r="U101" i="44"/>
  <c r="V101" i="44"/>
  <c r="W101" i="44"/>
  <c r="X101" i="44"/>
  <c r="Y101" i="44"/>
  <c r="Z101" i="44"/>
  <c r="AA101" i="44"/>
  <c r="AB101" i="44"/>
  <c r="AC101" i="44"/>
  <c r="AD101" i="44"/>
  <c r="AE101" i="44"/>
  <c r="AF101" i="44"/>
  <c r="AG101" i="44"/>
  <c r="AH101" i="44"/>
  <c r="AI101" i="44"/>
  <c r="AJ101" i="44"/>
  <c r="AK101" i="44"/>
  <c r="AL101" i="44"/>
  <c r="AM101" i="44"/>
  <c r="AN101" i="44"/>
  <c r="AO101" i="44"/>
  <c r="AP101" i="44"/>
  <c r="AQ101" i="44"/>
  <c r="AR101" i="44"/>
  <c r="AS101" i="44"/>
  <c r="AT101" i="44"/>
  <c r="AU101" i="44"/>
  <c r="AV101" i="44"/>
  <c r="AW101" i="44"/>
  <c r="AX101" i="44"/>
  <c r="AY101" i="44"/>
  <c r="AZ101" i="44"/>
  <c r="BA101" i="44"/>
  <c r="BB101" i="44"/>
  <c r="BC101" i="44"/>
  <c r="BD101" i="44"/>
  <c r="BE101" i="44"/>
  <c r="BF101" i="44"/>
  <c r="BG101" i="44"/>
  <c r="BH101" i="44"/>
  <c r="BI101" i="44"/>
  <c r="BJ101" i="44"/>
  <c r="C33" i="44" l="1"/>
  <c r="D31" i="44" s="1"/>
  <c r="D32" i="44" l="1"/>
  <c r="D33" i="44" s="1"/>
  <c r="C15" i="44"/>
  <c r="D64" i="44"/>
  <c r="D70" i="44" s="1"/>
  <c r="D66" i="44"/>
  <c r="C116" i="44"/>
  <c r="C117" i="44"/>
  <c r="C118" i="44"/>
  <c r="E14" i="44" s="1"/>
  <c r="C163" i="44"/>
  <c r="C136" i="44" s="1"/>
  <c r="C168" i="44"/>
  <c r="C148" i="44" s="1"/>
  <c r="C176" i="44"/>
  <c r="C183" i="44"/>
  <c r="C197" i="44"/>
  <c r="C241" i="44"/>
  <c r="G14" i="44" s="1"/>
  <c r="C250" i="44"/>
  <c r="F14" i="44" s="1"/>
  <c r="C259" i="44"/>
  <c r="D275" i="44"/>
  <c r="D276" i="44"/>
  <c r="C32" i="45"/>
  <c r="C39" i="45" s="1"/>
  <c r="C110" i="45"/>
  <c r="C112" i="45" s="1"/>
  <c r="C14" i="45" l="1"/>
  <c r="C77" i="45"/>
  <c r="C63" i="45"/>
  <c r="C216" i="44"/>
  <c r="C52" i="45" l="1"/>
  <c r="C64" i="45"/>
  <c r="D14" i="45"/>
  <c r="C91" i="45"/>
  <c r="C114" i="45" l="1"/>
  <c r="C104" i="45"/>
  <c r="C98" i="45"/>
  <c r="C54" i="45"/>
  <c r="C67" i="45"/>
  <c r="C65" i="45"/>
  <c r="D62" i="45" s="1"/>
  <c r="C55" i="45"/>
  <c r="D50" i="45" s="1"/>
  <c r="D46" i="45" l="1"/>
  <c r="C70" i="45"/>
  <c r="C79" i="45"/>
  <c r="F14" i="45"/>
  <c r="G14" i="45"/>
  <c r="D51" i="45" l="1"/>
  <c r="C93" i="45"/>
  <c r="C73" i="45"/>
  <c r="C80" i="45" s="1"/>
  <c r="C81" i="45" s="1"/>
  <c r="C72" i="45"/>
  <c r="C74" i="45" l="1"/>
  <c r="C87" i="45"/>
  <c r="C94" i="45"/>
  <c r="C115" i="45" s="1"/>
  <c r="C116" i="45" s="1"/>
  <c r="C118" i="45" s="1"/>
  <c r="C99" i="45"/>
  <c r="C105" i="45"/>
  <c r="C95" i="45" l="1"/>
  <c r="C100" i="45"/>
  <c r="C101" i="45" s="1"/>
  <c r="C88" i="45"/>
  <c r="C107" i="45"/>
  <c r="D12" i="45" l="1"/>
  <c r="F12" i="45"/>
  <c r="G12" i="45"/>
  <c r="N12" i="45"/>
  <c r="E15" i="45"/>
  <c r="F15" i="45"/>
  <c r="G15" i="45"/>
  <c r="G16" i="45" s="1"/>
  <c r="G13" i="45" l="1"/>
  <c r="K13" i="45"/>
  <c r="F16" i="45"/>
  <c r="F13" i="45"/>
  <c r="C12" i="44"/>
  <c r="C14" i="44"/>
  <c r="F24" i="44"/>
  <c r="G24" i="44"/>
  <c r="F25" i="44"/>
  <c r="G25" i="44"/>
  <c r="F26" i="44"/>
  <c r="G26" i="44"/>
  <c r="F27" i="44"/>
  <c r="G27" i="44" s="1"/>
  <c r="F28" i="44"/>
  <c r="G28" i="44" s="1"/>
  <c r="C48" i="44"/>
  <c r="C57" i="44"/>
  <c r="C58" i="44"/>
  <c r="C66" i="44"/>
  <c r="C90" i="44"/>
  <c r="C79" i="44" s="1"/>
  <c r="C82" i="44" s="1"/>
  <c r="D77" i="44" s="1"/>
  <c r="D82" i="44" s="1"/>
  <c r="E77" i="44" s="1"/>
  <c r="E82" i="44" s="1"/>
  <c r="F77" i="44" s="1"/>
  <c r="C91" i="44"/>
  <c r="C81" i="44" s="1"/>
  <c r="C92" i="44"/>
  <c r="D89" i="44" s="1"/>
  <c r="C108" i="44"/>
  <c r="C274" i="44"/>
  <c r="C276" i="44" s="1"/>
  <c r="C278" i="44"/>
  <c r="C280" i="44" s="1"/>
  <c r="D92" i="44" l="1"/>
  <c r="E89" i="44" s="1"/>
  <c r="D91" i="44"/>
  <c r="C282" i="44"/>
  <c r="K12" i="44" s="1"/>
  <c r="C13" i="44"/>
  <c r="C16" i="44"/>
  <c r="D14" i="44"/>
  <c r="C112" i="44"/>
  <c r="D12" i="44" s="1"/>
  <c r="D48" i="44"/>
  <c r="D49" i="44" s="1"/>
  <c r="C49" i="44"/>
  <c r="D81" i="44"/>
  <c r="D94" i="44"/>
  <c r="D110" i="44" s="1"/>
  <c r="E91" i="44"/>
  <c r="E92" i="44"/>
  <c r="F89" i="44" s="1"/>
  <c r="E73" i="44"/>
  <c r="E78" i="44" s="1"/>
  <c r="F73" i="44"/>
  <c r="F78" i="44" s="1"/>
  <c r="F82" i="44"/>
  <c r="G77" i="44" s="1"/>
  <c r="D73" i="44"/>
  <c r="C94" i="44"/>
  <c r="E81" i="44" l="1"/>
  <c r="E94" i="44"/>
  <c r="E110" i="44" s="1"/>
  <c r="F91" i="44"/>
  <c r="F92" i="44"/>
  <c r="G89" i="44" s="1"/>
  <c r="G82" i="44"/>
  <c r="H77" i="44" s="1"/>
  <c r="G73" i="44"/>
  <c r="G78" i="44" s="1"/>
  <c r="C97" i="44"/>
  <c r="C110" i="44"/>
  <c r="D74" i="44"/>
  <c r="D78" i="44"/>
  <c r="C102" i="44" l="1"/>
  <c r="D84" i="44"/>
  <c r="D80" i="44"/>
  <c r="D75" i="44"/>
  <c r="E72" i="44" s="1"/>
  <c r="G91" i="44"/>
  <c r="G92" i="44"/>
  <c r="H89" i="44" s="1"/>
  <c r="H73" i="44"/>
  <c r="H78" i="44" s="1"/>
  <c r="H82" i="44"/>
  <c r="I77" i="44" s="1"/>
  <c r="F94" i="44"/>
  <c r="F110" i="44" s="1"/>
  <c r="F81" i="44"/>
  <c r="I73" i="44" l="1"/>
  <c r="I78" i="44" s="1"/>
  <c r="I82" i="44"/>
  <c r="J77" i="44" s="1"/>
  <c r="H92" i="44"/>
  <c r="I89" i="44" s="1"/>
  <c r="H91" i="44"/>
  <c r="G81" i="44"/>
  <c r="G94" i="44"/>
  <c r="G110" i="44" s="1"/>
  <c r="E74" i="44"/>
  <c r="E75" i="44" s="1"/>
  <c r="F72" i="44" s="1"/>
  <c r="D87" i="44"/>
  <c r="D97" i="44" s="1"/>
  <c r="D109" i="44"/>
  <c r="C105" i="44"/>
  <c r="C103" i="44"/>
  <c r="D99" i="44" s="1"/>
  <c r="F74" i="44" l="1"/>
  <c r="C111" i="44"/>
  <c r="C120" i="44"/>
  <c r="D112" i="44"/>
  <c r="I92" i="44"/>
  <c r="J89" i="44" s="1"/>
  <c r="I91" i="44"/>
  <c r="E80" i="44"/>
  <c r="E84" i="44"/>
  <c r="D102" i="44"/>
  <c r="D105" i="44" s="1"/>
  <c r="D111" i="44" s="1"/>
  <c r="D103" i="44"/>
  <c r="E99" i="44" s="1"/>
  <c r="H94" i="44"/>
  <c r="H110" i="44" s="1"/>
  <c r="H81" i="44"/>
  <c r="J73" i="44"/>
  <c r="J78" i="44" s="1"/>
  <c r="J82" i="44"/>
  <c r="K77" i="44" s="1"/>
  <c r="D120" i="44" l="1"/>
  <c r="J92" i="44"/>
  <c r="K89" i="44" s="1"/>
  <c r="J91" i="44"/>
  <c r="C122" i="44"/>
  <c r="E12" i="44" s="1"/>
  <c r="C125" i="44"/>
  <c r="E15" i="44"/>
  <c r="E109" i="44"/>
  <c r="E87" i="44"/>
  <c r="E97" i="44" s="1"/>
  <c r="E120" i="44" s="1"/>
  <c r="I81" i="44"/>
  <c r="I94" i="44"/>
  <c r="I110" i="44" s="1"/>
  <c r="E103" i="44"/>
  <c r="F99" i="44" s="1"/>
  <c r="E102" i="44"/>
  <c r="E105" i="44" s="1"/>
  <c r="E111" i="44" s="1"/>
  <c r="F80" i="44"/>
  <c r="F84" i="44"/>
  <c r="D122" i="44"/>
  <c r="D125" i="44"/>
  <c r="K73" i="44"/>
  <c r="K78" i="44" s="1"/>
  <c r="K82" i="44"/>
  <c r="L77" i="44" s="1"/>
  <c r="F75" i="44"/>
  <c r="G72" i="44" s="1"/>
  <c r="J81" i="44" l="1"/>
  <c r="J94" i="44"/>
  <c r="J110" i="44" s="1"/>
  <c r="D126" i="44"/>
  <c r="D127" i="44"/>
  <c r="E122" i="44"/>
  <c r="E125" i="44"/>
  <c r="F109" i="44"/>
  <c r="F112" i="44" s="1"/>
  <c r="F87" i="44"/>
  <c r="F97" i="44" s="1"/>
  <c r="E112" i="44"/>
  <c r="E16" i="44"/>
  <c r="E13" i="44"/>
  <c r="C126" i="44"/>
  <c r="C131" i="44" s="1"/>
  <c r="C127" i="44"/>
  <c r="C143" i="44" s="1"/>
  <c r="F103" i="44"/>
  <c r="G99" i="44" s="1"/>
  <c r="F102" i="44"/>
  <c r="F105" i="44" s="1"/>
  <c r="F111" i="44" s="1"/>
  <c r="K92" i="44"/>
  <c r="L89" i="44" s="1"/>
  <c r="K91" i="44"/>
  <c r="G74" i="44"/>
  <c r="G75" i="44"/>
  <c r="H72" i="44" s="1"/>
  <c r="L73" i="44"/>
  <c r="L78" i="44" s="1"/>
  <c r="L82" i="44"/>
  <c r="M77" i="44" s="1"/>
  <c r="E126" i="44" l="1"/>
  <c r="E127" i="44"/>
  <c r="G103" i="44"/>
  <c r="H99" i="44" s="1"/>
  <c r="G102" i="44"/>
  <c r="G105" i="44" s="1"/>
  <c r="G111" i="44" s="1"/>
  <c r="M73" i="44"/>
  <c r="M78" i="44" s="1"/>
  <c r="M82" i="44"/>
  <c r="N77" i="44" s="1"/>
  <c r="C149" i="44"/>
  <c r="C151" i="44" s="1"/>
  <c r="D146" i="44" s="1"/>
  <c r="C144" i="44"/>
  <c r="D141" i="44" s="1"/>
  <c r="C154" i="44"/>
  <c r="H74" i="44"/>
  <c r="H75" i="44" s="1"/>
  <c r="I72" i="44" s="1"/>
  <c r="C132" i="44"/>
  <c r="D129" i="44" s="1"/>
  <c r="C137" i="44"/>
  <c r="C139" i="44" s="1"/>
  <c r="D134" i="44" s="1"/>
  <c r="C153" i="44"/>
  <c r="G80" i="44"/>
  <c r="G84" i="44"/>
  <c r="K81" i="44"/>
  <c r="K94" i="44"/>
  <c r="K110" i="44" s="1"/>
  <c r="L92" i="44"/>
  <c r="M89" i="44" s="1"/>
  <c r="L91" i="44"/>
  <c r="F120" i="44"/>
  <c r="D130" i="44" l="1"/>
  <c r="D135" i="44" s="1"/>
  <c r="D139" i="44"/>
  <c r="E134" i="44" s="1"/>
  <c r="D131" i="44"/>
  <c r="D132" i="44"/>
  <c r="E129" i="44" s="1"/>
  <c r="H80" i="44"/>
  <c r="H84" i="44"/>
  <c r="C184" i="44"/>
  <c r="C186" i="44" s="1"/>
  <c r="C188" i="44" s="1"/>
  <c r="C198" i="44"/>
  <c r="C251" i="44"/>
  <c r="H103" i="44"/>
  <c r="I99" i="44" s="1"/>
  <c r="H102" i="44"/>
  <c r="H105" i="44" s="1"/>
  <c r="H111" i="44" s="1"/>
  <c r="G87" i="44"/>
  <c r="G97" i="44" s="1"/>
  <c r="G120" i="44" s="1"/>
  <c r="G109" i="44"/>
  <c r="F125" i="44"/>
  <c r="F122" i="44"/>
  <c r="I74" i="44"/>
  <c r="I75" i="44"/>
  <c r="J72" i="44" s="1"/>
  <c r="D143" i="44"/>
  <c r="D144" i="44"/>
  <c r="E141" i="44" s="1"/>
  <c r="L81" i="44"/>
  <c r="L94" i="44"/>
  <c r="L110" i="44" s="1"/>
  <c r="M92" i="44"/>
  <c r="N89" i="44" s="1"/>
  <c r="M91" i="44"/>
  <c r="D142" i="44"/>
  <c r="D147" i="44" s="1"/>
  <c r="D151" i="44"/>
  <c r="E146" i="44" s="1"/>
  <c r="N82" i="44"/>
  <c r="O77" i="44" s="1"/>
  <c r="N73" i="44"/>
  <c r="N78" i="44" s="1"/>
  <c r="C155" i="44"/>
  <c r="C158" i="44" s="1"/>
  <c r="C177" i="44"/>
  <c r="C179" i="44" s="1"/>
  <c r="C181" i="44" s="1"/>
  <c r="C242" i="44"/>
  <c r="C201" i="44" l="1"/>
  <c r="D195" i="44" s="1"/>
  <c r="C200" i="44"/>
  <c r="C217" i="44"/>
  <c r="O73" i="44"/>
  <c r="O78" i="44" s="1"/>
  <c r="O82" i="44"/>
  <c r="P77" i="44" s="1"/>
  <c r="E151" i="44"/>
  <c r="F146" i="44" s="1"/>
  <c r="E142" i="44"/>
  <c r="E147" i="44" s="1"/>
  <c r="G112" i="44"/>
  <c r="G125" i="44"/>
  <c r="G122" i="44"/>
  <c r="J74" i="44"/>
  <c r="J75" i="44" s="1"/>
  <c r="K72" i="44" s="1"/>
  <c r="C160" i="44"/>
  <c r="C169" i="44" s="1"/>
  <c r="C159" i="44"/>
  <c r="C164" i="44" s="1"/>
  <c r="I84" i="44"/>
  <c r="I80" i="44"/>
  <c r="E131" i="44"/>
  <c r="E132" i="44"/>
  <c r="F129" i="44" s="1"/>
  <c r="D137" i="44"/>
  <c r="D153" i="44"/>
  <c r="M94" i="44"/>
  <c r="M110" i="44" s="1"/>
  <c r="M81" i="44"/>
  <c r="N91" i="44"/>
  <c r="N92" i="44"/>
  <c r="O89" i="44" s="1"/>
  <c r="I103" i="44"/>
  <c r="J99" i="44" s="1"/>
  <c r="I102" i="44"/>
  <c r="I105" i="44" s="1"/>
  <c r="I111" i="44" s="1"/>
  <c r="F15" i="44"/>
  <c r="C256" i="44"/>
  <c r="F12" i="44" s="1"/>
  <c r="E144" i="44"/>
  <c r="F141" i="44" s="1"/>
  <c r="E143" i="44"/>
  <c r="G15" i="44"/>
  <c r="C260" i="44"/>
  <c r="C247" i="44"/>
  <c r="G12" i="44" s="1"/>
  <c r="F127" i="44"/>
  <c r="F126" i="44"/>
  <c r="E139" i="44"/>
  <c r="F134" i="44" s="1"/>
  <c r="E130" i="44"/>
  <c r="E135" i="44" s="1"/>
  <c r="D149" i="44"/>
  <c r="D154" i="44"/>
  <c r="H87" i="44"/>
  <c r="H97" i="44" s="1"/>
  <c r="H120" i="44" s="1"/>
  <c r="H109" i="44"/>
  <c r="H112" i="44" s="1"/>
  <c r="K74" i="44" l="1"/>
  <c r="F130" i="44"/>
  <c r="F135" i="44" s="1"/>
  <c r="F139" i="44"/>
  <c r="G134" i="44" s="1"/>
  <c r="O91" i="44"/>
  <c r="O92" i="44"/>
  <c r="P89" i="44" s="1"/>
  <c r="J103" i="44"/>
  <c r="K99" i="44" s="1"/>
  <c r="J102" i="44"/>
  <c r="J105" i="44" s="1"/>
  <c r="J111" i="44" s="1"/>
  <c r="C150" i="44"/>
  <c r="C173" i="44"/>
  <c r="C170" i="44"/>
  <c r="D167" i="44" s="1"/>
  <c r="N94" i="44"/>
  <c r="N110" i="44" s="1"/>
  <c r="N81" i="44"/>
  <c r="J80" i="44"/>
  <c r="J84" i="44"/>
  <c r="G127" i="44"/>
  <c r="G126" i="44"/>
  <c r="D155" i="44"/>
  <c r="D158" i="44" s="1"/>
  <c r="D177" i="44"/>
  <c r="D179" i="44" s="1"/>
  <c r="D242" i="44"/>
  <c r="F151" i="44"/>
  <c r="G146" i="44" s="1"/>
  <c r="F142" i="44"/>
  <c r="F147" i="44" s="1"/>
  <c r="E149" i="44"/>
  <c r="E154" i="44"/>
  <c r="D184" i="44"/>
  <c r="D186" i="44" s="1"/>
  <c r="D198" i="44"/>
  <c r="D217" i="44" s="1"/>
  <c r="D251" i="44"/>
  <c r="D256" i="44" s="1"/>
  <c r="I87" i="44"/>
  <c r="I97" i="44" s="1"/>
  <c r="I120" i="44" s="1"/>
  <c r="I109" i="44"/>
  <c r="C220" i="44"/>
  <c r="C224" i="44" s="1"/>
  <c r="C221" i="44"/>
  <c r="D214" i="44" s="1"/>
  <c r="G16" i="44"/>
  <c r="G13" i="44"/>
  <c r="E137" i="44"/>
  <c r="E153" i="44"/>
  <c r="P82" i="44"/>
  <c r="Q77" i="44" s="1"/>
  <c r="P73" i="44"/>
  <c r="P78" i="44" s="1"/>
  <c r="F144" i="44"/>
  <c r="G141" i="44" s="1"/>
  <c r="F143" i="44"/>
  <c r="F16" i="44"/>
  <c r="F13" i="44"/>
  <c r="C219" i="44"/>
  <c r="C204" i="44"/>
  <c r="C265" i="44"/>
  <c r="C279" i="44"/>
  <c r="F131" i="44"/>
  <c r="F132" i="44"/>
  <c r="G129" i="44" s="1"/>
  <c r="H125" i="44"/>
  <c r="H122" i="44"/>
  <c r="C138" i="44"/>
  <c r="C165" i="44"/>
  <c r="D162" i="44" s="1"/>
  <c r="C172" i="44"/>
  <c r="D196" i="44"/>
  <c r="D201" i="44"/>
  <c r="E195" i="44" s="1"/>
  <c r="D200" i="44"/>
  <c r="E155" i="44" l="1"/>
  <c r="E158" i="44" s="1"/>
  <c r="E177" i="44"/>
  <c r="E179" i="44" s="1"/>
  <c r="E242" i="44"/>
  <c r="F154" i="44"/>
  <c r="F149" i="44"/>
  <c r="G144" i="44"/>
  <c r="H141" i="44" s="1"/>
  <c r="G143" i="44"/>
  <c r="E184" i="44"/>
  <c r="E186" i="44" s="1"/>
  <c r="E198" i="44"/>
  <c r="E217" i="44" s="1"/>
  <c r="E251" i="44"/>
  <c r="E256" i="44" s="1"/>
  <c r="D169" i="44"/>
  <c r="D170" i="44"/>
  <c r="E167" i="44" s="1"/>
  <c r="Q82" i="44"/>
  <c r="R77" i="44" s="1"/>
  <c r="Q73" i="44"/>
  <c r="Q78" i="44" s="1"/>
  <c r="H127" i="44"/>
  <c r="H126" i="44"/>
  <c r="K103" i="44"/>
  <c r="L99" i="44" s="1"/>
  <c r="K102" i="44"/>
  <c r="K105" i="44" s="1"/>
  <c r="K111" i="44" s="1"/>
  <c r="G131" i="44"/>
  <c r="G132" i="44"/>
  <c r="H129" i="44" s="1"/>
  <c r="F137" i="44"/>
  <c r="F153" i="44"/>
  <c r="D160" i="44"/>
  <c r="D159" i="44"/>
  <c r="O81" i="44"/>
  <c r="O94" i="44"/>
  <c r="O110" i="44" s="1"/>
  <c r="D215" i="44"/>
  <c r="D220" i="44"/>
  <c r="D224" i="44" s="1"/>
  <c r="D221" i="44"/>
  <c r="E214" i="44" s="1"/>
  <c r="G130" i="44"/>
  <c r="G135" i="44" s="1"/>
  <c r="G139" i="44"/>
  <c r="H134" i="44" s="1"/>
  <c r="C223" i="44"/>
  <c r="C254" i="44"/>
  <c r="D219" i="44"/>
  <c r="D204" i="44"/>
  <c r="E200" i="44"/>
  <c r="E196" i="44"/>
  <c r="E201" i="44"/>
  <c r="F195" i="44" s="1"/>
  <c r="C174" i="44"/>
  <c r="C191" i="44" s="1"/>
  <c r="C243" i="44"/>
  <c r="C261" i="44" s="1"/>
  <c r="C178" i="44"/>
  <c r="D165" i="44"/>
  <c r="E162" i="44" s="1"/>
  <c r="D164" i="44"/>
  <c r="C185" i="44"/>
  <c r="C199" i="44"/>
  <c r="C218" i="44" s="1"/>
  <c r="C252" i="44"/>
  <c r="C203" i="44"/>
  <c r="C253" i="44"/>
  <c r="I112" i="44"/>
  <c r="K84" i="44"/>
  <c r="K80" i="44"/>
  <c r="G142" i="44"/>
  <c r="G147" i="44" s="1"/>
  <c r="G151" i="44"/>
  <c r="H146" i="44" s="1"/>
  <c r="D247" i="44"/>
  <c r="D260" i="44"/>
  <c r="P91" i="44"/>
  <c r="P92" i="44"/>
  <c r="Q89" i="44" s="1"/>
  <c r="I125" i="44"/>
  <c r="I122" i="44"/>
  <c r="J87" i="44"/>
  <c r="J97" i="44" s="1"/>
  <c r="J120" i="44" s="1"/>
  <c r="J109" i="44"/>
  <c r="J112" i="44" s="1"/>
  <c r="K75" i="44"/>
  <c r="L72" i="44" s="1"/>
  <c r="C192" i="44" l="1"/>
  <c r="C193" i="44"/>
  <c r="R82" i="44"/>
  <c r="S77" i="44" s="1"/>
  <c r="R73" i="44"/>
  <c r="R78" i="44" s="1"/>
  <c r="H142" i="44"/>
  <c r="H147" i="44" s="1"/>
  <c r="H151" i="44"/>
  <c r="I146" i="44" s="1"/>
  <c r="F155" i="44"/>
  <c r="F158" i="44" s="1"/>
  <c r="F177" i="44"/>
  <c r="F179" i="44" s="1"/>
  <c r="F242" i="44"/>
  <c r="H132" i="44"/>
  <c r="I129" i="44" s="1"/>
  <c r="H131" i="44"/>
  <c r="F200" i="44"/>
  <c r="F196" i="44"/>
  <c r="F201" i="44"/>
  <c r="G195" i="44" s="1"/>
  <c r="E169" i="44"/>
  <c r="E170" i="44"/>
  <c r="F167" i="44" s="1"/>
  <c r="K109" i="44"/>
  <c r="K112" i="44" s="1"/>
  <c r="K87" i="44"/>
  <c r="K97" i="44" s="1"/>
  <c r="K120" i="44" s="1"/>
  <c r="D150" i="44"/>
  <c r="D173" i="44"/>
  <c r="E219" i="44"/>
  <c r="E204" i="44"/>
  <c r="L74" i="44"/>
  <c r="L75" i="44" s="1"/>
  <c r="M72" i="44" s="1"/>
  <c r="D203" i="44"/>
  <c r="D253" i="44"/>
  <c r="C244" i="44"/>
  <c r="C262" i="44" s="1"/>
  <c r="C205" i="44"/>
  <c r="C207" i="44" s="1"/>
  <c r="C268" i="44" s="1"/>
  <c r="C271" i="44" s="1"/>
  <c r="H15" i="44" s="1"/>
  <c r="G154" i="44"/>
  <c r="G149" i="44"/>
  <c r="C245" i="44"/>
  <c r="C263" i="44" s="1"/>
  <c r="C225" i="44"/>
  <c r="C227" i="44" s="1"/>
  <c r="C269" i="44" s="1"/>
  <c r="H143" i="44"/>
  <c r="H144" i="44"/>
  <c r="I141" i="44" s="1"/>
  <c r="H130" i="44"/>
  <c r="H135" i="44" s="1"/>
  <c r="H139" i="44"/>
  <c r="I134" i="44" s="1"/>
  <c r="L103" i="44"/>
  <c r="M99" i="44" s="1"/>
  <c r="L102" i="44"/>
  <c r="L105" i="44" s="1"/>
  <c r="L111" i="44" s="1"/>
  <c r="F184" i="44"/>
  <c r="F186" i="44" s="1"/>
  <c r="F198" i="44"/>
  <c r="F217" i="44" s="1"/>
  <c r="F251" i="44"/>
  <c r="F256" i="44" s="1"/>
  <c r="D138" i="44"/>
  <c r="D172" i="44"/>
  <c r="E215" i="44"/>
  <c r="E220" i="44"/>
  <c r="E224" i="44" s="1"/>
  <c r="E221" i="44"/>
  <c r="F214" i="44" s="1"/>
  <c r="E260" i="44"/>
  <c r="E247" i="44"/>
  <c r="D279" i="44"/>
  <c r="D280" i="44" s="1"/>
  <c r="D282" i="44" s="1"/>
  <c r="D265" i="44"/>
  <c r="E165" i="44"/>
  <c r="F162" i="44" s="1"/>
  <c r="E164" i="44"/>
  <c r="D223" i="44"/>
  <c r="D254" i="44"/>
  <c r="J125" i="44"/>
  <c r="J122" i="44"/>
  <c r="G137" i="44"/>
  <c r="G153" i="44"/>
  <c r="I127" i="44"/>
  <c r="I126" i="44"/>
  <c r="Q92" i="44"/>
  <c r="R89" i="44" s="1"/>
  <c r="Q91" i="44"/>
  <c r="P81" i="44"/>
  <c r="P94" i="44"/>
  <c r="P110" i="44" s="1"/>
  <c r="E160" i="44"/>
  <c r="E159" i="44"/>
  <c r="C210" i="44" l="1"/>
  <c r="M74" i="44"/>
  <c r="M75" i="44"/>
  <c r="N72" i="44" s="1"/>
  <c r="J127" i="44"/>
  <c r="J126" i="44"/>
  <c r="D205" i="44"/>
  <c r="D207" i="44" s="1"/>
  <c r="D268" i="44" s="1"/>
  <c r="D271" i="44" s="1"/>
  <c r="D36" i="45" s="1"/>
  <c r="D244" i="44"/>
  <c r="D262" i="44" s="1"/>
  <c r="D185" i="44"/>
  <c r="D199" i="44"/>
  <c r="D218" i="44" s="1"/>
  <c r="D252" i="44"/>
  <c r="F219" i="44"/>
  <c r="F204" i="44"/>
  <c r="E138" i="44"/>
  <c r="E172" i="44"/>
  <c r="F165" i="44"/>
  <c r="G162" i="44" s="1"/>
  <c r="F164" i="44"/>
  <c r="H137" i="44"/>
  <c r="H153" i="44"/>
  <c r="F260" i="44"/>
  <c r="F247" i="44"/>
  <c r="Q81" i="44"/>
  <c r="Q94" i="44"/>
  <c r="Q110" i="44" s="1"/>
  <c r="G155" i="44"/>
  <c r="G158" i="44" s="1"/>
  <c r="G177" i="44"/>
  <c r="G179" i="44" s="1"/>
  <c r="G242" i="44"/>
  <c r="C230" i="44"/>
  <c r="C211" i="44"/>
  <c r="C212" i="44"/>
  <c r="I132" i="44"/>
  <c r="J129" i="44" s="1"/>
  <c r="I131" i="44"/>
  <c r="M103" i="44"/>
  <c r="N99" i="44" s="1"/>
  <c r="M102" i="44"/>
  <c r="M105" i="44" s="1"/>
  <c r="M111" i="44" s="1"/>
  <c r="I130" i="44"/>
  <c r="I135" i="44" s="1"/>
  <c r="I139" i="44"/>
  <c r="J134" i="44" s="1"/>
  <c r="E203" i="44"/>
  <c r="E253" i="44"/>
  <c r="R91" i="44"/>
  <c r="R92" i="44"/>
  <c r="S89" i="44" s="1"/>
  <c r="I143" i="44"/>
  <c r="I144" i="44"/>
  <c r="J141" i="44" s="1"/>
  <c r="I142" i="44"/>
  <c r="I147" i="44" s="1"/>
  <c r="I151" i="44"/>
  <c r="J146" i="44" s="1"/>
  <c r="E279" i="44"/>
  <c r="E280" i="44" s="1"/>
  <c r="E282" i="44" s="1"/>
  <c r="E265" i="44"/>
  <c r="F220" i="44"/>
  <c r="F224" i="44" s="1"/>
  <c r="F221" i="44"/>
  <c r="G214" i="44" s="1"/>
  <c r="F215" i="44"/>
  <c r="K125" i="44"/>
  <c r="K122" i="44"/>
  <c r="S82" i="44"/>
  <c r="T77" i="44" s="1"/>
  <c r="S73" i="44"/>
  <c r="S78" i="44" s="1"/>
  <c r="F169" i="44"/>
  <c r="F170" i="44"/>
  <c r="G167" i="44" s="1"/>
  <c r="D178" i="44"/>
  <c r="D174" i="44"/>
  <c r="D191" i="44" s="1"/>
  <c r="D243" i="44"/>
  <c r="D261" i="44" s="1"/>
  <c r="G184" i="44"/>
  <c r="G186" i="44" s="1"/>
  <c r="G198" i="44"/>
  <c r="G217" i="44" s="1"/>
  <c r="G251" i="44"/>
  <c r="G256" i="44" s="1"/>
  <c r="E150" i="44"/>
  <c r="E173" i="44"/>
  <c r="D245" i="44"/>
  <c r="D263" i="44" s="1"/>
  <c r="D225" i="44"/>
  <c r="D227" i="44" s="1"/>
  <c r="D269" i="44" s="1"/>
  <c r="L80" i="44"/>
  <c r="L84" i="44"/>
  <c r="F160" i="44"/>
  <c r="F159" i="44"/>
  <c r="H154" i="44"/>
  <c r="H149" i="44"/>
  <c r="E223" i="44"/>
  <c r="E254" i="44"/>
  <c r="G200" i="44"/>
  <c r="G196" i="44"/>
  <c r="G201" i="44"/>
  <c r="H195" i="44" s="1"/>
  <c r="E178" i="44" l="1"/>
  <c r="E174" i="44"/>
  <c r="E191" i="44" s="1"/>
  <c r="E243" i="44"/>
  <c r="E261" i="44" s="1"/>
  <c r="I149" i="44"/>
  <c r="I154" i="44"/>
  <c r="L109" i="44"/>
  <c r="L112" i="44" s="1"/>
  <c r="L87" i="44"/>
  <c r="L97" i="44" s="1"/>
  <c r="L120" i="44" s="1"/>
  <c r="D192" i="44"/>
  <c r="D193" i="44"/>
  <c r="D210" i="44"/>
  <c r="J143" i="44"/>
  <c r="J144" i="44"/>
  <c r="K141" i="44" s="1"/>
  <c r="F203" i="44"/>
  <c r="F253" i="44"/>
  <c r="G170" i="44"/>
  <c r="H167" i="44" s="1"/>
  <c r="G169" i="44"/>
  <c r="G260" i="44"/>
  <c r="G247" i="44"/>
  <c r="S91" i="44"/>
  <c r="S92" i="44"/>
  <c r="T89" i="44" s="1"/>
  <c r="R81" i="44"/>
  <c r="R94" i="44"/>
  <c r="R110" i="44" s="1"/>
  <c r="E205" i="44"/>
  <c r="E207" i="44" s="1"/>
  <c r="E268" i="44" s="1"/>
  <c r="E271" i="44" s="1"/>
  <c r="E36" i="45" s="1"/>
  <c r="E37" i="45" s="1"/>
  <c r="E244" i="44"/>
  <c r="E262" i="44" s="1"/>
  <c r="J130" i="44"/>
  <c r="J135" i="44" s="1"/>
  <c r="J139" i="44"/>
  <c r="K134" i="44" s="1"/>
  <c r="G221" i="44"/>
  <c r="H214" i="44" s="1"/>
  <c r="G215" i="44"/>
  <c r="G220" i="44"/>
  <c r="G224" i="44" s="1"/>
  <c r="G219" i="44"/>
  <c r="G204" i="44"/>
  <c r="F223" i="44"/>
  <c r="F254" i="44"/>
  <c r="N103" i="44"/>
  <c r="O99" i="44" s="1"/>
  <c r="N102" i="44"/>
  <c r="N105" i="44" s="1"/>
  <c r="N111" i="44" s="1"/>
  <c r="H184" i="44"/>
  <c r="H186" i="44" s="1"/>
  <c r="H198" i="44"/>
  <c r="H217" i="44" s="1"/>
  <c r="H251" i="44"/>
  <c r="H256" i="44" s="1"/>
  <c r="G160" i="44"/>
  <c r="G159" i="44"/>
  <c r="T82" i="44"/>
  <c r="U77" i="44" s="1"/>
  <c r="T73" i="44"/>
  <c r="T78" i="44" s="1"/>
  <c r="K127" i="44"/>
  <c r="K126" i="44"/>
  <c r="H200" i="44"/>
  <c r="H196" i="44"/>
  <c r="H201" i="44"/>
  <c r="I195" i="44" s="1"/>
  <c r="E199" i="44"/>
  <c r="E218" i="44" s="1"/>
  <c r="E185" i="44"/>
  <c r="E252" i="44"/>
  <c r="F279" i="44"/>
  <c r="F280" i="44" s="1"/>
  <c r="F282" i="44" s="1"/>
  <c r="F265" i="44"/>
  <c r="I137" i="44"/>
  <c r="I153" i="44"/>
  <c r="F138" i="44"/>
  <c r="F172" i="44"/>
  <c r="N74" i="44"/>
  <c r="N75" i="44" s="1"/>
  <c r="O72" i="44" s="1"/>
  <c r="J142" i="44"/>
  <c r="J147" i="44" s="1"/>
  <c r="J151" i="44"/>
  <c r="K146" i="44" s="1"/>
  <c r="C231" i="44"/>
  <c r="C234" i="44" s="1"/>
  <c r="C232" i="44"/>
  <c r="C235" i="44" s="1"/>
  <c r="C255" i="44" s="1"/>
  <c r="F150" i="44"/>
  <c r="F173" i="44"/>
  <c r="K12" i="45"/>
  <c r="K14" i="45" s="1"/>
  <c r="D37" i="45"/>
  <c r="H155" i="44"/>
  <c r="H158" i="44" s="1"/>
  <c r="H177" i="44"/>
  <c r="H179" i="44" s="1"/>
  <c r="H242" i="44"/>
  <c r="E225" i="44"/>
  <c r="E227" i="44" s="1"/>
  <c r="E269" i="44" s="1"/>
  <c r="E245" i="44"/>
  <c r="E263" i="44" s="1"/>
  <c r="J131" i="44"/>
  <c r="J132" i="44"/>
  <c r="K129" i="44" s="1"/>
  <c r="G165" i="44"/>
  <c r="H162" i="44" s="1"/>
  <c r="G164" i="44"/>
  <c r="M84" i="44"/>
  <c r="M80" i="44"/>
  <c r="O74" i="44" l="1"/>
  <c r="O75" i="44" s="1"/>
  <c r="P72" i="44" s="1"/>
  <c r="I177" i="44"/>
  <c r="I179" i="44" s="1"/>
  <c r="I155" i="44"/>
  <c r="I158" i="44" s="1"/>
  <c r="I242" i="44"/>
  <c r="H221" i="44"/>
  <c r="I214" i="44" s="1"/>
  <c r="H215" i="44"/>
  <c r="H220" i="44"/>
  <c r="H224" i="44" s="1"/>
  <c r="U82" i="44"/>
  <c r="V77" i="44" s="1"/>
  <c r="U73" i="44"/>
  <c r="U78" i="44" s="1"/>
  <c r="H159" i="44"/>
  <c r="H160" i="44"/>
  <c r="E39" i="45"/>
  <c r="E43" i="45"/>
  <c r="E111" i="45"/>
  <c r="E112" i="45" s="1"/>
  <c r="M87" i="44"/>
  <c r="M97" i="44" s="1"/>
  <c r="M120" i="44" s="1"/>
  <c r="M109" i="44"/>
  <c r="M112" i="44" s="1"/>
  <c r="G138" i="44"/>
  <c r="G172" i="44"/>
  <c r="I200" i="44"/>
  <c r="I196" i="44"/>
  <c r="I201" i="44"/>
  <c r="J195" i="44" s="1"/>
  <c r="L122" i="44"/>
  <c r="L125" i="44"/>
  <c r="K142" i="44"/>
  <c r="K147" i="44" s="1"/>
  <c r="K151" i="44"/>
  <c r="L146" i="44" s="1"/>
  <c r="O102" i="44"/>
  <c r="O105" i="44" s="1"/>
  <c r="O111" i="44" s="1"/>
  <c r="O103" i="44"/>
  <c r="P99" i="44" s="1"/>
  <c r="T91" i="44"/>
  <c r="T92" i="44"/>
  <c r="U89" i="44" s="1"/>
  <c r="K131" i="44"/>
  <c r="K132" i="44"/>
  <c r="L129" i="44" s="1"/>
  <c r="H204" i="44"/>
  <c r="H219" i="44"/>
  <c r="S81" i="44"/>
  <c r="S94" i="44"/>
  <c r="S110" i="44" s="1"/>
  <c r="I184" i="44"/>
  <c r="I186" i="44" s="1"/>
  <c r="I198" i="44"/>
  <c r="I217" i="44" s="1"/>
  <c r="I251" i="44"/>
  <c r="I256" i="44" s="1"/>
  <c r="J137" i="44"/>
  <c r="J153" i="44"/>
  <c r="F245" i="44"/>
  <c r="F263" i="44" s="1"/>
  <c r="F225" i="44"/>
  <c r="F227" i="44" s="1"/>
  <c r="F269" i="44" s="1"/>
  <c r="F185" i="44"/>
  <c r="F252" i="44"/>
  <c r="F199" i="44"/>
  <c r="F218" i="44" s="1"/>
  <c r="D230" i="44"/>
  <c r="D212" i="44"/>
  <c r="D211" i="44"/>
  <c r="H165" i="44"/>
  <c r="I162" i="44" s="1"/>
  <c r="H164" i="44"/>
  <c r="G203" i="44"/>
  <c r="G253" i="44"/>
  <c r="G279" i="44"/>
  <c r="G280" i="44" s="1"/>
  <c r="G282" i="44" s="1"/>
  <c r="G265" i="44"/>
  <c r="D39" i="45"/>
  <c r="C12" i="45" s="1"/>
  <c r="D43" i="45"/>
  <c r="C15" i="45"/>
  <c r="D111" i="45"/>
  <c r="D112" i="45" s="1"/>
  <c r="K130" i="44"/>
  <c r="K135" i="44" s="1"/>
  <c r="K139" i="44"/>
  <c r="L134" i="44" s="1"/>
  <c r="K143" i="44"/>
  <c r="K144" i="44"/>
  <c r="L141" i="44" s="1"/>
  <c r="J154" i="44"/>
  <c r="J149" i="44"/>
  <c r="C246" i="44"/>
  <c r="C264" i="44" s="1"/>
  <c r="C236" i="44"/>
  <c r="C238" i="44" s="1"/>
  <c r="C270" i="44" s="1"/>
  <c r="N80" i="44"/>
  <c r="N84" i="44"/>
  <c r="F178" i="44"/>
  <c r="F174" i="44"/>
  <c r="F191" i="44" s="1"/>
  <c r="F243" i="44"/>
  <c r="F261" i="44" s="1"/>
  <c r="G150" i="44"/>
  <c r="G173" i="44"/>
  <c r="E192" i="44"/>
  <c r="E193" i="44"/>
  <c r="E210" i="44"/>
  <c r="F205" i="44"/>
  <c r="F207" i="44" s="1"/>
  <c r="F268" i="44" s="1"/>
  <c r="F271" i="44" s="1"/>
  <c r="F244" i="44"/>
  <c r="F262" i="44" s="1"/>
  <c r="H260" i="44"/>
  <c r="H247" i="44"/>
  <c r="G223" i="44"/>
  <c r="G254" i="44"/>
  <c r="H169" i="44"/>
  <c r="H170" i="44"/>
  <c r="I167" i="44" s="1"/>
  <c r="N87" i="44" l="1"/>
  <c r="N97" i="44" s="1"/>
  <c r="N120" i="44" s="1"/>
  <c r="N109" i="44"/>
  <c r="N112" i="44" s="1"/>
  <c r="G245" i="44"/>
  <c r="G263" i="44" s="1"/>
  <c r="G225" i="44"/>
  <c r="G227" i="44" s="1"/>
  <c r="G269" i="44" s="1"/>
  <c r="H223" i="44"/>
  <c r="H254" i="44"/>
  <c r="L127" i="44"/>
  <c r="L126" i="44"/>
  <c r="J200" i="44"/>
  <c r="J196" i="44"/>
  <c r="J201" i="44"/>
  <c r="K195" i="44" s="1"/>
  <c r="H138" i="44"/>
  <c r="H172" i="44"/>
  <c r="J184" i="44"/>
  <c r="J186" i="44" s="1"/>
  <c r="J251" i="44"/>
  <c r="J256" i="44" s="1"/>
  <c r="J198" i="44"/>
  <c r="J217" i="44" s="1"/>
  <c r="V82" i="44"/>
  <c r="W77" i="44" s="1"/>
  <c r="V73" i="44"/>
  <c r="V78" i="44" s="1"/>
  <c r="E212" i="44"/>
  <c r="E230" i="44"/>
  <c r="E211" i="44"/>
  <c r="L143" i="44"/>
  <c r="L144" i="44"/>
  <c r="M141" i="44" s="1"/>
  <c r="D232" i="44"/>
  <c r="D235" i="44" s="1"/>
  <c r="D255" i="44" s="1"/>
  <c r="D231" i="44"/>
  <c r="D234" i="44" s="1"/>
  <c r="H203" i="44"/>
  <c r="H253" i="44"/>
  <c r="G178" i="44"/>
  <c r="G174" i="44"/>
  <c r="G191" i="44" s="1"/>
  <c r="G243" i="44"/>
  <c r="G261" i="44" s="1"/>
  <c r="L132" i="44"/>
  <c r="M129" i="44" s="1"/>
  <c r="L131" i="44"/>
  <c r="I260" i="44"/>
  <c r="I247" i="44"/>
  <c r="K137" i="44"/>
  <c r="K153" i="44"/>
  <c r="I159" i="44"/>
  <c r="I160" i="44"/>
  <c r="C13" i="45"/>
  <c r="C16" i="45"/>
  <c r="U91" i="44"/>
  <c r="U92" i="44"/>
  <c r="V89" i="44" s="1"/>
  <c r="M122" i="44"/>
  <c r="M125" i="44"/>
  <c r="J177" i="44"/>
  <c r="J179" i="44" s="1"/>
  <c r="J155" i="44"/>
  <c r="J158" i="44" s="1"/>
  <c r="J242" i="44"/>
  <c r="G205" i="44"/>
  <c r="G207" i="44" s="1"/>
  <c r="G268" i="44" s="1"/>
  <c r="G271" i="44" s="1"/>
  <c r="G244" i="44"/>
  <c r="G262" i="44" s="1"/>
  <c r="I165" i="44"/>
  <c r="J162" i="44" s="1"/>
  <c r="I164" i="44"/>
  <c r="K154" i="44"/>
  <c r="K149" i="44"/>
  <c r="I219" i="44"/>
  <c r="I204" i="44"/>
  <c r="L139" i="44"/>
  <c r="M134" i="44" s="1"/>
  <c r="L130" i="44"/>
  <c r="L135" i="44" s="1"/>
  <c r="I221" i="44"/>
  <c r="J214" i="44" s="1"/>
  <c r="I215" i="44"/>
  <c r="I220" i="44"/>
  <c r="I224" i="44" s="1"/>
  <c r="G252" i="44"/>
  <c r="G185" i="44"/>
  <c r="G199" i="44"/>
  <c r="G218" i="44" s="1"/>
  <c r="I169" i="44"/>
  <c r="I170" i="44"/>
  <c r="J167" i="44" s="1"/>
  <c r="F193" i="44"/>
  <c r="F192" i="44"/>
  <c r="F210" i="44"/>
  <c r="D47" i="45"/>
  <c r="T94" i="44"/>
  <c r="T110" i="44" s="1"/>
  <c r="T81" i="44"/>
  <c r="P74" i="44"/>
  <c r="P75" i="44"/>
  <c r="Q72" i="44" s="1"/>
  <c r="L142" i="44"/>
  <c r="L147" i="44" s="1"/>
  <c r="L151" i="44"/>
  <c r="M146" i="44" s="1"/>
  <c r="H265" i="44"/>
  <c r="H279" i="44"/>
  <c r="H280" i="44" s="1"/>
  <c r="H282" i="44" s="1"/>
  <c r="H150" i="44"/>
  <c r="H173" i="44"/>
  <c r="P102" i="44"/>
  <c r="P105" i="44" s="1"/>
  <c r="P111" i="44" s="1"/>
  <c r="P103" i="44"/>
  <c r="Q99" i="44" s="1"/>
  <c r="O80" i="44"/>
  <c r="O84" i="44"/>
  <c r="H205" i="44" l="1"/>
  <c r="H207" i="44" s="1"/>
  <c r="H268" i="44" s="1"/>
  <c r="H271" i="44" s="1"/>
  <c r="H244" i="44"/>
  <c r="H262" i="44" s="1"/>
  <c r="I265" i="44"/>
  <c r="I279" i="44"/>
  <c r="I280" i="44" s="1"/>
  <c r="I282" i="44" s="1"/>
  <c r="H185" i="44"/>
  <c r="H252" i="44"/>
  <c r="H199" i="44"/>
  <c r="H218" i="44" s="1"/>
  <c r="D246" i="44"/>
  <c r="D264" i="44" s="1"/>
  <c r="D236" i="44"/>
  <c r="D238" i="44" s="1"/>
  <c r="D270" i="44" s="1"/>
  <c r="J165" i="44"/>
  <c r="K162" i="44" s="1"/>
  <c r="J164" i="44"/>
  <c r="M142" i="44"/>
  <c r="M147" i="44" s="1"/>
  <c r="M151" i="44"/>
  <c r="N146" i="44" s="1"/>
  <c r="J204" i="44"/>
  <c r="J219" i="44"/>
  <c r="Q74" i="44"/>
  <c r="Q75" i="44" s="1"/>
  <c r="R72" i="44" s="1"/>
  <c r="I223" i="44"/>
  <c r="I254" i="44"/>
  <c r="E231" i="44"/>
  <c r="E234" i="44" s="1"/>
  <c r="E232" i="44"/>
  <c r="E235" i="44" s="1"/>
  <c r="E255" i="44" s="1"/>
  <c r="D53" i="45"/>
  <c r="D55" i="45" s="1"/>
  <c r="E50" i="45" s="1"/>
  <c r="D48" i="45"/>
  <c r="E45" i="45" s="1"/>
  <c r="D57" i="45"/>
  <c r="H178" i="44"/>
  <c r="H174" i="44"/>
  <c r="H191" i="44" s="1"/>
  <c r="H243" i="44"/>
  <c r="H261" i="44" s="1"/>
  <c r="K198" i="44"/>
  <c r="K217" i="44" s="1"/>
  <c r="K184" i="44"/>
  <c r="K186" i="44" s="1"/>
  <c r="K251" i="44"/>
  <c r="K256" i="44" s="1"/>
  <c r="J170" i="44"/>
  <c r="K167" i="44" s="1"/>
  <c r="J169" i="44"/>
  <c r="I138" i="44"/>
  <c r="I172" i="44"/>
  <c r="K177" i="44"/>
  <c r="K179" i="44" s="1"/>
  <c r="K155" i="44"/>
  <c r="K158" i="44" s="1"/>
  <c r="K242" i="44"/>
  <c r="L154" i="44"/>
  <c r="L149" i="44"/>
  <c r="J247" i="44"/>
  <c r="J260" i="44"/>
  <c r="J159" i="44"/>
  <c r="J160" i="44"/>
  <c r="O87" i="44"/>
  <c r="O97" i="44" s="1"/>
  <c r="O120" i="44" s="1"/>
  <c r="O109" i="44"/>
  <c r="O112" i="44" s="1"/>
  <c r="J221" i="44"/>
  <c r="K214" i="44" s="1"/>
  <c r="J220" i="44"/>
  <c r="J224" i="44" s="1"/>
  <c r="J215" i="44"/>
  <c r="M127" i="44"/>
  <c r="M126" i="44"/>
  <c r="L137" i="44"/>
  <c r="L153" i="44"/>
  <c r="H245" i="44"/>
  <c r="H263" i="44" s="1"/>
  <c r="H225" i="44"/>
  <c r="H227" i="44" s="1"/>
  <c r="H269" i="44" s="1"/>
  <c r="M132" i="44"/>
  <c r="N129" i="44" s="1"/>
  <c r="M131" i="44"/>
  <c r="W82" i="44"/>
  <c r="X77" i="44" s="1"/>
  <c r="W73" i="44"/>
  <c r="W78" i="44" s="1"/>
  <c r="M139" i="44"/>
  <c r="N134" i="44" s="1"/>
  <c r="M130" i="44"/>
  <c r="M135" i="44" s="1"/>
  <c r="V91" i="44"/>
  <c r="V92" i="44"/>
  <c r="W89" i="44" s="1"/>
  <c r="Q102" i="44"/>
  <c r="Q105" i="44" s="1"/>
  <c r="Q111" i="44" s="1"/>
  <c r="Q103" i="44"/>
  <c r="R99" i="44" s="1"/>
  <c r="I253" i="44"/>
  <c r="I203" i="44"/>
  <c r="U81" i="44"/>
  <c r="U94" i="44"/>
  <c r="U110" i="44" s="1"/>
  <c r="G192" i="44"/>
  <c r="G193" i="44"/>
  <c r="G210" i="44"/>
  <c r="K200" i="44"/>
  <c r="K196" i="44"/>
  <c r="K201" i="44"/>
  <c r="L195" i="44" s="1"/>
  <c r="I150" i="44"/>
  <c r="I173" i="44"/>
  <c r="M143" i="44"/>
  <c r="M144" i="44"/>
  <c r="N141" i="44" s="1"/>
  <c r="P80" i="44"/>
  <c r="P84" i="44"/>
  <c r="F212" i="44"/>
  <c r="F230" i="44"/>
  <c r="F211" i="44"/>
  <c r="N125" i="44"/>
  <c r="N122" i="44"/>
  <c r="N127" i="44" l="1"/>
  <c r="N126" i="44"/>
  <c r="N132" i="44"/>
  <c r="O129" i="44" s="1"/>
  <c r="N131" i="44"/>
  <c r="F232" i="44"/>
  <c r="F235" i="44" s="1"/>
  <c r="F255" i="44" s="1"/>
  <c r="F231" i="44"/>
  <c r="F234" i="44" s="1"/>
  <c r="J203" i="44"/>
  <c r="J253" i="44"/>
  <c r="J265" i="44"/>
  <c r="J279" i="44"/>
  <c r="J280" i="44" s="1"/>
  <c r="J282" i="44" s="1"/>
  <c r="N151" i="44"/>
  <c r="O146" i="44" s="1"/>
  <c r="N142" i="44"/>
  <c r="N147" i="44" s="1"/>
  <c r="I205" i="44"/>
  <c r="I207" i="44" s="1"/>
  <c r="I268" i="44" s="1"/>
  <c r="I271" i="44" s="1"/>
  <c r="I244" i="44"/>
  <c r="I262" i="44" s="1"/>
  <c r="D78" i="45"/>
  <c r="D60" i="45"/>
  <c r="K247" i="44"/>
  <c r="K260" i="44"/>
  <c r="W91" i="44"/>
  <c r="W92" i="44"/>
  <c r="X89" i="44" s="1"/>
  <c r="K159" i="44"/>
  <c r="K160" i="44"/>
  <c r="E46" i="45"/>
  <c r="E51" i="45" s="1"/>
  <c r="E55" i="45"/>
  <c r="F50" i="45" s="1"/>
  <c r="M137" i="44"/>
  <c r="M153" i="44"/>
  <c r="R74" i="44"/>
  <c r="L177" i="44"/>
  <c r="L179" i="44" s="1"/>
  <c r="L155" i="44"/>
  <c r="L158" i="44" s="1"/>
  <c r="L242" i="44"/>
  <c r="H210" i="44"/>
  <c r="H193" i="44"/>
  <c r="H192" i="44"/>
  <c r="J138" i="44"/>
  <c r="J172" i="44"/>
  <c r="N143" i="44"/>
  <c r="N144" i="44"/>
  <c r="O141" i="44" s="1"/>
  <c r="R102" i="44"/>
  <c r="R105" i="44" s="1"/>
  <c r="R111" i="44" s="1"/>
  <c r="R103" i="44"/>
  <c r="S99" i="44" s="1"/>
  <c r="L198" i="44"/>
  <c r="L217" i="44" s="1"/>
  <c r="L184" i="44"/>
  <c r="L186" i="44" s="1"/>
  <c r="L251" i="44"/>
  <c r="L256" i="44" s="1"/>
  <c r="K164" i="44"/>
  <c r="K165" i="44"/>
  <c r="L162" i="44" s="1"/>
  <c r="M154" i="44"/>
  <c r="M149" i="44"/>
  <c r="I199" i="44"/>
  <c r="I218" i="44" s="1"/>
  <c r="I185" i="44"/>
  <c r="I252" i="44"/>
  <c r="I178" i="44"/>
  <c r="I174" i="44"/>
  <c r="I191" i="44" s="1"/>
  <c r="I243" i="44"/>
  <c r="I261" i="44" s="1"/>
  <c r="E246" i="44"/>
  <c r="E264" i="44" s="1"/>
  <c r="E236" i="44"/>
  <c r="E238" i="44" s="1"/>
  <c r="E270" i="44" s="1"/>
  <c r="N139" i="44"/>
  <c r="O134" i="44" s="1"/>
  <c r="N130" i="44"/>
  <c r="N135" i="44" s="1"/>
  <c r="K204" i="44"/>
  <c r="K219" i="44"/>
  <c r="P87" i="44"/>
  <c r="P97" i="44" s="1"/>
  <c r="P120" i="44" s="1"/>
  <c r="P109" i="44"/>
  <c r="P112" i="44" s="1"/>
  <c r="E47" i="45"/>
  <c r="E48" i="45"/>
  <c r="F45" i="45" s="1"/>
  <c r="V94" i="44"/>
  <c r="V110" i="44" s="1"/>
  <c r="V81" i="44"/>
  <c r="L196" i="44"/>
  <c r="L200" i="44"/>
  <c r="L201" i="44"/>
  <c r="M195" i="44" s="1"/>
  <c r="J223" i="44"/>
  <c r="J254" i="44"/>
  <c r="K220" i="44"/>
  <c r="K224" i="44" s="1"/>
  <c r="K221" i="44"/>
  <c r="L214" i="44" s="1"/>
  <c r="K215" i="44"/>
  <c r="J150" i="44"/>
  <c r="J173" i="44"/>
  <c r="I225" i="44"/>
  <c r="I227" i="44" s="1"/>
  <c r="I269" i="44" s="1"/>
  <c r="I245" i="44"/>
  <c r="I263" i="44" s="1"/>
  <c r="G212" i="44"/>
  <c r="G230" i="44"/>
  <c r="G211" i="44"/>
  <c r="X73" i="44"/>
  <c r="X78" i="44" s="1"/>
  <c r="X82" i="44"/>
  <c r="Y77" i="44" s="1"/>
  <c r="O122" i="44"/>
  <c r="O125" i="44"/>
  <c r="K170" i="44"/>
  <c r="L167" i="44" s="1"/>
  <c r="K169" i="44"/>
  <c r="Q80" i="44"/>
  <c r="Q84" i="44"/>
  <c r="L204" i="44" l="1"/>
  <c r="L219" i="44"/>
  <c r="O142" i="44"/>
  <c r="O147" i="44" s="1"/>
  <c r="O151" i="44"/>
  <c r="P146" i="44" s="1"/>
  <c r="E53" i="45"/>
  <c r="E57" i="45"/>
  <c r="J205" i="44"/>
  <c r="J207" i="44" s="1"/>
  <c r="J268" i="44" s="1"/>
  <c r="J271" i="44" s="1"/>
  <c r="J244" i="44"/>
  <c r="J262" i="44" s="1"/>
  <c r="I193" i="44"/>
  <c r="I192" i="44"/>
  <c r="I210" i="44"/>
  <c r="F47" i="45"/>
  <c r="F48" i="45"/>
  <c r="G45" i="45" s="1"/>
  <c r="P122" i="44"/>
  <c r="P125" i="44"/>
  <c r="H212" i="44"/>
  <c r="H211" i="44"/>
  <c r="H230" i="44"/>
  <c r="L247" i="44"/>
  <c r="L260" i="44"/>
  <c r="K203" i="44"/>
  <c r="K253" i="44"/>
  <c r="O132" i="44"/>
  <c r="P129" i="44" s="1"/>
  <c r="O131" i="44"/>
  <c r="Y73" i="44"/>
  <c r="Y78" i="44" s="1"/>
  <c r="Y82" i="44"/>
  <c r="Z77" i="44" s="1"/>
  <c r="M155" i="44"/>
  <c r="M158" i="44" s="1"/>
  <c r="M177" i="44"/>
  <c r="M179" i="44" s="1"/>
  <c r="M242" i="44"/>
  <c r="F46" i="45"/>
  <c r="F51" i="45" s="1"/>
  <c r="F55" i="45"/>
  <c r="G50" i="45" s="1"/>
  <c r="G232" i="44"/>
  <c r="G235" i="44" s="1"/>
  <c r="G255" i="44" s="1"/>
  <c r="G231" i="44"/>
  <c r="G234" i="44" s="1"/>
  <c r="N154" i="44"/>
  <c r="N149" i="44"/>
  <c r="W94" i="44"/>
  <c r="W110" i="44" s="1"/>
  <c r="W81" i="44"/>
  <c r="K265" i="44"/>
  <c r="K279" i="44"/>
  <c r="K280" i="44" s="1"/>
  <c r="K282" i="44" s="1"/>
  <c r="L220" i="44"/>
  <c r="L224" i="44" s="1"/>
  <c r="L221" i="44"/>
  <c r="M214" i="44" s="1"/>
  <c r="L215" i="44"/>
  <c r="L170" i="44"/>
  <c r="M167" i="44" s="1"/>
  <c r="L169" i="44"/>
  <c r="D15" i="45"/>
  <c r="D81" i="45"/>
  <c r="D99" i="45"/>
  <c r="D101" i="45" s="1"/>
  <c r="D105" i="45"/>
  <c r="D107" i="45" s="1"/>
  <c r="D92" i="45"/>
  <c r="M196" i="44"/>
  <c r="M201" i="44"/>
  <c r="N195" i="44" s="1"/>
  <c r="M200" i="44"/>
  <c r="S102" i="44"/>
  <c r="S105" i="44" s="1"/>
  <c r="S111" i="44" s="1"/>
  <c r="S103" i="44"/>
  <c r="T99" i="44" s="1"/>
  <c r="O143" i="44"/>
  <c r="O144" i="44"/>
  <c r="P141" i="44" s="1"/>
  <c r="J178" i="44"/>
  <c r="J174" i="44"/>
  <c r="J191" i="44" s="1"/>
  <c r="J243" i="44"/>
  <c r="J261" i="44" s="1"/>
  <c r="J199" i="44"/>
  <c r="J218" i="44" s="1"/>
  <c r="J185" i="44"/>
  <c r="J252" i="44"/>
  <c r="X92" i="44"/>
  <c r="Y89" i="44" s="1"/>
  <c r="X91" i="44"/>
  <c r="F246" i="44"/>
  <c r="F264" i="44" s="1"/>
  <c r="F236" i="44"/>
  <c r="F238" i="44" s="1"/>
  <c r="F270" i="44" s="1"/>
  <c r="Q87" i="44"/>
  <c r="Q97" i="44" s="1"/>
  <c r="Q120" i="44" s="1"/>
  <c r="Q109" i="44"/>
  <c r="Q112" i="44" s="1"/>
  <c r="M198" i="44"/>
  <c r="M217" i="44" s="1"/>
  <c r="M184" i="44"/>
  <c r="M186" i="44" s="1"/>
  <c r="M251" i="44"/>
  <c r="M256" i="44" s="1"/>
  <c r="L164" i="44"/>
  <c r="L165" i="44"/>
  <c r="M162" i="44" s="1"/>
  <c r="N137" i="44"/>
  <c r="N153" i="44"/>
  <c r="K150" i="44"/>
  <c r="K173" i="44"/>
  <c r="K138" i="44"/>
  <c r="K172" i="44"/>
  <c r="L159" i="44"/>
  <c r="L160" i="44"/>
  <c r="K223" i="44"/>
  <c r="K254" i="44"/>
  <c r="D64" i="45"/>
  <c r="O127" i="44"/>
  <c r="O126" i="44"/>
  <c r="O139" i="44"/>
  <c r="P134" i="44" s="1"/>
  <c r="O130" i="44"/>
  <c r="O135" i="44" s="1"/>
  <c r="R84" i="44"/>
  <c r="R80" i="44"/>
  <c r="J225" i="44"/>
  <c r="J227" i="44" s="1"/>
  <c r="J269" i="44" s="1"/>
  <c r="J245" i="44"/>
  <c r="J263" i="44" s="1"/>
  <c r="R75" i="44"/>
  <c r="S72" i="44" s="1"/>
  <c r="P143" i="44" l="1"/>
  <c r="P144" i="44"/>
  <c r="Q141" i="44" s="1"/>
  <c r="O154" i="44"/>
  <c r="O149" i="44"/>
  <c r="T103" i="44"/>
  <c r="U99" i="44" s="1"/>
  <c r="T102" i="44"/>
  <c r="T105" i="44" s="1"/>
  <c r="T111" i="44" s="1"/>
  <c r="K225" i="44"/>
  <c r="K227" i="44" s="1"/>
  <c r="K269" i="44" s="1"/>
  <c r="K245" i="44"/>
  <c r="K263" i="44" s="1"/>
  <c r="M159" i="44"/>
  <c r="M160" i="44"/>
  <c r="Q122" i="44"/>
  <c r="Q125" i="44"/>
  <c r="N198" i="44"/>
  <c r="N217" i="44" s="1"/>
  <c r="N184" i="44"/>
  <c r="N186" i="44" s="1"/>
  <c r="N251" i="44"/>
  <c r="N256" i="44" s="1"/>
  <c r="L265" i="44"/>
  <c r="L279" i="44"/>
  <c r="L280" i="44" s="1"/>
  <c r="L282" i="44" s="1"/>
  <c r="E78" i="45"/>
  <c r="E60" i="45"/>
  <c r="G48" i="45"/>
  <c r="H45" i="45" s="1"/>
  <c r="G47" i="45"/>
  <c r="F57" i="45"/>
  <c r="F53" i="45"/>
  <c r="I211" i="44"/>
  <c r="I212" i="44"/>
  <c r="I230" i="44"/>
  <c r="O137" i="44"/>
  <c r="O153" i="44"/>
  <c r="N201" i="44"/>
  <c r="O195" i="44" s="1"/>
  <c r="N196" i="44"/>
  <c r="N200" i="44"/>
  <c r="R87" i="44"/>
  <c r="R97" i="44" s="1"/>
  <c r="R120" i="44" s="1"/>
  <c r="R109" i="44"/>
  <c r="R112" i="44" s="1"/>
  <c r="D115" i="45"/>
  <c r="D116" i="45" s="1"/>
  <c r="D118" i="45" s="1"/>
  <c r="D95" i="45"/>
  <c r="K205" i="44"/>
  <c r="K207" i="44" s="1"/>
  <c r="K268" i="44" s="1"/>
  <c r="K271" i="44" s="1"/>
  <c r="K244" i="44"/>
  <c r="K262" i="44" s="1"/>
  <c r="P139" i="44"/>
  <c r="Q134" i="44" s="1"/>
  <c r="P130" i="44"/>
  <c r="P135" i="44" s="1"/>
  <c r="G236" i="44"/>
  <c r="G238" i="44" s="1"/>
  <c r="G270" i="44" s="1"/>
  <c r="G246" i="44"/>
  <c r="G264" i="44" s="1"/>
  <c r="H232" i="44"/>
  <c r="H235" i="44" s="1"/>
  <c r="H255" i="44" s="1"/>
  <c r="H231" i="44"/>
  <c r="H234" i="44" s="1"/>
  <c r="P142" i="44"/>
  <c r="P147" i="44" s="1"/>
  <c r="P151" i="44"/>
  <c r="Q146" i="44" s="1"/>
  <c r="S74" i="44"/>
  <c r="S75" i="44" s="1"/>
  <c r="T72" i="44" s="1"/>
  <c r="Z73" i="44"/>
  <c r="Z78" i="44" s="1"/>
  <c r="Z82" i="44"/>
  <c r="AA77" i="44" s="1"/>
  <c r="M204" i="44"/>
  <c r="M219" i="44"/>
  <c r="X81" i="44"/>
  <c r="X94" i="44"/>
  <c r="X110" i="44" s="1"/>
  <c r="K199" i="44"/>
  <c r="K218" i="44" s="1"/>
  <c r="K185" i="44"/>
  <c r="K252" i="44"/>
  <c r="N177" i="44"/>
  <c r="N179" i="44" s="1"/>
  <c r="N155" i="44"/>
  <c r="N158" i="44" s="1"/>
  <c r="N242" i="44"/>
  <c r="M164" i="44"/>
  <c r="M165" i="44"/>
  <c r="N162" i="44" s="1"/>
  <c r="D13" i="45"/>
  <c r="D16" i="45"/>
  <c r="G46" i="45"/>
  <c r="G51" i="45" s="1"/>
  <c r="G55" i="45"/>
  <c r="H50" i="45" s="1"/>
  <c r="K178" i="44"/>
  <c r="K174" i="44"/>
  <c r="K191" i="44" s="1"/>
  <c r="K243" i="44"/>
  <c r="K261" i="44" s="1"/>
  <c r="L150" i="44"/>
  <c r="L173" i="44"/>
  <c r="M215" i="44"/>
  <c r="M220" i="44"/>
  <c r="M224" i="44" s="1"/>
  <c r="M221" i="44"/>
  <c r="N214" i="44" s="1"/>
  <c r="L254" i="44"/>
  <c r="L223" i="44"/>
  <c r="P132" i="44"/>
  <c r="Q129" i="44" s="1"/>
  <c r="P131" i="44"/>
  <c r="Y91" i="44"/>
  <c r="Y92" i="44"/>
  <c r="Z89" i="44" s="1"/>
  <c r="D54" i="45"/>
  <c r="D65" i="45"/>
  <c r="E62" i="45" s="1"/>
  <c r="D67" i="45"/>
  <c r="L138" i="44"/>
  <c r="L172" i="44"/>
  <c r="J193" i="44"/>
  <c r="J210" i="44"/>
  <c r="J192" i="44"/>
  <c r="M170" i="44"/>
  <c r="N167" i="44" s="1"/>
  <c r="M169" i="44"/>
  <c r="M247" i="44"/>
  <c r="M260" i="44"/>
  <c r="P126" i="44"/>
  <c r="P127" i="44"/>
  <c r="L203" i="44"/>
  <c r="L253" i="44"/>
  <c r="T74" i="44" l="1"/>
  <c r="Q127" i="44"/>
  <c r="Q126" i="44"/>
  <c r="P137" i="44"/>
  <c r="P153" i="44"/>
  <c r="Q131" i="44"/>
  <c r="Q132" i="44"/>
  <c r="R129" i="44" s="1"/>
  <c r="I232" i="44"/>
  <c r="I235" i="44" s="1"/>
  <c r="I255" i="44" s="1"/>
  <c r="I231" i="44"/>
  <c r="I234" i="44" s="1"/>
  <c r="Q139" i="44"/>
  <c r="R134" i="44" s="1"/>
  <c r="Q130" i="44"/>
  <c r="Q135" i="44" s="1"/>
  <c r="H55" i="45"/>
  <c r="I50" i="45" s="1"/>
  <c r="H46" i="45"/>
  <c r="H51" i="45" s="1"/>
  <c r="F78" i="45"/>
  <c r="F60" i="45"/>
  <c r="AA73" i="44"/>
  <c r="AA78" i="44" s="1"/>
  <c r="AA82" i="44"/>
  <c r="AB77" i="44" s="1"/>
  <c r="M150" i="44"/>
  <c r="M173" i="44"/>
  <c r="L225" i="44"/>
  <c r="L227" i="44" s="1"/>
  <c r="L269" i="44" s="1"/>
  <c r="L245" i="44"/>
  <c r="L263" i="44" s="1"/>
  <c r="N164" i="44"/>
  <c r="N165" i="44"/>
  <c r="O162" i="44" s="1"/>
  <c r="N215" i="44"/>
  <c r="N220" i="44"/>
  <c r="N224" i="44" s="1"/>
  <c r="N221" i="44"/>
  <c r="O214" i="44" s="1"/>
  <c r="E65" i="45"/>
  <c r="F62" i="45" s="1"/>
  <c r="E64" i="45"/>
  <c r="H48" i="45"/>
  <c r="I45" i="45" s="1"/>
  <c r="H47" i="45"/>
  <c r="N169" i="44"/>
  <c r="N170" i="44"/>
  <c r="O167" i="44" s="1"/>
  <c r="M138" i="44"/>
  <c r="M172" i="44"/>
  <c r="R122" i="44"/>
  <c r="R125" i="44"/>
  <c r="U103" i="44"/>
  <c r="V99" i="44" s="1"/>
  <c r="U102" i="44"/>
  <c r="U105" i="44" s="1"/>
  <c r="U111" i="44" s="1"/>
  <c r="N260" i="44"/>
  <c r="N247" i="44"/>
  <c r="M254" i="44"/>
  <c r="M223" i="44"/>
  <c r="N160" i="44"/>
  <c r="N159" i="44"/>
  <c r="O198" i="44"/>
  <c r="O217" i="44" s="1"/>
  <c r="O251" i="44"/>
  <c r="O256" i="44" s="1"/>
  <c r="O184" i="44"/>
  <c r="O186" i="44" s="1"/>
  <c r="H236" i="44"/>
  <c r="H238" i="44" s="1"/>
  <c r="H270" i="44" s="1"/>
  <c r="H246" i="44"/>
  <c r="H264" i="44" s="1"/>
  <c r="O201" i="44"/>
  <c r="P195" i="44" s="1"/>
  <c r="O196" i="44"/>
  <c r="O200" i="44"/>
  <c r="Q143" i="44"/>
  <c r="Q144" i="44"/>
  <c r="R141" i="44" s="1"/>
  <c r="D79" i="45"/>
  <c r="D93" i="45" s="1"/>
  <c r="D70" i="45"/>
  <c r="L205" i="44"/>
  <c r="L207" i="44" s="1"/>
  <c r="L268" i="44" s="1"/>
  <c r="L271" i="44" s="1"/>
  <c r="L244" i="44"/>
  <c r="L262" i="44" s="1"/>
  <c r="K193" i="44"/>
  <c r="K192" i="44"/>
  <c r="K210" i="44"/>
  <c r="Z92" i="44"/>
  <c r="AA89" i="44" s="1"/>
  <c r="Z91" i="44"/>
  <c r="Y81" i="44"/>
  <c r="Y94" i="44"/>
  <c r="Y110" i="44" s="1"/>
  <c r="M203" i="44"/>
  <c r="M253" i="44"/>
  <c r="M279" i="44"/>
  <c r="M280" i="44" s="1"/>
  <c r="M282" i="44" s="1"/>
  <c r="M265" i="44"/>
  <c r="G57" i="45"/>
  <c r="G53" i="45"/>
  <c r="S84" i="44"/>
  <c r="S80" i="44"/>
  <c r="E81" i="45"/>
  <c r="E105" i="45"/>
  <c r="E107" i="45" s="1"/>
  <c r="E99" i="45"/>
  <c r="E101" i="45" s="1"/>
  <c r="E92" i="45"/>
  <c r="Q142" i="44"/>
  <c r="Q147" i="44" s="1"/>
  <c r="Q151" i="44"/>
  <c r="R146" i="44" s="1"/>
  <c r="N204" i="44"/>
  <c r="N219" i="44"/>
  <c r="J211" i="44"/>
  <c r="J212" i="44"/>
  <c r="J230" i="44"/>
  <c r="L174" i="44"/>
  <c r="L191" i="44" s="1"/>
  <c r="L178" i="44"/>
  <c r="L243" i="44"/>
  <c r="L261" i="44" s="1"/>
  <c r="L185" i="44"/>
  <c r="L199" i="44"/>
  <c r="L218" i="44" s="1"/>
  <c r="L252" i="44"/>
  <c r="O155" i="44"/>
  <c r="O158" i="44" s="1"/>
  <c r="O242" i="44"/>
  <c r="O177" i="44"/>
  <c r="O179" i="44" s="1"/>
  <c r="P149" i="44"/>
  <c r="P154" i="44"/>
  <c r="N254" i="44" l="1"/>
  <c r="N223" i="44"/>
  <c r="I55" i="45"/>
  <c r="J50" i="45" s="1"/>
  <c r="I46" i="45"/>
  <c r="I51" i="45" s="1"/>
  <c r="R142" i="44"/>
  <c r="R147" i="44" s="1"/>
  <c r="R151" i="44"/>
  <c r="S146" i="44" s="1"/>
  <c r="R126" i="44"/>
  <c r="R127" i="44"/>
  <c r="N150" i="44"/>
  <c r="N173" i="44"/>
  <c r="M205" i="44"/>
  <c r="M207" i="44" s="1"/>
  <c r="M268" i="44" s="1"/>
  <c r="M271" i="44" s="1"/>
  <c r="M244" i="44"/>
  <c r="M262" i="44" s="1"/>
  <c r="Z81" i="44"/>
  <c r="Z94" i="44"/>
  <c r="Z110" i="44" s="1"/>
  <c r="K211" i="44"/>
  <c r="K212" i="44"/>
  <c r="K230" i="44"/>
  <c r="I48" i="45"/>
  <c r="J45" i="45" s="1"/>
  <c r="I47" i="45"/>
  <c r="O160" i="44"/>
  <c r="O159" i="44"/>
  <c r="S109" i="44"/>
  <c r="S112" i="44" s="1"/>
  <c r="S87" i="44"/>
  <c r="S97" i="44" s="1"/>
  <c r="S120" i="44" s="1"/>
  <c r="G78" i="45"/>
  <c r="G60" i="45"/>
  <c r="F92" i="45"/>
  <c r="F81" i="45"/>
  <c r="F105" i="45"/>
  <c r="F107" i="45" s="1"/>
  <c r="F99" i="45"/>
  <c r="F101" i="45" s="1"/>
  <c r="N203" i="44"/>
  <c r="N253" i="44"/>
  <c r="O219" i="44"/>
  <c r="O204" i="44"/>
  <c r="N279" i="44"/>
  <c r="N280" i="44" s="1"/>
  <c r="N282" i="44" s="1"/>
  <c r="N265" i="44"/>
  <c r="O215" i="44"/>
  <c r="O220" i="44"/>
  <c r="O224" i="44" s="1"/>
  <c r="O221" i="44"/>
  <c r="P214" i="44" s="1"/>
  <c r="O260" i="44"/>
  <c r="O247" i="44"/>
  <c r="P201" i="44"/>
  <c r="Q195" i="44" s="1"/>
  <c r="P196" i="44"/>
  <c r="P200" i="44"/>
  <c r="V103" i="44"/>
  <c r="W99" i="44" s="1"/>
  <c r="V102" i="44"/>
  <c r="V105" i="44" s="1"/>
  <c r="V111" i="44" s="1"/>
  <c r="R130" i="44"/>
  <c r="R135" i="44" s="1"/>
  <c r="R139" i="44"/>
  <c r="S134" i="44" s="1"/>
  <c r="E115" i="45"/>
  <c r="E116" i="45" s="1"/>
  <c r="E118" i="45" s="1"/>
  <c r="E95" i="45"/>
  <c r="O164" i="44"/>
  <c r="O165" i="44"/>
  <c r="P162" i="44" s="1"/>
  <c r="I236" i="44"/>
  <c r="I238" i="44" s="1"/>
  <c r="I270" i="44" s="1"/>
  <c r="I246" i="44"/>
  <c r="I264" i="44" s="1"/>
  <c r="AA91" i="44"/>
  <c r="AA92" i="44"/>
  <c r="AB89" i="44" s="1"/>
  <c r="N138" i="44"/>
  <c r="N172" i="44"/>
  <c r="M174" i="44"/>
  <c r="M191" i="44" s="1"/>
  <c r="M178" i="44"/>
  <c r="M243" i="44"/>
  <c r="M261" i="44" s="1"/>
  <c r="R131" i="44"/>
  <c r="R132" i="44"/>
  <c r="S129" i="44" s="1"/>
  <c r="Q137" i="44"/>
  <c r="Q153" i="44"/>
  <c r="O169" i="44"/>
  <c r="O170" i="44"/>
  <c r="P167" i="44" s="1"/>
  <c r="M185" i="44"/>
  <c r="M199" i="44"/>
  <c r="M218" i="44" s="1"/>
  <c r="M252" i="44"/>
  <c r="P155" i="44"/>
  <c r="P158" i="44" s="1"/>
  <c r="P242" i="44"/>
  <c r="P177" i="44"/>
  <c r="P179" i="44" s="1"/>
  <c r="L193" i="44"/>
  <c r="L210" i="44"/>
  <c r="L192" i="44"/>
  <c r="AB82" i="44"/>
  <c r="AC77" i="44" s="1"/>
  <c r="AB73" i="44"/>
  <c r="AB78" i="44" s="1"/>
  <c r="J232" i="44"/>
  <c r="J235" i="44" s="1"/>
  <c r="J255" i="44" s="1"/>
  <c r="J231" i="44"/>
  <c r="J234" i="44" s="1"/>
  <c r="D72" i="45"/>
  <c r="D73" i="45"/>
  <c r="D80" i="45" s="1"/>
  <c r="D94" i="45" s="1"/>
  <c r="H57" i="45"/>
  <c r="H53" i="45"/>
  <c r="M225" i="44"/>
  <c r="M227" i="44" s="1"/>
  <c r="M269" i="44" s="1"/>
  <c r="M245" i="44"/>
  <c r="M263" i="44" s="1"/>
  <c r="R144" i="44"/>
  <c r="S141" i="44" s="1"/>
  <c r="R143" i="44"/>
  <c r="E67" i="45"/>
  <c r="E54" i="45"/>
  <c r="T84" i="44"/>
  <c r="T80" i="44"/>
  <c r="P184" i="44"/>
  <c r="P186" i="44" s="1"/>
  <c r="P198" i="44"/>
  <c r="P217" i="44" s="1"/>
  <c r="P251" i="44"/>
  <c r="P256" i="44" s="1"/>
  <c r="Q154" i="44"/>
  <c r="Q149" i="44"/>
  <c r="F64" i="45"/>
  <c r="F65" i="45"/>
  <c r="G62" i="45" s="1"/>
  <c r="T75" i="44"/>
  <c r="U72" i="44" s="1"/>
  <c r="F115" i="45" l="1"/>
  <c r="F116" i="45" s="1"/>
  <c r="F118" i="45" s="1"/>
  <c r="F95" i="45"/>
  <c r="AA94" i="44"/>
  <c r="AA110" i="44" s="1"/>
  <c r="AA81" i="44"/>
  <c r="H78" i="45"/>
  <c r="H60" i="45"/>
  <c r="O279" i="44"/>
  <c r="O280" i="44" s="1"/>
  <c r="O282" i="44" s="1"/>
  <c r="O265" i="44"/>
  <c r="P169" i="44"/>
  <c r="P170" i="44"/>
  <c r="Q167" i="44" s="1"/>
  <c r="O150" i="44"/>
  <c r="O173" i="44"/>
  <c r="D87" i="45"/>
  <c r="D74" i="45"/>
  <c r="G92" i="45"/>
  <c r="G105" i="45"/>
  <c r="G107" i="45" s="1"/>
  <c r="G81" i="45"/>
  <c r="G99" i="45"/>
  <c r="G101" i="45" s="1"/>
  <c r="J236" i="44"/>
  <c r="J238" i="44" s="1"/>
  <c r="J270" i="44" s="1"/>
  <c r="J246" i="44"/>
  <c r="J264" i="44" s="1"/>
  <c r="S122" i="44"/>
  <c r="S125" i="44"/>
  <c r="N185" i="44"/>
  <c r="N199" i="44"/>
  <c r="N218" i="44" s="1"/>
  <c r="N252" i="44"/>
  <c r="Q155" i="44"/>
  <c r="Q158" i="44" s="1"/>
  <c r="Q242" i="44"/>
  <c r="Q177" i="44"/>
  <c r="Q179" i="44" s="1"/>
  <c r="S131" i="44"/>
  <c r="S132" i="44"/>
  <c r="T129" i="44" s="1"/>
  <c r="R137" i="44"/>
  <c r="R153" i="44"/>
  <c r="O203" i="44"/>
  <c r="O253" i="44"/>
  <c r="L211" i="44"/>
  <c r="L212" i="44"/>
  <c r="L230" i="44"/>
  <c r="M192" i="44"/>
  <c r="M193" i="44"/>
  <c r="M210" i="44"/>
  <c r="K231" i="44"/>
  <c r="K234" i="44" s="1"/>
  <c r="K232" i="44"/>
  <c r="K235" i="44" s="1"/>
  <c r="K255" i="44" s="1"/>
  <c r="O254" i="44"/>
  <c r="O223" i="44"/>
  <c r="O138" i="44"/>
  <c r="O172" i="44"/>
  <c r="E79" i="45"/>
  <c r="E93" i="45" s="1"/>
  <c r="E70" i="45"/>
  <c r="R149" i="44"/>
  <c r="R154" i="44"/>
  <c r="I57" i="45"/>
  <c r="I53" i="45"/>
  <c r="J48" i="45"/>
  <c r="K45" i="45" s="1"/>
  <c r="J47" i="45"/>
  <c r="J55" i="45"/>
  <c r="K50" i="45" s="1"/>
  <c r="J46" i="45"/>
  <c r="J51" i="45" s="1"/>
  <c r="S130" i="44"/>
  <c r="S135" i="44" s="1"/>
  <c r="S139" i="44"/>
  <c r="T134" i="44" s="1"/>
  <c r="S142" i="44"/>
  <c r="S147" i="44" s="1"/>
  <c r="S151" i="44"/>
  <c r="T146" i="44" s="1"/>
  <c r="U74" i="44"/>
  <c r="U75" i="44" s="1"/>
  <c r="V72" i="44" s="1"/>
  <c r="N205" i="44"/>
  <c r="N207" i="44" s="1"/>
  <c r="N268" i="44" s="1"/>
  <c r="N271" i="44" s="1"/>
  <c r="N244" i="44"/>
  <c r="N262" i="44" s="1"/>
  <c r="F67" i="45"/>
  <c r="F54" i="45"/>
  <c r="N225" i="44"/>
  <c r="N227" i="44" s="1"/>
  <c r="N269" i="44" s="1"/>
  <c r="N245" i="44"/>
  <c r="N263" i="44" s="1"/>
  <c r="Q184" i="44"/>
  <c r="Q186" i="44" s="1"/>
  <c r="Q198" i="44"/>
  <c r="Q217" i="44" s="1"/>
  <c r="Q251" i="44"/>
  <c r="Q256" i="44" s="1"/>
  <c r="P215" i="44"/>
  <c r="P220" i="44"/>
  <c r="P224" i="44" s="1"/>
  <c r="P221" i="44"/>
  <c r="Q214" i="44" s="1"/>
  <c r="P164" i="44"/>
  <c r="P165" i="44"/>
  <c r="Q162" i="44" s="1"/>
  <c r="T109" i="44"/>
  <c r="T112" i="44" s="1"/>
  <c r="T87" i="44"/>
  <c r="T97" i="44" s="1"/>
  <c r="T120" i="44" s="1"/>
  <c r="AC73" i="44"/>
  <c r="AC78" i="44" s="1"/>
  <c r="AC82" i="44"/>
  <c r="AD77" i="44" s="1"/>
  <c r="S144" i="44"/>
  <c r="T141" i="44" s="1"/>
  <c r="S143" i="44"/>
  <c r="W103" i="44"/>
  <c r="X99" i="44" s="1"/>
  <c r="W102" i="44"/>
  <c r="W105" i="44" s="1"/>
  <c r="W111" i="44" s="1"/>
  <c r="G64" i="45"/>
  <c r="G65" i="45"/>
  <c r="H62" i="45" s="1"/>
  <c r="P260" i="44"/>
  <c r="P247" i="44"/>
  <c r="N174" i="44"/>
  <c r="N191" i="44" s="1"/>
  <c r="N178" i="44"/>
  <c r="N243" i="44"/>
  <c r="N261" i="44" s="1"/>
  <c r="P219" i="44"/>
  <c r="P204" i="44"/>
  <c r="P160" i="44"/>
  <c r="P159" i="44"/>
  <c r="AB91" i="44"/>
  <c r="AB92" i="44"/>
  <c r="AC89" i="44" s="1"/>
  <c r="Q196" i="44"/>
  <c r="Q201" i="44"/>
  <c r="R195" i="44" s="1"/>
  <c r="Q200" i="44"/>
  <c r="D100" i="45" l="1"/>
  <c r="D88" i="45"/>
  <c r="F79" i="45"/>
  <c r="F93" i="45" s="1"/>
  <c r="F70" i="45"/>
  <c r="S126" i="44"/>
  <c r="S127" i="44"/>
  <c r="K236" i="44"/>
  <c r="K238" i="44" s="1"/>
  <c r="K270" i="44" s="1"/>
  <c r="K246" i="44"/>
  <c r="K264" i="44" s="1"/>
  <c r="X103" i="44"/>
  <c r="Y99" i="44" s="1"/>
  <c r="X102" i="44"/>
  <c r="X105" i="44" s="1"/>
  <c r="X111" i="44" s="1"/>
  <c r="K47" i="45"/>
  <c r="K48" i="45"/>
  <c r="L45" i="45" s="1"/>
  <c r="P138" i="44"/>
  <c r="P172" i="44"/>
  <c r="AB81" i="44"/>
  <c r="AB94" i="44"/>
  <c r="AB110" i="44" s="1"/>
  <c r="J57" i="45"/>
  <c r="J53" i="45"/>
  <c r="Q260" i="44"/>
  <c r="Q247" i="44"/>
  <c r="T144" i="44"/>
  <c r="U141" i="44" s="1"/>
  <c r="T143" i="44"/>
  <c r="M211" i="44"/>
  <c r="M212" i="44"/>
  <c r="M230" i="44"/>
  <c r="I60" i="45"/>
  <c r="I78" i="45"/>
  <c r="T122" i="44"/>
  <c r="T125" i="44"/>
  <c r="R184" i="44"/>
  <c r="R186" i="44" s="1"/>
  <c r="R198" i="44"/>
  <c r="R217" i="44" s="1"/>
  <c r="R251" i="44"/>
  <c r="R256" i="44" s="1"/>
  <c r="V74" i="44"/>
  <c r="V75" i="44" s="1"/>
  <c r="W72" i="44" s="1"/>
  <c r="P203" i="44"/>
  <c r="P253" i="44"/>
  <c r="P173" i="44"/>
  <c r="P150" i="44"/>
  <c r="N192" i="44"/>
  <c r="N193" i="44"/>
  <c r="N210" i="44"/>
  <c r="U84" i="44"/>
  <c r="U80" i="44"/>
  <c r="Q215" i="44"/>
  <c r="Q220" i="44"/>
  <c r="Q224" i="44" s="1"/>
  <c r="Q221" i="44"/>
  <c r="R214" i="44" s="1"/>
  <c r="T142" i="44"/>
  <c r="T147" i="44" s="1"/>
  <c r="T151" i="44"/>
  <c r="U146" i="44" s="1"/>
  <c r="O174" i="44"/>
  <c r="O191" i="44" s="1"/>
  <c r="O178" i="44"/>
  <c r="O243" i="44"/>
  <c r="O261" i="44" s="1"/>
  <c r="O205" i="44"/>
  <c r="O207" i="44" s="1"/>
  <c r="O268" i="44" s="1"/>
  <c r="O271" i="44" s="1"/>
  <c r="O244" i="44"/>
  <c r="O262" i="44" s="1"/>
  <c r="H99" i="45"/>
  <c r="H101" i="45" s="1"/>
  <c r="H92" i="45"/>
  <c r="H81" i="45"/>
  <c r="H105" i="45"/>
  <c r="H107" i="45" s="1"/>
  <c r="Q219" i="44"/>
  <c r="Q204" i="44"/>
  <c r="P279" i="44"/>
  <c r="P280" i="44" s="1"/>
  <c r="P282" i="44" s="1"/>
  <c r="P265" i="44"/>
  <c r="P223" i="44"/>
  <c r="P254" i="44"/>
  <c r="R155" i="44"/>
  <c r="R158" i="44" s="1"/>
  <c r="R177" i="44"/>
  <c r="R179" i="44" s="1"/>
  <c r="R242" i="44"/>
  <c r="S149" i="44"/>
  <c r="S154" i="44"/>
  <c r="E72" i="45"/>
  <c r="E73" i="45"/>
  <c r="E80" i="45" s="1"/>
  <c r="E94" i="45" s="1"/>
  <c r="R196" i="44"/>
  <c r="R201" i="44"/>
  <c r="S195" i="44" s="1"/>
  <c r="R200" i="44"/>
  <c r="T130" i="44"/>
  <c r="T135" i="44" s="1"/>
  <c r="T139" i="44"/>
  <c r="U134" i="44" s="1"/>
  <c r="O225" i="44"/>
  <c r="O227" i="44" s="1"/>
  <c r="O269" i="44" s="1"/>
  <c r="O245" i="44"/>
  <c r="O263" i="44" s="1"/>
  <c r="K46" i="45"/>
  <c r="K51" i="45" s="1"/>
  <c r="K55" i="45"/>
  <c r="L50" i="45" s="1"/>
  <c r="O185" i="44"/>
  <c r="O199" i="44"/>
  <c r="O218" i="44" s="1"/>
  <c r="O252" i="44"/>
  <c r="Q169" i="44"/>
  <c r="Q170" i="44"/>
  <c r="R167" i="44" s="1"/>
  <c r="L231" i="44"/>
  <c r="L234" i="44" s="1"/>
  <c r="L232" i="44"/>
  <c r="L235" i="44" s="1"/>
  <c r="L255" i="44" s="1"/>
  <c r="G67" i="45"/>
  <c r="G54" i="45"/>
  <c r="T131" i="44"/>
  <c r="T132" i="44"/>
  <c r="U129" i="44" s="1"/>
  <c r="Q159" i="44"/>
  <c r="Q160" i="44"/>
  <c r="AD82" i="44"/>
  <c r="AE77" i="44" s="1"/>
  <c r="AD73" i="44"/>
  <c r="AD78" i="44" s="1"/>
  <c r="Q164" i="44"/>
  <c r="Q165" i="44"/>
  <c r="R162" i="44" s="1"/>
  <c r="H65" i="45"/>
  <c r="I62" i="45" s="1"/>
  <c r="H64" i="45"/>
  <c r="AC92" i="44"/>
  <c r="AD89" i="44" s="1"/>
  <c r="AC91" i="44"/>
  <c r="S137" i="44"/>
  <c r="S153" i="44"/>
  <c r="G115" i="45"/>
  <c r="G116" i="45" s="1"/>
  <c r="G118" i="45" s="1"/>
  <c r="G95" i="45"/>
  <c r="W74" i="44" l="1"/>
  <c r="W75" i="44" s="1"/>
  <c r="X72" i="44" s="1"/>
  <c r="K57" i="45"/>
  <c r="K53" i="45"/>
  <c r="Y102" i="44"/>
  <c r="Y105" i="44" s="1"/>
  <c r="Y111" i="44" s="1"/>
  <c r="Y103" i="44"/>
  <c r="Z99" i="44" s="1"/>
  <c r="O192" i="44"/>
  <c r="O193" i="44"/>
  <c r="O210" i="44"/>
  <c r="P205" i="44"/>
  <c r="P207" i="44" s="1"/>
  <c r="P268" i="44" s="1"/>
  <c r="P271" i="44" s="1"/>
  <c r="P244" i="44"/>
  <c r="P262" i="44" s="1"/>
  <c r="U144" i="44"/>
  <c r="V141" i="44" s="1"/>
  <c r="U143" i="44"/>
  <c r="L47" i="45"/>
  <c r="L48" i="45"/>
  <c r="M45" i="45" s="1"/>
  <c r="P245" i="44"/>
  <c r="P263" i="44" s="1"/>
  <c r="P225" i="44"/>
  <c r="P227" i="44" s="1"/>
  <c r="P269" i="44" s="1"/>
  <c r="U151" i="44"/>
  <c r="V146" i="44" s="1"/>
  <c r="U142" i="44"/>
  <c r="U147" i="44" s="1"/>
  <c r="Q138" i="44"/>
  <c r="Q172" i="44"/>
  <c r="S184" i="44"/>
  <c r="S186" i="44" s="1"/>
  <c r="S198" i="44"/>
  <c r="S217" i="44" s="1"/>
  <c r="S251" i="44"/>
  <c r="S256" i="44" s="1"/>
  <c r="U131" i="44"/>
  <c r="U132" i="44"/>
  <c r="V129" i="44" s="1"/>
  <c r="R215" i="44"/>
  <c r="R220" i="44"/>
  <c r="R224" i="44" s="1"/>
  <c r="R221" i="44"/>
  <c r="S214" i="44" s="1"/>
  <c r="M231" i="44"/>
  <c r="M234" i="44" s="1"/>
  <c r="M232" i="44"/>
  <c r="M235" i="44" s="1"/>
  <c r="M255" i="44" s="1"/>
  <c r="L46" i="45"/>
  <c r="L51" i="45" s="1"/>
  <c r="L55" i="45"/>
  <c r="M50" i="45" s="1"/>
  <c r="T154" i="44"/>
  <c r="T149" i="44"/>
  <c r="S155" i="44"/>
  <c r="S158" i="44" s="1"/>
  <c r="S177" i="44"/>
  <c r="S179" i="44" s="1"/>
  <c r="S242" i="44"/>
  <c r="U130" i="44"/>
  <c r="U135" i="44" s="1"/>
  <c r="U139" i="44"/>
  <c r="V134" i="44" s="1"/>
  <c r="R219" i="44"/>
  <c r="R204" i="44"/>
  <c r="J78" i="45"/>
  <c r="J60" i="45"/>
  <c r="AD91" i="44"/>
  <c r="AD92" i="44"/>
  <c r="AE89" i="44" s="1"/>
  <c r="S200" i="44"/>
  <c r="S196" i="44"/>
  <c r="S201" i="44"/>
  <c r="T195" i="44" s="1"/>
  <c r="F72" i="45"/>
  <c r="F73" i="45"/>
  <c r="F80" i="45" s="1"/>
  <c r="F94" i="45" s="1"/>
  <c r="R247" i="44"/>
  <c r="R260" i="44"/>
  <c r="R160" i="44"/>
  <c r="R159" i="44"/>
  <c r="V80" i="44"/>
  <c r="V84" i="44"/>
  <c r="Q223" i="44"/>
  <c r="Q254" i="44"/>
  <c r="H67" i="45"/>
  <c r="H54" i="45"/>
  <c r="T127" i="44"/>
  <c r="T126" i="44"/>
  <c r="T137" i="44"/>
  <c r="T153" i="44"/>
  <c r="Q265" i="44"/>
  <c r="Q279" i="44"/>
  <c r="Q280" i="44" s="1"/>
  <c r="Q282" i="44" s="1"/>
  <c r="AC81" i="44"/>
  <c r="AC94" i="44"/>
  <c r="AC110" i="44" s="1"/>
  <c r="Q203" i="44"/>
  <c r="Q253" i="44"/>
  <c r="L236" i="44"/>
  <c r="L238" i="44" s="1"/>
  <c r="L270" i="44" s="1"/>
  <c r="L246" i="44"/>
  <c r="L264" i="44" s="1"/>
  <c r="U87" i="44"/>
  <c r="U97" i="44" s="1"/>
  <c r="U120" i="44" s="1"/>
  <c r="U109" i="44"/>
  <c r="U112" i="44" s="1"/>
  <c r="AE82" i="44"/>
  <c r="AF77" i="44" s="1"/>
  <c r="AE73" i="44"/>
  <c r="AE78" i="44" s="1"/>
  <c r="P185" i="44"/>
  <c r="P252" i="44"/>
  <c r="P199" i="44"/>
  <c r="P218" i="44" s="1"/>
  <c r="G79" i="45"/>
  <c r="G93" i="45" s="1"/>
  <c r="G70" i="45"/>
  <c r="I65" i="45"/>
  <c r="J62" i="45" s="1"/>
  <c r="I64" i="45"/>
  <c r="R169" i="44"/>
  <c r="R170" i="44"/>
  <c r="S167" i="44" s="1"/>
  <c r="R164" i="44"/>
  <c r="R165" i="44"/>
  <c r="S162" i="44" s="1"/>
  <c r="Q173" i="44"/>
  <c r="Q150" i="44"/>
  <c r="E87" i="45"/>
  <c r="E74" i="45"/>
  <c r="H115" i="45"/>
  <c r="H116" i="45" s="1"/>
  <c r="H118" i="45" s="1"/>
  <c r="H95" i="45"/>
  <c r="N211" i="44"/>
  <c r="N230" i="44"/>
  <c r="N212" i="44"/>
  <c r="I99" i="45"/>
  <c r="I101" i="45" s="1"/>
  <c r="I92" i="45"/>
  <c r="I105" i="45"/>
  <c r="I107" i="45" s="1"/>
  <c r="I81" i="45"/>
  <c r="P174" i="44"/>
  <c r="P191" i="44" s="1"/>
  <c r="P178" i="44"/>
  <c r="P243" i="44"/>
  <c r="P261" i="44" s="1"/>
  <c r="U154" i="44" l="1"/>
  <c r="U149" i="44"/>
  <c r="AF73" i="44"/>
  <c r="AF78" i="44" s="1"/>
  <c r="AF82" i="44"/>
  <c r="AG77" i="44" s="1"/>
  <c r="O230" i="44"/>
  <c r="O211" i="44"/>
  <c r="O212" i="44"/>
  <c r="L57" i="45"/>
  <c r="L53" i="45"/>
  <c r="F87" i="45"/>
  <c r="F74" i="45"/>
  <c r="S160" i="44"/>
  <c r="S159" i="44"/>
  <c r="R203" i="44"/>
  <c r="R253" i="44"/>
  <c r="R279" i="44"/>
  <c r="R280" i="44" s="1"/>
  <c r="R282" i="44" s="1"/>
  <c r="R265" i="44"/>
  <c r="V144" i="44"/>
  <c r="W141" i="44" s="1"/>
  <c r="V143" i="44"/>
  <c r="R138" i="44"/>
  <c r="R172" i="44"/>
  <c r="H79" i="45"/>
  <c r="H93" i="45" s="1"/>
  <c r="H70" i="45"/>
  <c r="T184" i="44"/>
  <c r="T186" i="44" s="1"/>
  <c r="T198" i="44"/>
  <c r="T217" i="44" s="1"/>
  <c r="T251" i="44"/>
  <c r="T256" i="44" s="1"/>
  <c r="Z102" i="44"/>
  <c r="Z105" i="44" s="1"/>
  <c r="Z111" i="44" s="1"/>
  <c r="Z103" i="44"/>
  <c r="AA99" i="44" s="1"/>
  <c r="T155" i="44"/>
  <c r="T158" i="44" s="1"/>
  <c r="T177" i="44"/>
  <c r="T179" i="44" s="1"/>
  <c r="T242" i="44"/>
  <c r="R223" i="44"/>
  <c r="R254" i="44"/>
  <c r="V131" i="44"/>
  <c r="V132" i="44"/>
  <c r="W129" i="44" s="1"/>
  <c r="S260" i="44"/>
  <c r="S247" i="44"/>
  <c r="T200" i="44"/>
  <c r="T196" i="44"/>
  <c r="T201" i="44"/>
  <c r="U195" i="44" s="1"/>
  <c r="Q174" i="44"/>
  <c r="Q191" i="44" s="1"/>
  <c r="Q243" i="44"/>
  <c r="Q261" i="44" s="1"/>
  <c r="Q178" i="44"/>
  <c r="S169" i="44"/>
  <c r="S170" i="44"/>
  <c r="T167" i="44" s="1"/>
  <c r="M46" i="45"/>
  <c r="M51" i="45" s="1"/>
  <c r="M55" i="45"/>
  <c r="N50" i="45" s="1"/>
  <c r="R150" i="44"/>
  <c r="R173" i="44"/>
  <c r="AE92" i="44"/>
  <c r="AF89" i="44" s="1"/>
  <c r="AE91" i="44"/>
  <c r="V142" i="44"/>
  <c r="V147" i="44" s="1"/>
  <c r="V151" i="44"/>
  <c r="W146" i="44" s="1"/>
  <c r="I67" i="45"/>
  <c r="I54" i="45"/>
  <c r="Q205" i="44"/>
  <c r="Q207" i="44" s="1"/>
  <c r="Q268" i="44" s="1"/>
  <c r="Q271" i="44" s="1"/>
  <c r="Q244" i="44"/>
  <c r="Q262" i="44" s="1"/>
  <c r="V87" i="44"/>
  <c r="V97" i="44" s="1"/>
  <c r="V120" i="44" s="1"/>
  <c r="V109" i="44"/>
  <c r="V112" i="44" s="1"/>
  <c r="AD81" i="44"/>
  <c r="AD94" i="44"/>
  <c r="AD110" i="44" s="1"/>
  <c r="K78" i="45"/>
  <c r="K60" i="45"/>
  <c r="E88" i="45"/>
  <c r="E100" i="45"/>
  <c r="S165" i="44"/>
  <c r="T162" i="44" s="1"/>
  <c r="S164" i="44"/>
  <c r="S219" i="44"/>
  <c r="S204" i="44"/>
  <c r="Q245" i="44"/>
  <c r="Q263" i="44" s="1"/>
  <c r="Q225" i="44"/>
  <c r="Q227" i="44" s="1"/>
  <c r="Q269" i="44" s="1"/>
  <c r="M246" i="44"/>
  <c r="M264" i="44" s="1"/>
  <c r="M236" i="44"/>
  <c r="M238" i="44" s="1"/>
  <c r="M270" i="44" s="1"/>
  <c r="X74" i="44"/>
  <c r="X75" i="44"/>
  <c r="Y72" i="44" s="1"/>
  <c r="V130" i="44"/>
  <c r="V135" i="44" s="1"/>
  <c r="V139" i="44"/>
  <c r="W134" i="44" s="1"/>
  <c r="U137" i="44"/>
  <c r="U153" i="44"/>
  <c r="Q185" i="44"/>
  <c r="Q199" i="44"/>
  <c r="Q218" i="44" s="1"/>
  <c r="Q252" i="44"/>
  <c r="P192" i="44"/>
  <c r="P210" i="44"/>
  <c r="P193" i="44"/>
  <c r="U122" i="44"/>
  <c r="U125" i="44"/>
  <c r="I115" i="45"/>
  <c r="I116" i="45" s="1"/>
  <c r="I118" i="45" s="1"/>
  <c r="I95" i="45"/>
  <c r="J65" i="45"/>
  <c r="K62" i="45" s="1"/>
  <c r="J64" i="45"/>
  <c r="N231" i="44"/>
  <c r="N234" i="44" s="1"/>
  <c r="N232" i="44"/>
  <c r="N235" i="44" s="1"/>
  <c r="N255" i="44" s="1"/>
  <c r="G72" i="45"/>
  <c r="G73" i="45"/>
  <c r="G80" i="45" s="1"/>
  <c r="G94" i="45" s="1"/>
  <c r="J99" i="45"/>
  <c r="J101" i="45" s="1"/>
  <c r="J92" i="45"/>
  <c r="J81" i="45"/>
  <c r="J105" i="45"/>
  <c r="J107" i="45" s="1"/>
  <c r="S215" i="44"/>
  <c r="S220" i="44"/>
  <c r="S224" i="44" s="1"/>
  <c r="S221" i="44"/>
  <c r="T214" i="44" s="1"/>
  <c r="M47" i="45"/>
  <c r="M48" i="45"/>
  <c r="N45" i="45" s="1"/>
  <c r="W80" i="44"/>
  <c r="W84" i="44"/>
  <c r="Q192" i="44" l="1"/>
  <c r="Q193" i="44"/>
  <c r="Q210" i="44"/>
  <c r="I79" i="45"/>
  <c r="I93" i="45" s="1"/>
  <c r="I70" i="45"/>
  <c r="U200" i="44"/>
  <c r="U196" i="44"/>
  <c r="U201" i="44"/>
  <c r="V195" i="44" s="1"/>
  <c r="G87" i="45"/>
  <c r="G74" i="45"/>
  <c r="T219" i="44"/>
  <c r="T204" i="44"/>
  <c r="AE94" i="44"/>
  <c r="AE110" i="44" s="1"/>
  <c r="AE81" i="44"/>
  <c r="H72" i="45"/>
  <c r="H73" i="45"/>
  <c r="H80" i="45" s="1"/>
  <c r="H94" i="45" s="1"/>
  <c r="F88" i="45"/>
  <c r="F100" i="45"/>
  <c r="S138" i="44"/>
  <c r="S172" i="44"/>
  <c r="W87" i="44"/>
  <c r="W97" i="44" s="1"/>
  <c r="W120" i="44" s="1"/>
  <c r="W109" i="44"/>
  <c r="W112" i="44" s="1"/>
  <c r="J67" i="45"/>
  <c r="J54" i="45"/>
  <c r="S279" i="44"/>
  <c r="S280" i="44" s="1"/>
  <c r="S282" i="44" s="1"/>
  <c r="S265" i="44"/>
  <c r="R185" i="44"/>
  <c r="R252" i="44"/>
  <c r="R199" i="44"/>
  <c r="R218" i="44" s="1"/>
  <c r="W131" i="44"/>
  <c r="W132" i="44"/>
  <c r="X129" i="44" s="1"/>
  <c r="R178" i="44"/>
  <c r="R174" i="44"/>
  <c r="R191" i="44" s="1"/>
  <c r="R243" i="44"/>
  <c r="R261" i="44" s="1"/>
  <c r="L60" i="45"/>
  <c r="L78" i="45"/>
  <c r="AF92" i="44"/>
  <c r="AG89" i="44" s="1"/>
  <c r="AF91" i="44"/>
  <c r="Y74" i="44"/>
  <c r="K99" i="45"/>
  <c r="K101" i="45" s="1"/>
  <c r="K92" i="45"/>
  <c r="K81" i="45"/>
  <c r="K105" i="45"/>
  <c r="K107" i="45" s="1"/>
  <c r="V137" i="44"/>
  <c r="V153" i="44"/>
  <c r="M57" i="45"/>
  <c r="M53" i="45"/>
  <c r="T220" i="44"/>
  <c r="T224" i="44" s="1"/>
  <c r="T221" i="44"/>
  <c r="U214" i="44" s="1"/>
  <c r="T215" i="44"/>
  <c r="X80" i="44"/>
  <c r="X84" i="44"/>
  <c r="N46" i="45"/>
  <c r="N51" i="45" s="1"/>
  <c r="N55" i="45"/>
  <c r="O50" i="45" s="1"/>
  <c r="V154" i="44"/>
  <c r="V149" i="44"/>
  <c r="N236" i="44"/>
  <c r="N238" i="44" s="1"/>
  <c r="N270" i="44" s="1"/>
  <c r="N246" i="44"/>
  <c r="N264" i="44" s="1"/>
  <c r="N47" i="45"/>
  <c r="N48" i="45"/>
  <c r="O45" i="45" s="1"/>
  <c r="K65" i="45"/>
  <c r="L62" i="45" s="1"/>
  <c r="K64" i="45"/>
  <c r="R225" i="44"/>
  <c r="R227" i="44" s="1"/>
  <c r="R269" i="44" s="1"/>
  <c r="R245" i="44"/>
  <c r="R263" i="44" s="1"/>
  <c r="W143" i="44"/>
  <c r="W144" i="44"/>
  <c r="X141" i="44" s="1"/>
  <c r="O231" i="44"/>
  <c r="O234" i="44" s="1"/>
  <c r="O232" i="44"/>
  <c r="O235" i="44" s="1"/>
  <c r="O255" i="44" s="1"/>
  <c r="S223" i="44"/>
  <c r="S254" i="44"/>
  <c r="U126" i="44"/>
  <c r="U127" i="44"/>
  <c r="T169" i="44"/>
  <c r="T170" i="44"/>
  <c r="U167" i="44" s="1"/>
  <c r="T260" i="44"/>
  <c r="T247" i="44"/>
  <c r="AG73" i="44"/>
  <c r="AG78" i="44" s="1"/>
  <c r="AG82" i="44"/>
  <c r="AH77" i="44" s="1"/>
  <c r="W151" i="44"/>
  <c r="X146" i="44" s="1"/>
  <c r="W142" i="44"/>
  <c r="W147" i="44" s="1"/>
  <c r="U155" i="44"/>
  <c r="U158" i="44" s="1"/>
  <c r="U177" i="44"/>
  <c r="U179" i="44" s="1"/>
  <c r="U242" i="44"/>
  <c r="T165" i="44"/>
  <c r="U162" i="44" s="1"/>
  <c r="T164" i="44"/>
  <c r="W130" i="44"/>
  <c r="W135" i="44" s="1"/>
  <c r="W139" i="44"/>
  <c r="X134" i="44" s="1"/>
  <c r="S150" i="44"/>
  <c r="S173" i="44"/>
  <c r="P230" i="44"/>
  <c r="P212" i="44"/>
  <c r="P211" i="44"/>
  <c r="T160" i="44"/>
  <c r="T159" i="44"/>
  <c r="S203" i="44"/>
  <c r="S253" i="44"/>
  <c r="V122" i="44"/>
  <c r="V125" i="44"/>
  <c r="J115" i="45"/>
  <c r="J116" i="45" s="1"/>
  <c r="J118" i="45" s="1"/>
  <c r="J95" i="45"/>
  <c r="AA103" i="44"/>
  <c r="AB99" i="44" s="1"/>
  <c r="AA102" i="44"/>
  <c r="AA105" i="44" s="1"/>
  <c r="AA111" i="44" s="1"/>
  <c r="R244" i="44"/>
  <c r="R262" i="44" s="1"/>
  <c r="R205" i="44"/>
  <c r="R207" i="44" s="1"/>
  <c r="R268" i="44" s="1"/>
  <c r="R271" i="44" s="1"/>
  <c r="U184" i="44"/>
  <c r="U186" i="44" s="1"/>
  <c r="U198" i="44"/>
  <c r="U217" i="44" s="1"/>
  <c r="U251" i="44"/>
  <c r="U256" i="44" s="1"/>
  <c r="U160" i="44" l="1"/>
  <c r="U159" i="44"/>
  <c r="Y84" i="44"/>
  <c r="Y80" i="44"/>
  <c r="L81" i="45"/>
  <c r="L99" i="45"/>
  <c r="L101" i="45" s="1"/>
  <c r="L92" i="45"/>
  <c r="L105" i="45"/>
  <c r="L107" i="45" s="1"/>
  <c r="J79" i="45"/>
  <c r="J93" i="45" s="1"/>
  <c r="J70" i="45"/>
  <c r="G88" i="45"/>
  <c r="G100" i="45"/>
  <c r="AB103" i="44"/>
  <c r="AC99" i="44" s="1"/>
  <c r="AB102" i="44"/>
  <c r="AB105" i="44" s="1"/>
  <c r="AB111" i="44" s="1"/>
  <c r="T150" i="44"/>
  <c r="T173" i="44"/>
  <c r="U219" i="44"/>
  <c r="U204" i="44"/>
  <c r="X144" i="44"/>
  <c r="Y141" i="44" s="1"/>
  <c r="X143" i="44"/>
  <c r="AG92" i="44"/>
  <c r="AH89" i="44" s="1"/>
  <c r="AG91" i="44"/>
  <c r="T223" i="44"/>
  <c r="T254" i="44"/>
  <c r="U169" i="44"/>
  <c r="U170" i="44"/>
  <c r="V167" i="44" s="1"/>
  <c r="R192" i="44"/>
  <c r="R210" i="44"/>
  <c r="R193" i="44"/>
  <c r="X131" i="44"/>
  <c r="X132" i="44"/>
  <c r="Y129" i="44" s="1"/>
  <c r="Y75" i="44"/>
  <c r="Z72" i="44" s="1"/>
  <c r="AH73" i="44"/>
  <c r="AH78" i="44" s="1"/>
  <c r="AH82" i="44"/>
  <c r="AI77" i="44" s="1"/>
  <c r="AF81" i="44"/>
  <c r="AF94" i="44"/>
  <c r="AF110" i="44" s="1"/>
  <c r="V200" i="44"/>
  <c r="V196" i="44"/>
  <c r="V201" i="44"/>
  <c r="W195" i="44" s="1"/>
  <c r="L64" i="45"/>
  <c r="L65" i="45"/>
  <c r="M62" i="45" s="1"/>
  <c r="X130" i="44"/>
  <c r="X135" i="44" s="1"/>
  <c r="X139" i="44"/>
  <c r="Y134" i="44" s="1"/>
  <c r="M78" i="45"/>
  <c r="M60" i="45"/>
  <c r="I72" i="45"/>
  <c r="I73" i="45"/>
  <c r="I80" i="45" s="1"/>
  <c r="I94" i="45" s="1"/>
  <c r="V126" i="44"/>
  <c r="V127" i="44"/>
  <c r="U165" i="44"/>
  <c r="V162" i="44" s="1"/>
  <c r="U164" i="44"/>
  <c r="W137" i="44"/>
  <c r="W153" i="44"/>
  <c r="Q230" i="44"/>
  <c r="Q211" i="44"/>
  <c r="Q212" i="44"/>
  <c r="O236" i="44"/>
  <c r="O238" i="44" s="1"/>
  <c r="O270" i="44" s="1"/>
  <c r="O246" i="44"/>
  <c r="O264" i="44" s="1"/>
  <c r="X87" i="44"/>
  <c r="X97" i="44" s="1"/>
  <c r="X120" i="44" s="1"/>
  <c r="X109" i="44"/>
  <c r="X112" i="44" s="1"/>
  <c r="P231" i="44"/>
  <c r="P234" i="44" s="1"/>
  <c r="P232" i="44"/>
  <c r="P235" i="44" s="1"/>
  <c r="P255" i="44" s="1"/>
  <c r="U221" i="44"/>
  <c r="V214" i="44" s="1"/>
  <c r="U215" i="44"/>
  <c r="U220" i="44"/>
  <c r="U224" i="44" s="1"/>
  <c r="S199" i="44"/>
  <c r="S218" i="44" s="1"/>
  <c r="S185" i="44"/>
  <c r="S252" i="44"/>
  <c r="T265" i="44"/>
  <c r="T279" i="44"/>
  <c r="T280" i="44" s="1"/>
  <c r="T282" i="44" s="1"/>
  <c r="V155" i="44"/>
  <c r="V158" i="44" s="1"/>
  <c r="V177" i="44"/>
  <c r="V179" i="44" s="1"/>
  <c r="V242" i="44"/>
  <c r="O46" i="45"/>
  <c r="O51" i="45" s="1"/>
  <c r="O55" i="45"/>
  <c r="P50" i="45" s="1"/>
  <c r="X142" i="44"/>
  <c r="X147" i="44" s="1"/>
  <c r="X151" i="44"/>
  <c r="Y146" i="44" s="1"/>
  <c r="T203" i="44"/>
  <c r="T253" i="44"/>
  <c r="W149" i="44"/>
  <c r="W154" i="44"/>
  <c r="K67" i="45"/>
  <c r="K54" i="45"/>
  <c r="W125" i="44"/>
  <c r="W122" i="44"/>
  <c r="O47" i="45"/>
  <c r="O48" i="45"/>
  <c r="P45" i="45" s="1"/>
  <c r="S178" i="44"/>
  <c r="S174" i="44"/>
  <c r="S191" i="44" s="1"/>
  <c r="S243" i="44"/>
  <c r="S261" i="44" s="1"/>
  <c r="N57" i="45"/>
  <c r="N53" i="45"/>
  <c r="T172" i="44"/>
  <c r="T138" i="44"/>
  <c r="U260" i="44"/>
  <c r="U247" i="44"/>
  <c r="S244" i="44"/>
  <c r="S262" i="44" s="1"/>
  <c r="S205" i="44"/>
  <c r="S207" i="44" s="1"/>
  <c r="S268" i="44" s="1"/>
  <c r="S271" i="44" s="1"/>
  <c r="S225" i="44"/>
  <c r="S227" i="44" s="1"/>
  <c r="S269" i="44" s="1"/>
  <c r="S245" i="44"/>
  <c r="S263" i="44" s="1"/>
  <c r="V184" i="44"/>
  <c r="V186" i="44" s="1"/>
  <c r="V198" i="44"/>
  <c r="V217" i="44" s="1"/>
  <c r="V251" i="44"/>
  <c r="V256" i="44" s="1"/>
  <c r="K95" i="45"/>
  <c r="K115" i="45"/>
  <c r="K116" i="45" s="1"/>
  <c r="K118" i="45" s="1"/>
  <c r="H74" i="45"/>
  <c r="H87" i="45"/>
  <c r="L54" i="45" l="1"/>
  <c r="L67" i="45"/>
  <c r="V169" i="44"/>
  <c r="V170" i="44"/>
  <c r="W167" i="44" s="1"/>
  <c r="H88" i="45"/>
  <c r="H100" i="45"/>
  <c r="T244" i="44"/>
  <c r="T262" i="44" s="1"/>
  <c r="T205" i="44"/>
  <c r="T207" i="44" s="1"/>
  <c r="T268" i="44" s="1"/>
  <c r="T271" i="44" s="1"/>
  <c r="X154" i="44"/>
  <c r="X149" i="44"/>
  <c r="L95" i="45"/>
  <c r="L115" i="45"/>
  <c r="L116" i="45" s="1"/>
  <c r="L118" i="45" s="1"/>
  <c r="W177" i="44"/>
  <c r="W179" i="44" s="1"/>
  <c r="W155" i="44"/>
  <c r="W158" i="44" s="1"/>
  <c r="W242" i="44"/>
  <c r="U279" i="44"/>
  <c r="U280" i="44" s="1"/>
  <c r="U282" i="44" s="1"/>
  <c r="U265" i="44"/>
  <c r="U223" i="44"/>
  <c r="U254" i="44"/>
  <c r="T245" i="44"/>
  <c r="T263" i="44" s="1"/>
  <c r="T225" i="44"/>
  <c r="T227" i="44" s="1"/>
  <c r="T269" i="44" s="1"/>
  <c r="Y151" i="44"/>
  <c r="Z146" i="44" s="1"/>
  <c r="Y142" i="44"/>
  <c r="Y147" i="44" s="1"/>
  <c r="O53" i="45"/>
  <c r="O57" i="45"/>
  <c r="Y131" i="44"/>
  <c r="Y132" i="44"/>
  <c r="Z129" i="44" s="1"/>
  <c r="W200" i="44"/>
  <c r="W196" i="44"/>
  <c r="W201" i="44"/>
  <c r="X195" i="44" s="1"/>
  <c r="U138" i="44"/>
  <c r="U172" i="44"/>
  <c r="J72" i="45"/>
  <c r="J73" i="45"/>
  <c r="J80" i="45" s="1"/>
  <c r="J94" i="45" s="1"/>
  <c r="P46" i="45"/>
  <c r="P51" i="45" s="1"/>
  <c r="P55" i="45"/>
  <c r="Q50" i="45" s="1"/>
  <c r="M81" i="45"/>
  <c r="M105" i="45"/>
  <c r="M107" i="45" s="1"/>
  <c r="M99" i="45"/>
  <c r="M101" i="45" s="1"/>
  <c r="M92" i="45"/>
  <c r="X137" i="44"/>
  <c r="X153" i="44"/>
  <c r="T185" i="44"/>
  <c r="T199" i="44"/>
  <c r="T218" i="44" s="1"/>
  <c r="T252" i="44"/>
  <c r="Y87" i="44"/>
  <c r="Y97" i="44" s="1"/>
  <c r="Y120" i="44" s="1"/>
  <c r="Y109" i="44"/>
  <c r="Y112" i="44" s="1"/>
  <c r="V204" i="44"/>
  <c r="V219" i="44"/>
  <c r="AG94" i="44"/>
  <c r="AG110" i="44" s="1"/>
  <c r="AG81" i="44"/>
  <c r="AH92" i="44"/>
  <c r="AI89" i="44" s="1"/>
  <c r="AH91" i="44"/>
  <c r="S192" i="44"/>
  <c r="S210" i="44"/>
  <c r="S193" i="44"/>
  <c r="P246" i="44"/>
  <c r="P264" i="44" s="1"/>
  <c r="P236" i="44"/>
  <c r="P238" i="44" s="1"/>
  <c r="P270" i="44" s="1"/>
  <c r="Y144" i="44"/>
  <c r="Z141" i="44" s="1"/>
  <c r="Y143" i="44"/>
  <c r="X122" i="44"/>
  <c r="X125" i="44"/>
  <c r="U203" i="44"/>
  <c r="U253" i="44"/>
  <c r="Y130" i="44"/>
  <c r="Y135" i="44" s="1"/>
  <c r="Y139" i="44"/>
  <c r="Z134" i="44" s="1"/>
  <c r="V221" i="44"/>
  <c r="W214" i="44" s="1"/>
  <c r="V220" i="44"/>
  <c r="V224" i="44" s="1"/>
  <c r="V215" i="44"/>
  <c r="P47" i="45"/>
  <c r="P48" i="45"/>
  <c r="Q45" i="45" s="1"/>
  <c r="V260" i="44"/>
  <c r="V247" i="44"/>
  <c r="Z74" i="44"/>
  <c r="Z75" i="44"/>
  <c r="AA72" i="44" s="1"/>
  <c r="R230" i="44"/>
  <c r="R211" i="44"/>
  <c r="R212" i="44"/>
  <c r="W198" i="44"/>
  <c r="W217" i="44" s="1"/>
  <c r="W184" i="44"/>
  <c r="W186" i="44" s="1"/>
  <c r="W251" i="44"/>
  <c r="W256" i="44" s="1"/>
  <c r="U150" i="44"/>
  <c r="U173" i="44"/>
  <c r="T178" i="44"/>
  <c r="T174" i="44"/>
  <c r="T191" i="44" s="1"/>
  <c r="T243" i="44"/>
  <c r="T261" i="44" s="1"/>
  <c r="V165" i="44"/>
  <c r="W162" i="44" s="1"/>
  <c r="V164" i="44"/>
  <c r="N78" i="45"/>
  <c r="N60" i="45"/>
  <c r="V159" i="44"/>
  <c r="V160" i="44"/>
  <c r="AI82" i="44"/>
  <c r="AJ77" i="44" s="1"/>
  <c r="AI73" i="44"/>
  <c r="AI78" i="44" s="1"/>
  <c r="I74" i="45"/>
  <c r="I87" i="45"/>
  <c r="W127" i="44"/>
  <c r="W126" i="44"/>
  <c r="K79" i="45"/>
  <c r="K93" i="45" s="1"/>
  <c r="K70" i="45"/>
  <c r="Q231" i="44"/>
  <c r="Q234" i="44" s="1"/>
  <c r="Q232" i="44"/>
  <c r="Q235" i="44" s="1"/>
  <c r="Q255" i="44" s="1"/>
  <c r="M64" i="45"/>
  <c r="M65" i="45"/>
  <c r="N62" i="45" s="1"/>
  <c r="AC103" i="44"/>
  <c r="AD99" i="44" s="1"/>
  <c r="AC102" i="44"/>
  <c r="AC105" i="44" s="1"/>
  <c r="AC111" i="44" s="1"/>
  <c r="W159" i="44" l="1"/>
  <c r="W160" i="44"/>
  <c r="V223" i="44"/>
  <c r="V254" i="44"/>
  <c r="S212" i="44"/>
  <c r="S230" i="44"/>
  <c r="S211" i="44"/>
  <c r="AD103" i="44"/>
  <c r="AE99" i="44" s="1"/>
  <c r="AD102" i="44"/>
  <c r="AD105" i="44" s="1"/>
  <c r="AD111" i="44" s="1"/>
  <c r="I88" i="45"/>
  <c r="I100" i="45"/>
  <c r="AJ73" i="44"/>
  <c r="AJ78" i="44" s="1"/>
  <c r="AJ82" i="44"/>
  <c r="AK77" i="44" s="1"/>
  <c r="Q46" i="45"/>
  <c r="Q51" i="45" s="1"/>
  <c r="Q55" i="45"/>
  <c r="R50" i="45" s="1"/>
  <c r="Z151" i="44"/>
  <c r="AA146" i="44" s="1"/>
  <c r="Z142" i="44"/>
  <c r="Z147" i="44" s="1"/>
  <c r="N105" i="45"/>
  <c r="N107" i="45" s="1"/>
  <c r="N81" i="45"/>
  <c r="N92" i="45"/>
  <c r="N99" i="45"/>
  <c r="N101" i="45" s="1"/>
  <c r="Z80" i="44"/>
  <c r="Z84" i="44"/>
  <c r="Y154" i="44"/>
  <c r="Y149" i="44"/>
  <c r="W165" i="44"/>
  <c r="X162" i="44" s="1"/>
  <c r="W164" i="44"/>
  <c r="Z143" i="44"/>
  <c r="Z144" i="44"/>
  <c r="AA141" i="44" s="1"/>
  <c r="U245" i="44"/>
  <c r="U263" i="44" s="1"/>
  <c r="U225" i="44"/>
  <c r="U227" i="44" s="1"/>
  <c r="U269" i="44" s="1"/>
  <c r="W170" i="44"/>
  <c r="X167" i="44" s="1"/>
  <c r="W169" i="44"/>
  <c r="U199" i="44"/>
  <c r="U218" i="44" s="1"/>
  <c r="U185" i="44"/>
  <c r="U252" i="44"/>
  <c r="Z131" i="44"/>
  <c r="Z132" i="44"/>
  <c r="AA129" i="44" s="1"/>
  <c r="W221" i="44"/>
  <c r="X214" i="44" s="1"/>
  <c r="W220" i="44"/>
  <c r="W224" i="44" s="1"/>
  <c r="W215" i="44"/>
  <c r="N64" i="45"/>
  <c r="N65" i="45"/>
  <c r="O62" i="45" s="1"/>
  <c r="U205" i="44"/>
  <c r="U207" i="44" s="1"/>
  <c r="U268" i="44" s="1"/>
  <c r="U271" i="44" s="1"/>
  <c r="U244" i="44"/>
  <c r="U262" i="44" s="1"/>
  <c r="X126" i="44"/>
  <c r="X127" i="44"/>
  <c r="X158" i="44"/>
  <c r="V203" i="44"/>
  <c r="V253" i="44"/>
  <c r="Q246" i="44"/>
  <c r="Q264" i="44" s="1"/>
  <c r="Q236" i="44"/>
  <c r="Q238" i="44" s="1"/>
  <c r="Q270" i="44" s="1"/>
  <c r="V265" i="44"/>
  <c r="V279" i="44"/>
  <c r="V280" i="44" s="1"/>
  <c r="V282" i="44" s="1"/>
  <c r="X200" i="44"/>
  <c r="X201" i="44"/>
  <c r="Y195" i="44" s="1"/>
  <c r="X196" i="44"/>
  <c r="V150" i="44"/>
  <c r="V173" i="44"/>
  <c r="Z130" i="44"/>
  <c r="Z135" i="44" s="1"/>
  <c r="Z139" i="44"/>
  <c r="AA134" i="44" s="1"/>
  <c r="O78" i="45"/>
  <c r="O60" i="45"/>
  <c r="X184" i="44"/>
  <c r="X186" i="44" s="1"/>
  <c r="X198" i="44"/>
  <c r="X217" i="44" s="1"/>
  <c r="X251" i="44"/>
  <c r="X256" i="44" s="1"/>
  <c r="R232" i="44"/>
  <c r="R235" i="44" s="1"/>
  <c r="R255" i="44" s="1"/>
  <c r="R231" i="44"/>
  <c r="R234" i="44" s="1"/>
  <c r="V138" i="44"/>
  <c r="V172" i="44"/>
  <c r="U178" i="44"/>
  <c r="U174" i="44"/>
  <c r="U191" i="44" s="1"/>
  <c r="U243" i="44"/>
  <c r="U261" i="44" s="1"/>
  <c r="Q47" i="45"/>
  <c r="Q48" i="45"/>
  <c r="R45" i="45" s="1"/>
  <c r="L79" i="45"/>
  <c r="L93" i="45" s="1"/>
  <c r="L70" i="45"/>
  <c r="M95" i="45"/>
  <c r="M115" i="45"/>
  <c r="M116" i="45" s="1"/>
  <c r="M118" i="45" s="1"/>
  <c r="Y137" i="44"/>
  <c r="Y153" i="44"/>
  <c r="AH94" i="44"/>
  <c r="AH110" i="44" s="1"/>
  <c r="AH81" i="44"/>
  <c r="AI91" i="44"/>
  <c r="AI92" i="44"/>
  <c r="AJ89" i="44" s="1"/>
  <c r="M54" i="45"/>
  <c r="M67" i="45"/>
  <c r="AA74" i="44"/>
  <c r="J74" i="45"/>
  <c r="J87" i="45"/>
  <c r="K73" i="45"/>
  <c r="K80" i="45" s="1"/>
  <c r="K94" i="45" s="1"/>
  <c r="K72" i="45"/>
  <c r="Y125" i="44"/>
  <c r="Y122" i="44"/>
  <c r="T192" i="44"/>
  <c r="T210" i="44"/>
  <c r="T193" i="44"/>
  <c r="P53" i="45"/>
  <c r="P57" i="45"/>
  <c r="X177" i="44"/>
  <c r="X179" i="44" s="1"/>
  <c r="X155" i="44"/>
  <c r="X242" i="44"/>
  <c r="W219" i="44"/>
  <c r="W204" i="44"/>
  <c r="W260" i="44"/>
  <c r="W247" i="44"/>
  <c r="X221" i="44" l="1"/>
  <c r="Y214" i="44" s="1"/>
  <c r="X220" i="44"/>
  <c r="X224" i="44" s="1"/>
  <c r="X215" i="44"/>
  <c r="W203" i="44"/>
  <c r="W253" i="44"/>
  <c r="O105" i="45"/>
  <c r="O107" i="45" s="1"/>
  <c r="O92" i="45"/>
  <c r="O99" i="45"/>
  <c r="O101" i="45" s="1"/>
  <c r="O81" i="45"/>
  <c r="X159" i="44"/>
  <c r="X160" i="44"/>
  <c r="R236" i="44"/>
  <c r="R238" i="44" s="1"/>
  <c r="R270" i="44" s="1"/>
  <c r="R246" i="44"/>
  <c r="R264" i="44" s="1"/>
  <c r="Y198" i="44"/>
  <c r="Y217" i="44" s="1"/>
  <c r="Y251" i="44"/>
  <c r="Y256" i="44" s="1"/>
  <c r="Y184" i="44"/>
  <c r="Y186" i="44" s="1"/>
  <c r="W223" i="44"/>
  <c r="W254" i="44"/>
  <c r="Y127" i="44"/>
  <c r="Y126" i="44"/>
  <c r="W265" i="44"/>
  <c r="W279" i="44"/>
  <c r="W280" i="44" s="1"/>
  <c r="W282" i="44" s="1"/>
  <c r="J88" i="45"/>
  <c r="J100" i="45"/>
  <c r="V205" i="44"/>
  <c r="V207" i="44" s="1"/>
  <c r="V268" i="44" s="1"/>
  <c r="V271" i="44" s="1"/>
  <c r="V244" i="44"/>
  <c r="V262" i="44" s="1"/>
  <c r="AA84" i="44"/>
  <c r="AA80" i="44"/>
  <c r="AA139" i="44"/>
  <c r="AB134" i="44" s="1"/>
  <c r="AA130" i="44"/>
  <c r="AA135" i="44" s="1"/>
  <c r="V225" i="44"/>
  <c r="V227" i="44" s="1"/>
  <c r="V269" i="44" s="1"/>
  <c r="V245" i="44"/>
  <c r="V263" i="44" s="1"/>
  <c r="X165" i="44"/>
  <c r="Y162" i="44" s="1"/>
  <c r="X164" i="44"/>
  <c r="Z137" i="44"/>
  <c r="Z153" i="44"/>
  <c r="L73" i="45"/>
  <c r="L80" i="45" s="1"/>
  <c r="L94" i="45" s="1"/>
  <c r="L72" i="45"/>
  <c r="X260" i="44"/>
  <c r="X247" i="44"/>
  <c r="X170" i="44"/>
  <c r="Y167" i="44" s="1"/>
  <c r="X169" i="44"/>
  <c r="AA142" i="44"/>
  <c r="AA147" i="44" s="1"/>
  <c r="AA151" i="44"/>
  <c r="AB146" i="44" s="1"/>
  <c r="AK73" i="44"/>
  <c r="AK78" i="44" s="1"/>
  <c r="AK82" i="44"/>
  <c r="AL77" i="44" s="1"/>
  <c r="Y177" i="44"/>
  <c r="Y179" i="44" s="1"/>
  <c r="Y155" i="44"/>
  <c r="Y158" i="44" s="1"/>
  <c r="Y242" i="44"/>
  <c r="AE102" i="44"/>
  <c r="AE105" i="44" s="1"/>
  <c r="AE111" i="44" s="1"/>
  <c r="AE103" i="44"/>
  <c r="AF99" i="44" s="1"/>
  <c r="Q53" i="45"/>
  <c r="Q57" i="45"/>
  <c r="M79" i="45"/>
  <c r="M93" i="45" s="1"/>
  <c r="M70" i="45"/>
  <c r="P78" i="45"/>
  <c r="P60" i="45"/>
  <c r="AI81" i="44"/>
  <c r="AI94" i="44"/>
  <c r="AI110" i="44" s="1"/>
  <c r="V178" i="44"/>
  <c r="V174" i="44"/>
  <c r="V191" i="44" s="1"/>
  <c r="V243" i="44"/>
  <c r="V261" i="44" s="1"/>
  <c r="Y200" i="44"/>
  <c r="Y196" i="44"/>
  <c r="Y201" i="44"/>
  <c r="Z195" i="44" s="1"/>
  <c r="O64" i="45"/>
  <c r="O65" i="45"/>
  <c r="P62" i="45" s="1"/>
  <c r="AA144" i="44"/>
  <c r="AB141" i="44" s="1"/>
  <c r="AA143" i="44"/>
  <c r="R46" i="45"/>
  <c r="R51" i="45" s="1"/>
  <c r="R55" i="45"/>
  <c r="S50" i="45" s="1"/>
  <c r="W138" i="44"/>
  <c r="W172" i="44"/>
  <c r="K74" i="45"/>
  <c r="K87" i="45"/>
  <c r="AA131" i="44"/>
  <c r="AA132" i="44"/>
  <c r="AB129" i="44" s="1"/>
  <c r="Z87" i="44"/>
  <c r="Z97" i="44" s="1"/>
  <c r="Z120" i="44" s="1"/>
  <c r="Z109" i="44"/>
  <c r="Z112" i="44" s="1"/>
  <c r="R48" i="45"/>
  <c r="S45" i="45" s="1"/>
  <c r="R47" i="45"/>
  <c r="N95" i="45"/>
  <c r="N115" i="45"/>
  <c r="N116" i="45" s="1"/>
  <c r="N118" i="45" s="1"/>
  <c r="S231" i="44"/>
  <c r="S234" i="44" s="1"/>
  <c r="S232" i="44"/>
  <c r="S235" i="44" s="1"/>
  <c r="S255" i="44" s="1"/>
  <c r="AA75" i="44"/>
  <c r="AB72" i="44" s="1"/>
  <c r="W150" i="44"/>
  <c r="W173" i="44"/>
  <c r="V199" i="44"/>
  <c r="V218" i="44" s="1"/>
  <c r="V185" i="44"/>
  <c r="V252" i="44"/>
  <c r="U192" i="44"/>
  <c r="U210" i="44"/>
  <c r="U193" i="44"/>
  <c r="AJ91" i="44"/>
  <c r="AJ92" i="44"/>
  <c r="AK89" i="44" s="1"/>
  <c r="T212" i="44"/>
  <c r="T230" i="44"/>
  <c r="T211" i="44"/>
  <c r="X204" i="44"/>
  <c r="X219" i="44"/>
  <c r="N54" i="45"/>
  <c r="N67" i="45"/>
  <c r="Z154" i="44"/>
  <c r="Z149" i="44"/>
  <c r="Y159" i="44" l="1"/>
  <c r="Y160" i="44"/>
  <c r="X265" i="44"/>
  <c r="X279" i="44"/>
  <c r="X280" i="44" s="1"/>
  <c r="X282" i="44" s="1"/>
  <c r="P64" i="45"/>
  <c r="P65" i="45"/>
  <c r="Q62" i="45" s="1"/>
  <c r="Z200" i="44"/>
  <c r="Z201" i="44"/>
  <c r="AA195" i="44" s="1"/>
  <c r="Z196" i="44"/>
  <c r="Y204" i="44"/>
  <c r="Y219" i="44"/>
  <c r="O95" i="45"/>
  <c r="O115" i="45"/>
  <c r="O116" i="45" s="1"/>
  <c r="O118" i="45" s="1"/>
  <c r="L74" i="45"/>
  <c r="L87" i="45"/>
  <c r="AF102" i="44"/>
  <c r="AF105" i="44" s="1"/>
  <c r="AF111" i="44" s="1"/>
  <c r="AF103" i="44"/>
  <c r="AG99" i="44" s="1"/>
  <c r="AJ94" i="44"/>
  <c r="AJ110" i="44" s="1"/>
  <c r="AJ81" i="44"/>
  <c r="X138" i="44"/>
  <c r="X172" i="44"/>
  <c r="N79" i="45"/>
  <c r="N93" i="45" s="1"/>
  <c r="N70" i="45"/>
  <c r="Y164" i="44"/>
  <c r="Y165" i="44"/>
  <c r="Z162" i="44" s="1"/>
  <c r="X203" i="44"/>
  <c r="X253" i="44"/>
  <c r="AB74" i="44"/>
  <c r="AB75" i="44" s="1"/>
  <c r="AC72" i="44" s="1"/>
  <c r="AB151" i="44"/>
  <c r="AC146" i="44" s="1"/>
  <c r="AB142" i="44"/>
  <c r="AB147" i="44" s="1"/>
  <c r="W225" i="44"/>
  <c r="W227" i="44" s="1"/>
  <c r="W269" i="44" s="1"/>
  <c r="W245" i="44"/>
  <c r="W263" i="44" s="1"/>
  <c r="S47" i="45"/>
  <c r="S48" i="45"/>
  <c r="T45" i="45" s="1"/>
  <c r="AA137" i="44"/>
  <c r="AA153" i="44"/>
  <c r="V192" i="44"/>
  <c r="V210" i="44"/>
  <c r="V193" i="44"/>
  <c r="AB139" i="44"/>
  <c r="AC134" i="44" s="1"/>
  <c r="AB130" i="44"/>
  <c r="AB135" i="44" s="1"/>
  <c r="W205" i="44"/>
  <c r="W207" i="44" s="1"/>
  <c r="W268" i="44" s="1"/>
  <c r="W271" i="44" s="1"/>
  <c r="W244" i="44"/>
  <c r="W262" i="44" s="1"/>
  <c r="R53" i="45"/>
  <c r="R57" i="45"/>
  <c r="Q60" i="45"/>
  <c r="Q78" i="45"/>
  <c r="Y260" i="44"/>
  <c r="Y247" i="44"/>
  <c r="W199" i="44"/>
  <c r="W218" i="44" s="1"/>
  <c r="W252" i="44"/>
  <c r="W185" i="44"/>
  <c r="AL73" i="44"/>
  <c r="AL78" i="44" s="1"/>
  <c r="AL82" i="44"/>
  <c r="AM77" i="44" s="1"/>
  <c r="W178" i="44"/>
  <c r="W243" i="44"/>
  <c r="W261" i="44" s="1"/>
  <c r="W174" i="44"/>
  <c r="W191" i="44" s="1"/>
  <c r="T232" i="44"/>
  <c r="T235" i="44" s="1"/>
  <c r="T255" i="44" s="1"/>
  <c r="T231" i="44"/>
  <c r="T234" i="44" s="1"/>
  <c r="P92" i="45"/>
  <c r="P105" i="45"/>
  <c r="P107" i="45" s="1"/>
  <c r="P99" i="45"/>
  <c r="P101" i="45" s="1"/>
  <c r="P81" i="45"/>
  <c r="X150" i="44"/>
  <c r="X173" i="44"/>
  <c r="AA149" i="44"/>
  <c r="AA154" i="44"/>
  <c r="M73" i="45"/>
  <c r="M80" i="45" s="1"/>
  <c r="M94" i="45" s="1"/>
  <c r="M72" i="45"/>
  <c r="Y170" i="44"/>
  <c r="Z167" i="44" s="1"/>
  <c r="Y169" i="44"/>
  <c r="AA87" i="44"/>
  <c r="AA97" i="44" s="1"/>
  <c r="AA120" i="44" s="1"/>
  <c r="AA109" i="44"/>
  <c r="AA112" i="44" s="1"/>
  <c r="X223" i="44"/>
  <c r="X254" i="44"/>
  <c r="O54" i="45"/>
  <c r="O67" i="45"/>
  <c r="U212" i="44"/>
  <c r="U230" i="44"/>
  <c r="U211" i="44"/>
  <c r="Z122" i="44"/>
  <c r="Z125" i="44"/>
  <c r="Z155" i="44"/>
  <c r="Z177" i="44"/>
  <c r="Z179" i="44" s="1"/>
  <c r="Z242" i="44"/>
  <c r="AB131" i="44"/>
  <c r="AB132" i="44"/>
  <c r="AC129" i="44" s="1"/>
  <c r="Z198" i="44"/>
  <c r="Z217" i="44" s="1"/>
  <c r="Z251" i="44"/>
  <c r="Z256" i="44" s="1"/>
  <c r="Z184" i="44"/>
  <c r="Z186" i="44" s="1"/>
  <c r="K88" i="45"/>
  <c r="K100" i="45"/>
  <c r="S46" i="45"/>
  <c r="S51" i="45" s="1"/>
  <c r="S55" i="45"/>
  <c r="T50" i="45" s="1"/>
  <c r="S246" i="44"/>
  <c r="S264" i="44" s="1"/>
  <c r="S236" i="44"/>
  <c r="S238" i="44" s="1"/>
  <c r="S270" i="44" s="1"/>
  <c r="AK91" i="44"/>
  <c r="AK92" i="44"/>
  <c r="AL89" i="44" s="1"/>
  <c r="AB144" i="44"/>
  <c r="AC141" i="44" s="1"/>
  <c r="AB143" i="44"/>
  <c r="Y220" i="44"/>
  <c r="Y224" i="44" s="1"/>
  <c r="Y221" i="44"/>
  <c r="Z214" i="44" s="1"/>
  <c r="Y215" i="44"/>
  <c r="AC74" i="44" l="1"/>
  <c r="AC75" i="44" s="1"/>
  <c r="AD72" i="44" s="1"/>
  <c r="X205" i="44"/>
  <c r="X207" i="44" s="1"/>
  <c r="X268" i="44" s="1"/>
  <c r="X271" i="44" s="1"/>
  <c r="X244" i="44"/>
  <c r="X262" i="44" s="1"/>
  <c r="Y265" i="44"/>
  <c r="Y279" i="44"/>
  <c r="Y280" i="44" s="1"/>
  <c r="Y282" i="44" s="1"/>
  <c r="AA198" i="44"/>
  <c r="AA217" i="44" s="1"/>
  <c r="AA251" i="44"/>
  <c r="AA256" i="44" s="1"/>
  <c r="AA184" i="44"/>
  <c r="AA186" i="44" s="1"/>
  <c r="X199" i="44"/>
  <c r="X218" i="44" s="1"/>
  <c r="X185" i="44"/>
  <c r="X252" i="44"/>
  <c r="Y203" i="44"/>
  <c r="Y253" i="44"/>
  <c r="O79" i="45"/>
  <c r="O93" i="45" s="1"/>
  <c r="O70" i="45"/>
  <c r="N72" i="45"/>
  <c r="N73" i="45"/>
  <c r="N80" i="45" s="1"/>
  <c r="N94" i="45" s="1"/>
  <c r="X225" i="44"/>
  <c r="X227" i="44" s="1"/>
  <c r="X269" i="44" s="1"/>
  <c r="X245" i="44"/>
  <c r="X263" i="44" s="1"/>
  <c r="S53" i="45"/>
  <c r="S57" i="45"/>
  <c r="Q64" i="45"/>
  <c r="Q65" i="45"/>
  <c r="R62" i="45" s="1"/>
  <c r="Z164" i="44"/>
  <c r="Z165" i="44"/>
  <c r="AA162" i="44" s="1"/>
  <c r="Y138" i="44"/>
  <c r="Y172" i="44"/>
  <c r="T48" i="45"/>
  <c r="U45" i="45" s="1"/>
  <c r="T47" i="45"/>
  <c r="X178" i="44"/>
  <c r="X243" i="44"/>
  <c r="X261" i="44" s="1"/>
  <c r="X174" i="44"/>
  <c r="X191" i="44" s="1"/>
  <c r="Y223" i="44"/>
  <c r="Y254" i="44"/>
  <c r="AA122" i="44"/>
  <c r="AA125" i="44"/>
  <c r="AC144" i="44"/>
  <c r="AD141" i="44" s="1"/>
  <c r="AC143" i="44"/>
  <c r="Z247" i="44"/>
  <c r="Z260" i="44"/>
  <c r="Y150" i="44"/>
  <c r="Y173" i="44"/>
  <c r="W193" i="44"/>
  <c r="W192" i="44"/>
  <c r="W210" i="44"/>
  <c r="AG102" i="44"/>
  <c r="AG105" i="44" s="1"/>
  <c r="AG111" i="44" s="1"/>
  <c r="AG103" i="44"/>
  <c r="AH99" i="44" s="1"/>
  <c r="T46" i="45"/>
  <c r="T51" i="45" s="1"/>
  <c r="T55" i="45"/>
  <c r="U50" i="45" s="1"/>
  <c r="Q99" i="45"/>
  <c r="Q101" i="45" s="1"/>
  <c r="Q105" i="45"/>
  <c r="Q107" i="45" s="1"/>
  <c r="Q81" i="45"/>
  <c r="Q92" i="45"/>
  <c r="P54" i="45"/>
  <c r="P67" i="45"/>
  <c r="AB153" i="44"/>
  <c r="AB137" i="44"/>
  <c r="U232" i="44"/>
  <c r="U235" i="44" s="1"/>
  <c r="U255" i="44" s="1"/>
  <c r="U231" i="44"/>
  <c r="U234" i="44" s="1"/>
  <c r="V212" i="44"/>
  <c r="V230" i="44"/>
  <c r="V211" i="44"/>
  <c r="AA155" i="44"/>
  <c r="AA177" i="44"/>
  <c r="AA179" i="44" s="1"/>
  <c r="AA242" i="44"/>
  <c r="Z204" i="44"/>
  <c r="Z219" i="44"/>
  <c r="P95" i="45"/>
  <c r="P115" i="45"/>
  <c r="P116" i="45" s="1"/>
  <c r="P118" i="45" s="1"/>
  <c r="AC132" i="44"/>
  <c r="AD129" i="44" s="1"/>
  <c r="AC131" i="44"/>
  <c r="T236" i="44"/>
  <c r="T238" i="44" s="1"/>
  <c r="T270" i="44" s="1"/>
  <c r="T246" i="44"/>
  <c r="T264" i="44" s="1"/>
  <c r="AB154" i="44"/>
  <c r="AB149" i="44"/>
  <c r="AL92" i="44"/>
  <c r="AM89" i="44" s="1"/>
  <c r="AL91" i="44"/>
  <c r="Z170" i="44"/>
  <c r="AA167" i="44" s="1"/>
  <c r="Z169" i="44"/>
  <c r="AC142" i="44"/>
  <c r="AC147" i="44" s="1"/>
  <c r="AC151" i="44"/>
  <c r="AD146" i="44" s="1"/>
  <c r="AK94" i="44"/>
  <c r="AK110" i="44" s="1"/>
  <c r="AK81" i="44"/>
  <c r="M87" i="45"/>
  <c r="M74" i="45"/>
  <c r="L88" i="45"/>
  <c r="L100" i="45"/>
  <c r="AA200" i="44"/>
  <c r="AA201" i="44"/>
  <c r="AB195" i="44" s="1"/>
  <c r="AA196" i="44"/>
  <c r="Z220" i="44"/>
  <c r="Z224" i="44" s="1"/>
  <c r="Z221" i="44"/>
  <c r="AA214" i="44" s="1"/>
  <c r="Z215" i="44"/>
  <c r="R60" i="45"/>
  <c r="R78" i="45"/>
  <c r="Z127" i="44"/>
  <c r="Z126" i="44"/>
  <c r="Z158" i="44"/>
  <c r="AM73" i="44"/>
  <c r="AM78" i="44" s="1"/>
  <c r="AM82" i="44"/>
  <c r="AN77" i="44" s="1"/>
  <c r="AC139" i="44"/>
  <c r="AD134" i="44" s="1"/>
  <c r="AC130" i="44"/>
  <c r="AC135" i="44" s="1"/>
  <c r="AB80" i="44"/>
  <c r="AB84" i="44"/>
  <c r="R81" i="45" l="1"/>
  <c r="R105" i="45"/>
  <c r="R107" i="45" s="1"/>
  <c r="R99" i="45"/>
  <c r="R101" i="45" s="1"/>
  <c r="R92" i="45"/>
  <c r="Q115" i="45"/>
  <c r="Q116" i="45" s="1"/>
  <c r="Q118" i="45" s="1"/>
  <c r="Q95" i="45"/>
  <c r="AA164" i="44"/>
  <c r="AA165" i="44"/>
  <c r="AB162" i="44" s="1"/>
  <c r="Y205" i="44"/>
  <c r="Y207" i="44" s="1"/>
  <c r="Y268" i="44" s="1"/>
  <c r="Y271" i="44" s="1"/>
  <c r="Y244" i="44"/>
  <c r="Y262" i="44" s="1"/>
  <c r="Z203" i="44"/>
  <c r="Z253" i="44"/>
  <c r="AD143" i="44"/>
  <c r="AD144" i="44"/>
  <c r="AE141" i="44" s="1"/>
  <c r="AA215" i="44"/>
  <c r="AA220" i="44"/>
  <c r="AA224" i="44" s="1"/>
  <c r="AA221" i="44"/>
  <c r="AB214" i="44" s="1"/>
  <c r="U46" i="45"/>
  <c r="U51" i="45" s="1"/>
  <c r="U55" i="45"/>
  <c r="V50" i="45" s="1"/>
  <c r="S78" i="45"/>
  <c r="S60" i="45"/>
  <c r="X193" i="44"/>
  <c r="X192" i="44"/>
  <c r="X210" i="44"/>
  <c r="AC154" i="44"/>
  <c r="AC149" i="44"/>
  <c r="R64" i="45"/>
  <c r="R65" i="45"/>
  <c r="S62" i="45" s="1"/>
  <c r="Q54" i="45"/>
  <c r="Q67" i="45"/>
  <c r="AL94" i="44"/>
  <c r="AL110" i="44" s="1"/>
  <c r="AL81" i="44"/>
  <c r="AB87" i="44"/>
  <c r="AB97" i="44" s="1"/>
  <c r="AB120" i="44" s="1"/>
  <c r="AB109" i="44"/>
  <c r="AB112" i="44" s="1"/>
  <c r="AH102" i="44"/>
  <c r="AH105" i="44" s="1"/>
  <c r="AH111" i="44" s="1"/>
  <c r="AH103" i="44"/>
  <c r="AI99" i="44" s="1"/>
  <c r="Z138" i="44"/>
  <c r="Z172" i="44"/>
  <c r="AA126" i="44"/>
  <c r="AA158" i="44"/>
  <c r="AA127" i="44"/>
  <c r="Z254" i="44"/>
  <c r="Z223" i="44"/>
  <c r="AM92" i="44"/>
  <c r="AN89" i="44" s="1"/>
  <c r="AM91" i="44"/>
  <c r="Y225" i="44"/>
  <c r="Y227" i="44" s="1"/>
  <c r="Y269" i="44" s="1"/>
  <c r="Y245" i="44"/>
  <c r="Y263" i="44" s="1"/>
  <c r="AB198" i="44"/>
  <c r="AB217" i="44" s="1"/>
  <c r="AB184" i="44"/>
  <c r="AB186" i="44" s="1"/>
  <c r="AB251" i="44"/>
  <c r="AB256" i="44" s="1"/>
  <c r="AC153" i="44"/>
  <c r="AC137" i="44"/>
  <c r="T57" i="45"/>
  <c r="T53" i="45"/>
  <c r="N74" i="45"/>
  <c r="N87" i="45"/>
  <c r="Z150" i="44"/>
  <c r="Z173" i="44"/>
  <c r="AA170" i="44"/>
  <c r="AB167" i="44" s="1"/>
  <c r="AA169" i="44"/>
  <c r="V232" i="44"/>
  <c r="V235" i="44" s="1"/>
  <c r="V255" i="44" s="1"/>
  <c r="V231" i="44"/>
  <c r="V234" i="44" s="1"/>
  <c r="AA204" i="44"/>
  <c r="AA219" i="44"/>
  <c r="AD139" i="44"/>
  <c r="AE134" i="44" s="1"/>
  <c r="AD130" i="44"/>
  <c r="AD135" i="44" s="1"/>
  <c r="U246" i="44"/>
  <c r="U264" i="44" s="1"/>
  <c r="U236" i="44"/>
  <c r="U238" i="44" s="1"/>
  <c r="U270" i="44" s="1"/>
  <c r="W211" i="44"/>
  <c r="W212" i="44"/>
  <c r="W230" i="44"/>
  <c r="AN73" i="44"/>
  <c r="AN78" i="44" s="1"/>
  <c r="AN82" i="44"/>
  <c r="AO77" i="44" s="1"/>
  <c r="Z159" i="44"/>
  <c r="Z160" i="44"/>
  <c r="M100" i="45"/>
  <c r="M88" i="45"/>
  <c r="AD132" i="44"/>
  <c r="AE129" i="44" s="1"/>
  <c r="AD131" i="44"/>
  <c r="AB155" i="44"/>
  <c r="AB177" i="44"/>
  <c r="AB179" i="44" s="1"/>
  <c r="AB242" i="44"/>
  <c r="Y199" i="44"/>
  <c r="Y218" i="44" s="1"/>
  <c r="Y252" i="44"/>
  <c r="Y185" i="44"/>
  <c r="U48" i="45"/>
  <c r="V45" i="45" s="1"/>
  <c r="U47" i="45"/>
  <c r="O72" i="45"/>
  <c r="O73" i="45"/>
  <c r="O80" i="45" s="1"/>
  <c r="O94" i="45" s="1"/>
  <c r="AD74" i="44"/>
  <c r="AD75" i="44" s="1"/>
  <c r="AE72" i="44" s="1"/>
  <c r="Z279" i="44"/>
  <c r="Z280" i="44" s="1"/>
  <c r="Z282" i="44" s="1"/>
  <c r="Z265" i="44"/>
  <c r="AD142" i="44"/>
  <c r="AD147" i="44" s="1"/>
  <c r="AD151" i="44"/>
  <c r="AE146" i="44" s="1"/>
  <c r="AA247" i="44"/>
  <c r="AA260" i="44"/>
  <c r="AB200" i="44"/>
  <c r="AB196" i="44"/>
  <c r="AB201" i="44"/>
  <c r="AC195" i="44" s="1"/>
  <c r="P79" i="45"/>
  <c r="P93" i="45" s="1"/>
  <c r="P70" i="45"/>
  <c r="Y243" i="44"/>
  <c r="Y261" i="44" s="1"/>
  <c r="Y178" i="44"/>
  <c r="Y174" i="44"/>
  <c r="Y191" i="44" s="1"/>
  <c r="AC80" i="44"/>
  <c r="AC84" i="44"/>
  <c r="AA159" i="44" l="1"/>
  <c r="AA160" i="44"/>
  <c r="T78" i="45"/>
  <c r="T60" i="45"/>
  <c r="AC198" i="44"/>
  <c r="AC217" i="44" s="1"/>
  <c r="AC184" i="44"/>
  <c r="AC186" i="44" s="1"/>
  <c r="AC251" i="44"/>
  <c r="AC256" i="44" s="1"/>
  <c r="Z205" i="44"/>
  <c r="Z207" i="44" s="1"/>
  <c r="Z268" i="44" s="1"/>
  <c r="Z271" i="44" s="1"/>
  <c r="Z244" i="44"/>
  <c r="Z262" i="44" s="1"/>
  <c r="AD154" i="44"/>
  <c r="AD149" i="44"/>
  <c r="AI102" i="44"/>
  <c r="AI105" i="44" s="1"/>
  <c r="AI111" i="44" s="1"/>
  <c r="AI103" i="44"/>
  <c r="AJ99" i="44" s="1"/>
  <c r="AB247" i="44"/>
  <c r="AB260" i="44"/>
  <c r="Z174" i="44"/>
  <c r="Z191" i="44" s="1"/>
  <c r="Z243" i="44"/>
  <c r="Z261" i="44" s="1"/>
  <c r="Z178" i="44"/>
  <c r="AD84" i="44"/>
  <c r="AD80" i="44"/>
  <c r="AA203" i="44"/>
  <c r="AA253" i="44"/>
  <c r="AB164" i="44"/>
  <c r="AB165" i="44"/>
  <c r="AC162" i="44" s="1"/>
  <c r="AC87" i="44"/>
  <c r="AC97" i="44" s="1"/>
  <c r="AC120" i="44" s="1"/>
  <c r="AC109" i="44"/>
  <c r="AC112" i="44" s="1"/>
  <c r="S81" i="45"/>
  <c r="S105" i="45"/>
  <c r="S107" i="45" s="1"/>
  <c r="S99" i="45"/>
  <c r="S101" i="45" s="1"/>
  <c r="S92" i="45"/>
  <c r="AB125" i="44"/>
  <c r="AB122" i="44"/>
  <c r="U57" i="45"/>
  <c r="U53" i="45"/>
  <c r="AA150" i="44"/>
  <c r="AA173" i="44"/>
  <c r="V48" i="45"/>
  <c r="W45" i="45" s="1"/>
  <c r="V47" i="45"/>
  <c r="AB169" i="44"/>
  <c r="AB170" i="44"/>
  <c r="AC167" i="44" s="1"/>
  <c r="AM81" i="44"/>
  <c r="AM94" i="44"/>
  <c r="AM110" i="44" s="1"/>
  <c r="AB215" i="44"/>
  <c r="AB220" i="44"/>
  <c r="AB224" i="44" s="1"/>
  <c r="AB221" i="44"/>
  <c r="AC214" i="44" s="1"/>
  <c r="R115" i="45"/>
  <c r="R116" i="45" s="1"/>
  <c r="R118" i="45" s="1"/>
  <c r="R95" i="45"/>
  <c r="R54" i="45"/>
  <c r="R67" i="45"/>
  <c r="AE142" i="44"/>
  <c r="AE147" i="44" s="1"/>
  <c r="AE151" i="44"/>
  <c r="AF146" i="44" s="1"/>
  <c r="X211" i="44"/>
  <c r="X212" i="44"/>
  <c r="X230" i="44"/>
  <c r="AE139" i="44"/>
  <c r="AF134" i="44" s="1"/>
  <c r="AE130" i="44"/>
  <c r="AE135" i="44" s="1"/>
  <c r="AE74" i="44"/>
  <c r="AE75" i="44" s="1"/>
  <c r="AF72" i="44" s="1"/>
  <c r="P72" i="45"/>
  <c r="P73" i="45"/>
  <c r="P80" i="45" s="1"/>
  <c r="P94" i="45" s="1"/>
  <c r="AN92" i="44"/>
  <c r="AO89" i="44" s="1"/>
  <c r="AN91" i="44"/>
  <c r="Q79" i="45"/>
  <c r="Q93" i="45" s="1"/>
  <c r="Q70" i="45"/>
  <c r="AA223" i="44"/>
  <c r="AA254" i="44"/>
  <c r="AD153" i="44"/>
  <c r="AD137" i="44"/>
  <c r="V246" i="44"/>
  <c r="V264" i="44" s="1"/>
  <c r="V236" i="44"/>
  <c r="V238" i="44" s="1"/>
  <c r="V270" i="44" s="1"/>
  <c r="AA138" i="44"/>
  <c r="AA172" i="44"/>
  <c r="Z185" i="44"/>
  <c r="Z199" i="44"/>
  <c r="Z218" i="44" s="1"/>
  <c r="Z252" i="44"/>
  <c r="AB204" i="44"/>
  <c r="AB219" i="44"/>
  <c r="W232" i="44"/>
  <c r="W235" i="44" s="1"/>
  <c r="W255" i="44" s="1"/>
  <c r="W231" i="44"/>
  <c r="W234" i="44" s="1"/>
  <c r="Z225" i="44"/>
  <c r="Z227" i="44" s="1"/>
  <c r="Z269" i="44" s="1"/>
  <c r="Z245" i="44"/>
  <c r="Z263" i="44" s="1"/>
  <c r="AE132" i="44"/>
  <c r="AF129" i="44" s="1"/>
  <c r="AE131" i="44"/>
  <c r="AC155" i="44"/>
  <c r="AC177" i="44"/>
  <c r="AC179" i="44" s="1"/>
  <c r="AC242" i="44"/>
  <c r="Y193" i="44"/>
  <c r="Y192" i="44"/>
  <c r="Y210" i="44"/>
  <c r="O87" i="45"/>
  <c r="O74" i="45"/>
  <c r="V46" i="45"/>
  <c r="V51" i="45" s="1"/>
  <c r="V55" i="45"/>
  <c r="W50" i="45" s="1"/>
  <c r="AC201" i="44"/>
  <c r="AD195" i="44" s="1"/>
  <c r="AC200" i="44"/>
  <c r="AC196" i="44"/>
  <c r="AO73" i="44"/>
  <c r="AO78" i="44" s="1"/>
  <c r="AO82" i="44"/>
  <c r="AP77" i="44" s="1"/>
  <c r="AA279" i="44"/>
  <c r="AA280" i="44" s="1"/>
  <c r="AA282" i="44" s="1"/>
  <c r="AA265" i="44"/>
  <c r="N100" i="45"/>
  <c r="N88" i="45"/>
  <c r="S65" i="45"/>
  <c r="T62" i="45" s="1"/>
  <c r="S64" i="45"/>
  <c r="AE143" i="44"/>
  <c r="AE144" i="44"/>
  <c r="AF141" i="44" s="1"/>
  <c r="AF74" i="44" l="1"/>
  <c r="W55" i="45"/>
  <c r="X50" i="45" s="1"/>
  <c r="W46" i="45"/>
  <c r="W51" i="45" s="1"/>
  <c r="AF142" i="44"/>
  <c r="AF147" i="44" s="1"/>
  <c r="AF151" i="44"/>
  <c r="AG146" i="44" s="1"/>
  <c r="AD184" i="44"/>
  <c r="AD186" i="44" s="1"/>
  <c r="AD198" i="44"/>
  <c r="AD217" i="44" s="1"/>
  <c r="AD251" i="44"/>
  <c r="AD256" i="44" s="1"/>
  <c r="S54" i="45"/>
  <c r="S67" i="45"/>
  <c r="AC169" i="44"/>
  <c r="AC170" i="44"/>
  <c r="AD167" i="44" s="1"/>
  <c r="AB150" i="44"/>
  <c r="AB173" i="44"/>
  <c r="AA185" i="44"/>
  <c r="AA199" i="44"/>
  <c r="AA218" i="44" s="1"/>
  <c r="AA252" i="44"/>
  <c r="T64" i="45"/>
  <c r="T65" i="45"/>
  <c r="U62" i="45" s="1"/>
  <c r="Y211" i="44"/>
  <c r="Y212" i="44"/>
  <c r="Y230" i="44"/>
  <c r="AO91" i="44"/>
  <c r="AO92" i="44"/>
  <c r="AP89" i="44" s="1"/>
  <c r="U78" i="45"/>
  <c r="U60" i="45"/>
  <c r="AF132" i="44"/>
  <c r="AG129" i="44" s="1"/>
  <c r="AF131" i="44"/>
  <c r="AJ102" i="44"/>
  <c r="AJ105" i="44" s="1"/>
  <c r="AJ111" i="44" s="1"/>
  <c r="AJ103" i="44"/>
  <c r="AK99" i="44" s="1"/>
  <c r="W48" i="45"/>
  <c r="X45" i="45" s="1"/>
  <c r="W47" i="45"/>
  <c r="AE149" i="44"/>
  <c r="AE154" i="44"/>
  <c r="AB203" i="44"/>
  <c r="AB253" i="44"/>
  <c r="AC215" i="44"/>
  <c r="AC220" i="44"/>
  <c r="AC224" i="44" s="1"/>
  <c r="AC221" i="44"/>
  <c r="AD214" i="44" s="1"/>
  <c r="AC247" i="44"/>
  <c r="AC260" i="44"/>
  <c r="AA174" i="44"/>
  <c r="AA191" i="44" s="1"/>
  <c r="AA243" i="44"/>
  <c r="AA261" i="44" s="1"/>
  <c r="AA178" i="44"/>
  <c r="AB223" i="44"/>
  <c r="AB254" i="44"/>
  <c r="S115" i="45"/>
  <c r="S116" i="45" s="1"/>
  <c r="S118" i="45" s="1"/>
  <c r="S95" i="45"/>
  <c r="T92" i="45"/>
  <c r="T81" i="45"/>
  <c r="T105" i="45"/>
  <c r="T107" i="45" s="1"/>
  <c r="T99" i="45"/>
  <c r="T101" i="45" s="1"/>
  <c r="AC219" i="44"/>
  <c r="AC204" i="44"/>
  <c r="AD155" i="44"/>
  <c r="AD177" i="44"/>
  <c r="AD179" i="44" s="1"/>
  <c r="AD242" i="44"/>
  <c r="AC164" i="44"/>
  <c r="AC165" i="44"/>
  <c r="AD162" i="44" s="1"/>
  <c r="W236" i="44"/>
  <c r="W238" i="44" s="1"/>
  <c r="W270" i="44" s="1"/>
  <c r="W246" i="44"/>
  <c r="W264" i="44" s="1"/>
  <c r="AF143" i="44"/>
  <c r="AF144" i="44"/>
  <c r="AG141" i="44" s="1"/>
  <c r="R79" i="45"/>
  <c r="R93" i="45" s="1"/>
  <c r="R70" i="45"/>
  <c r="O88" i="45"/>
  <c r="O100" i="45"/>
  <c r="AB127" i="44"/>
  <c r="AB126" i="44"/>
  <c r="AB158" i="44"/>
  <c r="Z193" i="44"/>
  <c r="Z192" i="44"/>
  <c r="Z210" i="44"/>
  <c r="X232" i="44"/>
  <c r="X235" i="44" s="1"/>
  <c r="X255" i="44" s="1"/>
  <c r="X231" i="44"/>
  <c r="X234" i="44" s="1"/>
  <c r="AC122" i="44"/>
  <c r="AC125" i="44"/>
  <c r="AD201" i="44"/>
  <c r="AE195" i="44" s="1"/>
  <c r="AD200" i="44"/>
  <c r="AD196" i="44"/>
  <c r="AB138" i="44"/>
  <c r="AB172" i="44"/>
  <c r="Q72" i="45"/>
  <c r="Q73" i="45"/>
  <c r="Q80" i="45" s="1"/>
  <c r="Q94" i="45" s="1"/>
  <c r="AN94" i="44"/>
  <c r="AN110" i="44" s="1"/>
  <c r="AN81" i="44"/>
  <c r="AB279" i="44"/>
  <c r="AB280" i="44" s="1"/>
  <c r="AB282" i="44" s="1"/>
  <c r="AB265" i="44"/>
  <c r="V57" i="45"/>
  <c r="V53" i="45"/>
  <c r="AA225" i="44"/>
  <c r="AA227" i="44" s="1"/>
  <c r="AA269" i="44" s="1"/>
  <c r="AA245" i="44"/>
  <c r="AA263" i="44" s="1"/>
  <c r="AA205" i="44"/>
  <c r="AA207" i="44" s="1"/>
  <c r="AA268" i="44" s="1"/>
  <c r="AA271" i="44" s="1"/>
  <c r="AA244" i="44"/>
  <c r="AA262" i="44" s="1"/>
  <c r="AD109" i="44"/>
  <c r="AD112" i="44" s="1"/>
  <c r="AD87" i="44"/>
  <c r="AD97" i="44" s="1"/>
  <c r="AD120" i="44" s="1"/>
  <c r="P74" i="45"/>
  <c r="P87" i="45"/>
  <c r="AE80" i="44"/>
  <c r="AE84" i="44"/>
  <c r="AP82" i="44"/>
  <c r="AQ77" i="44" s="1"/>
  <c r="AP73" i="44"/>
  <c r="AP78" i="44" s="1"/>
  <c r="AE137" i="44"/>
  <c r="AE153" i="44"/>
  <c r="AF130" i="44"/>
  <c r="AF135" i="44" s="1"/>
  <c r="AF139" i="44"/>
  <c r="AG134" i="44" s="1"/>
  <c r="AD169" i="44" l="1"/>
  <c r="AD170" i="44"/>
  <c r="AE167" i="44" s="1"/>
  <c r="Y231" i="44"/>
  <c r="Y234" i="44" s="1"/>
  <c r="Y232" i="44"/>
  <c r="Y235" i="44" s="1"/>
  <c r="Y255" i="44" s="1"/>
  <c r="Q74" i="45"/>
  <c r="Q87" i="45"/>
  <c r="AC279" i="44"/>
  <c r="AC280" i="44" s="1"/>
  <c r="AC282" i="44" s="1"/>
  <c r="AC265" i="44"/>
  <c r="AD215" i="44"/>
  <c r="AD220" i="44"/>
  <c r="AD224" i="44" s="1"/>
  <c r="AD221" i="44"/>
  <c r="AE214" i="44" s="1"/>
  <c r="AB205" i="44"/>
  <c r="AB207" i="44" s="1"/>
  <c r="AB268" i="44" s="1"/>
  <c r="AB271" i="44" s="1"/>
  <c r="AB244" i="44"/>
  <c r="AB262" i="44" s="1"/>
  <c r="U92" i="45"/>
  <c r="U81" i="45"/>
  <c r="U105" i="45"/>
  <c r="U107" i="45" s="1"/>
  <c r="U99" i="45"/>
  <c r="U101" i="45" s="1"/>
  <c r="AG139" i="44"/>
  <c r="AH134" i="44" s="1"/>
  <c r="AG130" i="44"/>
  <c r="AG135" i="44" s="1"/>
  <c r="AC127" i="44"/>
  <c r="AC126" i="44"/>
  <c r="AC158" i="44"/>
  <c r="AF149" i="44"/>
  <c r="AF154" i="44"/>
  <c r="AE184" i="44"/>
  <c r="AE186" i="44" s="1"/>
  <c r="AE198" i="44"/>
  <c r="AE217" i="44" s="1"/>
  <c r="AE251" i="44"/>
  <c r="AE256" i="44" s="1"/>
  <c r="AC150" i="44"/>
  <c r="AC173" i="44"/>
  <c r="AD125" i="44"/>
  <c r="AD122" i="44"/>
  <c r="S79" i="45"/>
  <c r="S93" i="45" s="1"/>
  <c r="S70" i="45"/>
  <c r="AD219" i="44"/>
  <c r="AD204" i="44"/>
  <c r="AO94" i="44"/>
  <c r="AO110" i="44" s="1"/>
  <c r="AO81" i="44"/>
  <c r="V78" i="45"/>
  <c r="V60" i="45"/>
  <c r="X236" i="44"/>
  <c r="X238" i="44" s="1"/>
  <c r="X270" i="44" s="1"/>
  <c r="X246" i="44"/>
  <c r="X264" i="44" s="1"/>
  <c r="AG142" i="44"/>
  <c r="AG147" i="44" s="1"/>
  <c r="AG151" i="44"/>
  <c r="AH146" i="44" s="1"/>
  <c r="T67" i="45"/>
  <c r="T54" i="45"/>
  <c r="AE109" i="44"/>
  <c r="AE112" i="44" s="1"/>
  <c r="AE87" i="44"/>
  <c r="AE97" i="44" s="1"/>
  <c r="AE120" i="44" s="1"/>
  <c r="Z211" i="44"/>
  <c r="Z230" i="44"/>
  <c r="Z212" i="44"/>
  <c r="AD165" i="44"/>
  <c r="AE162" i="44" s="1"/>
  <c r="AD164" i="44"/>
  <c r="AB225" i="44"/>
  <c r="AB227" i="44" s="1"/>
  <c r="AB269" i="44" s="1"/>
  <c r="AB245" i="44"/>
  <c r="AB263" i="44" s="1"/>
  <c r="X48" i="45"/>
  <c r="Y45" i="45" s="1"/>
  <c r="X47" i="45"/>
  <c r="AG131" i="44"/>
  <c r="AG132" i="44"/>
  <c r="AH129" i="44" s="1"/>
  <c r="AC203" i="44"/>
  <c r="AC253" i="44"/>
  <c r="AC223" i="44"/>
  <c r="AC254" i="44"/>
  <c r="R72" i="45"/>
  <c r="R73" i="45"/>
  <c r="R80" i="45" s="1"/>
  <c r="R94" i="45" s="1"/>
  <c r="AE196" i="44"/>
  <c r="AE201" i="44"/>
  <c r="AF195" i="44" s="1"/>
  <c r="AE200" i="44"/>
  <c r="T115" i="45"/>
  <c r="T116" i="45" s="1"/>
  <c r="T118" i="45" s="1"/>
  <c r="T95" i="45"/>
  <c r="U64" i="45"/>
  <c r="U65" i="45"/>
  <c r="V62" i="45" s="1"/>
  <c r="AQ82" i="44"/>
  <c r="AR77" i="44" s="1"/>
  <c r="AQ73" i="44"/>
  <c r="AQ78" i="44" s="1"/>
  <c r="AC138" i="44"/>
  <c r="AC172" i="44"/>
  <c r="X55" i="45"/>
  <c r="Y50" i="45" s="1"/>
  <c r="X46" i="45"/>
  <c r="X51" i="45" s="1"/>
  <c r="AF84" i="44"/>
  <c r="AF80" i="44"/>
  <c r="AB174" i="44"/>
  <c r="AB191" i="44" s="1"/>
  <c r="AB243" i="44"/>
  <c r="AB261" i="44" s="1"/>
  <c r="AB178" i="44"/>
  <c r="AP91" i="44"/>
  <c r="AP92" i="44"/>
  <c r="AQ89" i="44" s="1"/>
  <c r="AE155" i="44"/>
  <c r="AE242" i="44"/>
  <c r="AE177" i="44"/>
  <c r="AE179" i="44" s="1"/>
  <c r="AG144" i="44"/>
  <c r="AH141" i="44" s="1"/>
  <c r="AG143" i="44"/>
  <c r="W57" i="45"/>
  <c r="W53" i="45"/>
  <c r="AK103" i="44"/>
  <c r="AL99" i="44" s="1"/>
  <c r="AK102" i="44"/>
  <c r="AK105" i="44" s="1"/>
  <c r="AK111" i="44" s="1"/>
  <c r="P88" i="45"/>
  <c r="P100" i="45"/>
  <c r="AD247" i="44"/>
  <c r="AD260" i="44"/>
  <c r="AB160" i="44"/>
  <c r="AB159" i="44"/>
  <c r="AA192" i="44"/>
  <c r="AA193" i="44"/>
  <c r="AA210" i="44"/>
  <c r="AF137" i="44"/>
  <c r="AF153" i="44"/>
  <c r="AB185" i="44"/>
  <c r="AB199" i="44"/>
  <c r="AB218" i="44" s="1"/>
  <c r="AB252" i="44"/>
  <c r="AF75" i="44"/>
  <c r="AG72" i="44" s="1"/>
  <c r="AB192" i="44" l="1"/>
  <c r="AB193" i="44"/>
  <c r="AB210" i="44"/>
  <c r="Y47" i="45"/>
  <c r="Y48" i="45"/>
  <c r="Z45" i="45" s="1"/>
  <c r="AD223" i="44"/>
  <c r="AD254" i="44"/>
  <c r="AC160" i="44"/>
  <c r="AC159" i="44"/>
  <c r="Z231" i="44"/>
  <c r="Z234" i="44" s="1"/>
  <c r="Z232" i="44"/>
  <c r="Z235" i="44" s="1"/>
  <c r="Z255" i="44" s="1"/>
  <c r="AD279" i="44"/>
  <c r="AD280" i="44" s="1"/>
  <c r="AD282" i="44" s="1"/>
  <c r="AD265" i="44"/>
  <c r="V99" i="45"/>
  <c r="V101" i="45" s="1"/>
  <c r="V92" i="45"/>
  <c r="V81" i="45"/>
  <c r="V105" i="45"/>
  <c r="V107" i="45" s="1"/>
  <c r="AE164" i="44"/>
  <c r="AE165" i="44"/>
  <c r="AF162" i="44" s="1"/>
  <c r="AF87" i="44"/>
  <c r="AF97" i="44" s="1"/>
  <c r="AF120" i="44" s="1"/>
  <c r="AF109" i="44"/>
  <c r="AF112" i="44" s="1"/>
  <c r="Y55" i="45"/>
  <c r="Z50" i="45" s="1"/>
  <c r="Y46" i="45"/>
  <c r="Y51" i="45" s="1"/>
  <c r="AA211" i="44"/>
  <c r="AA212" i="44"/>
  <c r="AA230" i="44"/>
  <c r="AE122" i="44"/>
  <c r="AE125" i="44"/>
  <c r="AH130" i="44"/>
  <c r="AH135" i="44" s="1"/>
  <c r="AH139" i="44"/>
  <c r="AI134" i="44" s="1"/>
  <c r="AD138" i="44"/>
  <c r="AD172" i="44"/>
  <c r="R74" i="45"/>
  <c r="R87" i="45"/>
  <c r="Y236" i="44"/>
  <c r="Y238" i="44" s="1"/>
  <c r="Y270" i="44" s="1"/>
  <c r="Y246" i="44"/>
  <c r="Y264" i="44" s="1"/>
  <c r="AP81" i="44"/>
  <c r="AP94" i="44"/>
  <c r="AP110" i="44" s="1"/>
  <c r="AE219" i="44"/>
  <c r="AE204" i="44"/>
  <c r="W60" i="45"/>
  <c r="W78" i="45"/>
  <c r="AC225" i="44"/>
  <c r="AC227" i="44" s="1"/>
  <c r="AC269" i="44" s="1"/>
  <c r="AC245" i="44"/>
  <c r="AC263" i="44" s="1"/>
  <c r="AE247" i="44"/>
  <c r="AE260" i="44"/>
  <c r="AR82" i="44"/>
  <c r="AS77" i="44" s="1"/>
  <c r="AR73" i="44"/>
  <c r="AR78" i="44" s="1"/>
  <c r="AH132" i="44"/>
  <c r="AI129" i="44" s="1"/>
  <c r="AH131" i="44"/>
  <c r="T79" i="45"/>
  <c r="T93" i="45" s="1"/>
  <c r="T70" i="45"/>
  <c r="AD126" i="44"/>
  <c r="AD158" i="44"/>
  <c r="AD127" i="44"/>
  <c r="AE169" i="44"/>
  <c r="AE170" i="44"/>
  <c r="AF167" i="44" s="1"/>
  <c r="AG74" i="44"/>
  <c r="AE215" i="44"/>
  <c r="AE220" i="44"/>
  <c r="AE224" i="44" s="1"/>
  <c r="AE221" i="44"/>
  <c r="AF214" i="44" s="1"/>
  <c r="Q100" i="45"/>
  <c r="Q88" i="45"/>
  <c r="AC174" i="44"/>
  <c r="AC191" i="44" s="1"/>
  <c r="AC243" i="44"/>
  <c r="AC261" i="44" s="1"/>
  <c r="AC178" i="44"/>
  <c r="S72" i="45"/>
  <c r="S73" i="45"/>
  <c r="S80" i="45" s="1"/>
  <c r="S94" i="45" s="1"/>
  <c r="AC205" i="44"/>
  <c r="AC207" i="44" s="1"/>
  <c r="AC268" i="44" s="1"/>
  <c r="AC271" i="44" s="1"/>
  <c r="AC244" i="44"/>
  <c r="AC262" i="44" s="1"/>
  <c r="V64" i="45"/>
  <c r="V65" i="45"/>
  <c r="W62" i="45" s="1"/>
  <c r="AG137" i="44"/>
  <c r="AG153" i="44"/>
  <c r="AH142" i="44"/>
  <c r="AH147" i="44" s="1"/>
  <c r="AH151" i="44"/>
  <c r="AI146" i="44" s="1"/>
  <c r="AC185" i="44"/>
  <c r="AC199" i="44"/>
  <c r="AC218" i="44" s="1"/>
  <c r="AC252" i="44"/>
  <c r="AD173" i="44"/>
  <c r="AD150" i="44"/>
  <c r="AF196" i="44"/>
  <c r="AF201" i="44"/>
  <c r="AG195" i="44" s="1"/>
  <c r="AF200" i="44"/>
  <c r="AF184" i="44"/>
  <c r="AF186" i="44" s="1"/>
  <c r="AF198" i="44"/>
  <c r="AF217" i="44" s="1"/>
  <c r="AF251" i="44"/>
  <c r="AF256" i="44" s="1"/>
  <c r="AL103" i="44"/>
  <c r="AM99" i="44" s="1"/>
  <c r="AL102" i="44"/>
  <c r="AL105" i="44" s="1"/>
  <c r="AL111" i="44" s="1"/>
  <c r="AF155" i="44"/>
  <c r="AF177" i="44"/>
  <c r="AF179" i="44" s="1"/>
  <c r="AF242" i="44"/>
  <c r="AD203" i="44"/>
  <c r="AD253" i="44"/>
  <c r="AG149" i="44"/>
  <c r="AG154" i="44"/>
  <c r="AH143" i="44"/>
  <c r="AH144" i="44"/>
  <c r="AI141" i="44" s="1"/>
  <c r="AQ91" i="44"/>
  <c r="AQ92" i="44"/>
  <c r="AR89" i="44" s="1"/>
  <c r="U67" i="45"/>
  <c r="U54" i="45"/>
  <c r="X57" i="45"/>
  <c r="X53" i="45"/>
  <c r="U115" i="45"/>
  <c r="U116" i="45" s="1"/>
  <c r="U118" i="45" s="1"/>
  <c r="U95" i="45"/>
  <c r="AC192" i="44" l="1"/>
  <c r="AC193" i="44"/>
  <c r="AC210" i="44"/>
  <c r="S87" i="45"/>
  <c r="S74" i="45"/>
  <c r="AD160" i="44"/>
  <c r="AD159" i="44"/>
  <c r="AE203" i="44"/>
  <c r="AE253" i="44"/>
  <c r="AD185" i="44"/>
  <c r="AD199" i="44"/>
  <c r="AD218" i="44" s="1"/>
  <c r="AD252" i="44"/>
  <c r="AA231" i="44"/>
  <c r="AA234" i="44" s="1"/>
  <c r="AA232" i="44"/>
  <c r="AA235" i="44" s="1"/>
  <c r="AA255" i="44" s="1"/>
  <c r="AI142" i="44"/>
  <c r="AI147" i="44" s="1"/>
  <c r="AI151" i="44"/>
  <c r="AJ146" i="44" s="1"/>
  <c r="AH137" i="44"/>
  <c r="AH153" i="44"/>
  <c r="X78" i="45"/>
  <c r="X60" i="45"/>
  <c r="AE223" i="44"/>
  <c r="AE254" i="44"/>
  <c r="U79" i="45"/>
  <c r="U93" i="45" s="1"/>
  <c r="U70" i="45"/>
  <c r="AE265" i="44"/>
  <c r="AE279" i="44"/>
  <c r="AE280" i="44" s="1"/>
  <c r="AE282" i="44" s="1"/>
  <c r="AD174" i="44"/>
  <c r="AD191" i="44" s="1"/>
  <c r="AD178" i="44"/>
  <c r="AD243" i="44"/>
  <c r="AD261" i="44" s="1"/>
  <c r="AF165" i="44"/>
  <c r="AG162" i="44" s="1"/>
  <c r="AF164" i="44"/>
  <c r="AD225" i="44"/>
  <c r="AD227" i="44" s="1"/>
  <c r="AD269" i="44" s="1"/>
  <c r="AD245" i="44"/>
  <c r="AD263" i="44" s="1"/>
  <c r="AI131" i="44"/>
  <c r="AI132" i="44"/>
  <c r="AJ129" i="44" s="1"/>
  <c r="Z236" i="44"/>
  <c r="Z238" i="44" s="1"/>
  <c r="Z270" i="44" s="1"/>
  <c r="Z246" i="44"/>
  <c r="Z264" i="44" s="1"/>
  <c r="AF215" i="44"/>
  <c r="AF221" i="44"/>
  <c r="AG214" i="44" s="1"/>
  <c r="AF220" i="44"/>
  <c r="AF224" i="44" s="1"/>
  <c r="AR91" i="44"/>
  <c r="AR92" i="44"/>
  <c r="AS89" i="44" s="1"/>
  <c r="V67" i="45"/>
  <c r="V54" i="45"/>
  <c r="Y57" i="45"/>
  <c r="Y53" i="45"/>
  <c r="AS82" i="44"/>
  <c r="AT77" i="44" s="1"/>
  <c r="AS73" i="44"/>
  <c r="AS78" i="44" s="1"/>
  <c r="W65" i="45"/>
  <c r="X62" i="45" s="1"/>
  <c r="W64" i="45"/>
  <c r="AQ81" i="44"/>
  <c r="AQ94" i="44"/>
  <c r="AQ110" i="44" s="1"/>
  <c r="AI144" i="44"/>
  <c r="AJ141" i="44" s="1"/>
  <c r="AI143" i="44"/>
  <c r="AF219" i="44"/>
  <c r="AF204" i="44"/>
  <c r="AF169" i="44"/>
  <c r="AF170" i="44"/>
  <c r="AG167" i="44" s="1"/>
  <c r="AI130" i="44"/>
  <c r="AI135" i="44" s="1"/>
  <c r="AI139" i="44"/>
  <c r="AJ134" i="44" s="1"/>
  <c r="AB211" i="44"/>
  <c r="AB212" i="44"/>
  <c r="AB230" i="44"/>
  <c r="T72" i="45"/>
  <c r="T73" i="45"/>
  <c r="T80" i="45" s="1"/>
  <c r="T94" i="45" s="1"/>
  <c r="R100" i="45"/>
  <c r="R88" i="45"/>
  <c r="AM103" i="44"/>
  <c r="AN99" i="44" s="1"/>
  <c r="AM102" i="44"/>
  <c r="AM105" i="44" s="1"/>
  <c r="AM111" i="44" s="1"/>
  <c r="AF122" i="44"/>
  <c r="AF125" i="44"/>
  <c r="AG80" i="44"/>
  <c r="AG84" i="44"/>
  <c r="AE138" i="44"/>
  <c r="AE172" i="44"/>
  <c r="AG75" i="44"/>
  <c r="AH72" i="44" s="1"/>
  <c r="AH154" i="44"/>
  <c r="AH149" i="44"/>
  <c r="AG200" i="44"/>
  <c r="AG196" i="44"/>
  <c r="AG201" i="44"/>
  <c r="AH195" i="44" s="1"/>
  <c r="AE173" i="44"/>
  <c r="AE150" i="44"/>
  <c r="W99" i="45"/>
  <c r="W101" i="45" s="1"/>
  <c r="W92" i="45"/>
  <c r="W81" i="45"/>
  <c r="W105" i="45"/>
  <c r="W107" i="45" s="1"/>
  <c r="V115" i="45"/>
  <c r="V116" i="45" s="1"/>
  <c r="V118" i="45" s="1"/>
  <c r="V95" i="45"/>
  <c r="AD205" i="44"/>
  <c r="AD207" i="44" s="1"/>
  <c r="AD268" i="44" s="1"/>
  <c r="AD271" i="44" s="1"/>
  <c r="AD244" i="44"/>
  <c r="AD262" i="44" s="1"/>
  <c r="AF247" i="44"/>
  <c r="AF260" i="44"/>
  <c r="Z46" i="45"/>
  <c r="Z51" i="45" s="1"/>
  <c r="Z55" i="45"/>
  <c r="AA50" i="45" s="1"/>
  <c r="AG155" i="44"/>
  <c r="AG242" i="44"/>
  <c r="AG177" i="44"/>
  <c r="AG179" i="44" s="1"/>
  <c r="Z47" i="45"/>
  <c r="Z48" i="45"/>
  <c r="AA45" i="45" s="1"/>
  <c r="AG184" i="44"/>
  <c r="AG186" i="44" s="1"/>
  <c r="AG198" i="44"/>
  <c r="AG217" i="44" s="1"/>
  <c r="AG251" i="44"/>
  <c r="AG256" i="44" s="1"/>
  <c r="AE126" i="44"/>
  <c r="AE127" i="44"/>
  <c r="AE158" i="44"/>
  <c r="AD192" i="44" l="1"/>
  <c r="AD193" i="44"/>
  <c r="AD210" i="44"/>
  <c r="AA246" i="44"/>
  <c r="AA264" i="44" s="1"/>
  <c r="AA236" i="44"/>
  <c r="AA238" i="44" s="1"/>
  <c r="AA270" i="44" s="1"/>
  <c r="AE185" i="44"/>
  <c r="AE199" i="44"/>
  <c r="AE218" i="44" s="1"/>
  <c r="AE252" i="44"/>
  <c r="AN102" i="44"/>
  <c r="AN105" i="44" s="1"/>
  <c r="AN111" i="44" s="1"/>
  <c r="AN103" i="44"/>
  <c r="AO99" i="44" s="1"/>
  <c r="AI154" i="44"/>
  <c r="AI149" i="44"/>
  <c r="AF223" i="44"/>
  <c r="AF254" i="44"/>
  <c r="AE205" i="44"/>
  <c r="AE207" i="44" s="1"/>
  <c r="AE268" i="44" s="1"/>
  <c r="AE271" i="44" s="1"/>
  <c r="AE244" i="44"/>
  <c r="AE262" i="44" s="1"/>
  <c r="AR81" i="44"/>
  <c r="AR94" i="44"/>
  <c r="AR110" i="44" s="1"/>
  <c r="AJ143" i="44"/>
  <c r="AJ144" i="44"/>
  <c r="AK141" i="44" s="1"/>
  <c r="AE160" i="44"/>
  <c r="AE159" i="44"/>
  <c r="AI137" i="44"/>
  <c r="AI153" i="44"/>
  <c r="AG247" i="44"/>
  <c r="AG260" i="44"/>
  <c r="AG215" i="44"/>
  <c r="AG220" i="44"/>
  <c r="AG224" i="44" s="1"/>
  <c r="AG221" i="44"/>
  <c r="AH214" i="44" s="1"/>
  <c r="AF279" i="44"/>
  <c r="AF280" i="44" s="1"/>
  <c r="AF282" i="44" s="1"/>
  <c r="AF265" i="44"/>
  <c r="AH200" i="44"/>
  <c r="AH196" i="44"/>
  <c r="AH201" i="44"/>
  <c r="AI195" i="44" s="1"/>
  <c r="AB231" i="44"/>
  <c r="AB234" i="44" s="1"/>
  <c r="AB232" i="44"/>
  <c r="AB235" i="44" s="1"/>
  <c r="AB255" i="44" s="1"/>
  <c r="AJ132" i="44"/>
  <c r="AK129" i="44" s="1"/>
  <c r="AJ131" i="44"/>
  <c r="Y78" i="45"/>
  <c r="Y60" i="45"/>
  <c r="AF138" i="44"/>
  <c r="AF172" i="44"/>
  <c r="S100" i="45"/>
  <c r="S88" i="45"/>
  <c r="AA46" i="45"/>
  <c r="AA51" i="45" s="1"/>
  <c r="AA55" i="45"/>
  <c r="AB50" i="45" s="1"/>
  <c r="T87" i="45"/>
  <c r="T74" i="45"/>
  <c r="AE245" i="44"/>
  <c r="AE263" i="44" s="1"/>
  <c r="AE225" i="44"/>
  <c r="AE227" i="44" s="1"/>
  <c r="AE269" i="44" s="1"/>
  <c r="AE174" i="44"/>
  <c r="AE191" i="44" s="1"/>
  <c r="AE178" i="44"/>
  <c r="AE243" i="44"/>
  <c r="AE261" i="44" s="1"/>
  <c r="AJ130" i="44"/>
  <c r="AJ135" i="44" s="1"/>
  <c r="AJ139" i="44"/>
  <c r="AK134" i="44" s="1"/>
  <c r="AH155" i="44"/>
  <c r="AH242" i="44"/>
  <c r="AH177" i="44"/>
  <c r="AH179" i="44" s="1"/>
  <c r="AG169" i="44"/>
  <c r="AG170" i="44"/>
  <c r="AH167" i="44" s="1"/>
  <c r="AG164" i="44"/>
  <c r="AG165" i="44"/>
  <c r="AH162" i="44" s="1"/>
  <c r="AJ142" i="44"/>
  <c r="AJ147" i="44" s="1"/>
  <c r="AJ151" i="44"/>
  <c r="AK146" i="44" s="1"/>
  <c r="AC230" i="44"/>
  <c r="AC211" i="44"/>
  <c r="AC212" i="44"/>
  <c r="U72" i="45"/>
  <c r="U73" i="45"/>
  <c r="U80" i="45" s="1"/>
  <c r="U94" i="45" s="1"/>
  <c r="AG219" i="44"/>
  <c r="AG204" i="44"/>
  <c r="W115" i="45"/>
  <c r="W116" i="45" s="1"/>
  <c r="W118" i="45" s="1"/>
  <c r="W95" i="45"/>
  <c r="AF127" i="44"/>
  <c r="AF126" i="44"/>
  <c r="AF158" i="44"/>
  <c r="AF150" i="44"/>
  <c r="AF173" i="44"/>
  <c r="V79" i="45"/>
  <c r="V93" i="45" s="1"/>
  <c r="V70" i="45"/>
  <c r="W67" i="45"/>
  <c r="W54" i="45"/>
  <c r="AH184" i="44"/>
  <c r="AH186" i="44" s="1"/>
  <c r="AH198" i="44"/>
  <c r="AH217" i="44" s="1"/>
  <c r="AH251" i="44"/>
  <c r="AH256" i="44" s="1"/>
  <c r="X65" i="45"/>
  <c r="Y62" i="45" s="1"/>
  <c r="X64" i="45"/>
  <c r="AH74" i="44"/>
  <c r="AH75" i="44" s="1"/>
  <c r="AI72" i="44" s="1"/>
  <c r="AT82" i="44"/>
  <c r="AU77" i="44" s="1"/>
  <c r="AT73" i="44"/>
  <c r="AT78" i="44" s="1"/>
  <c r="X99" i="45"/>
  <c r="X101" i="45" s="1"/>
  <c r="X92" i="45"/>
  <c r="X81" i="45"/>
  <c r="X105" i="45"/>
  <c r="X107" i="45" s="1"/>
  <c r="AG109" i="44"/>
  <c r="AG112" i="44" s="1"/>
  <c r="AG87" i="44"/>
  <c r="AG97" i="44" s="1"/>
  <c r="AG120" i="44" s="1"/>
  <c r="AA47" i="45"/>
  <c r="AA48" i="45"/>
  <c r="AB45" i="45" s="1"/>
  <c r="Z57" i="45"/>
  <c r="Z53" i="45"/>
  <c r="AF253" i="44"/>
  <c r="AF203" i="44"/>
  <c r="AS92" i="44"/>
  <c r="AT89" i="44" s="1"/>
  <c r="AS91" i="44"/>
  <c r="AE192" i="44" l="1"/>
  <c r="AE193" i="44"/>
  <c r="AE210" i="44"/>
  <c r="AI74" i="44"/>
  <c r="AI75" i="44"/>
  <c r="AJ72" i="44" s="1"/>
  <c r="U87" i="45"/>
  <c r="U74" i="45"/>
  <c r="Y99" i="45"/>
  <c r="Y101" i="45" s="1"/>
  <c r="Y92" i="45"/>
  <c r="Y81" i="45"/>
  <c r="Y105" i="45"/>
  <c r="Y107" i="45" s="1"/>
  <c r="AF245" i="44"/>
  <c r="AF263" i="44" s="1"/>
  <c r="AF225" i="44"/>
  <c r="AF227" i="44" s="1"/>
  <c r="AF269" i="44" s="1"/>
  <c r="AI155" i="44"/>
  <c r="AI242" i="44"/>
  <c r="AI177" i="44"/>
  <c r="AI179" i="44" s="1"/>
  <c r="AK131" i="44"/>
  <c r="AK132" i="44"/>
  <c r="AL129" i="44" s="1"/>
  <c r="AG138" i="44"/>
  <c r="AG172" i="44"/>
  <c r="T88" i="45"/>
  <c r="T100" i="45"/>
  <c r="V72" i="45"/>
  <c r="V73" i="45"/>
  <c r="V80" i="45" s="1"/>
  <c r="V94" i="45" s="1"/>
  <c r="AJ137" i="44"/>
  <c r="AJ153" i="44"/>
  <c r="AC231" i="44"/>
  <c r="AC234" i="44" s="1"/>
  <c r="AC232" i="44"/>
  <c r="AC235" i="44" s="1"/>
  <c r="AC255" i="44" s="1"/>
  <c r="AI184" i="44"/>
  <c r="AI186" i="44" s="1"/>
  <c r="AI198" i="44"/>
  <c r="AI217" i="44" s="1"/>
  <c r="AI251" i="44"/>
  <c r="AI256" i="44" s="1"/>
  <c r="AK142" i="44"/>
  <c r="AK147" i="44" s="1"/>
  <c r="AK151" i="44"/>
  <c r="AL146" i="44" s="1"/>
  <c r="AS81" i="44"/>
  <c r="AS94" i="44"/>
  <c r="AS110" i="44" s="1"/>
  <c r="AB236" i="44"/>
  <c r="AB238" i="44" s="1"/>
  <c r="AB270" i="44" s="1"/>
  <c r="AB246" i="44"/>
  <c r="AB264" i="44" s="1"/>
  <c r="AT92" i="44"/>
  <c r="AU89" i="44" s="1"/>
  <c r="AT91" i="44"/>
  <c r="AH165" i="44"/>
  <c r="AI162" i="44" s="1"/>
  <c r="AH164" i="44"/>
  <c r="AF205" i="44"/>
  <c r="AF207" i="44" s="1"/>
  <c r="AF268" i="44" s="1"/>
  <c r="AF271" i="44" s="1"/>
  <c r="AF244" i="44"/>
  <c r="AF262" i="44" s="1"/>
  <c r="AH169" i="44"/>
  <c r="AH170" i="44"/>
  <c r="AI167" i="44" s="1"/>
  <c r="AH219" i="44"/>
  <c r="AH204" i="44"/>
  <c r="AJ154" i="44"/>
  <c r="AJ149" i="44"/>
  <c r="AU82" i="44"/>
  <c r="AV77" i="44" s="1"/>
  <c r="AU73" i="44"/>
  <c r="AU78" i="44" s="1"/>
  <c r="AH80" i="44"/>
  <c r="AH84" i="44"/>
  <c r="AB47" i="45"/>
  <c r="AB48" i="45"/>
  <c r="AC45" i="45" s="1"/>
  <c r="AH215" i="44"/>
  <c r="AH220" i="44"/>
  <c r="AH224" i="44" s="1"/>
  <c r="AH221" i="44"/>
  <c r="AI214" i="44" s="1"/>
  <c r="AD230" i="44"/>
  <c r="AD211" i="44"/>
  <c r="AD212" i="44"/>
  <c r="AG279" i="44"/>
  <c r="AG280" i="44" s="1"/>
  <c r="AG282" i="44" s="1"/>
  <c r="AG265" i="44"/>
  <c r="W79" i="45"/>
  <c r="W93" i="45" s="1"/>
  <c r="W70" i="45"/>
  <c r="AO103" i="44"/>
  <c r="AP99" i="44" s="1"/>
  <c r="AO102" i="44"/>
  <c r="AO105" i="44" s="1"/>
  <c r="AO111" i="44" s="1"/>
  <c r="AI200" i="44"/>
  <c r="AI196" i="44"/>
  <c r="AI201" i="44"/>
  <c r="AJ195" i="44" s="1"/>
  <c r="X67" i="45"/>
  <c r="X54" i="45"/>
  <c r="Z60" i="45"/>
  <c r="Z78" i="45"/>
  <c r="AA57" i="45"/>
  <c r="AA53" i="45"/>
  <c r="AF178" i="44"/>
  <c r="AF174" i="44"/>
  <c r="AF191" i="44" s="1"/>
  <c r="AF243" i="44"/>
  <c r="AF261" i="44" s="1"/>
  <c r="AG223" i="44"/>
  <c r="AG254" i="44"/>
  <c r="X115" i="45"/>
  <c r="X116" i="45" s="1"/>
  <c r="X118" i="45" s="1"/>
  <c r="X95" i="45"/>
  <c r="AF185" i="44"/>
  <c r="AF199" i="44"/>
  <c r="AF218" i="44" s="1"/>
  <c r="AF252" i="44"/>
  <c r="AF160" i="44"/>
  <c r="AF159" i="44"/>
  <c r="AB55" i="45"/>
  <c r="AC50" i="45" s="1"/>
  <c r="AB46" i="45"/>
  <c r="AB51" i="45" s="1"/>
  <c r="AK143" i="44"/>
  <c r="AK144" i="44"/>
  <c r="AL141" i="44" s="1"/>
  <c r="AG150" i="44"/>
  <c r="AG173" i="44"/>
  <c r="Y65" i="45"/>
  <c r="Z62" i="45" s="1"/>
  <c r="Y64" i="45"/>
  <c r="AG253" i="44"/>
  <c r="AG203" i="44"/>
  <c r="AH247" i="44"/>
  <c r="AH260" i="44"/>
  <c r="AG122" i="44"/>
  <c r="AG125" i="44"/>
  <c r="AK130" i="44"/>
  <c r="AK135" i="44" s="1"/>
  <c r="AK139" i="44"/>
  <c r="AL134" i="44" s="1"/>
  <c r="AF192" i="44" l="1"/>
  <c r="AF193" i="44"/>
  <c r="AF210" i="44"/>
  <c r="AC47" i="45"/>
  <c r="AC48" i="45"/>
  <c r="AD45" i="45" s="1"/>
  <c r="AH172" i="44"/>
  <c r="AH138" i="44"/>
  <c r="AC236" i="44"/>
  <c r="AC238" i="44" s="1"/>
  <c r="AC270" i="44" s="1"/>
  <c r="AC246" i="44"/>
  <c r="AC264" i="44" s="1"/>
  <c r="AI219" i="44"/>
  <c r="AI204" i="44"/>
  <c r="AI165" i="44"/>
  <c r="AJ162" i="44" s="1"/>
  <c r="AI164" i="44"/>
  <c r="AG199" i="44"/>
  <c r="AG218" i="44" s="1"/>
  <c r="AG185" i="44"/>
  <c r="AG252" i="44"/>
  <c r="AU92" i="44"/>
  <c r="AV89" i="44" s="1"/>
  <c r="AU91" i="44"/>
  <c r="AB57" i="45"/>
  <c r="AB53" i="45"/>
  <c r="AT81" i="44"/>
  <c r="AT94" i="44"/>
  <c r="AT110" i="44" s="1"/>
  <c r="AP103" i="44"/>
  <c r="AQ99" i="44" s="1"/>
  <c r="AP102" i="44"/>
  <c r="AP105" i="44" s="1"/>
  <c r="AP111" i="44" s="1"/>
  <c r="Y95" i="45"/>
  <c r="Y115" i="45"/>
  <c r="Y116" i="45" s="1"/>
  <c r="Y118" i="45" s="1"/>
  <c r="Z64" i="45"/>
  <c r="Z65" i="45"/>
  <c r="AA62" i="45" s="1"/>
  <c r="W73" i="45"/>
  <c r="W80" i="45" s="1"/>
  <c r="W94" i="45" s="1"/>
  <c r="W72" i="45"/>
  <c r="AK149" i="44"/>
  <c r="AK154" i="44"/>
  <c r="V74" i="45"/>
  <c r="V87" i="45"/>
  <c r="AL130" i="44"/>
  <c r="AL135" i="44" s="1"/>
  <c r="AL139" i="44"/>
  <c r="AM134" i="44" s="1"/>
  <c r="AC46" i="45"/>
  <c r="AC51" i="45" s="1"/>
  <c r="AC55" i="45"/>
  <c r="AD50" i="45" s="1"/>
  <c r="AJ184" i="44"/>
  <c r="AJ186" i="44" s="1"/>
  <c r="AJ198" i="44"/>
  <c r="AJ217" i="44" s="1"/>
  <c r="AJ251" i="44"/>
  <c r="AJ256" i="44" s="1"/>
  <c r="U88" i="45"/>
  <c r="U100" i="45"/>
  <c r="AI170" i="44"/>
  <c r="AJ167" i="44" s="1"/>
  <c r="AI169" i="44"/>
  <c r="AL131" i="44"/>
  <c r="AL132" i="44"/>
  <c r="AM129" i="44" s="1"/>
  <c r="AI80" i="44"/>
  <c r="AI84" i="44"/>
  <c r="Y67" i="45"/>
  <c r="Y54" i="45"/>
  <c r="AH109" i="44"/>
  <c r="AH112" i="44" s="1"/>
  <c r="AH87" i="44"/>
  <c r="AH97" i="44" s="1"/>
  <c r="AH120" i="44" s="1"/>
  <c r="AG245" i="44"/>
  <c r="AG263" i="44" s="1"/>
  <c r="AG225" i="44"/>
  <c r="AG227" i="44" s="1"/>
  <c r="AG269" i="44" s="1"/>
  <c r="AL142" i="44"/>
  <c r="AL147" i="44" s="1"/>
  <c r="AL151" i="44"/>
  <c r="AM146" i="44" s="1"/>
  <c r="Z99" i="45"/>
  <c r="Z101" i="45" s="1"/>
  <c r="Z81" i="45"/>
  <c r="Z92" i="45"/>
  <c r="Z105" i="45"/>
  <c r="Z107" i="45" s="1"/>
  <c r="AJ74" i="44"/>
  <c r="AJ75" i="44"/>
  <c r="AK72" i="44" s="1"/>
  <c r="AI221" i="44"/>
  <c r="AJ214" i="44" s="1"/>
  <c r="AI215" i="44"/>
  <c r="AI220" i="44"/>
  <c r="AI224" i="44" s="1"/>
  <c r="AH150" i="44"/>
  <c r="AH173" i="44"/>
  <c r="AK137" i="44"/>
  <c r="AK153" i="44"/>
  <c r="AE230" i="44"/>
  <c r="AE211" i="44"/>
  <c r="AE212" i="44"/>
  <c r="AJ155" i="44"/>
  <c r="AJ177" i="44"/>
  <c r="AJ179" i="44" s="1"/>
  <c r="AJ242" i="44"/>
  <c r="AV73" i="44"/>
  <c r="AV78" i="44" s="1"/>
  <c r="AV82" i="44"/>
  <c r="AW77" i="44" s="1"/>
  <c r="AG126" i="44"/>
  <c r="AG127" i="44"/>
  <c r="AG158" i="44"/>
  <c r="AG178" i="44"/>
  <c r="AG174" i="44"/>
  <c r="AG243" i="44"/>
  <c r="AG261" i="44" s="1"/>
  <c r="AH279" i="44"/>
  <c r="AH280" i="44" s="1"/>
  <c r="AH282" i="44" s="1"/>
  <c r="AH265" i="44"/>
  <c r="AD231" i="44"/>
  <c r="AD234" i="44" s="1"/>
  <c r="AD232" i="44"/>
  <c r="AD235" i="44" s="1"/>
  <c r="AD255" i="44" s="1"/>
  <c r="AH223" i="44"/>
  <c r="AH254" i="44"/>
  <c r="AL143" i="44"/>
  <c r="AL144" i="44"/>
  <c r="AM141" i="44" s="1"/>
  <c r="AA60" i="45"/>
  <c r="AA78" i="45"/>
  <c r="AH253" i="44"/>
  <c r="AH203" i="44"/>
  <c r="AG244" i="44"/>
  <c r="AG262" i="44" s="1"/>
  <c r="AG205" i="44"/>
  <c r="AG207" i="44" s="1"/>
  <c r="AG268" i="44" s="1"/>
  <c r="AG271" i="44" s="1"/>
  <c r="X79" i="45"/>
  <c r="X93" i="45" s="1"/>
  <c r="X70" i="45"/>
  <c r="AJ200" i="44"/>
  <c r="AJ196" i="44"/>
  <c r="AJ201" i="44"/>
  <c r="AK195" i="44" s="1"/>
  <c r="AI247" i="44"/>
  <c r="AI260" i="44"/>
  <c r="AA64" i="45" l="1"/>
  <c r="AA65" i="45"/>
  <c r="AB62" i="45" s="1"/>
  <c r="Z54" i="45"/>
  <c r="Z67" i="45"/>
  <c r="AI138" i="44"/>
  <c r="AI172" i="44"/>
  <c r="AD46" i="45"/>
  <c r="AD51" i="45" s="1"/>
  <c r="AD55" i="45"/>
  <c r="AE50" i="45" s="1"/>
  <c r="AJ164" i="44"/>
  <c r="AJ165" i="44"/>
  <c r="AK162" i="44" s="1"/>
  <c r="AI223" i="44"/>
  <c r="AI254" i="44"/>
  <c r="AK200" i="44"/>
  <c r="AK196" i="44"/>
  <c r="AK201" i="44"/>
  <c r="AL195" i="44" s="1"/>
  <c r="AJ247" i="44"/>
  <c r="AJ260" i="44"/>
  <c r="AM131" i="44"/>
  <c r="AM132" i="44"/>
  <c r="AN129" i="44" s="1"/>
  <c r="AB60" i="45"/>
  <c r="AB78" i="45"/>
  <c r="AD47" i="45"/>
  <c r="AD48" i="45"/>
  <c r="AE45" i="45" s="1"/>
  <c r="AK177" i="44"/>
  <c r="AK179" i="44" s="1"/>
  <c r="AK155" i="44"/>
  <c r="AK242" i="44"/>
  <c r="AH185" i="44"/>
  <c r="AH199" i="44"/>
  <c r="AH218" i="44" s="1"/>
  <c r="AH252" i="44"/>
  <c r="AG160" i="44"/>
  <c r="AG159" i="44"/>
  <c r="AG191" i="44"/>
  <c r="AI279" i="44"/>
  <c r="AI280" i="44" s="1"/>
  <c r="AI282" i="44" s="1"/>
  <c r="AI265" i="44"/>
  <c r="Y79" i="45"/>
  <c r="Y93" i="45" s="1"/>
  <c r="Y70" i="45"/>
  <c r="AL149" i="44"/>
  <c r="AL154" i="44"/>
  <c r="AI109" i="44"/>
  <c r="AI112" i="44" s="1"/>
  <c r="AI87" i="44"/>
  <c r="AI97" i="44" s="1"/>
  <c r="AI120" i="44" s="1"/>
  <c r="AJ219" i="44"/>
  <c r="AJ204" i="44"/>
  <c r="Z95" i="45"/>
  <c r="Z115" i="45"/>
  <c r="Z116" i="45" s="1"/>
  <c r="Z118" i="45" s="1"/>
  <c r="AL137" i="44"/>
  <c r="AL153" i="44"/>
  <c r="AK184" i="44"/>
  <c r="AK186" i="44" s="1"/>
  <c r="AK251" i="44"/>
  <c r="AK256" i="44" s="1"/>
  <c r="AK198" i="44"/>
  <c r="AK217" i="44" s="1"/>
  <c r="AU81" i="44"/>
  <c r="AU94" i="44"/>
  <c r="AU110" i="44" s="1"/>
  <c r="AC53" i="45"/>
  <c r="AC57" i="45"/>
  <c r="AH205" i="44"/>
  <c r="AH207" i="44" s="1"/>
  <c r="AH268" i="44" s="1"/>
  <c r="AH271" i="44" s="1"/>
  <c r="AH244" i="44"/>
  <c r="AH262" i="44" s="1"/>
  <c r="AH125" i="44"/>
  <c r="AH122" i="44"/>
  <c r="AM143" i="44"/>
  <c r="AM144" i="44"/>
  <c r="AN141" i="44" s="1"/>
  <c r="V88" i="45"/>
  <c r="V100" i="45"/>
  <c r="AH245" i="44"/>
  <c r="AH263" i="44" s="1"/>
  <c r="AH225" i="44"/>
  <c r="AH227" i="44" s="1"/>
  <c r="AH269" i="44" s="1"/>
  <c r="AI150" i="44"/>
  <c r="AI173" i="44"/>
  <c r="AV91" i="44"/>
  <c r="AV92" i="44"/>
  <c r="AW89" i="44" s="1"/>
  <c r="AF230" i="44"/>
  <c r="AF211" i="44"/>
  <c r="AF212" i="44"/>
  <c r="AI253" i="44"/>
  <c r="AI203" i="44"/>
  <c r="AJ221" i="44"/>
  <c r="AK214" i="44" s="1"/>
  <c r="AJ215" i="44"/>
  <c r="AJ220" i="44"/>
  <c r="AJ224" i="44" s="1"/>
  <c r="AM130" i="44"/>
  <c r="AM135" i="44" s="1"/>
  <c r="AM139" i="44"/>
  <c r="AN134" i="44" s="1"/>
  <c r="AH178" i="44"/>
  <c r="AH174" i="44"/>
  <c r="AH243" i="44"/>
  <c r="AH261" i="44" s="1"/>
  <c r="AD246" i="44"/>
  <c r="AD264" i="44" s="1"/>
  <c r="AD236" i="44"/>
  <c r="AD238" i="44" s="1"/>
  <c r="AD270" i="44" s="1"/>
  <c r="AJ169" i="44"/>
  <c r="AJ170" i="44"/>
  <c r="AK167" i="44" s="1"/>
  <c r="W74" i="45"/>
  <c r="W87" i="45"/>
  <c r="AA81" i="45"/>
  <c r="AA105" i="45"/>
  <c r="AA107" i="45" s="1"/>
  <c r="AA99" i="45"/>
  <c r="AA101" i="45" s="1"/>
  <c r="AA92" i="45"/>
  <c r="AQ102" i="44"/>
  <c r="AQ105" i="44" s="1"/>
  <c r="AQ111" i="44" s="1"/>
  <c r="AQ103" i="44"/>
  <c r="AR99" i="44" s="1"/>
  <c r="AW82" i="44"/>
  <c r="AX77" i="44" s="1"/>
  <c r="AW73" i="44"/>
  <c r="AW78" i="44" s="1"/>
  <c r="AK74" i="44"/>
  <c r="AJ80" i="44"/>
  <c r="AJ84" i="44"/>
  <c r="X73" i="45"/>
  <c r="X80" i="45" s="1"/>
  <c r="X94" i="45" s="1"/>
  <c r="X72" i="45"/>
  <c r="AE231" i="44"/>
  <c r="AE234" i="44" s="1"/>
  <c r="AE232" i="44"/>
  <c r="AE235" i="44" s="1"/>
  <c r="AE255" i="44" s="1"/>
  <c r="AM142" i="44"/>
  <c r="AM147" i="44" s="1"/>
  <c r="AM151" i="44"/>
  <c r="AN146" i="44" s="1"/>
  <c r="AK84" i="44" l="1"/>
  <c r="AK80" i="44"/>
  <c r="AI122" i="44"/>
  <c r="AI125" i="44"/>
  <c r="AK247" i="44"/>
  <c r="AK260" i="44"/>
  <c r="AJ150" i="44"/>
  <c r="AJ173" i="44"/>
  <c r="AL184" i="44"/>
  <c r="AL186" i="44" s="1"/>
  <c r="AL251" i="44"/>
  <c r="AL256" i="44" s="1"/>
  <c r="AL198" i="44"/>
  <c r="AL217" i="44" s="1"/>
  <c r="AD53" i="45"/>
  <c r="AD57" i="45"/>
  <c r="AE46" i="45"/>
  <c r="AE51" i="45" s="1"/>
  <c r="AE55" i="45"/>
  <c r="AF50" i="45" s="1"/>
  <c r="AK75" i="44"/>
  <c r="AL72" i="44" s="1"/>
  <c r="AX73" i="44"/>
  <c r="AX78" i="44" s="1"/>
  <c r="AX82" i="44"/>
  <c r="AY77" i="44" s="1"/>
  <c r="AJ172" i="44"/>
  <c r="AJ138" i="44"/>
  <c r="AJ253" i="44"/>
  <c r="AJ203" i="44"/>
  <c r="AF232" i="44"/>
  <c r="AF235" i="44" s="1"/>
  <c r="AF255" i="44" s="1"/>
  <c r="AF231" i="44"/>
  <c r="AF234" i="44" s="1"/>
  <c r="AH127" i="44"/>
  <c r="AH126" i="44"/>
  <c r="AH158" i="44"/>
  <c r="AC60" i="45"/>
  <c r="AC78" i="45"/>
  <c r="AV94" i="44"/>
  <c r="AV110" i="44" s="1"/>
  <c r="AV81" i="44"/>
  <c r="AE47" i="45"/>
  <c r="AE48" i="45"/>
  <c r="AF45" i="45" s="1"/>
  <c r="AA95" i="45"/>
  <c r="AA115" i="45"/>
  <c r="AA116" i="45" s="1"/>
  <c r="AA118" i="45" s="1"/>
  <c r="AI178" i="44"/>
  <c r="AI174" i="44"/>
  <c r="AI243" i="44"/>
  <c r="AI261" i="44" s="1"/>
  <c r="Z79" i="45"/>
  <c r="Z93" i="45" s="1"/>
  <c r="Z70" i="45"/>
  <c r="AK219" i="44"/>
  <c r="AK204" i="44"/>
  <c r="AK165" i="44"/>
  <c r="AL162" i="44" s="1"/>
  <c r="AK164" i="44"/>
  <c r="AI199" i="44"/>
  <c r="AI218" i="44" s="1"/>
  <c r="AI252" i="44"/>
  <c r="AI185" i="44"/>
  <c r="AN130" i="44"/>
  <c r="AN135" i="44" s="1"/>
  <c r="AN139" i="44"/>
  <c r="AO134" i="44" s="1"/>
  <c r="AN142" i="44"/>
  <c r="AN147" i="44" s="1"/>
  <c r="AN151" i="44"/>
  <c r="AO146" i="44" s="1"/>
  <c r="AB105" i="45"/>
  <c r="AB107" i="45" s="1"/>
  <c r="AB99" i="45"/>
  <c r="AB101" i="45" s="1"/>
  <c r="AB92" i="45"/>
  <c r="AB81" i="45"/>
  <c r="AL177" i="44"/>
  <c r="AL179" i="44" s="1"/>
  <c r="AL155" i="44"/>
  <c r="AL242" i="44"/>
  <c r="AG192" i="44"/>
  <c r="AG193" i="44"/>
  <c r="AG210" i="44"/>
  <c r="AM137" i="44"/>
  <c r="AM153" i="44"/>
  <c r="X74" i="45"/>
  <c r="X87" i="45"/>
  <c r="W88" i="45"/>
  <c r="W100" i="45"/>
  <c r="AN143" i="44"/>
  <c r="AN144" i="44"/>
  <c r="AO141" i="44" s="1"/>
  <c r="AJ265" i="44"/>
  <c r="AJ279" i="44"/>
  <c r="AJ280" i="44" s="1"/>
  <c r="AJ282" i="44" s="1"/>
  <c r="AI245" i="44"/>
  <c r="AI263" i="44" s="1"/>
  <c r="AI225" i="44"/>
  <c r="AI227" i="44" s="1"/>
  <c r="AI269" i="44" s="1"/>
  <c r="Y73" i="45"/>
  <c r="Y80" i="45" s="1"/>
  <c r="Y94" i="45" s="1"/>
  <c r="Y72" i="45"/>
  <c r="AJ223" i="44"/>
  <c r="AJ254" i="44"/>
  <c r="AI205" i="44"/>
  <c r="AI207" i="44" s="1"/>
  <c r="AI268" i="44" s="1"/>
  <c r="AI271" i="44" s="1"/>
  <c r="AI244" i="44"/>
  <c r="AI262" i="44" s="1"/>
  <c r="AW91" i="44"/>
  <c r="AW92" i="44"/>
  <c r="AX89" i="44" s="1"/>
  <c r="AR102" i="44"/>
  <c r="AR105" i="44" s="1"/>
  <c r="AR111" i="44" s="1"/>
  <c r="AR103" i="44"/>
  <c r="AS99" i="44" s="1"/>
  <c r="AN131" i="44"/>
  <c r="AN132" i="44"/>
  <c r="AO129" i="44" s="1"/>
  <c r="AE246" i="44"/>
  <c r="AE264" i="44" s="1"/>
  <c r="AE236" i="44"/>
  <c r="AE238" i="44" s="1"/>
  <c r="AE270" i="44" s="1"/>
  <c r="AK221" i="44"/>
  <c r="AL214" i="44" s="1"/>
  <c r="AK220" i="44"/>
  <c r="AK224" i="44" s="1"/>
  <c r="AK215" i="44"/>
  <c r="AM149" i="44"/>
  <c r="AM154" i="44"/>
  <c r="AB64" i="45"/>
  <c r="AB65" i="45"/>
  <c r="AC62" i="45" s="1"/>
  <c r="AJ87" i="44"/>
  <c r="AJ97" i="44" s="1"/>
  <c r="AJ120" i="44" s="1"/>
  <c r="AJ109" i="44"/>
  <c r="AJ112" i="44" s="1"/>
  <c r="AK169" i="44"/>
  <c r="AK170" i="44"/>
  <c r="AL167" i="44" s="1"/>
  <c r="AL200" i="44"/>
  <c r="AL196" i="44"/>
  <c r="AL201" i="44"/>
  <c r="AM195" i="44" s="1"/>
  <c r="AA54" i="45"/>
  <c r="AA67" i="45"/>
  <c r="AK150" i="44" l="1"/>
  <c r="AK173" i="44"/>
  <c r="AK203" i="44"/>
  <c r="AK253" i="44"/>
  <c r="AD60" i="45"/>
  <c r="AD78" i="45"/>
  <c r="AJ122" i="44"/>
  <c r="AJ125" i="44"/>
  <c r="AB95" i="45"/>
  <c r="AB115" i="45"/>
  <c r="AB116" i="45" s="1"/>
  <c r="AB118" i="45" s="1"/>
  <c r="AB54" i="45"/>
  <c r="AB67" i="45"/>
  <c r="AF246" i="44"/>
  <c r="AF264" i="44" s="1"/>
  <c r="AF236" i="44"/>
  <c r="AF238" i="44" s="1"/>
  <c r="AF270" i="44" s="1"/>
  <c r="AJ205" i="44"/>
  <c r="AJ207" i="44" s="1"/>
  <c r="AJ268" i="44" s="1"/>
  <c r="AJ271" i="44" s="1"/>
  <c r="AJ244" i="44"/>
  <c r="AJ262" i="44" s="1"/>
  <c r="AJ199" i="44"/>
  <c r="AJ218" i="44" s="1"/>
  <c r="AJ252" i="44"/>
  <c r="AJ185" i="44"/>
  <c r="AO143" i="44"/>
  <c r="AO144" i="44"/>
  <c r="AP141" i="44" s="1"/>
  <c r="AW81" i="44"/>
  <c r="AW94" i="44"/>
  <c r="AW110" i="44" s="1"/>
  <c r="AM184" i="44"/>
  <c r="AM186" i="44" s="1"/>
  <c r="AM251" i="44"/>
  <c r="AM256" i="44" s="1"/>
  <c r="AM198" i="44"/>
  <c r="AM217" i="44" s="1"/>
  <c r="X88" i="45"/>
  <c r="X100" i="45"/>
  <c r="AO142" i="44"/>
  <c r="AO147" i="44" s="1"/>
  <c r="AO151" i="44"/>
  <c r="AP146" i="44" s="1"/>
  <c r="AM177" i="44"/>
  <c r="AM179" i="44" s="1"/>
  <c r="AM155" i="44"/>
  <c r="AM242" i="44"/>
  <c r="AO130" i="44"/>
  <c r="AO135" i="44" s="1"/>
  <c r="AO139" i="44"/>
  <c r="AP134" i="44" s="1"/>
  <c r="AS102" i="44"/>
  <c r="AS105" i="44" s="1"/>
  <c r="AS111" i="44" s="1"/>
  <c r="AS103" i="44"/>
  <c r="AT99" i="44" s="1"/>
  <c r="AN149" i="44"/>
  <c r="AN154" i="44"/>
  <c r="AC64" i="45"/>
  <c r="AC65" i="45"/>
  <c r="AD62" i="45" s="1"/>
  <c r="AA79" i="45"/>
  <c r="AA93" i="45" s="1"/>
  <c r="AA70" i="45"/>
  <c r="AJ225" i="44"/>
  <c r="AJ227" i="44" s="1"/>
  <c r="AJ269" i="44" s="1"/>
  <c r="AJ245" i="44"/>
  <c r="AJ263" i="44" s="1"/>
  <c r="AK265" i="44"/>
  <c r="AK279" i="44"/>
  <c r="AK280" i="44" s="1"/>
  <c r="AK282" i="44" s="1"/>
  <c r="AL221" i="44"/>
  <c r="AM214" i="44" s="1"/>
  <c r="AL215" i="44"/>
  <c r="AL220" i="44"/>
  <c r="AL224" i="44" s="1"/>
  <c r="Y74" i="45"/>
  <c r="Y87" i="45"/>
  <c r="AG212" i="44"/>
  <c r="AG230" i="44"/>
  <c r="AG211" i="44"/>
  <c r="AF48" i="45"/>
  <c r="AG45" i="45" s="1"/>
  <c r="AF47" i="45"/>
  <c r="AJ178" i="44"/>
  <c r="AJ174" i="44"/>
  <c r="AJ243" i="44"/>
  <c r="AJ261" i="44" s="1"/>
  <c r="AM200" i="44"/>
  <c r="AM196" i="44"/>
  <c r="AM201" i="44"/>
  <c r="AN195" i="44" s="1"/>
  <c r="AE53" i="45"/>
  <c r="AE57" i="45"/>
  <c r="AY73" i="44"/>
  <c r="AY78" i="44" s="1"/>
  <c r="AY82" i="44"/>
  <c r="AZ77" i="44" s="1"/>
  <c r="AI126" i="44"/>
  <c r="AI127" i="44"/>
  <c r="AI158" i="44"/>
  <c r="AX92" i="44"/>
  <c r="AY89" i="44" s="1"/>
  <c r="AX91" i="44"/>
  <c r="AK223" i="44"/>
  <c r="AK254" i="44"/>
  <c r="AL204" i="44"/>
  <c r="AL219" i="44"/>
  <c r="AO131" i="44"/>
  <c r="AO132" i="44"/>
  <c r="AP129" i="44" s="1"/>
  <c r="AL247" i="44"/>
  <c r="AL260" i="44"/>
  <c r="AK138" i="44"/>
  <c r="AK172" i="44"/>
  <c r="AL74" i="44"/>
  <c r="AH160" i="44"/>
  <c r="AH159" i="44"/>
  <c r="AH191" i="44"/>
  <c r="Z73" i="45"/>
  <c r="Z80" i="45" s="1"/>
  <c r="Z94" i="45" s="1"/>
  <c r="Z72" i="45"/>
  <c r="AL170" i="44"/>
  <c r="AM167" i="44" s="1"/>
  <c r="AL169" i="44"/>
  <c r="AN137" i="44"/>
  <c r="AN153" i="44"/>
  <c r="AL165" i="44"/>
  <c r="AM162" i="44" s="1"/>
  <c r="AL164" i="44"/>
  <c r="AC105" i="45"/>
  <c r="AC107" i="45" s="1"/>
  <c r="AC92" i="45"/>
  <c r="AC81" i="45"/>
  <c r="AC99" i="45"/>
  <c r="AC101" i="45" s="1"/>
  <c r="AF46" i="45"/>
  <c r="AF51" i="45" s="1"/>
  <c r="AF55" i="45"/>
  <c r="AG50" i="45" s="1"/>
  <c r="AK109" i="44"/>
  <c r="AK112" i="44" s="1"/>
  <c r="AK87" i="44"/>
  <c r="AK97" i="44" s="1"/>
  <c r="AK120" i="44" s="1"/>
  <c r="AB79" i="45" l="1"/>
  <c r="AB93" i="45" s="1"/>
  <c r="AB70" i="45"/>
  <c r="AN184" i="44"/>
  <c r="AN186" i="44" s="1"/>
  <c r="AN251" i="44"/>
  <c r="AN256" i="44" s="1"/>
  <c r="AN198" i="44"/>
  <c r="AN217" i="44" s="1"/>
  <c r="AL254" i="44"/>
  <c r="AL223" i="44"/>
  <c r="AC95" i="45"/>
  <c r="AC115" i="45"/>
  <c r="AC116" i="45" s="1"/>
  <c r="AC118" i="45" s="1"/>
  <c r="AE60" i="45"/>
  <c r="AE78" i="45"/>
  <c r="AD99" i="45"/>
  <c r="AD101" i="45" s="1"/>
  <c r="AD105" i="45"/>
  <c r="AD107" i="45" s="1"/>
  <c r="AD92" i="45"/>
  <c r="AD81" i="45"/>
  <c r="AL80" i="44"/>
  <c r="AL84" i="44"/>
  <c r="AD64" i="45"/>
  <c r="AD65" i="45"/>
  <c r="AE62" i="45" s="1"/>
  <c r="AC54" i="45"/>
  <c r="AC67" i="45"/>
  <c r="AZ73" i="44"/>
  <c r="AZ78" i="44" s="1"/>
  <c r="AZ82" i="44"/>
  <c r="BA77" i="44" s="1"/>
  <c r="AL265" i="44"/>
  <c r="AL279" i="44"/>
  <c r="AL280" i="44" s="1"/>
  <c r="AL282" i="44" s="1"/>
  <c r="Y88" i="45"/>
  <c r="Y100" i="45"/>
  <c r="AN177" i="44"/>
  <c r="AN179" i="44" s="1"/>
  <c r="AN155" i="44"/>
  <c r="AN242" i="44"/>
  <c r="AT102" i="44"/>
  <c r="AT105" i="44" s="1"/>
  <c r="AT111" i="44" s="1"/>
  <c r="AT103" i="44"/>
  <c r="AU99" i="44" s="1"/>
  <c r="AL150" i="44"/>
  <c r="AL173" i="44"/>
  <c r="AP139" i="44"/>
  <c r="AQ134" i="44" s="1"/>
  <c r="AP130" i="44"/>
  <c r="AP135" i="44" s="1"/>
  <c r="AK125" i="44"/>
  <c r="AK122" i="44"/>
  <c r="AH193" i="44"/>
  <c r="AH192" i="44"/>
  <c r="AH210" i="44"/>
  <c r="AK225" i="44"/>
  <c r="AK227" i="44" s="1"/>
  <c r="AK269" i="44" s="1"/>
  <c r="AK245" i="44"/>
  <c r="AK263" i="44" s="1"/>
  <c r="AG231" i="44"/>
  <c r="AG234" i="44" s="1"/>
  <c r="AG232" i="44"/>
  <c r="AG235" i="44" s="1"/>
  <c r="AG255" i="44" s="1"/>
  <c r="AL172" i="44"/>
  <c r="AL138" i="44"/>
  <c r="AM164" i="44"/>
  <c r="AM165" i="44"/>
  <c r="AN162" i="44" s="1"/>
  <c r="AO137" i="44"/>
  <c r="AO153" i="44"/>
  <c r="AO149" i="44"/>
  <c r="AO154" i="44"/>
  <c r="AM204" i="44"/>
  <c r="AM219" i="44"/>
  <c r="AX94" i="44"/>
  <c r="AX110" i="44" s="1"/>
  <c r="AX81" i="44"/>
  <c r="AP151" i="44"/>
  <c r="AQ146" i="44" s="1"/>
  <c r="AP142" i="44"/>
  <c r="AP147" i="44" s="1"/>
  <c r="AK205" i="44"/>
  <c r="AK207" i="44" s="1"/>
  <c r="AK268" i="44" s="1"/>
  <c r="AK271" i="44" s="1"/>
  <c r="AK244" i="44"/>
  <c r="AK262" i="44" s="1"/>
  <c r="AK178" i="44"/>
  <c r="AK174" i="44"/>
  <c r="AK243" i="44"/>
  <c r="AK261" i="44" s="1"/>
  <c r="AM220" i="44"/>
  <c r="AM224" i="44" s="1"/>
  <c r="AM221" i="44"/>
  <c r="AN214" i="44" s="1"/>
  <c r="AM215" i="44"/>
  <c r="Z74" i="45"/>
  <c r="Z87" i="45"/>
  <c r="AM247" i="44"/>
  <c r="AM260" i="44"/>
  <c r="AG55" i="45"/>
  <c r="AH50" i="45" s="1"/>
  <c r="AG46" i="45"/>
  <c r="AG51" i="45" s="1"/>
  <c r="AY92" i="44"/>
  <c r="AZ89" i="44" s="1"/>
  <c r="AY91" i="44"/>
  <c r="AF53" i="45"/>
  <c r="AF57" i="45"/>
  <c r="AA73" i="45"/>
  <c r="AA80" i="45" s="1"/>
  <c r="AA94" i="45" s="1"/>
  <c r="AA72" i="45"/>
  <c r="AK199" i="44"/>
  <c r="AK218" i="44" s="1"/>
  <c r="AK252" i="44"/>
  <c r="AK185" i="44"/>
  <c r="AP131" i="44"/>
  <c r="AP132" i="44"/>
  <c r="AQ129" i="44" s="1"/>
  <c r="AJ127" i="44"/>
  <c r="AJ126" i="44"/>
  <c r="AJ158" i="44"/>
  <c r="AN200" i="44"/>
  <c r="AN201" i="44"/>
  <c r="AO195" i="44" s="1"/>
  <c r="AN196" i="44"/>
  <c r="AP143" i="44"/>
  <c r="AP144" i="44"/>
  <c r="AQ141" i="44" s="1"/>
  <c r="AM170" i="44"/>
  <c r="AN167" i="44" s="1"/>
  <c r="AM169" i="44"/>
  <c r="AL203" i="44"/>
  <c r="AL253" i="44"/>
  <c r="AL75" i="44"/>
  <c r="AM72" i="44" s="1"/>
  <c r="AI160" i="44"/>
  <c r="AI159" i="44"/>
  <c r="AI191" i="44"/>
  <c r="AG47" i="45"/>
  <c r="AG48" i="45"/>
  <c r="AH45" i="45" s="1"/>
  <c r="AM203" i="44" l="1"/>
  <c r="AM253" i="44"/>
  <c r="AQ132" i="44"/>
  <c r="AR129" i="44" s="1"/>
  <c r="AQ131" i="44"/>
  <c r="AH212" i="44"/>
  <c r="AH230" i="44"/>
  <c r="AH211" i="44"/>
  <c r="AM74" i="44"/>
  <c r="AM75" i="44" s="1"/>
  <c r="AN72" i="44" s="1"/>
  <c r="AP137" i="44"/>
  <c r="AP153" i="44"/>
  <c r="AN170" i="44"/>
  <c r="AO167" i="44" s="1"/>
  <c r="AN169" i="44"/>
  <c r="AF60" i="45"/>
  <c r="AF78" i="45"/>
  <c r="AQ139" i="44"/>
  <c r="AR134" i="44" s="1"/>
  <c r="AQ130" i="44"/>
  <c r="AQ135" i="44" s="1"/>
  <c r="AC79" i="45"/>
  <c r="AC93" i="45" s="1"/>
  <c r="AC70" i="45"/>
  <c r="AM172" i="44"/>
  <c r="AM138" i="44"/>
  <c r="AL199" i="44"/>
  <c r="AL218" i="44" s="1"/>
  <c r="AL185" i="44"/>
  <c r="AL252" i="44"/>
  <c r="AY94" i="44"/>
  <c r="AY110" i="44" s="1"/>
  <c r="AY81" i="44"/>
  <c r="AG53" i="45"/>
  <c r="AG57" i="45"/>
  <c r="AZ92" i="44"/>
  <c r="BA89" i="44" s="1"/>
  <c r="AZ91" i="44"/>
  <c r="AL178" i="44"/>
  <c r="AL174" i="44"/>
  <c r="AL243" i="44"/>
  <c r="AL261" i="44" s="1"/>
  <c r="AD95" i="45"/>
  <c r="AD115" i="45"/>
  <c r="AD116" i="45" s="1"/>
  <c r="AD118" i="45" s="1"/>
  <c r="AL205" i="44"/>
  <c r="AL207" i="44" s="1"/>
  <c r="AL268" i="44" s="1"/>
  <c r="AL271" i="44" s="1"/>
  <c r="AL244" i="44"/>
  <c r="AL262" i="44" s="1"/>
  <c r="AE105" i="45"/>
  <c r="AE107" i="45" s="1"/>
  <c r="AE99" i="45"/>
  <c r="AE101" i="45" s="1"/>
  <c r="AE92" i="45"/>
  <c r="AE81" i="45"/>
  <c r="AN220" i="44"/>
  <c r="AN224" i="44" s="1"/>
  <c r="AN221" i="44"/>
  <c r="AO214" i="44" s="1"/>
  <c r="AN215" i="44"/>
  <c r="AM223" i="44"/>
  <c r="AM254" i="44"/>
  <c r="AK126" i="44"/>
  <c r="AK127" i="44"/>
  <c r="AK158" i="44"/>
  <c r="AQ151" i="44"/>
  <c r="AR146" i="44" s="1"/>
  <c r="AQ142" i="44"/>
  <c r="AQ147" i="44" s="1"/>
  <c r="Z88" i="45"/>
  <c r="Z100" i="45"/>
  <c r="AO198" i="44"/>
  <c r="AO217" i="44" s="1"/>
  <c r="AO184" i="44"/>
  <c r="AO186" i="44" s="1"/>
  <c r="AO251" i="44"/>
  <c r="AO256" i="44" s="1"/>
  <c r="AM173" i="44"/>
  <c r="AM150" i="44"/>
  <c r="AA74" i="45"/>
  <c r="AA87" i="45"/>
  <c r="AO155" i="44"/>
  <c r="AO177" i="44"/>
  <c r="AO179" i="44" s="1"/>
  <c r="AO242" i="44"/>
  <c r="BA73" i="44"/>
  <c r="BA78" i="44" s="1"/>
  <c r="BA82" i="44"/>
  <c r="BB77" i="44" s="1"/>
  <c r="AQ143" i="44"/>
  <c r="AQ144" i="44"/>
  <c r="AR141" i="44" s="1"/>
  <c r="AP149" i="44"/>
  <c r="AP154" i="44"/>
  <c r="AN164" i="44"/>
  <c r="AN165" i="44"/>
  <c r="AO162" i="44" s="1"/>
  <c r="AL225" i="44"/>
  <c r="AL227" i="44" s="1"/>
  <c r="AL269" i="44" s="1"/>
  <c r="AL245" i="44"/>
  <c r="AL263" i="44" s="1"/>
  <c r="AH48" i="45"/>
  <c r="AI45" i="45" s="1"/>
  <c r="AH47" i="45"/>
  <c r="AO196" i="44"/>
  <c r="AO201" i="44"/>
  <c r="AP195" i="44" s="1"/>
  <c r="AO200" i="44"/>
  <c r="AE64" i="45"/>
  <c r="AE65" i="45"/>
  <c r="AF62" i="45" s="1"/>
  <c r="AN204" i="44"/>
  <c r="AN219" i="44"/>
  <c r="AU102" i="44"/>
  <c r="AU105" i="44" s="1"/>
  <c r="AU111" i="44" s="1"/>
  <c r="AU103" i="44"/>
  <c r="AV99" i="44" s="1"/>
  <c r="AD54" i="45"/>
  <c r="AD67" i="45"/>
  <c r="AI192" i="44"/>
  <c r="AI193" i="44"/>
  <c r="AI210" i="44"/>
  <c r="AJ159" i="44"/>
  <c r="AJ160" i="44"/>
  <c r="AJ191" i="44"/>
  <c r="AL87" i="44"/>
  <c r="AL97" i="44" s="1"/>
  <c r="AL120" i="44" s="1"/>
  <c r="AL109" i="44"/>
  <c r="AL112" i="44" s="1"/>
  <c r="AH55" i="45"/>
  <c r="AI50" i="45" s="1"/>
  <c r="AH46" i="45"/>
  <c r="AH51" i="45" s="1"/>
  <c r="AG246" i="44"/>
  <c r="AG264" i="44" s="1"/>
  <c r="AG236" i="44"/>
  <c r="AG238" i="44" s="1"/>
  <c r="AG270" i="44" s="1"/>
  <c r="AN247" i="44"/>
  <c r="AN260" i="44"/>
  <c r="AB72" i="45"/>
  <c r="AB73" i="45"/>
  <c r="AB80" i="45" s="1"/>
  <c r="AB94" i="45" s="1"/>
  <c r="AM265" i="44"/>
  <c r="AM279" i="44"/>
  <c r="AM280" i="44" s="1"/>
  <c r="AM282" i="44" s="1"/>
  <c r="AN74" i="44" l="1"/>
  <c r="AN75" i="44" s="1"/>
  <c r="AO72" i="44" s="1"/>
  <c r="AE115" i="45"/>
  <c r="AE116" i="45" s="1"/>
  <c r="AE118" i="45" s="1"/>
  <c r="AE95" i="45"/>
  <c r="AO170" i="44"/>
  <c r="AP167" i="44" s="1"/>
  <c r="AO169" i="44"/>
  <c r="AQ149" i="44"/>
  <c r="AQ154" i="44"/>
  <c r="BB73" i="44"/>
  <c r="BB78" i="44" s="1"/>
  <c r="BB82" i="44"/>
  <c r="BC77" i="44" s="1"/>
  <c r="AN203" i="44"/>
  <c r="AN253" i="44"/>
  <c r="AF64" i="45"/>
  <c r="AF65" i="45"/>
  <c r="AG62" i="45" s="1"/>
  <c r="AO204" i="44"/>
  <c r="AO219" i="44"/>
  <c r="AP201" i="44"/>
  <c r="AQ195" i="44" s="1"/>
  <c r="AP196" i="44"/>
  <c r="AP200" i="44"/>
  <c r="AO247" i="44"/>
  <c r="AO260" i="44"/>
  <c r="AM178" i="44"/>
  <c r="AM243" i="44"/>
  <c r="AM261" i="44" s="1"/>
  <c r="AM174" i="44"/>
  <c r="AP198" i="44"/>
  <c r="AP217" i="44" s="1"/>
  <c r="AP184" i="44"/>
  <c r="AP186" i="44" s="1"/>
  <c r="AP251" i="44"/>
  <c r="AP256" i="44" s="1"/>
  <c r="AP177" i="44"/>
  <c r="AP179" i="44" s="1"/>
  <c r="AP155" i="44"/>
  <c r="AP242" i="44"/>
  <c r="AH57" i="45"/>
  <c r="AH53" i="45"/>
  <c r="AC72" i="45"/>
  <c r="AC73" i="45"/>
  <c r="AC80" i="45" s="1"/>
  <c r="AC94" i="45" s="1"/>
  <c r="AI47" i="45"/>
  <c r="AI48" i="45"/>
  <c r="AJ45" i="45" s="1"/>
  <c r="AM225" i="44"/>
  <c r="AM227" i="44" s="1"/>
  <c r="AM269" i="44" s="1"/>
  <c r="AM245" i="44"/>
  <c r="AM263" i="44" s="1"/>
  <c r="AQ137" i="44"/>
  <c r="AQ153" i="44"/>
  <c r="AN150" i="44"/>
  <c r="AN173" i="44"/>
  <c r="AI46" i="45"/>
  <c r="AI51" i="45" s="1"/>
  <c r="AI55" i="45"/>
  <c r="AJ50" i="45" s="1"/>
  <c r="AR143" i="44"/>
  <c r="AR144" i="44"/>
  <c r="AS141" i="44" s="1"/>
  <c r="AL122" i="44"/>
  <c r="AL125" i="44"/>
  <c r="AI212" i="44"/>
  <c r="AI230" i="44"/>
  <c r="AI211" i="44"/>
  <c r="AH231" i="44"/>
  <c r="AH234" i="44" s="1"/>
  <c r="AH232" i="44"/>
  <c r="AH235" i="44" s="1"/>
  <c r="AH255" i="44" s="1"/>
  <c r="AN265" i="44"/>
  <c r="AN279" i="44"/>
  <c r="AN280" i="44" s="1"/>
  <c r="AN282" i="44" s="1"/>
  <c r="AZ81" i="44"/>
  <c r="AZ94" i="44"/>
  <c r="AZ110" i="44" s="1"/>
  <c r="AR139" i="44"/>
  <c r="AS134" i="44" s="1"/>
  <c r="AR130" i="44"/>
  <c r="AR135" i="44" s="1"/>
  <c r="AR131" i="44"/>
  <c r="AR132" i="44"/>
  <c r="AS129" i="44" s="1"/>
  <c r="AB74" i="45"/>
  <c r="AB87" i="45"/>
  <c r="AD79" i="45"/>
  <c r="AD93" i="45" s="1"/>
  <c r="AD70" i="45"/>
  <c r="AO164" i="44"/>
  <c r="AO165" i="44"/>
  <c r="AP162" i="44" s="1"/>
  <c r="AM199" i="44"/>
  <c r="AM218" i="44" s="1"/>
  <c r="AM185" i="44"/>
  <c r="AM252" i="44"/>
  <c r="AO215" i="44"/>
  <c r="AO220" i="44"/>
  <c r="AO224" i="44" s="1"/>
  <c r="AO221" i="44"/>
  <c r="AP214" i="44" s="1"/>
  <c r="BA91" i="44"/>
  <c r="BA92" i="44"/>
  <c r="BB89" i="44" s="1"/>
  <c r="AF99" i="45"/>
  <c r="AF101" i="45" s="1"/>
  <c r="AF105" i="45"/>
  <c r="AF107" i="45" s="1"/>
  <c r="AF92" i="45"/>
  <c r="AF81" i="45"/>
  <c r="AE54" i="45"/>
  <c r="AE67" i="45"/>
  <c r="AM84" i="44"/>
  <c r="AM80" i="44"/>
  <c r="AJ192" i="44"/>
  <c r="AJ193" i="44"/>
  <c r="AJ210" i="44"/>
  <c r="AR151" i="44"/>
  <c r="AS146" i="44" s="1"/>
  <c r="AR142" i="44"/>
  <c r="AR147" i="44" s="1"/>
  <c r="AK159" i="44"/>
  <c r="AK160" i="44"/>
  <c r="AK191" i="44"/>
  <c r="AA88" i="45"/>
  <c r="AA100" i="45"/>
  <c r="AV103" i="44"/>
  <c r="AW99" i="44" s="1"/>
  <c r="AV102" i="44"/>
  <c r="AV105" i="44" s="1"/>
  <c r="AV111" i="44" s="1"/>
  <c r="AN172" i="44"/>
  <c r="AN138" i="44"/>
  <c r="AN254" i="44"/>
  <c r="AN223" i="44"/>
  <c r="AG78" i="45"/>
  <c r="AG60" i="45"/>
  <c r="AM205" i="44"/>
  <c r="AM207" i="44" s="1"/>
  <c r="AM268" i="44" s="1"/>
  <c r="AM271" i="44" s="1"/>
  <c r="AM244" i="44"/>
  <c r="AM262" i="44" s="1"/>
  <c r="AN185" i="44" l="1"/>
  <c r="AN199" i="44"/>
  <c r="AN218" i="44" s="1"/>
  <c r="AN252" i="44"/>
  <c r="AG64" i="45"/>
  <c r="AG65" i="45"/>
  <c r="AH62" i="45" s="1"/>
  <c r="AF54" i="45"/>
  <c r="AF67" i="45"/>
  <c r="AE79" i="45"/>
  <c r="AE93" i="45" s="1"/>
  <c r="AE70" i="45"/>
  <c r="AP164" i="44"/>
  <c r="AP165" i="44"/>
  <c r="AQ162" i="44" s="1"/>
  <c r="AN205" i="44"/>
  <c r="AN207" i="44" s="1"/>
  <c r="AN268" i="44" s="1"/>
  <c r="AN271" i="44" s="1"/>
  <c r="AN244" i="44"/>
  <c r="AN262" i="44" s="1"/>
  <c r="AQ155" i="44"/>
  <c r="AQ242" i="44"/>
  <c r="AQ177" i="44"/>
  <c r="AQ179" i="44" s="1"/>
  <c r="AF115" i="45"/>
  <c r="AF116" i="45" s="1"/>
  <c r="AF118" i="45" s="1"/>
  <c r="AF95" i="45"/>
  <c r="AI232" i="44"/>
  <c r="AI235" i="44" s="1"/>
  <c r="AI255" i="44" s="1"/>
  <c r="AI231" i="44"/>
  <c r="AI234" i="44" s="1"/>
  <c r="AJ48" i="45"/>
  <c r="AK45" i="45" s="1"/>
  <c r="AJ47" i="45"/>
  <c r="AQ198" i="44"/>
  <c r="AQ217" i="44" s="1"/>
  <c r="AQ184" i="44"/>
  <c r="AQ186" i="44" s="1"/>
  <c r="AQ251" i="44"/>
  <c r="AQ256" i="44" s="1"/>
  <c r="AN174" i="44"/>
  <c r="AN178" i="44"/>
  <c r="AN243" i="44"/>
  <c r="AN261" i="44" s="1"/>
  <c r="AO172" i="44"/>
  <c r="AO138" i="44"/>
  <c r="AH246" i="44"/>
  <c r="AH264" i="44" s="1"/>
  <c r="AH236" i="44"/>
  <c r="AH238" i="44" s="1"/>
  <c r="AH270" i="44" s="1"/>
  <c r="BC73" i="44"/>
  <c r="BC78" i="44" s="1"/>
  <c r="BC82" i="44"/>
  <c r="BD77" i="44" s="1"/>
  <c r="AB100" i="45"/>
  <c r="AB88" i="45"/>
  <c r="AS143" i="44"/>
  <c r="AS144" i="44"/>
  <c r="AT141" i="44" s="1"/>
  <c r="AM87" i="44"/>
  <c r="AM97" i="44" s="1"/>
  <c r="AM120" i="44" s="1"/>
  <c r="AM109" i="44"/>
  <c r="AM112" i="44" s="1"/>
  <c r="AP204" i="44"/>
  <c r="AP219" i="44"/>
  <c r="AS142" i="44"/>
  <c r="AS147" i="44" s="1"/>
  <c r="AS151" i="44"/>
  <c r="AT146" i="44" s="1"/>
  <c r="AR149" i="44"/>
  <c r="AR154" i="44"/>
  <c r="AH78" i="45"/>
  <c r="AH60" i="45"/>
  <c r="AQ201" i="44"/>
  <c r="AR195" i="44" s="1"/>
  <c r="AQ196" i="44"/>
  <c r="AQ200" i="44"/>
  <c r="AO279" i="44"/>
  <c r="AO280" i="44" s="1"/>
  <c r="AO282" i="44" s="1"/>
  <c r="AO265" i="44"/>
  <c r="BB92" i="44"/>
  <c r="BC89" i="44" s="1"/>
  <c r="BB91" i="44"/>
  <c r="AC74" i="45"/>
  <c r="AC87" i="45"/>
  <c r="BA81" i="44"/>
  <c r="BA94" i="44"/>
  <c r="BA110" i="44" s="1"/>
  <c r="AG81" i="45"/>
  <c r="AG105" i="45"/>
  <c r="AG107" i="45" s="1"/>
  <c r="AG92" i="45"/>
  <c r="AG99" i="45"/>
  <c r="AG101" i="45" s="1"/>
  <c r="AJ212" i="44"/>
  <c r="AJ230" i="44"/>
  <c r="AJ211" i="44"/>
  <c r="AO254" i="44"/>
  <c r="AO223" i="44"/>
  <c r="AS139" i="44"/>
  <c r="AT134" i="44" s="1"/>
  <c r="AS130" i="44"/>
  <c r="AS135" i="44" s="1"/>
  <c r="AJ46" i="45"/>
  <c r="AJ51" i="45" s="1"/>
  <c r="AJ55" i="45"/>
  <c r="AK50" i="45" s="1"/>
  <c r="AP247" i="44"/>
  <c r="AP260" i="44"/>
  <c r="AO74" i="44"/>
  <c r="AO75" i="44" s="1"/>
  <c r="AP72" i="44" s="1"/>
  <c r="AW102" i="44"/>
  <c r="AW105" i="44" s="1"/>
  <c r="AW111" i="44" s="1"/>
  <c r="AW103" i="44"/>
  <c r="AX99" i="44" s="1"/>
  <c r="AD72" i="45"/>
  <c r="AD73" i="45"/>
  <c r="AD80" i="45" s="1"/>
  <c r="AD94" i="45" s="1"/>
  <c r="AK193" i="44"/>
  <c r="AK192" i="44"/>
  <c r="AK210" i="44"/>
  <c r="AI57" i="45"/>
  <c r="AI53" i="45"/>
  <c r="AL126" i="44"/>
  <c r="AL127" i="44"/>
  <c r="AL158" i="44"/>
  <c r="AO173" i="44"/>
  <c r="AO150" i="44"/>
  <c r="AS131" i="44"/>
  <c r="AS132" i="44"/>
  <c r="AT129" i="44" s="1"/>
  <c r="AP169" i="44"/>
  <c r="AP170" i="44"/>
  <c r="AQ167" i="44" s="1"/>
  <c r="AR137" i="44"/>
  <c r="AR153" i="44"/>
  <c r="AP215" i="44"/>
  <c r="AP220" i="44"/>
  <c r="AP224" i="44" s="1"/>
  <c r="AP221" i="44"/>
  <c r="AQ214" i="44" s="1"/>
  <c r="AN225" i="44"/>
  <c r="AN227" i="44" s="1"/>
  <c r="AN269" i="44" s="1"/>
  <c r="AN245" i="44"/>
  <c r="AN263" i="44" s="1"/>
  <c r="AO203" i="44"/>
  <c r="AO253" i="44"/>
  <c r="AN84" i="44"/>
  <c r="AN80" i="44"/>
  <c r="AP74" i="44" l="1"/>
  <c r="AP75" i="44"/>
  <c r="AQ72" i="44" s="1"/>
  <c r="AT139" i="44"/>
  <c r="AU134" i="44" s="1"/>
  <c r="AT130" i="44"/>
  <c r="AT135" i="44" s="1"/>
  <c r="AR155" i="44"/>
  <c r="AR177" i="44"/>
  <c r="AR179" i="44" s="1"/>
  <c r="AR242" i="44"/>
  <c r="AO225" i="44"/>
  <c r="AO227" i="44" s="1"/>
  <c r="AO269" i="44" s="1"/>
  <c r="AO245" i="44"/>
  <c r="AO263" i="44" s="1"/>
  <c r="BB81" i="44"/>
  <c r="BB94" i="44"/>
  <c r="BB110" i="44" s="1"/>
  <c r="AP203" i="44"/>
  <c r="AP253" i="44"/>
  <c r="AD74" i="45"/>
  <c r="AD87" i="45"/>
  <c r="AJ57" i="45"/>
  <c r="AJ53" i="45"/>
  <c r="AP138" i="44"/>
  <c r="AP172" i="44"/>
  <c r="AQ169" i="44"/>
  <c r="AQ170" i="44"/>
  <c r="AR167" i="44" s="1"/>
  <c r="AX102" i="44"/>
  <c r="AX105" i="44" s="1"/>
  <c r="AX111" i="44" s="1"/>
  <c r="AX103" i="44"/>
  <c r="AY99" i="44" s="1"/>
  <c r="AQ219" i="44"/>
  <c r="AQ204" i="44"/>
  <c r="AS153" i="44"/>
  <c r="AS137" i="44"/>
  <c r="AO205" i="44"/>
  <c r="AO207" i="44" s="1"/>
  <c r="AO268" i="44" s="1"/>
  <c r="AO271" i="44" s="1"/>
  <c r="AO244" i="44"/>
  <c r="AO262" i="44" s="1"/>
  <c r="AR184" i="44"/>
  <c r="AR186" i="44" s="1"/>
  <c r="AR198" i="44"/>
  <c r="AR217" i="44" s="1"/>
  <c r="AR251" i="44"/>
  <c r="AR256" i="44" s="1"/>
  <c r="AG67" i="45"/>
  <c r="AG54" i="45"/>
  <c r="BC91" i="44"/>
  <c r="BC92" i="44"/>
  <c r="BD89" i="44" s="1"/>
  <c r="AQ164" i="44"/>
  <c r="AQ165" i="44"/>
  <c r="AR162" i="44" s="1"/>
  <c r="AJ232" i="44"/>
  <c r="AJ235" i="44" s="1"/>
  <c r="AJ255" i="44" s="1"/>
  <c r="AJ231" i="44"/>
  <c r="AJ234" i="44" s="1"/>
  <c r="AT132" i="44"/>
  <c r="AU129" i="44" s="1"/>
  <c r="AT131" i="44"/>
  <c r="AK48" i="45"/>
  <c r="AL45" i="45" s="1"/>
  <c r="AK47" i="45"/>
  <c r="AO185" i="44"/>
  <c r="AO199" i="44"/>
  <c r="AO218" i="44" s="1"/>
  <c r="AO252" i="44"/>
  <c r="AL159" i="44"/>
  <c r="AL160" i="44"/>
  <c r="AL191" i="44"/>
  <c r="AP150" i="44"/>
  <c r="AP173" i="44"/>
  <c r="AS149" i="44"/>
  <c r="AS154" i="44"/>
  <c r="AO84" i="44"/>
  <c r="AO80" i="44"/>
  <c r="AR201" i="44"/>
  <c r="AS195" i="44" s="1"/>
  <c r="AR196" i="44"/>
  <c r="AR200" i="44"/>
  <c r="AQ215" i="44"/>
  <c r="AQ220" i="44"/>
  <c r="AQ224" i="44" s="1"/>
  <c r="AQ221" i="44"/>
  <c r="AR214" i="44" s="1"/>
  <c r="AT142" i="44"/>
  <c r="AT147" i="44" s="1"/>
  <c r="AT151" i="44"/>
  <c r="AU146" i="44" s="1"/>
  <c r="AK211" i="44"/>
  <c r="AK212" i="44"/>
  <c r="AK230" i="44"/>
  <c r="AM125" i="44"/>
  <c r="AM122" i="44"/>
  <c r="AT143" i="44"/>
  <c r="AT144" i="44"/>
  <c r="AU141" i="44" s="1"/>
  <c r="AE72" i="45"/>
  <c r="AE73" i="45"/>
  <c r="AE80" i="45" s="1"/>
  <c r="AE94" i="45" s="1"/>
  <c r="AN87" i="44"/>
  <c r="AN97" i="44" s="1"/>
  <c r="AN120" i="44" s="1"/>
  <c r="AN109" i="44"/>
  <c r="AN112" i="44" s="1"/>
  <c r="AG115" i="45"/>
  <c r="AG116" i="45" s="1"/>
  <c r="AG118" i="45" s="1"/>
  <c r="AG95" i="45"/>
  <c r="AF79" i="45"/>
  <c r="AF93" i="45" s="1"/>
  <c r="AF70" i="45"/>
  <c r="BD82" i="44"/>
  <c r="BE77" i="44" s="1"/>
  <c r="BD73" i="44"/>
  <c r="BD78" i="44" s="1"/>
  <c r="AI236" i="44"/>
  <c r="AI238" i="44" s="1"/>
  <c r="AI270" i="44" s="1"/>
  <c r="AI246" i="44"/>
  <c r="AI264" i="44" s="1"/>
  <c r="AP279" i="44"/>
  <c r="AP280" i="44" s="1"/>
  <c r="AP282" i="44" s="1"/>
  <c r="AP265" i="44"/>
  <c r="AH92" i="45"/>
  <c r="AH81" i="45"/>
  <c r="AH105" i="45"/>
  <c r="AH107" i="45" s="1"/>
  <c r="AH99" i="45"/>
  <c r="AH101" i="45" s="1"/>
  <c r="AH64" i="45"/>
  <c r="AH65" i="45"/>
  <c r="AI62" i="45" s="1"/>
  <c r="AK55" i="45"/>
  <c r="AL50" i="45" s="1"/>
  <c r="AK46" i="45"/>
  <c r="AK51" i="45" s="1"/>
  <c r="AP254" i="44"/>
  <c r="AP223" i="44"/>
  <c r="AI78" i="45"/>
  <c r="AI60" i="45"/>
  <c r="AC88" i="45"/>
  <c r="AC100" i="45"/>
  <c r="AO174" i="44"/>
  <c r="AO178" i="44"/>
  <c r="AO243" i="44"/>
  <c r="AO261" i="44" s="1"/>
  <c r="AQ247" i="44"/>
  <c r="AQ260" i="44"/>
  <c r="AP205" i="44" l="1"/>
  <c r="AP207" i="44" s="1"/>
  <c r="AP268" i="44" s="1"/>
  <c r="AP271" i="44" s="1"/>
  <c r="AP244" i="44"/>
  <c r="AP262" i="44" s="1"/>
  <c r="AO87" i="44"/>
  <c r="AO97" i="44" s="1"/>
  <c r="AO120" i="44" s="1"/>
  <c r="AO109" i="44"/>
  <c r="AO112" i="44" s="1"/>
  <c r="AT137" i="44"/>
  <c r="AT153" i="44"/>
  <c r="AI92" i="45"/>
  <c r="AI81" i="45"/>
  <c r="AI105" i="45"/>
  <c r="AI107" i="45" s="1"/>
  <c r="AI99" i="45"/>
  <c r="AI101" i="45" s="1"/>
  <c r="AM127" i="44"/>
  <c r="AM126" i="44"/>
  <c r="AM158" i="44"/>
  <c r="AS184" i="44"/>
  <c r="AS186" i="44" s="1"/>
  <c r="AS198" i="44"/>
  <c r="AS217" i="44" s="1"/>
  <c r="AS251" i="44"/>
  <c r="AS256" i="44" s="1"/>
  <c r="AU131" i="44"/>
  <c r="AU132" i="44"/>
  <c r="AV129" i="44" s="1"/>
  <c r="AP225" i="44"/>
  <c r="AP227" i="44" s="1"/>
  <c r="AP269" i="44" s="1"/>
  <c r="AP245" i="44"/>
  <c r="AP263" i="44" s="1"/>
  <c r="AY102" i="44"/>
  <c r="AY105" i="44" s="1"/>
  <c r="AY111" i="44" s="1"/>
  <c r="AY103" i="44"/>
  <c r="AZ99" i="44" s="1"/>
  <c r="AU142" i="44"/>
  <c r="AU147" i="44" s="1"/>
  <c r="AU151" i="44"/>
  <c r="AV146" i="44" s="1"/>
  <c r="AL193" i="44"/>
  <c r="AL210" i="44"/>
  <c r="AL192" i="44"/>
  <c r="AQ138" i="44"/>
  <c r="AQ172" i="44"/>
  <c r="AI64" i="45"/>
  <c r="AI65" i="45"/>
  <c r="AJ62" i="45" s="1"/>
  <c r="BD91" i="44"/>
  <c r="BD92" i="44"/>
  <c r="BE89" i="44" s="1"/>
  <c r="AP185" i="44"/>
  <c r="AP199" i="44"/>
  <c r="AP218" i="44" s="1"/>
  <c r="AP252" i="44"/>
  <c r="AK232" i="44"/>
  <c r="AK235" i="44" s="1"/>
  <c r="AK255" i="44" s="1"/>
  <c r="AK231" i="44"/>
  <c r="AK234" i="44" s="1"/>
  <c r="AS155" i="44"/>
  <c r="AS177" i="44"/>
  <c r="AS179" i="44" s="1"/>
  <c r="AS242" i="44"/>
  <c r="AQ254" i="44"/>
  <c r="AQ223" i="44"/>
  <c r="AN125" i="44"/>
  <c r="AN122" i="44"/>
  <c r="AG79" i="45"/>
  <c r="AG93" i="45" s="1"/>
  <c r="AG70" i="45"/>
  <c r="AR219" i="44"/>
  <c r="AR204" i="44"/>
  <c r="AF72" i="45"/>
  <c r="AF73" i="45"/>
  <c r="AF80" i="45" s="1"/>
  <c r="AF94" i="45" s="1"/>
  <c r="AR164" i="44"/>
  <c r="AR165" i="44"/>
  <c r="AS162" i="44" s="1"/>
  <c r="BC94" i="44"/>
  <c r="BC110" i="44" s="1"/>
  <c r="BC81" i="44"/>
  <c r="AQ150" i="44"/>
  <c r="AQ173" i="44"/>
  <c r="AE74" i="45"/>
  <c r="AE87" i="45"/>
  <c r="AU139" i="44"/>
  <c r="AV134" i="44" s="1"/>
  <c r="AU130" i="44"/>
  <c r="AU135" i="44" s="1"/>
  <c r="AL55" i="45"/>
  <c r="AM50" i="45" s="1"/>
  <c r="AL46" i="45"/>
  <c r="AL51" i="45" s="1"/>
  <c r="AQ279" i="44"/>
  <c r="AQ280" i="44" s="1"/>
  <c r="AQ282" i="44" s="1"/>
  <c r="AQ265" i="44"/>
  <c r="AR215" i="44"/>
  <c r="AR220" i="44"/>
  <c r="AR224" i="44" s="1"/>
  <c r="AR221" i="44"/>
  <c r="AS214" i="44" s="1"/>
  <c r="AR169" i="44"/>
  <c r="AR170" i="44"/>
  <c r="AS167" i="44" s="1"/>
  <c r="AP174" i="44"/>
  <c r="AP178" i="44"/>
  <c r="AP243" i="44"/>
  <c r="AP261" i="44" s="1"/>
  <c r="AU144" i="44"/>
  <c r="AV141" i="44" s="1"/>
  <c r="AU143" i="44"/>
  <c r="AS196" i="44"/>
  <c r="AS201" i="44"/>
  <c r="AT195" i="44" s="1"/>
  <c r="AS200" i="44"/>
  <c r="AK57" i="45"/>
  <c r="AK53" i="45"/>
  <c r="AJ78" i="45"/>
  <c r="AJ60" i="45"/>
  <c r="AQ74" i="44"/>
  <c r="AQ75" i="44" s="1"/>
  <c r="AR72" i="44" s="1"/>
  <c r="AJ246" i="44"/>
  <c r="AJ264" i="44" s="1"/>
  <c r="AJ236" i="44"/>
  <c r="AJ238" i="44" s="1"/>
  <c r="AJ270" i="44" s="1"/>
  <c r="BE82" i="44"/>
  <c r="BF77" i="44" s="1"/>
  <c r="BE73" i="44"/>
  <c r="BE78" i="44" s="1"/>
  <c r="AQ203" i="44"/>
  <c r="AQ253" i="44"/>
  <c r="AH67" i="45"/>
  <c r="AH54" i="45"/>
  <c r="AR247" i="44"/>
  <c r="AR260" i="44"/>
  <c r="AH115" i="45"/>
  <c r="AH116" i="45" s="1"/>
  <c r="AH118" i="45" s="1"/>
  <c r="AH95" i="45"/>
  <c r="AT149" i="44"/>
  <c r="AT154" i="44"/>
  <c r="AL48" i="45"/>
  <c r="AM45" i="45" s="1"/>
  <c r="AL47" i="45"/>
  <c r="AD88" i="45"/>
  <c r="AD100" i="45"/>
  <c r="AP80" i="44"/>
  <c r="AP84" i="44"/>
  <c r="AS215" i="44" l="1"/>
  <c r="AS220" i="44"/>
  <c r="AS224" i="44" s="1"/>
  <c r="AS221" i="44"/>
  <c r="AT214" i="44" s="1"/>
  <c r="AL211" i="44"/>
  <c r="AL212" i="44"/>
  <c r="AL230" i="44"/>
  <c r="AR173" i="44"/>
  <c r="AR150" i="44"/>
  <c r="AS247" i="44"/>
  <c r="AS260" i="44"/>
  <c r="AS164" i="44"/>
  <c r="AS165" i="44"/>
  <c r="AT162" i="44" s="1"/>
  <c r="AK60" i="45"/>
  <c r="AK78" i="45"/>
  <c r="AI95" i="45"/>
  <c r="AI115" i="45"/>
  <c r="AI116" i="45" s="1"/>
  <c r="AI118" i="45" s="1"/>
  <c r="AR279" i="44"/>
  <c r="AR280" i="44" s="1"/>
  <c r="AR282" i="44" s="1"/>
  <c r="AR265" i="44"/>
  <c r="AR203" i="44"/>
  <c r="AR253" i="44"/>
  <c r="AP109" i="44"/>
  <c r="AP112" i="44" s="1"/>
  <c r="AP87" i="44"/>
  <c r="AP97" i="44" s="1"/>
  <c r="AP120" i="44" s="1"/>
  <c r="AU149" i="44"/>
  <c r="AU154" i="44"/>
  <c r="AM159" i="44"/>
  <c r="AM160" i="44"/>
  <c r="AM191" i="44"/>
  <c r="AV151" i="44"/>
  <c r="AW146" i="44" s="1"/>
  <c r="AV142" i="44"/>
  <c r="AV147" i="44" s="1"/>
  <c r="AJ99" i="45"/>
  <c r="AJ101" i="45" s="1"/>
  <c r="AJ92" i="45"/>
  <c r="AJ81" i="45"/>
  <c r="AJ105" i="45"/>
  <c r="AJ107" i="45" s="1"/>
  <c r="AZ102" i="44"/>
  <c r="AZ105" i="44" s="1"/>
  <c r="AZ111" i="44" s="1"/>
  <c r="AZ103" i="44"/>
  <c r="BA99" i="44" s="1"/>
  <c r="AT196" i="44"/>
  <c r="AT201" i="44"/>
  <c r="AU195" i="44" s="1"/>
  <c r="AT200" i="44"/>
  <c r="AM55" i="45"/>
  <c r="AN50" i="45" s="1"/>
  <c r="AM46" i="45"/>
  <c r="AM51" i="45" s="1"/>
  <c r="AT155" i="44"/>
  <c r="AT177" i="44"/>
  <c r="AT179" i="44" s="1"/>
  <c r="AT242" i="44"/>
  <c r="AV130" i="44"/>
  <c r="AV135" i="44" s="1"/>
  <c r="AV139" i="44"/>
  <c r="AW134" i="44" s="1"/>
  <c r="AV132" i="44"/>
  <c r="AW129" i="44" s="1"/>
  <c r="AV131" i="44"/>
  <c r="BF82" i="44"/>
  <c r="BG77" i="44" s="1"/>
  <c r="BF73" i="44"/>
  <c r="BF78" i="44" s="1"/>
  <c r="AE88" i="45"/>
  <c r="AE100" i="45"/>
  <c r="AJ65" i="45"/>
  <c r="AK62" i="45" s="1"/>
  <c r="AJ64" i="45"/>
  <c r="AU137" i="44"/>
  <c r="AU153" i="44"/>
  <c r="AO122" i="44"/>
  <c r="AO125" i="44"/>
  <c r="AF87" i="45"/>
  <c r="AF74" i="45"/>
  <c r="AR74" i="44"/>
  <c r="AR75" i="44"/>
  <c r="AS72" i="44" s="1"/>
  <c r="AR254" i="44"/>
  <c r="AR223" i="44"/>
  <c r="AK236" i="44"/>
  <c r="AK238" i="44" s="1"/>
  <c r="AK270" i="44" s="1"/>
  <c r="AK246" i="44"/>
  <c r="AK264" i="44" s="1"/>
  <c r="AS219" i="44"/>
  <c r="AS204" i="44"/>
  <c r="AH79" i="45"/>
  <c r="AH93" i="45" s="1"/>
  <c r="AH70" i="45"/>
  <c r="AQ205" i="44"/>
  <c r="AQ207" i="44" s="1"/>
  <c r="AQ268" i="44" s="1"/>
  <c r="AQ271" i="44" s="1"/>
  <c r="AQ244" i="44"/>
  <c r="AQ262" i="44" s="1"/>
  <c r="AG72" i="45"/>
  <c r="AG73" i="45"/>
  <c r="AG80" i="45" s="1"/>
  <c r="AG94" i="45" s="1"/>
  <c r="BE92" i="44"/>
  <c r="BF89" i="44" s="1"/>
  <c r="BE91" i="44"/>
  <c r="AV143" i="44"/>
  <c r="AV144" i="44"/>
  <c r="AW141" i="44" s="1"/>
  <c r="BD94" i="44"/>
  <c r="BD110" i="44" s="1"/>
  <c r="BD81" i="44"/>
  <c r="AL57" i="45"/>
  <c r="AL53" i="45"/>
  <c r="AN126" i="44"/>
  <c r="AN127" i="44"/>
  <c r="AN158" i="44"/>
  <c r="AM47" i="45"/>
  <c r="AM48" i="45"/>
  <c r="AN45" i="45" s="1"/>
  <c r="AQ185" i="44"/>
  <c r="AQ199" i="44"/>
  <c r="AQ218" i="44" s="1"/>
  <c r="AQ252" i="44"/>
  <c r="AQ225" i="44"/>
  <c r="AQ227" i="44" s="1"/>
  <c r="AQ269" i="44" s="1"/>
  <c r="AQ245" i="44"/>
  <c r="AQ263" i="44" s="1"/>
  <c r="AQ174" i="44"/>
  <c r="AQ178" i="44"/>
  <c r="AQ243" i="44"/>
  <c r="AQ261" i="44" s="1"/>
  <c r="AR138" i="44"/>
  <c r="AR172" i="44"/>
  <c r="AI67" i="45"/>
  <c r="AI54" i="45"/>
  <c r="AT184" i="44"/>
  <c r="AT186" i="44" s="1"/>
  <c r="AT198" i="44"/>
  <c r="AT217" i="44" s="1"/>
  <c r="AT251" i="44"/>
  <c r="AT256" i="44" s="1"/>
  <c r="AQ80" i="44"/>
  <c r="AQ84" i="44"/>
  <c r="AS169" i="44"/>
  <c r="AS170" i="44"/>
  <c r="AT167" i="44" s="1"/>
  <c r="BA103" i="44" l="1"/>
  <c r="BB99" i="44" s="1"/>
  <c r="BA102" i="44"/>
  <c r="BA105" i="44" s="1"/>
  <c r="BA111" i="44" s="1"/>
  <c r="AR185" i="44"/>
  <c r="AR199" i="44"/>
  <c r="AR218" i="44" s="1"/>
  <c r="AR252" i="44"/>
  <c r="AI79" i="45"/>
  <c r="AI93" i="45" s="1"/>
  <c r="AI70" i="45"/>
  <c r="AM193" i="44"/>
  <c r="AM192" i="44"/>
  <c r="AM210" i="44"/>
  <c r="AR174" i="44"/>
  <c r="AR178" i="44"/>
  <c r="AR243" i="44"/>
  <c r="AR261" i="44" s="1"/>
  <c r="AT164" i="44"/>
  <c r="AT165" i="44"/>
  <c r="AU162" i="44" s="1"/>
  <c r="AS138" i="44"/>
  <c r="AS172" i="44"/>
  <c r="AP125" i="44"/>
  <c r="AP122" i="44"/>
  <c r="AR245" i="44"/>
  <c r="AR263" i="44" s="1"/>
  <c r="AR225" i="44"/>
  <c r="AR227" i="44" s="1"/>
  <c r="AR269" i="44" s="1"/>
  <c r="BG73" i="44"/>
  <c r="BG78" i="44" s="1"/>
  <c r="BG82" i="44"/>
  <c r="BH77" i="44" s="1"/>
  <c r="BE94" i="44"/>
  <c r="BE110" i="44" s="1"/>
  <c r="BE81" i="44"/>
  <c r="AS74" i="44"/>
  <c r="AS75" i="44"/>
  <c r="AT72" i="44" s="1"/>
  <c r="AW132" i="44"/>
  <c r="AX129" i="44" s="1"/>
  <c r="AW131" i="44"/>
  <c r="AH72" i="45"/>
  <c r="AH73" i="45"/>
  <c r="AH80" i="45" s="1"/>
  <c r="AH94" i="45" s="1"/>
  <c r="AL60" i="45"/>
  <c r="AL78" i="45"/>
  <c r="AU184" i="44"/>
  <c r="AU186" i="44" s="1"/>
  <c r="AU198" i="44"/>
  <c r="AU217" i="44" s="1"/>
  <c r="AU251" i="44"/>
  <c r="AU256" i="44" s="1"/>
  <c r="AW143" i="44"/>
  <c r="AW144" i="44"/>
  <c r="AX141" i="44" s="1"/>
  <c r="AQ87" i="44"/>
  <c r="AQ97" i="44" s="1"/>
  <c r="AQ120" i="44" s="1"/>
  <c r="AQ109" i="44"/>
  <c r="AQ112" i="44" s="1"/>
  <c r="AW130" i="44"/>
  <c r="AW135" i="44" s="1"/>
  <c r="AW139" i="44"/>
  <c r="AX134" i="44" s="1"/>
  <c r="AJ115" i="45"/>
  <c r="AJ116" i="45" s="1"/>
  <c r="AJ118" i="45" s="1"/>
  <c r="AJ95" i="45"/>
  <c r="AT215" i="44"/>
  <c r="AT220" i="44"/>
  <c r="AT224" i="44" s="1"/>
  <c r="AT221" i="44"/>
  <c r="AU214" i="44" s="1"/>
  <c r="AJ67" i="45"/>
  <c r="AJ54" i="45"/>
  <c r="AS265" i="44"/>
  <c r="AS279" i="44"/>
  <c r="AS280" i="44" s="1"/>
  <c r="AS282" i="44" s="1"/>
  <c r="AS223" i="44"/>
  <c r="AS254" i="44"/>
  <c r="AS203" i="44"/>
  <c r="AS253" i="44"/>
  <c r="AK65" i="45"/>
  <c r="AL62" i="45" s="1"/>
  <c r="AK64" i="45"/>
  <c r="AT169" i="44"/>
  <c r="AT170" i="44"/>
  <c r="AU167" i="44" s="1"/>
  <c r="AS173" i="44"/>
  <c r="AS150" i="44"/>
  <c r="AL232" i="44"/>
  <c r="AL235" i="44" s="1"/>
  <c r="AL255" i="44" s="1"/>
  <c r="AL231" i="44"/>
  <c r="AL234" i="44" s="1"/>
  <c r="AV153" i="44"/>
  <c r="AV137" i="44"/>
  <c r="AR80" i="44"/>
  <c r="AR84" i="44"/>
  <c r="AN47" i="45"/>
  <c r="AN48" i="45"/>
  <c r="AO45" i="45" s="1"/>
  <c r="AO127" i="44"/>
  <c r="AO158" i="44"/>
  <c r="AO126" i="44"/>
  <c r="AU155" i="44"/>
  <c r="AU177" i="44"/>
  <c r="AU179" i="44" s="1"/>
  <c r="AU242" i="44"/>
  <c r="AN46" i="45"/>
  <c r="AN51" i="45" s="1"/>
  <c r="AN55" i="45"/>
  <c r="AO50" i="45" s="1"/>
  <c r="AT219" i="44"/>
  <c r="AT204" i="44"/>
  <c r="AU200" i="44"/>
  <c r="AU196" i="44"/>
  <c r="AU201" i="44"/>
  <c r="AV195" i="44" s="1"/>
  <c r="AV149" i="44"/>
  <c r="AV154" i="44"/>
  <c r="AR205" i="44"/>
  <c r="AR207" i="44" s="1"/>
  <c r="AR268" i="44" s="1"/>
  <c r="AR271" i="44" s="1"/>
  <c r="AR244" i="44"/>
  <c r="AR262" i="44" s="1"/>
  <c r="BF91" i="44"/>
  <c r="BF92" i="44"/>
  <c r="BG89" i="44" s="1"/>
  <c r="AG87" i="45"/>
  <c r="AG74" i="45"/>
  <c r="AF88" i="45"/>
  <c r="AF100" i="45"/>
  <c r="AM57" i="45"/>
  <c r="AM53" i="45"/>
  <c r="AT260" i="44"/>
  <c r="AT247" i="44"/>
  <c r="AN159" i="44"/>
  <c r="AN160" i="44"/>
  <c r="AN191" i="44"/>
  <c r="AW142" i="44"/>
  <c r="AW147" i="44" s="1"/>
  <c r="AW151" i="44"/>
  <c r="AX146" i="44" s="1"/>
  <c r="AK99" i="45"/>
  <c r="AK101" i="45" s="1"/>
  <c r="AK92" i="45"/>
  <c r="AK105" i="45"/>
  <c r="AK107" i="45" s="1"/>
  <c r="AK81" i="45"/>
  <c r="AX130" i="44" l="1"/>
  <c r="AX135" i="44" s="1"/>
  <c r="AX139" i="44"/>
  <c r="AY134" i="44" s="1"/>
  <c r="AS205" i="44"/>
  <c r="AS207" i="44" s="1"/>
  <c r="AS268" i="44" s="1"/>
  <c r="AS271" i="44" s="1"/>
  <c r="AS244" i="44"/>
  <c r="AS262" i="44" s="1"/>
  <c r="AV155" i="44"/>
  <c r="AV177" i="44"/>
  <c r="AV179" i="44" s="1"/>
  <c r="AV242" i="44"/>
  <c r="AW149" i="44"/>
  <c r="AW154" i="44"/>
  <c r="BH82" i="44"/>
  <c r="BI77" i="44" s="1"/>
  <c r="BH73" i="44"/>
  <c r="BH78" i="44" s="1"/>
  <c r="AO47" i="45"/>
  <c r="AO48" i="45"/>
  <c r="AP45" i="45" s="1"/>
  <c r="AN57" i="45"/>
  <c r="AN53" i="45"/>
  <c r="AU169" i="44"/>
  <c r="AU170" i="44"/>
  <c r="AV167" i="44" s="1"/>
  <c r="AT138" i="44"/>
  <c r="AT172" i="44"/>
  <c r="AV200" i="44"/>
  <c r="AV196" i="44"/>
  <c r="AV201" i="44"/>
  <c r="AW195" i="44" s="1"/>
  <c r="AT74" i="44"/>
  <c r="AT75" i="44" s="1"/>
  <c r="AU72" i="44" s="1"/>
  <c r="AT279" i="44"/>
  <c r="AT280" i="44" s="1"/>
  <c r="AT282" i="44" s="1"/>
  <c r="AT265" i="44"/>
  <c r="AS80" i="44"/>
  <c r="AS84" i="44"/>
  <c r="AQ122" i="44"/>
  <c r="AQ125" i="44"/>
  <c r="AM78" i="45"/>
  <c r="AM60" i="45"/>
  <c r="AM211" i="44"/>
  <c r="AM212" i="44"/>
  <c r="AM230" i="44"/>
  <c r="AG100" i="45"/>
  <c r="AG88" i="45"/>
  <c r="AL99" i="45"/>
  <c r="AL101" i="45" s="1"/>
  <c r="AL92" i="45"/>
  <c r="AL81" i="45"/>
  <c r="AL105" i="45"/>
  <c r="AL107" i="45" s="1"/>
  <c r="AX142" i="44"/>
  <c r="AX147" i="44" s="1"/>
  <c r="AX151" i="44"/>
  <c r="AY146" i="44" s="1"/>
  <c r="AT150" i="44"/>
  <c r="AT173" i="44"/>
  <c r="AS174" i="44"/>
  <c r="AS178" i="44"/>
  <c r="AS243" i="44"/>
  <c r="AS261" i="44" s="1"/>
  <c r="AS245" i="44"/>
  <c r="AS263" i="44" s="1"/>
  <c r="AS225" i="44"/>
  <c r="AS227" i="44" s="1"/>
  <c r="AS269" i="44" s="1"/>
  <c r="AX131" i="44"/>
  <c r="AX132" i="44"/>
  <c r="AY129" i="44" s="1"/>
  <c r="AR109" i="44"/>
  <c r="AR112" i="44" s="1"/>
  <c r="AR87" i="44"/>
  <c r="AR97" i="44" s="1"/>
  <c r="AR120" i="44" s="1"/>
  <c r="AU219" i="44"/>
  <c r="AU204" i="44"/>
  <c r="AT203" i="44"/>
  <c r="AT253" i="44"/>
  <c r="AX144" i="44"/>
  <c r="AY141" i="44" s="1"/>
  <c r="AX143" i="44"/>
  <c r="AO46" i="45"/>
  <c r="AO51" i="45" s="1"/>
  <c r="AO55" i="45"/>
  <c r="AP50" i="45" s="1"/>
  <c r="AL236" i="44"/>
  <c r="AL238" i="44" s="1"/>
  <c r="AL270" i="44" s="1"/>
  <c r="AL246" i="44"/>
  <c r="AL264" i="44" s="1"/>
  <c r="AI72" i="45"/>
  <c r="AI73" i="45"/>
  <c r="AI80" i="45" s="1"/>
  <c r="AI94" i="45" s="1"/>
  <c r="AK115" i="45"/>
  <c r="AK116" i="45" s="1"/>
  <c r="AK118" i="45" s="1"/>
  <c r="AK95" i="45"/>
  <c r="AU247" i="44"/>
  <c r="AU260" i="44"/>
  <c r="AJ79" i="45"/>
  <c r="AJ93" i="45" s="1"/>
  <c r="AJ70" i="45"/>
  <c r="BG92" i="44"/>
  <c r="BH89" i="44" s="1"/>
  <c r="BG91" i="44"/>
  <c r="AS185" i="44"/>
  <c r="AS199" i="44"/>
  <c r="AS218" i="44" s="1"/>
  <c r="AS252" i="44"/>
  <c r="AU215" i="44"/>
  <c r="AU220" i="44"/>
  <c r="AU224" i="44" s="1"/>
  <c r="AU221" i="44"/>
  <c r="AV214" i="44" s="1"/>
  <c r="BF94" i="44"/>
  <c r="BF110" i="44" s="1"/>
  <c r="BF81" i="44"/>
  <c r="AT223" i="44"/>
  <c r="AT254" i="44"/>
  <c r="AP127" i="44"/>
  <c r="AP158" i="44"/>
  <c r="AP126" i="44"/>
  <c r="AN193" i="44"/>
  <c r="AN192" i="44"/>
  <c r="AN210" i="44"/>
  <c r="AO159" i="44"/>
  <c r="AO160" i="44"/>
  <c r="AO191" i="44"/>
  <c r="AK67" i="45"/>
  <c r="AK54" i="45"/>
  <c r="AH87" i="45"/>
  <c r="AH74" i="45"/>
  <c r="AV184" i="44"/>
  <c r="AV186" i="44" s="1"/>
  <c r="AV198" i="44"/>
  <c r="AV217" i="44" s="1"/>
  <c r="AV251" i="44"/>
  <c r="AV256" i="44" s="1"/>
  <c r="AL65" i="45"/>
  <c r="AM62" i="45" s="1"/>
  <c r="AL64" i="45"/>
  <c r="AW153" i="44"/>
  <c r="AW137" i="44"/>
  <c r="AU164" i="44"/>
  <c r="AU165" i="44"/>
  <c r="AV162" i="44" s="1"/>
  <c r="BB103" i="44"/>
  <c r="BC99" i="44" s="1"/>
  <c r="BB102" i="44"/>
  <c r="BB105" i="44" s="1"/>
  <c r="BB111" i="44" s="1"/>
  <c r="AU74" i="44" l="1"/>
  <c r="AN60" i="45"/>
  <c r="AN78" i="45"/>
  <c r="AH100" i="45"/>
  <c r="AH88" i="45"/>
  <c r="AR125" i="44"/>
  <c r="AR122" i="44"/>
  <c r="AP47" i="45"/>
  <c r="AP48" i="45"/>
  <c r="AQ45" i="45" s="1"/>
  <c r="AW184" i="44"/>
  <c r="AW186" i="44" s="1"/>
  <c r="AW198" i="44"/>
  <c r="AW217" i="44" s="1"/>
  <c r="AW251" i="44"/>
  <c r="AW256" i="44" s="1"/>
  <c r="AX137" i="44"/>
  <c r="AX153" i="44"/>
  <c r="BI82" i="44"/>
  <c r="BJ77" i="44" s="1"/>
  <c r="BI73" i="44"/>
  <c r="BI78" i="44" s="1"/>
  <c r="AP46" i="45"/>
  <c r="AP51" i="45" s="1"/>
  <c r="AP55" i="45"/>
  <c r="AQ50" i="45" s="1"/>
  <c r="AM231" i="44"/>
  <c r="AM234" i="44" s="1"/>
  <c r="AM232" i="44"/>
  <c r="AM235" i="44" s="1"/>
  <c r="AM255" i="44" s="1"/>
  <c r="AV247" i="44"/>
  <c r="AV260" i="44"/>
  <c r="AT245" i="44"/>
  <c r="AT263" i="44" s="1"/>
  <c r="AT225" i="44"/>
  <c r="AT227" i="44" s="1"/>
  <c r="AT269" i="44" s="1"/>
  <c r="AO57" i="45"/>
  <c r="AO53" i="45"/>
  <c r="AV215" i="44"/>
  <c r="AV220" i="44"/>
  <c r="AV224" i="44" s="1"/>
  <c r="AV221" i="44"/>
  <c r="AW214" i="44" s="1"/>
  <c r="AY132" i="44"/>
  <c r="AZ129" i="44" s="1"/>
  <c r="AY131" i="44"/>
  <c r="BC103" i="44"/>
  <c r="BD99" i="44" s="1"/>
  <c r="BC102" i="44"/>
  <c r="BC105" i="44" s="1"/>
  <c r="BC111" i="44" s="1"/>
  <c r="AI74" i="45"/>
  <c r="AI87" i="45"/>
  <c r="AS87" i="44"/>
  <c r="AS97" i="44" s="1"/>
  <c r="AS120" i="44" s="1"/>
  <c r="AS109" i="44"/>
  <c r="AS112" i="44" s="1"/>
  <c r="AO192" i="44"/>
  <c r="AO193" i="44"/>
  <c r="AO210" i="44"/>
  <c r="AT84" i="44"/>
  <c r="AT80" i="44"/>
  <c r="AV219" i="44"/>
  <c r="AV204" i="44"/>
  <c r="BG94" i="44"/>
  <c r="BG110" i="44" s="1"/>
  <c r="BG81" i="44"/>
  <c r="AX149" i="44"/>
  <c r="AX154" i="44"/>
  <c r="AT178" i="44"/>
  <c r="AT174" i="44"/>
  <c r="AT243" i="44"/>
  <c r="AT261" i="44" s="1"/>
  <c r="AM65" i="45"/>
  <c r="AN62" i="45" s="1"/>
  <c r="AM64" i="45"/>
  <c r="BH92" i="44"/>
  <c r="BI89" i="44" s="1"/>
  <c r="BH91" i="44"/>
  <c r="AY143" i="44"/>
  <c r="AY144" i="44"/>
  <c r="AZ141" i="44" s="1"/>
  <c r="AT185" i="44"/>
  <c r="AT199" i="44"/>
  <c r="AT218" i="44" s="1"/>
  <c r="AT252" i="44"/>
  <c r="AU138" i="44"/>
  <c r="AU172" i="44"/>
  <c r="AW155" i="44"/>
  <c r="AW177" i="44"/>
  <c r="AW179" i="44" s="1"/>
  <c r="AW242" i="44"/>
  <c r="AK79" i="45"/>
  <c r="AK93" i="45" s="1"/>
  <c r="AK70" i="45"/>
  <c r="AL115" i="45"/>
  <c r="AL116" i="45" s="1"/>
  <c r="AL118" i="45" s="1"/>
  <c r="AL95" i="45"/>
  <c r="AU223" i="44"/>
  <c r="AU254" i="44"/>
  <c r="AV165" i="44"/>
  <c r="AW162" i="44" s="1"/>
  <c r="AV164" i="44"/>
  <c r="AW200" i="44"/>
  <c r="AW196" i="44"/>
  <c r="AW201" i="44"/>
  <c r="AX195" i="44" s="1"/>
  <c r="AN211" i="44"/>
  <c r="AN212" i="44"/>
  <c r="AN230" i="44"/>
  <c r="AL67" i="45"/>
  <c r="AL54" i="45"/>
  <c r="AP159" i="44"/>
  <c r="AP160" i="44"/>
  <c r="AP191" i="44"/>
  <c r="AJ72" i="45"/>
  <c r="AJ73" i="45"/>
  <c r="AJ80" i="45" s="1"/>
  <c r="AJ94" i="45" s="1"/>
  <c r="AM99" i="45"/>
  <c r="AM101" i="45" s="1"/>
  <c r="AM92" i="45"/>
  <c r="AM81" i="45"/>
  <c r="AM105" i="45"/>
  <c r="AM107" i="45" s="1"/>
  <c r="AV169" i="44"/>
  <c r="AV170" i="44"/>
  <c r="AW167" i="44" s="1"/>
  <c r="AT244" i="44"/>
  <c r="AT262" i="44" s="1"/>
  <c r="AT205" i="44"/>
  <c r="AT207" i="44" s="1"/>
  <c r="AT268" i="44" s="1"/>
  <c r="AT271" i="44" s="1"/>
  <c r="AQ127" i="44"/>
  <c r="AQ158" i="44"/>
  <c r="AQ126" i="44"/>
  <c r="AU150" i="44"/>
  <c r="AU173" i="44"/>
  <c r="AY130" i="44"/>
  <c r="AY135" i="44" s="1"/>
  <c r="AY139" i="44"/>
  <c r="AZ134" i="44" s="1"/>
  <c r="AU279" i="44"/>
  <c r="AU280" i="44" s="1"/>
  <c r="AU282" i="44" s="1"/>
  <c r="AU265" i="44"/>
  <c r="AU203" i="44"/>
  <c r="AU253" i="44"/>
  <c r="AY142" i="44"/>
  <c r="AY147" i="44" s="1"/>
  <c r="AY151" i="44"/>
  <c r="AZ146" i="44" s="1"/>
  <c r="AK72" i="45" l="1"/>
  <c r="AK73" i="45"/>
  <c r="AK80" i="45" s="1"/>
  <c r="AK94" i="45" s="1"/>
  <c r="BI92" i="44"/>
  <c r="BJ89" i="44" s="1"/>
  <c r="BI91" i="44"/>
  <c r="AL79" i="45"/>
  <c r="AL93" i="45" s="1"/>
  <c r="AL70" i="45"/>
  <c r="AO60" i="45"/>
  <c r="AO78" i="45"/>
  <c r="AN64" i="45"/>
  <c r="AN65" i="45"/>
  <c r="AO62" i="45" s="1"/>
  <c r="AP57" i="45"/>
  <c r="AP53" i="45"/>
  <c r="AU244" i="44"/>
  <c r="AU262" i="44" s="1"/>
  <c r="AU205" i="44"/>
  <c r="AU207" i="44" s="1"/>
  <c r="AU268" i="44" s="1"/>
  <c r="AU271" i="44" s="1"/>
  <c r="AX200" i="44"/>
  <c r="AX196" i="44"/>
  <c r="AX201" i="44"/>
  <c r="AY195" i="44" s="1"/>
  <c r="AU178" i="44"/>
  <c r="AU174" i="44"/>
  <c r="AU243" i="44"/>
  <c r="AU261" i="44" s="1"/>
  <c r="AI88" i="45"/>
  <c r="AI100" i="45"/>
  <c r="BH81" i="44"/>
  <c r="BH94" i="44"/>
  <c r="BH110" i="44" s="1"/>
  <c r="AZ142" i="44"/>
  <c r="AZ147" i="44" s="1"/>
  <c r="AZ151" i="44"/>
  <c r="BA146" i="44" s="1"/>
  <c r="AW247" i="44"/>
  <c r="AW260" i="44"/>
  <c r="AT87" i="44"/>
  <c r="AT97" i="44" s="1"/>
  <c r="AT120" i="44" s="1"/>
  <c r="AT109" i="44"/>
  <c r="AT112" i="44" s="1"/>
  <c r="AO211" i="44"/>
  <c r="AO212" i="44"/>
  <c r="AO230" i="44"/>
  <c r="AN231" i="44"/>
  <c r="AN234" i="44" s="1"/>
  <c r="AN232" i="44"/>
  <c r="AN235" i="44" s="1"/>
  <c r="AN255" i="44" s="1"/>
  <c r="AV279" i="44"/>
  <c r="AV280" i="44" s="1"/>
  <c r="AV282" i="44" s="1"/>
  <c r="AV265" i="44"/>
  <c r="AX184" i="44"/>
  <c r="AX186" i="44" s="1"/>
  <c r="AX198" i="44"/>
  <c r="AX217" i="44" s="1"/>
  <c r="AX251" i="44"/>
  <c r="AX256" i="44" s="1"/>
  <c r="AQ159" i="44"/>
  <c r="AQ160" i="44"/>
  <c r="AQ191" i="44"/>
  <c r="AN99" i="45"/>
  <c r="AN101" i="45" s="1"/>
  <c r="AN92" i="45"/>
  <c r="AN81" i="45"/>
  <c r="AN105" i="45"/>
  <c r="AN107" i="45" s="1"/>
  <c r="AW169" i="44"/>
  <c r="AW170" i="44"/>
  <c r="AX167" i="44" s="1"/>
  <c r="AV150" i="44"/>
  <c r="AV173" i="44"/>
  <c r="AR126" i="44"/>
  <c r="AR158" i="44"/>
  <c r="AR127" i="44"/>
  <c r="AM95" i="45"/>
  <c r="AM115" i="45"/>
  <c r="AM116" i="45" s="1"/>
  <c r="AM118" i="45" s="1"/>
  <c r="AZ130" i="44"/>
  <c r="AZ135" i="44" s="1"/>
  <c r="AZ139" i="44"/>
  <c r="BA134" i="44" s="1"/>
  <c r="AV138" i="44"/>
  <c r="AV172" i="44"/>
  <c r="AV203" i="44"/>
  <c r="AV253" i="44"/>
  <c r="AZ132" i="44"/>
  <c r="BA129" i="44" s="1"/>
  <c r="AZ131" i="44"/>
  <c r="AS125" i="44"/>
  <c r="AS122" i="44"/>
  <c r="BD103" i="44"/>
  <c r="BE99" i="44" s="1"/>
  <c r="BD102" i="44"/>
  <c r="BD105" i="44" s="1"/>
  <c r="BD111" i="44" s="1"/>
  <c r="AP192" i="44"/>
  <c r="AP193" i="44"/>
  <c r="AP210" i="44"/>
  <c r="BJ82" i="44"/>
  <c r="BJ73" i="44"/>
  <c r="BJ78" i="44" s="1"/>
  <c r="AM67" i="45"/>
  <c r="AM54" i="45"/>
  <c r="AQ47" i="45"/>
  <c r="AQ48" i="45"/>
  <c r="AR45" i="45" s="1"/>
  <c r="AW219" i="44"/>
  <c r="AW204" i="44"/>
  <c r="AM236" i="44"/>
  <c r="AM238" i="44" s="1"/>
  <c r="AM270" i="44" s="1"/>
  <c r="AM246" i="44"/>
  <c r="AM264" i="44" s="1"/>
  <c r="AQ46" i="45"/>
  <c r="AQ51" i="45" s="1"/>
  <c r="AQ55" i="45"/>
  <c r="AR50" i="45" s="1"/>
  <c r="AW164" i="44"/>
  <c r="AW165" i="44"/>
  <c r="AX162" i="44" s="1"/>
  <c r="AY137" i="44"/>
  <c r="AY153" i="44"/>
  <c r="AU185" i="44"/>
  <c r="AU252" i="44"/>
  <c r="AU199" i="44"/>
  <c r="AU218" i="44" s="1"/>
  <c r="AJ74" i="45"/>
  <c r="AJ87" i="45"/>
  <c r="AU245" i="44"/>
  <c r="AU263" i="44" s="1"/>
  <c r="AU225" i="44"/>
  <c r="AU227" i="44" s="1"/>
  <c r="AU269" i="44" s="1"/>
  <c r="AZ143" i="44"/>
  <c r="AZ144" i="44"/>
  <c r="BA141" i="44" s="1"/>
  <c r="AW221" i="44"/>
  <c r="AX214" i="44" s="1"/>
  <c r="AW215" i="44"/>
  <c r="AW220" i="44"/>
  <c r="AW224" i="44" s="1"/>
  <c r="AU80" i="44"/>
  <c r="AU84" i="44"/>
  <c r="AY149" i="44"/>
  <c r="AY154" i="44"/>
  <c r="AV223" i="44"/>
  <c r="AV254" i="44"/>
  <c r="AX155" i="44"/>
  <c r="AX177" i="44"/>
  <c r="AX179" i="44" s="1"/>
  <c r="AX242" i="44"/>
  <c r="AU75" i="44"/>
  <c r="AV72" i="44" s="1"/>
  <c r="BA143" i="44" l="1"/>
  <c r="BA144" i="44"/>
  <c r="BB141" i="44" s="1"/>
  <c r="AR46" i="45"/>
  <c r="AR51" i="45" s="1"/>
  <c r="AR55" i="45"/>
  <c r="AS50" i="45" s="1"/>
  <c r="AX221" i="44"/>
  <c r="AY214" i="44" s="1"/>
  <c r="AX220" i="44"/>
  <c r="AX224" i="44" s="1"/>
  <c r="AX215" i="44"/>
  <c r="BE103" i="44"/>
  <c r="BF99" i="44" s="1"/>
  <c r="BE102" i="44"/>
  <c r="BE105" i="44" s="1"/>
  <c r="BE111" i="44" s="1"/>
  <c r="AO64" i="45"/>
  <c r="AO65" i="45"/>
  <c r="AP62" i="45" s="1"/>
  <c r="AO81" i="45"/>
  <c r="AO105" i="45"/>
  <c r="AO107" i="45" s="1"/>
  <c r="AO99" i="45"/>
  <c r="AO101" i="45" s="1"/>
  <c r="AO92" i="45"/>
  <c r="AW279" i="44"/>
  <c r="AW280" i="44" s="1"/>
  <c r="AW282" i="44" s="1"/>
  <c r="AW265" i="44"/>
  <c r="AZ149" i="44"/>
  <c r="AZ154" i="44"/>
  <c r="BA142" i="44"/>
  <c r="BA147" i="44" s="1"/>
  <c r="BA151" i="44"/>
  <c r="BB146" i="44" s="1"/>
  <c r="AW203" i="44"/>
  <c r="AW253" i="44"/>
  <c r="AN54" i="45"/>
  <c r="AN67" i="45"/>
  <c r="AQ53" i="45"/>
  <c r="AQ57" i="45"/>
  <c r="AY198" i="44"/>
  <c r="AY217" i="44" s="1"/>
  <c r="AY184" i="44"/>
  <c r="AY186" i="44" s="1"/>
  <c r="AY251" i="44"/>
  <c r="AY256" i="44" s="1"/>
  <c r="AV178" i="44"/>
  <c r="AV174" i="44"/>
  <c r="AV243" i="44"/>
  <c r="AV261" i="44" s="1"/>
  <c r="BI94" i="44"/>
  <c r="BI110" i="44" s="1"/>
  <c r="BI81" i="44"/>
  <c r="AV74" i="44"/>
  <c r="AV75" i="44" s="1"/>
  <c r="AW72" i="44" s="1"/>
  <c r="AS127" i="44"/>
  <c r="AS126" i="44"/>
  <c r="AS158" i="44"/>
  <c r="AJ88" i="45"/>
  <c r="AJ100" i="45"/>
  <c r="AR47" i="45"/>
  <c r="AR48" i="45"/>
  <c r="AS45" i="45" s="1"/>
  <c r="AL72" i="45"/>
  <c r="AL73" i="45"/>
  <c r="AL80" i="45" s="1"/>
  <c r="AL94" i="45" s="1"/>
  <c r="AV244" i="44"/>
  <c r="AV262" i="44" s="1"/>
  <c r="AV205" i="44"/>
  <c r="AV207" i="44" s="1"/>
  <c r="AV268" i="44" s="1"/>
  <c r="AV271" i="44" s="1"/>
  <c r="AO231" i="44"/>
  <c r="AO234" i="44" s="1"/>
  <c r="AO232" i="44"/>
  <c r="AO235" i="44" s="1"/>
  <c r="AO255" i="44" s="1"/>
  <c r="AN95" i="45"/>
  <c r="AN115" i="45"/>
  <c r="AN116" i="45" s="1"/>
  <c r="AN118" i="45" s="1"/>
  <c r="AY200" i="44"/>
  <c r="AY196" i="44"/>
  <c r="AY201" i="44"/>
  <c r="AZ195" i="44" s="1"/>
  <c r="BJ92" i="44"/>
  <c r="BJ91" i="44"/>
  <c r="AR159" i="44"/>
  <c r="AR160" i="44"/>
  <c r="AR191" i="44"/>
  <c r="AV185" i="44"/>
  <c r="AV252" i="44"/>
  <c r="AV199" i="44"/>
  <c r="AV218" i="44" s="1"/>
  <c r="AV245" i="44"/>
  <c r="AV263" i="44" s="1"/>
  <c r="AV225" i="44"/>
  <c r="AV227" i="44" s="1"/>
  <c r="AV269" i="44" s="1"/>
  <c r="AX169" i="44"/>
  <c r="AX170" i="44"/>
  <c r="AY167" i="44" s="1"/>
  <c r="AW150" i="44"/>
  <c r="AW173" i="44"/>
  <c r="AX165" i="44"/>
  <c r="AY162" i="44" s="1"/>
  <c r="AX164" i="44"/>
  <c r="AX247" i="44"/>
  <c r="AX260" i="44"/>
  <c r="AP60" i="45"/>
  <c r="AP78" i="45"/>
  <c r="AZ153" i="44"/>
  <c r="AZ137" i="44"/>
  <c r="BA132" i="44"/>
  <c r="BB129" i="44" s="1"/>
  <c r="BA131" i="44"/>
  <c r="AN236" i="44"/>
  <c r="AN238" i="44" s="1"/>
  <c r="AN270" i="44" s="1"/>
  <c r="AN246" i="44"/>
  <c r="AN264" i="44" s="1"/>
  <c r="AM79" i="45"/>
  <c r="AM93" i="45" s="1"/>
  <c r="AM70" i="45"/>
  <c r="AU109" i="44"/>
  <c r="AU112" i="44" s="1"/>
  <c r="AU87" i="44"/>
  <c r="AU97" i="44" s="1"/>
  <c r="AU120" i="44" s="1"/>
  <c r="AY177" i="44"/>
  <c r="AY179" i="44" s="1"/>
  <c r="AY155" i="44"/>
  <c r="AY242" i="44"/>
  <c r="AW223" i="44"/>
  <c r="AW254" i="44"/>
  <c r="AP211" i="44"/>
  <c r="AP212" i="44"/>
  <c r="AP230" i="44"/>
  <c r="BA130" i="44"/>
  <c r="BA135" i="44" s="1"/>
  <c r="BA139" i="44"/>
  <c r="BB134" i="44" s="1"/>
  <c r="AW138" i="44"/>
  <c r="AW172" i="44"/>
  <c r="AQ192" i="44"/>
  <c r="AQ193" i="44"/>
  <c r="AQ210" i="44"/>
  <c r="AT122" i="44"/>
  <c r="AT125" i="44"/>
  <c r="AX219" i="44"/>
  <c r="AX204" i="44"/>
  <c r="AK74" i="45"/>
  <c r="AK87" i="45"/>
  <c r="AW74" i="44" l="1"/>
  <c r="AW75" i="44"/>
  <c r="AX72" i="44" s="1"/>
  <c r="AM73" i="45"/>
  <c r="AM80" i="45" s="1"/>
  <c r="AM94" i="45" s="1"/>
  <c r="AM72" i="45"/>
  <c r="AW199" i="44"/>
  <c r="AW218" i="44" s="1"/>
  <c r="AW185" i="44"/>
  <c r="AW252" i="44"/>
  <c r="AZ200" i="44"/>
  <c r="AZ201" i="44"/>
  <c r="BA195" i="44" s="1"/>
  <c r="AZ196" i="44"/>
  <c r="AK88" i="45"/>
  <c r="AK100" i="45"/>
  <c r="AW205" i="44"/>
  <c r="AW207" i="44" s="1"/>
  <c r="AW268" i="44" s="1"/>
  <c r="AW271" i="44" s="1"/>
  <c r="AW244" i="44"/>
  <c r="AW262" i="44" s="1"/>
  <c r="AX203" i="44"/>
  <c r="AX253" i="44"/>
  <c r="AX223" i="44"/>
  <c r="AX254" i="44"/>
  <c r="AY170" i="44"/>
  <c r="AZ167" i="44" s="1"/>
  <c r="AY169" i="44"/>
  <c r="BA137" i="44"/>
  <c r="BA153" i="44"/>
  <c r="AP64" i="45"/>
  <c r="AP65" i="45"/>
  <c r="AQ62" i="45" s="1"/>
  <c r="AW245" i="44"/>
  <c r="AW263" i="44" s="1"/>
  <c r="AW225" i="44"/>
  <c r="AW227" i="44" s="1"/>
  <c r="AW269" i="44" s="1"/>
  <c r="AT126" i="44"/>
  <c r="AT158" i="44"/>
  <c r="AT127" i="44"/>
  <c r="AY247" i="44"/>
  <c r="AY260" i="44"/>
  <c r="AR192" i="44"/>
  <c r="AR210" i="44"/>
  <c r="AR193" i="44"/>
  <c r="AY221" i="44"/>
  <c r="AZ214" i="44" s="1"/>
  <c r="AY220" i="44"/>
  <c r="AY224" i="44" s="1"/>
  <c r="AY215" i="44"/>
  <c r="AW178" i="44"/>
  <c r="AW174" i="44"/>
  <c r="AW243" i="44"/>
  <c r="AW261" i="44" s="1"/>
  <c r="AQ78" i="45"/>
  <c r="AQ60" i="45"/>
  <c r="AS160" i="44"/>
  <c r="AS159" i="44"/>
  <c r="AS191" i="44"/>
  <c r="AY219" i="44"/>
  <c r="AY204" i="44"/>
  <c r="AX150" i="44"/>
  <c r="AX173" i="44"/>
  <c r="AO54" i="45"/>
  <c r="AO67" i="45"/>
  <c r="BB132" i="44"/>
  <c r="BC129" i="44" s="1"/>
  <c r="BB131" i="44"/>
  <c r="BF103" i="44"/>
  <c r="BG99" i="44" s="1"/>
  <c r="BF102" i="44"/>
  <c r="BF105" i="44" s="1"/>
  <c r="BF111" i="44" s="1"/>
  <c r="AZ177" i="44"/>
  <c r="AZ179" i="44" s="1"/>
  <c r="AZ155" i="44"/>
  <c r="AZ242" i="44"/>
  <c r="BB142" i="44"/>
  <c r="BB147" i="44" s="1"/>
  <c r="BB151" i="44"/>
  <c r="BC146" i="44" s="1"/>
  <c r="AZ184" i="44"/>
  <c r="AZ186" i="44" s="1"/>
  <c r="AZ198" i="44"/>
  <c r="AZ217" i="44" s="1"/>
  <c r="AZ251" i="44"/>
  <c r="AZ256" i="44" s="1"/>
  <c r="AX265" i="44"/>
  <c r="AX279" i="44"/>
  <c r="AX280" i="44" s="1"/>
  <c r="AX282" i="44" s="1"/>
  <c r="AS55" i="45"/>
  <c r="AT50" i="45" s="1"/>
  <c r="AS46" i="45"/>
  <c r="AS51" i="45" s="1"/>
  <c r="AQ230" i="44"/>
  <c r="AQ211" i="44"/>
  <c r="AQ212" i="44"/>
  <c r="AS47" i="45"/>
  <c r="AS48" i="45"/>
  <c r="AT45" i="45" s="1"/>
  <c r="AU122" i="44"/>
  <c r="AU125" i="44"/>
  <c r="AX138" i="44"/>
  <c r="AX172" i="44"/>
  <c r="BJ94" i="44"/>
  <c r="BJ110" i="44" s="1"/>
  <c r="BJ81" i="44"/>
  <c r="AR53" i="45"/>
  <c r="AR57" i="45"/>
  <c r="BB143" i="44"/>
  <c r="BB144" i="44"/>
  <c r="BC141" i="44" s="1"/>
  <c r="BB130" i="44"/>
  <c r="BB135" i="44" s="1"/>
  <c r="BB139" i="44"/>
  <c r="BC134" i="44" s="1"/>
  <c r="AN79" i="45"/>
  <c r="AN93" i="45" s="1"/>
  <c r="AN70" i="45"/>
  <c r="AP231" i="44"/>
  <c r="AP234" i="44" s="1"/>
  <c r="AP232" i="44"/>
  <c r="AP235" i="44" s="1"/>
  <c r="AP255" i="44" s="1"/>
  <c r="AV84" i="44"/>
  <c r="AV80" i="44"/>
  <c r="AO236" i="44"/>
  <c r="AO238" i="44" s="1"/>
  <c r="AO270" i="44" s="1"/>
  <c r="AO246" i="44"/>
  <c r="AO264" i="44" s="1"/>
  <c r="AP105" i="45"/>
  <c r="AP107" i="45" s="1"/>
  <c r="AP92" i="45"/>
  <c r="AP99" i="45"/>
  <c r="AP101" i="45" s="1"/>
  <c r="AP81" i="45"/>
  <c r="AL74" i="45"/>
  <c r="AL87" i="45"/>
  <c r="AY164" i="44"/>
  <c r="AY165" i="44"/>
  <c r="AZ162" i="44" s="1"/>
  <c r="AO95" i="45"/>
  <c r="AO115" i="45"/>
  <c r="AO116" i="45" s="1"/>
  <c r="AO118" i="45" s="1"/>
  <c r="BA149" i="44"/>
  <c r="BA154" i="44"/>
  <c r="AQ105" i="45" l="1"/>
  <c r="AQ107" i="45" s="1"/>
  <c r="AQ81" i="45"/>
  <c r="AQ92" i="45"/>
  <c r="AQ99" i="45"/>
  <c r="AQ101" i="45" s="1"/>
  <c r="BG102" i="44"/>
  <c r="BG105" i="44" s="1"/>
  <c r="BG111" i="44" s="1"/>
  <c r="BG103" i="44"/>
  <c r="BH99" i="44" s="1"/>
  <c r="AP54" i="45"/>
  <c r="AP67" i="45"/>
  <c r="AT160" i="44"/>
  <c r="AT159" i="44"/>
  <c r="AT191" i="44"/>
  <c r="AQ64" i="45"/>
  <c r="AQ65" i="45"/>
  <c r="AR62" i="45" s="1"/>
  <c r="BA200" i="44"/>
  <c r="BA196" i="44"/>
  <c r="BA201" i="44"/>
  <c r="BB195" i="44" s="1"/>
  <c r="AY223" i="44"/>
  <c r="AY254" i="44"/>
  <c r="BA198" i="44"/>
  <c r="BA217" i="44" s="1"/>
  <c r="BA251" i="44"/>
  <c r="BA256" i="44" s="1"/>
  <c r="BA184" i="44"/>
  <c r="BA186" i="44" s="1"/>
  <c r="AX199" i="44"/>
  <c r="AX218" i="44" s="1"/>
  <c r="AX185" i="44"/>
  <c r="AX252" i="44"/>
  <c r="AZ221" i="44"/>
  <c r="BA214" i="44" s="1"/>
  <c r="AZ220" i="44"/>
  <c r="AZ224" i="44" s="1"/>
  <c r="AZ215" i="44"/>
  <c r="AX178" i="44"/>
  <c r="AX174" i="44"/>
  <c r="AX243" i="44"/>
  <c r="AX261" i="44" s="1"/>
  <c r="AY150" i="44"/>
  <c r="AY173" i="44"/>
  <c r="BC130" i="44"/>
  <c r="BC135" i="44" s="1"/>
  <c r="BC139" i="44"/>
  <c r="BD134" i="44" s="1"/>
  <c r="BB149" i="44"/>
  <c r="BB154" i="44"/>
  <c r="AT46" i="45"/>
  <c r="AT51" i="45" s="1"/>
  <c r="AT55" i="45"/>
  <c r="AU50" i="45" s="1"/>
  <c r="AZ204" i="44"/>
  <c r="AZ219" i="44"/>
  <c r="AV109" i="44"/>
  <c r="AV112" i="44" s="1"/>
  <c r="AV87" i="44"/>
  <c r="AV97" i="44" s="1"/>
  <c r="AV120" i="44" s="1"/>
  <c r="AY203" i="44"/>
  <c r="AY253" i="44"/>
  <c r="AZ170" i="44"/>
  <c r="BA167" i="44" s="1"/>
  <c r="AZ169" i="44"/>
  <c r="AU126" i="44"/>
  <c r="AU127" i="44"/>
  <c r="AU158" i="44"/>
  <c r="AY265" i="44"/>
  <c r="AY279" i="44"/>
  <c r="AY280" i="44" s="1"/>
  <c r="AY282" i="44" s="1"/>
  <c r="AX245" i="44"/>
  <c r="AX263" i="44" s="1"/>
  <c r="AX225" i="44"/>
  <c r="AX227" i="44" s="1"/>
  <c r="AX269" i="44" s="1"/>
  <c r="AQ231" i="44"/>
  <c r="AQ234" i="44" s="1"/>
  <c r="AQ232" i="44"/>
  <c r="AQ235" i="44" s="1"/>
  <c r="AQ255" i="44" s="1"/>
  <c r="BB137" i="44"/>
  <c r="BB153" i="44"/>
  <c r="AR78" i="45"/>
  <c r="AR60" i="45"/>
  <c r="BC131" i="44"/>
  <c r="BC132" i="44"/>
  <c r="BD129" i="44" s="1"/>
  <c r="AO79" i="45"/>
  <c r="AO93" i="45" s="1"/>
  <c r="AO70" i="45"/>
  <c r="BA177" i="44"/>
  <c r="BA179" i="44" s="1"/>
  <c r="BA155" i="44"/>
  <c r="BA242" i="44"/>
  <c r="AR230" i="44"/>
  <c r="AR211" i="44"/>
  <c r="AR212" i="44"/>
  <c r="BC142" i="44"/>
  <c r="BC147" i="44" s="1"/>
  <c r="BC151" i="44"/>
  <c r="BD146" i="44" s="1"/>
  <c r="AZ165" i="44"/>
  <c r="BA162" i="44" s="1"/>
  <c r="AZ164" i="44"/>
  <c r="AT48" i="45"/>
  <c r="AU45" i="45" s="1"/>
  <c r="AT47" i="45"/>
  <c r="AZ247" i="44"/>
  <c r="AZ260" i="44"/>
  <c r="AX74" i="44"/>
  <c r="AX75" i="44"/>
  <c r="AY72" i="44" s="1"/>
  <c r="BC144" i="44"/>
  <c r="BD141" i="44" s="1"/>
  <c r="BC143" i="44"/>
  <c r="AP95" i="45"/>
  <c r="AP115" i="45"/>
  <c r="AP116" i="45" s="1"/>
  <c r="AP118" i="45" s="1"/>
  <c r="AM74" i="45"/>
  <c r="AM87" i="45"/>
  <c r="AP236" i="44"/>
  <c r="AP238" i="44" s="1"/>
  <c r="AP270" i="44" s="1"/>
  <c r="AP246" i="44"/>
  <c r="AP264" i="44" s="1"/>
  <c r="AS192" i="44"/>
  <c r="AS193" i="44"/>
  <c r="AS210" i="44"/>
  <c r="AY138" i="44"/>
  <c r="AY172" i="44"/>
  <c r="AN73" i="45"/>
  <c r="AN80" i="45" s="1"/>
  <c r="AN94" i="45" s="1"/>
  <c r="AN72" i="45"/>
  <c r="AL88" i="45"/>
  <c r="AL100" i="45"/>
  <c r="AS53" i="45"/>
  <c r="AS57" i="45"/>
  <c r="AX205" i="44"/>
  <c r="AX207" i="44" s="1"/>
  <c r="AX268" i="44" s="1"/>
  <c r="AX271" i="44" s="1"/>
  <c r="AX244" i="44"/>
  <c r="AX262" i="44" s="1"/>
  <c r="AW84" i="44"/>
  <c r="AW80" i="44"/>
  <c r="AN74" i="45" l="1"/>
  <c r="AN87" i="45"/>
  <c r="AZ203" i="44"/>
  <c r="AZ253" i="44"/>
  <c r="AP79" i="45"/>
  <c r="AP93" i="45" s="1"/>
  <c r="AP70" i="45"/>
  <c r="AR64" i="45"/>
  <c r="AR65" i="45"/>
  <c r="AS62" i="45" s="1"/>
  <c r="AU46" i="45"/>
  <c r="AU51" i="45" s="1"/>
  <c r="AU55" i="45"/>
  <c r="AV50" i="45" s="1"/>
  <c r="AX80" i="44"/>
  <c r="AX84" i="44"/>
  <c r="BB198" i="44"/>
  <c r="BB217" i="44" s="1"/>
  <c r="BB184" i="44"/>
  <c r="BB186" i="44" s="1"/>
  <c r="BB251" i="44"/>
  <c r="BB256" i="44" s="1"/>
  <c r="AS230" i="44"/>
  <c r="AS211" i="44"/>
  <c r="AS212" i="44"/>
  <c r="BD139" i="44"/>
  <c r="BE134" i="44" s="1"/>
  <c r="BD130" i="44"/>
  <c r="BD135" i="44" s="1"/>
  <c r="BH102" i="44"/>
  <c r="BH105" i="44" s="1"/>
  <c r="BH111" i="44" s="1"/>
  <c r="BH103" i="44"/>
  <c r="BI99" i="44" s="1"/>
  <c r="BA204" i="44"/>
  <c r="BA219" i="44"/>
  <c r="AZ223" i="44"/>
  <c r="AZ254" i="44"/>
  <c r="BD143" i="44"/>
  <c r="BD144" i="44"/>
  <c r="BE141" i="44" s="1"/>
  <c r="AY178" i="44"/>
  <c r="AY174" i="44"/>
  <c r="AY243" i="44"/>
  <c r="AY261" i="44" s="1"/>
  <c r="BD131" i="44"/>
  <c r="BD132" i="44"/>
  <c r="BE129" i="44" s="1"/>
  <c r="AY199" i="44"/>
  <c r="AY218" i="44" s="1"/>
  <c r="AY185" i="44"/>
  <c r="AY252" i="44"/>
  <c r="BC149" i="44"/>
  <c r="BC154" i="44"/>
  <c r="AR231" i="44"/>
  <c r="AR234" i="44" s="1"/>
  <c r="AR232" i="44"/>
  <c r="AR235" i="44" s="1"/>
  <c r="AR255" i="44" s="1"/>
  <c r="AT192" i="44"/>
  <c r="AT210" i="44"/>
  <c r="AT193" i="44"/>
  <c r="AY74" i="44"/>
  <c r="AY75" i="44" s="1"/>
  <c r="AZ72" i="44" s="1"/>
  <c r="AU160" i="44"/>
  <c r="AU159" i="44"/>
  <c r="AU191" i="44"/>
  <c r="AT53" i="45"/>
  <c r="AT57" i="45"/>
  <c r="BC137" i="44"/>
  <c r="BC153" i="44"/>
  <c r="BA170" i="44"/>
  <c r="BB167" i="44" s="1"/>
  <c r="BA169" i="44"/>
  <c r="AY225" i="44"/>
  <c r="AY227" i="44" s="1"/>
  <c r="AY269" i="44" s="1"/>
  <c r="AY245" i="44"/>
  <c r="AY263" i="44" s="1"/>
  <c r="AQ95" i="45"/>
  <c r="AQ115" i="45"/>
  <c r="AQ116" i="45" s="1"/>
  <c r="AQ118" i="45" s="1"/>
  <c r="AQ54" i="45"/>
  <c r="AQ67" i="45"/>
  <c r="BA247" i="44"/>
  <c r="BA260" i="44"/>
  <c r="AZ265" i="44"/>
  <c r="AZ279" i="44"/>
  <c r="AZ280" i="44" s="1"/>
  <c r="AZ282" i="44" s="1"/>
  <c r="AU47" i="45"/>
  <c r="AU48" i="45"/>
  <c r="AV45" i="45" s="1"/>
  <c r="AM88" i="45"/>
  <c r="AM100" i="45"/>
  <c r="BB200" i="44"/>
  <c r="BB196" i="44"/>
  <c r="BB201" i="44"/>
  <c r="BC195" i="44" s="1"/>
  <c r="AV122" i="44"/>
  <c r="AV125" i="44"/>
  <c r="AQ236" i="44"/>
  <c r="AQ238" i="44" s="1"/>
  <c r="AQ270" i="44" s="1"/>
  <c r="AQ246" i="44"/>
  <c r="AQ264" i="44" s="1"/>
  <c r="BA220" i="44"/>
  <c r="BA224" i="44" s="1"/>
  <c r="BA221" i="44"/>
  <c r="BB214" i="44" s="1"/>
  <c r="BA215" i="44"/>
  <c r="AO73" i="45"/>
  <c r="AO80" i="45" s="1"/>
  <c r="AO94" i="45" s="1"/>
  <c r="AO72" i="45"/>
  <c r="AW87" i="44"/>
  <c r="AW97" i="44" s="1"/>
  <c r="AW120" i="44" s="1"/>
  <c r="AW109" i="44"/>
  <c r="AW112" i="44" s="1"/>
  <c r="AZ150" i="44"/>
  <c r="AZ173" i="44"/>
  <c r="AZ138" i="44"/>
  <c r="AZ172" i="44"/>
  <c r="BA164" i="44"/>
  <c r="BA165" i="44"/>
  <c r="BB162" i="44" s="1"/>
  <c r="AR105" i="45"/>
  <c r="AR107" i="45" s="1"/>
  <c r="AR99" i="45"/>
  <c r="AR101" i="45" s="1"/>
  <c r="AR81" i="45"/>
  <c r="AR92" i="45"/>
  <c r="AS60" i="45"/>
  <c r="AS78" i="45"/>
  <c r="BD151" i="44"/>
  <c r="BE146" i="44" s="1"/>
  <c r="BD142" i="44"/>
  <c r="BD147" i="44" s="1"/>
  <c r="BB155" i="44"/>
  <c r="BB177" i="44"/>
  <c r="BB179" i="44" s="1"/>
  <c r="BB242" i="44"/>
  <c r="AY205" i="44"/>
  <c r="AY207" i="44" s="1"/>
  <c r="AY268" i="44" s="1"/>
  <c r="AY271" i="44" s="1"/>
  <c r="AY244" i="44"/>
  <c r="AY262" i="44" s="1"/>
  <c r="AZ74" i="44" l="1"/>
  <c r="AZ75" i="44" s="1"/>
  <c r="BA72" i="44" s="1"/>
  <c r="BA150" i="44"/>
  <c r="BA173" i="44"/>
  <c r="BD149" i="44"/>
  <c r="BD154" i="44"/>
  <c r="AZ225" i="44"/>
  <c r="AZ227" i="44" s="1"/>
  <c r="AZ269" i="44" s="1"/>
  <c r="AZ245" i="44"/>
  <c r="AZ263" i="44" s="1"/>
  <c r="BA203" i="44"/>
  <c r="BA253" i="44"/>
  <c r="AR246" i="44"/>
  <c r="AR264" i="44" s="1"/>
  <c r="AR236" i="44"/>
  <c r="AR238" i="44" s="1"/>
  <c r="AR270" i="44" s="1"/>
  <c r="AW125" i="44"/>
  <c r="AW122" i="44"/>
  <c r="AX87" i="44"/>
  <c r="AX97" i="44" s="1"/>
  <c r="AX120" i="44" s="1"/>
  <c r="AX109" i="44"/>
  <c r="AX112" i="44" s="1"/>
  <c r="AV48" i="45"/>
  <c r="AW45" i="45" s="1"/>
  <c r="AV47" i="45"/>
  <c r="AU53" i="45"/>
  <c r="AU57" i="45"/>
  <c r="AT60" i="45"/>
  <c r="AT78" i="45"/>
  <c r="BI103" i="44"/>
  <c r="BJ99" i="44" s="1"/>
  <c r="BI102" i="44"/>
  <c r="BI105" i="44" s="1"/>
  <c r="BI111" i="44" s="1"/>
  <c r="AU192" i="44"/>
  <c r="AU210" i="44"/>
  <c r="AU193" i="44"/>
  <c r="AP72" i="45"/>
  <c r="AP73" i="45"/>
  <c r="AP80" i="45" s="1"/>
  <c r="AP94" i="45" s="1"/>
  <c r="AT230" i="44"/>
  <c r="AT211" i="44"/>
  <c r="AT212" i="44"/>
  <c r="AS105" i="45"/>
  <c r="AS107" i="45" s="1"/>
  <c r="AS99" i="45"/>
  <c r="AS101" i="45" s="1"/>
  <c r="AS92" i="45"/>
  <c r="AS81" i="45"/>
  <c r="BE143" i="44"/>
  <c r="BE144" i="44"/>
  <c r="BF141" i="44" s="1"/>
  <c r="BB204" i="44"/>
  <c r="BB219" i="44"/>
  <c r="BE151" i="44"/>
  <c r="BF146" i="44" s="1"/>
  <c r="BE142" i="44"/>
  <c r="BE147" i="44" s="1"/>
  <c r="BB170" i="44"/>
  <c r="BC167" i="44" s="1"/>
  <c r="BB169" i="44"/>
  <c r="AO74" i="45"/>
  <c r="AO87" i="45"/>
  <c r="BC155" i="44"/>
  <c r="BC177" i="44"/>
  <c r="BC179" i="44" s="1"/>
  <c r="BC242" i="44"/>
  <c r="BB220" i="44"/>
  <c r="BB224" i="44" s="1"/>
  <c r="BB221" i="44"/>
  <c r="BC214" i="44" s="1"/>
  <c r="BB215" i="44"/>
  <c r="BA223" i="44"/>
  <c r="BA254" i="44"/>
  <c r="AR54" i="45"/>
  <c r="AR67" i="45"/>
  <c r="AQ79" i="45"/>
  <c r="AQ93" i="45" s="1"/>
  <c r="AQ70" i="45"/>
  <c r="BE139" i="44"/>
  <c r="BF134" i="44" s="1"/>
  <c r="BE130" i="44"/>
  <c r="BE135" i="44" s="1"/>
  <c r="AV126" i="44"/>
  <c r="AV158" i="44"/>
  <c r="AV127" i="44"/>
  <c r="BD137" i="44"/>
  <c r="BD153" i="44"/>
  <c r="AZ178" i="44"/>
  <c r="AZ174" i="44"/>
  <c r="AZ243" i="44"/>
  <c r="AZ261" i="44" s="1"/>
  <c r="AZ205" i="44"/>
  <c r="AZ207" i="44" s="1"/>
  <c r="AZ268" i="44" s="1"/>
  <c r="AZ271" i="44" s="1"/>
  <c r="AZ244" i="44"/>
  <c r="AZ262" i="44" s="1"/>
  <c r="AV55" i="45"/>
  <c r="AW50" i="45" s="1"/>
  <c r="AV46" i="45"/>
  <c r="AV51" i="45" s="1"/>
  <c r="BA265" i="44"/>
  <c r="BA279" i="44"/>
  <c r="BA280" i="44" s="1"/>
  <c r="BA282" i="44" s="1"/>
  <c r="BB164" i="44"/>
  <c r="BB165" i="44"/>
  <c r="BC162" i="44" s="1"/>
  <c r="AY80" i="44"/>
  <c r="AY84" i="44"/>
  <c r="AS231" i="44"/>
  <c r="AS234" i="44" s="1"/>
  <c r="AS232" i="44"/>
  <c r="AS235" i="44" s="1"/>
  <c r="AS255" i="44" s="1"/>
  <c r="AN88" i="45"/>
  <c r="AN100" i="45"/>
  <c r="BC198" i="44"/>
  <c r="BC217" i="44" s="1"/>
  <c r="BC184" i="44"/>
  <c r="BC186" i="44" s="1"/>
  <c r="BC251" i="44"/>
  <c r="BC256" i="44" s="1"/>
  <c r="AR95" i="45"/>
  <c r="AR115" i="45"/>
  <c r="AR116" i="45" s="1"/>
  <c r="AR118" i="45" s="1"/>
  <c r="AS64" i="45"/>
  <c r="AS65" i="45"/>
  <c r="AT62" i="45" s="1"/>
  <c r="BE132" i="44"/>
  <c r="BF129" i="44" s="1"/>
  <c r="BE131" i="44"/>
  <c r="BA138" i="44"/>
  <c r="BA172" i="44"/>
  <c r="BB247" i="44"/>
  <c r="BB260" i="44"/>
  <c r="BC200" i="44"/>
  <c r="BC196" i="44"/>
  <c r="BC201" i="44"/>
  <c r="BD195" i="44" s="1"/>
  <c r="AZ199" i="44"/>
  <c r="AZ218" i="44" s="1"/>
  <c r="AZ185" i="44"/>
  <c r="AZ252" i="44"/>
  <c r="BA174" i="44" l="1"/>
  <c r="BA243" i="44"/>
  <c r="BA261" i="44" s="1"/>
  <c r="BA178" i="44"/>
  <c r="BF143" i="44"/>
  <c r="BF144" i="44"/>
  <c r="BG141" i="44" s="1"/>
  <c r="BA205" i="44"/>
  <c r="BA207" i="44" s="1"/>
  <c r="BA268" i="44" s="1"/>
  <c r="BA271" i="44" s="1"/>
  <c r="BA244" i="44"/>
  <c r="BA262" i="44" s="1"/>
  <c r="BE137" i="44"/>
  <c r="BE153" i="44"/>
  <c r="BC247" i="44"/>
  <c r="BC260" i="44"/>
  <c r="AT99" i="45"/>
  <c r="AT101" i="45" s="1"/>
  <c r="AT105" i="45"/>
  <c r="AT107" i="45" s="1"/>
  <c r="AT81" i="45"/>
  <c r="AT92" i="45"/>
  <c r="BF131" i="44"/>
  <c r="BF132" i="44"/>
  <c r="BG129" i="44" s="1"/>
  <c r="BC164" i="44"/>
  <c r="BC165" i="44"/>
  <c r="BD162" i="44" s="1"/>
  <c r="AV160" i="44"/>
  <c r="AV159" i="44"/>
  <c r="AV191" i="44"/>
  <c r="AS115" i="45"/>
  <c r="AS116" i="45" s="1"/>
  <c r="AS118" i="45" s="1"/>
  <c r="AS95" i="45"/>
  <c r="BD155" i="44"/>
  <c r="BD177" i="44"/>
  <c r="BD179" i="44" s="1"/>
  <c r="BD242" i="44"/>
  <c r="BB254" i="44"/>
  <c r="BB223" i="44"/>
  <c r="AT64" i="45"/>
  <c r="AT65" i="45"/>
  <c r="AU62" i="45" s="1"/>
  <c r="BB138" i="44"/>
  <c r="BB172" i="44"/>
  <c r="AU78" i="45"/>
  <c r="AU60" i="45"/>
  <c r="BD198" i="44"/>
  <c r="BD217" i="44" s="1"/>
  <c r="BD251" i="44"/>
  <c r="BD256" i="44" s="1"/>
  <c r="BD184" i="44"/>
  <c r="BD186" i="44" s="1"/>
  <c r="AU212" i="44"/>
  <c r="AU230" i="44"/>
  <c r="AU211" i="44"/>
  <c r="BB203" i="44"/>
  <c r="BB253" i="44"/>
  <c r="AS246" i="44"/>
  <c r="AS264" i="44" s="1"/>
  <c r="AS236" i="44"/>
  <c r="AS238" i="44" s="1"/>
  <c r="AS270" i="44" s="1"/>
  <c r="AW126" i="44"/>
  <c r="AW127" i="44"/>
  <c r="AW158" i="44"/>
  <c r="AY87" i="44"/>
  <c r="AY97" i="44" s="1"/>
  <c r="AY120" i="44" s="1"/>
  <c r="AY109" i="44"/>
  <c r="AY112" i="44" s="1"/>
  <c r="BJ103" i="44"/>
  <c r="BJ102" i="44"/>
  <c r="BJ105" i="44" s="1"/>
  <c r="BJ111" i="44" s="1"/>
  <c r="AS54" i="45"/>
  <c r="AS67" i="45"/>
  <c r="BF139" i="44"/>
  <c r="BG134" i="44" s="1"/>
  <c r="BF130" i="44"/>
  <c r="BF135" i="44" s="1"/>
  <c r="AV57" i="45"/>
  <c r="AV53" i="45"/>
  <c r="BA199" i="44"/>
  <c r="BA218" i="44" s="1"/>
  <c r="BA185" i="44"/>
  <c r="BA252" i="44"/>
  <c r="BC204" i="44"/>
  <c r="BC219" i="44"/>
  <c r="BB279" i="44"/>
  <c r="BB280" i="44" s="1"/>
  <c r="BB282" i="44" s="1"/>
  <c r="BB265" i="44"/>
  <c r="BE149" i="44"/>
  <c r="BE154" i="44"/>
  <c r="AP74" i="45"/>
  <c r="AP87" i="45"/>
  <c r="BF151" i="44"/>
  <c r="BG146" i="44" s="1"/>
  <c r="BF142" i="44"/>
  <c r="BF147" i="44" s="1"/>
  <c r="BA225" i="44"/>
  <c r="BA227" i="44" s="1"/>
  <c r="BA269" i="44" s="1"/>
  <c r="BA245" i="44"/>
  <c r="BA263" i="44" s="1"/>
  <c r="BC215" i="44"/>
  <c r="BC220" i="44"/>
  <c r="BC224" i="44" s="1"/>
  <c r="BC221" i="44"/>
  <c r="BD214" i="44" s="1"/>
  <c r="AO100" i="45"/>
  <c r="AO88" i="45"/>
  <c r="AQ72" i="45"/>
  <c r="AQ73" i="45"/>
  <c r="AQ80" i="45" s="1"/>
  <c r="AQ94" i="45" s="1"/>
  <c r="AW48" i="45"/>
  <c r="AX45" i="45" s="1"/>
  <c r="AW47" i="45"/>
  <c r="AW55" i="45"/>
  <c r="AX50" i="45" s="1"/>
  <c r="AW46" i="45"/>
  <c r="AW51" i="45" s="1"/>
  <c r="BB150" i="44"/>
  <c r="BB173" i="44"/>
  <c r="AT232" i="44"/>
  <c r="AT235" i="44" s="1"/>
  <c r="AT255" i="44" s="1"/>
  <c r="AT231" i="44"/>
  <c r="AT234" i="44" s="1"/>
  <c r="BA74" i="44"/>
  <c r="BD200" i="44"/>
  <c r="BD201" i="44"/>
  <c r="BE195" i="44" s="1"/>
  <c r="BD196" i="44"/>
  <c r="AR79" i="45"/>
  <c r="AR93" i="45" s="1"/>
  <c r="AR70" i="45"/>
  <c r="BC170" i="44"/>
  <c r="BD167" i="44" s="1"/>
  <c r="BC169" i="44"/>
  <c r="AX122" i="44"/>
  <c r="AX125" i="44"/>
  <c r="AZ80" i="44"/>
  <c r="AZ84" i="44"/>
  <c r="AX55" i="45" l="1"/>
  <c r="AY50" i="45" s="1"/>
  <c r="AX46" i="45"/>
  <c r="AX51" i="45" s="1"/>
  <c r="BD169" i="44"/>
  <c r="BD170" i="44"/>
  <c r="BE167" i="44" s="1"/>
  <c r="AU231" i="44"/>
  <c r="AU234" i="44" s="1"/>
  <c r="AU232" i="44"/>
  <c r="AU235" i="44" s="1"/>
  <c r="AU255" i="44" s="1"/>
  <c r="AR72" i="45"/>
  <c r="AR73" i="45"/>
  <c r="AR80" i="45" s="1"/>
  <c r="AR94" i="45" s="1"/>
  <c r="AV193" i="44"/>
  <c r="AV192" i="44"/>
  <c r="AV210" i="44"/>
  <c r="BE198" i="44"/>
  <c r="BE217" i="44" s="1"/>
  <c r="BE184" i="44"/>
  <c r="BE186" i="44" s="1"/>
  <c r="BE251" i="44"/>
  <c r="BE256" i="44" s="1"/>
  <c r="BC279" i="44"/>
  <c r="BC280" i="44" s="1"/>
  <c r="BC282" i="44" s="1"/>
  <c r="BC265" i="44"/>
  <c r="BD204" i="44"/>
  <c r="BD219" i="44"/>
  <c r="AU105" i="45"/>
  <c r="AU107" i="45" s="1"/>
  <c r="AU99" i="45"/>
  <c r="AU101" i="45" s="1"/>
  <c r="AU92" i="45"/>
  <c r="AU81" i="45"/>
  <c r="BC254" i="44"/>
  <c r="BC223" i="44"/>
  <c r="BB174" i="44"/>
  <c r="BB243" i="44"/>
  <c r="BB261" i="44" s="1"/>
  <c r="BB178" i="44"/>
  <c r="BD247" i="44"/>
  <c r="BD260" i="44"/>
  <c r="AX48" i="45"/>
  <c r="AY45" i="45" s="1"/>
  <c r="AX47" i="45"/>
  <c r="BE201" i="44"/>
  <c r="BF195" i="44" s="1"/>
  <c r="BE200" i="44"/>
  <c r="BE196" i="44"/>
  <c r="AY125" i="44"/>
  <c r="AY122" i="44"/>
  <c r="BD215" i="44"/>
  <c r="BD220" i="44"/>
  <c r="BD224" i="44" s="1"/>
  <c r="BD221" i="44"/>
  <c r="BE214" i="44" s="1"/>
  <c r="BD164" i="44"/>
  <c r="BD165" i="44"/>
  <c r="BE162" i="44" s="1"/>
  <c r="BB185" i="44"/>
  <c r="BB199" i="44"/>
  <c r="BB218" i="44" s="1"/>
  <c r="BB252" i="44"/>
  <c r="AT54" i="45"/>
  <c r="AT67" i="45"/>
  <c r="BG131" i="44"/>
  <c r="BG132" i="44"/>
  <c r="BH129" i="44" s="1"/>
  <c r="BC150" i="44"/>
  <c r="BC173" i="44"/>
  <c r="BG130" i="44"/>
  <c r="BG135" i="44" s="1"/>
  <c r="BG139" i="44"/>
  <c r="BH134" i="44" s="1"/>
  <c r="AW57" i="45"/>
  <c r="AW53" i="45"/>
  <c r="AS79" i="45"/>
  <c r="AS93" i="45" s="1"/>
  <c r="AS70" i="45"/>
  <c r="BE155" i="44"/>
  <c r="BE242" i="44"/>
  <c r="BE177" i="44"/>
  <c r="BE179" i="44" s="1"/>
  <c r="BA84" i="44"/>
  <c r="BA80" i="44"/>
  <c r="AW160" i="44"/>
  <c r="AW159" i="44"/>
  <c r="AW191" i="44"/>
  <c r="BA75" i="44"/>
  <c r="BB72" i="44" s="1"/>
  <c r="AU64" i="45"/>
  <c r="AU65" i="45"/>
  <c r="AV62" i="45" s="1"/>
  <c r="BF154" i="44"/>
  <c r="BF149" i="44"/>
  <c r="AV78" i="45"/>
  <c r="AV60" i="45"/>
  <c r="BB225" i="44"/>
  <c r="BB227" i="44" s="1"/>
  <c r="BB269" i="44" s="1"/>
  <c r="BB245" i="44"/>
  <c r="BB263" i="44" s="1"/>
  <c r="BF137" i="44"/>
  <c r="BF153" i="44"/>
  <c r="AP88" i="45"/>
  <c r="AP100" i="45"/>
  <c r="AQ74" i="45"/>
  <c r="AQ87" i="45"/>
  <c r="BC203" i="44"/>
  <c r="BC253" i="44"/>
  <c r="AT236" i="44"/>
  <c r="AT238" i="44" s="1"/>
  <c r="AT270" i="44" s="1"/>
  <c r="AT246" i="44"/>
  <c r="AT264" i="44" s="1"/>
  <c r="BG143" i="44"/>
  <c r="BG144" i="44"/>
  <c r="BH141" i="44" s="1"/>
  <c r="AZ87" i="44"/>
  <c r="AZ97" i="44" s="1"/>
  <c r="AZ120" i="44" s="1"/>
  <c r="AZ109" i="44"/>
  <c r="AZ112" i="44" s="1"/>
  <c r="BC172" i="44"/>
  <c r="BC138" i="44"/>
  <c r="AX126" i="44"/>
  <c r="AX158" i="44"/>
  <c r="AX127" i="44"/>
  <c r="BG151" i="44"/>
  <c r="BH146" i="44" s="1"/>
  <c r="BG142" i="44"/>
  <c r="BG147" i="44" s="1"/>
  <c r="BB205" i="44"/>
  <c r="BB207" i="44" s="1"/>
  <c r="BB268" i="44" s="1"/>
  <c r="BB271" i="44" s="1"/>
  <c r="BB244" i="44"/>
  <c r="BB262" i="44" s="1"/>
  <c r="AT115" i="45"/>
  <c r="AT116" i="45" s="1"/>
  <c r="AT118" i="45" s="1"/>
  <c r="AT95" i="45"/>
  <c r="AW78" i="45" l="1"/>
  <c r="AW60" i="45"/>
  <c r="BC225" i="44"/>
  <c r="BC227" i="44" s="1"/>
  <c r="BC269" i="44" s="1"/>
  <c r="BC245" i="44"/>
  <c r="BC263" i="44" s="1"/>
  <c r="AU115" i="45"/>
  <c r="AU116" i="45" s="1"/>
  <c r="AU118" i="45" s="1"/>
  <c r="AU95" i="45"/>
  <c r="BE164" i="44"/>
  <c r="BE165" i="44"/>
  <c r="BF162" i="44" s="1"/>
  <c r="BF184" i="44"/>
  <c r="BF186" i="44" s="1"/>
  <c r="BF198" i="44"/>
  <c r="BF217" i="44" s="1"/>
  <c r="BF251" i="44"/>
  <c r="BF256" i="44" s="1"/>
  <c r="AQ100" i="45"/>
  <c r="AQ88" i="45"/>
  <c r="BH130" i="44"/>
  <c r="BH135" i="44" s="1"/>
  <c r="BH139" i="44"/>
  <c r="BI134" i="44" s="1"/>
  <c r="BB74" i="44"/>
  <c r="BB75" i="44" s="1"/>
  <c r="BC72" i="44" s="1"/>
  <c r="AY126" i="44"/>
  <c r="AY127" i="44"/>
  <c r="AY158" i="44"/>
  <c r="BH131" i="44"/>
  <c r="BH132" i="44"/>
  <c r="BI129" i="44" s="1"/>
  <c r="BF155" i="44"/>
  <c r="BF177" i="44"/>
  <c r="BF179" i="44" s="1"/>
  <c r="BF242" i="44"/>
  <c r="AV212" i="44"/>
  <c r="AV230" i="44"/>
  <c r="AV211" i="44"/>
  <c r="BD138" i="44"/>
  <c r="BD172" i="44"/>
  <c r="BC205" i="44"/>
  <c r="BC207" i="44" s="1"/>
  <c r="BC268" i="44" s="1"/>
  <c r="BC271" i="44" s="1"/>
  <c r="BC244" i="44"/>
  <c r="BC262" i="44" s="1"/>
  <c r="BE215" i="44"/>
  <c r="BE220" i="44"/>
  <c r="BE224" i="44" s="1"/>
  <c r="BE221" i="44"/>
  <c r="BF214" i="44" s="1"/>
  <c r="BD254" i="44"/>
  <c r="BD223" i="44"/>
  <c r="AW192" i="44"/>
  <c r="AW210" i="44"/>
  <c r="AW193" i="44"/>
  <c r="BC185" i="44"/>
  <c r="BC199" i="44"/>
  <c r="BC218" i="44" s="1"/>
  <c r="BC252" i="44"/>
  <c r="BG137" i="44"/>
  <c r="BG153" i="44"/>
  <c r="AU236" i="44"/>
  <c r="AU238" i="44" s="1"/>
  <c r="AU270" i="44" s="1"/>
  <c r="AU246" i="44"/>
  <c r="AU264" i="44" s="1"/>
  <c r="AX57" i="45"/>
  <c r="AX53" i="45"/>
  <c r="BE169" i="44"/>
  <c r="BE170" i="44"/>
  <c r="BF167" i="44" s="1"/>
  <c r="BH143" i="44"/>
  <c r="BH144" i="44"/>
  <c r="BI141" i="44" s="1"/>
  <c r="BE247" i="44"/>
  <c r="BE260" i="44"/>
  <c r="AY48" i="45"/>
  <c r="AZ45" i="45" s="1"/>
  <c r="AY47" i="45"/>
  <c r="BD173" i="44"/>
  <c r="BD150" i="44"/>
  <c r="BE219" i="44"/>
  <c r="BE204" i="44"/>
  <c r="AT79" i="45"/>
  <c r="AT93" i="45" s="1"/>
  <c r="AT70" i="45"/>
  <c r="AZ122" i="44"/>
  <c r="AZ125" i="44"/>
  <c r="BG154" i="44"/>
  <c r="BG149" i="44"/>
  <c r="BD279" i="44"/>
  <c r="BD280" i="44" s="1"/>
  <c r="BD282" i="44" s="1"/>
  <c r="BD265" i="44"/>
  <c r="AV64" i="45"/>
  <c r="AV65" i="45"/>
  <c r="AW62" i="45" s="1"/>
  <c r="BH142" i="44"/>
  <c r="BH147" i="44" s="1"/>
  <c r="BH151" i="44"/>
  <c r="BI146" i="44" s="1"/>
  <c r="AU54" i="45"/>
  <c r="AU67" i="45"/>
  <c r="AX159" i="44"/>
  <c r="AX160" i="44"/>
  <c r="AX191" i="44"/>
  <c r="AR74" i="45"/>
  <c r="AR87" i="45"/>
  <c r="BC174" i="44"/>
  <c r="BC243" i="44"/>
  <c r="BC261" i="44" s="1"/>
  <c r="BC178" i="44"/>
  <c r="BA87" i="44"/>
  <c r="BA97" i="44" s="1"/>
  <c r="BA120" i="44" s="1"/>
  <c r="BA109" i="44"/>
  <c r="BF201" i="44"/>
  <c r="BG195" i="44" s="1"/>
  <c r="BF200" i="44"/>
  <c r="BF196" i="44"/>
  <c r="BD203" i="44"/>
  <c r="BD253" i="44"/>
  <c r="AV81" i="45"/>
  <c r="AV92" i="45"/>
  <c r="AV105" i="45"/>
  <c r="AV107" i="45" s="1"/>
  <c r="AV99" i="45"/>
  <c r="AV101" i="45" s="1"/>
  <c r="AS72" i="45"/>
  <c r="AS73" i="45"/>
  <c r="AS80" i="45" s="1"/>
  <c r="AS94" i="45" s="1"/>
  <c r="AY55" i="45"/>
  <c r="AZ50" i="45" s="1"/>
  <c r="AY46" i="45"/>
  <c r="AY51" i="45" s="1"/>
  <c r="AV67" i="45" l="1"/>
  <c r="AV54" i="45"/>
  <c r="AR88" i="45"/>
  <c r="AR100" i="45"/>
  <c r="AX193" i="44"/>
  <c r="AX192" i="44"/>
  <c r="AX210" i="44"/>
  <c r="BI131" i="44"/>
  <c r="BI132" i="44"/>
  <c r="BJ129" i="44" s="1"/>
  <c r="BF165" i="44"/>
  <c r="BG162" i="44" s="1"/>
  <c r="BF164" i="44"/>
  <c r="AS87" i="45"/>
  <c r="AS74" i="45"/>
  <c r="BF247" i="44"/>
  <c r="BF260" i="44"/>
  <c r="AZ55" i="45"/>
  <c r="BA50" i="45" s="1"/>
  <c r="AZ46" i="45"/>
  <c r="AZ51" i="45" s="1"/>
  <c r="BA122" i="44"/>
  <c r="BA125" i="44"/>
  <c r="BG184" i="44"/>
  <c r="BG186" i="44" s="1"/>
  <c r="BG198" i="44"/>
  <c r="BG217" i="44" s="1"/>
  <c r="BG251" i="44"/>
  <c r="BG256" i="44" s="1"/>
  <c r="BD225" i="44"/>
  <c r="BD227" i="44" s="1"/>
  <c r="BD269" i="44" s="1"/>
  <c r="BD245" i="44"/>
  <c r="BD263" i="44" s="1"/>
  <c r="BH137" i="44"/>
  <c r="BH153" i="44"/>
  <c r="AX78" i="45"/>
  <c r="AX60" i="45"/>
  <c r="AU79" i="45"/>
  <c r="AU93" i="45" s="1"/>
  <c r="AU70" i="45"/>
  <c r="AV231" i="44"/>
  <c r="AV234" i="44" s="1"/>
  <c r="AV232" i="44"/>
  <c r="AV235" i="44" s="1"/>
  <c r="AV255" i="44" s="1"/>
  <c r="BH154" i="44"/>
  <c r="BH149" i="44"/>
  <c r="BF169" i="44"/>
  <c r="BF170" i="44"/>
  <c r="BG167" i="44" s="1"/>
  <c r="BF215" i="44"/>
  <c r="BF220" i="44"/>
  <c r="BF224" i="44" s="1"/>
  <c r="BF221" i="44"/>
  <c r="BG214" i="44" s="1"/>
  <c r="BE223" i="44"/>
  <c r="BE254" i="44"/>
  <c r="BF219" i="44"/>
  <c r="BF204" i="44"/>
  <c r="BI142" i="44"/>
  <c r="BI147" i="44" s="1"/>
  <c r="BI151" i="44"/>
  <c r="BJ146" i="44" s="1"/>
  <c r="BG155" i="44"/>
  <c r="BG242" i="44"/>
  <c r="BG177" i="44"/>
  <c r="BG179" i="44" s="1"/>
  <c r="BB84" i="44"/>
  <c r="BB80" i="44"/>
  <c r="AV115" i="45"/>
  <c r="AV116" i="45" s="1"/>
  <c r="AV118" i="45" s="1"/>
  <c r="AV95" i="45"/>
  <c r="BE138" i="44"/>
  <c r="BE172" i="44"/>
  <c r="BG196" i="44"/>
  <c r="BG201" i="44"/>
  <c r="BH195" i="44" s="1"/>
  <c r="BG200" i="44"/>
  <c r="BC74" i="44"/>
  <c r="BC75" i="44" s="1"/>
  <c r="BD72" i="44" s="1"/>
  <c r="AZ48" i="45"/>
  <c r="BA45" i="45" s="1"/>
  <c r="AZ47" i="45"/>
  <c r="BE279" i="44"/>
  <c r="BE280" i="44" s="1"/>
  <c r="BE282" i="44" s="1"/>
  <c r="BE265" i="44"/>
  <c r="BI144" i="44"/>
  <c r="BJ141" i="44" s="1"/>
  <c r="BI143" i="44"/>
  <c r="AW212" i="44"/>
  <c r="AW230" i="44"/>
  <c r="AW211" i="44"/>
  <c r="AZ127" i="44"/>
  <c r="AZ126" i="44"/>
  <c r="AZ158" i="44"/>
  <c r="BE150" i="44"/>
  <c r="BE173" i="44"/>
  <c r="AT72" i="45"/>
  <c r="AT73" i="45"/>
  <c r="AT80" i="45" s="1"/>
  <c r="AT94" i="45" s="1"/>
  <c r="AY159" i="44"/>
  <c r="AY160" i="44"/>
  <c r="AY191" i="44"/>
  <c r="BD244" i="44"/>
  <c r="BD262" i="44" s="1"/>
  <c r="BD205" i="44"/>
  <c r="BD207" i="44" s="1"/>
  <c r="BD268" i="44" s="1"/>
  <c r="BD271" i="44" s="1"/>
  <c r="BE203" i="44"/>
  <c r="BE253" i="44"/>
  <c r="BD185" i="44"/>
  <c r="BD199" i="44"/>
  <c r="BD218" i="44" s="1"/>
  <c r="BD252" i="44"/>
  <c r="BD174" i="44"/>
  <c r="BD178" i="44"/>
  <c r="BD243" i="44"/>
  <c r="BD261" i="44" s="1"/>
  <c r="BA112" i="44"/>
  <c r="AW64" i="45"/>
  <c r="AW65" i="45"/>
  <c r="AX62" i="45" s="1"/>
  <c r="AY57" i="45"/>
  <c r="AY53" i="45"/>
  <c r="BI139" i="44"/>
  <c r="BJ134" i="44" s="1"/>
  <c r="BI130" i="44"/>
  <c r="BI135" i="44" s="1"/>
  <c r="AW81" i="45"/>
  <c r="AW92" i="45"/>
  <c r="AW105" i="45"/>
  <c r="AW107" i="45" s="1"/>
  <c r="AW99" i="45"/>
  <c r="AW101" i="45" s="1"/>
  <c r="BD74" i="44" l="1"/>
  <c r="BD75" i="44" s="1"/>
  <c r="BE72" i="44" s="1"/>
  <c r="AX99" i="45"/>
  <c r="AX101" i="45" s="1"/>
  <c r="AX92" i="45"/>
  <c r="AX81" i="45"/>
  <c r="AX105" i="45"/>
  <c r="AX107" i="45" s="1"/>
  <c r="BE205" i="44"/>
  <c r="BE207" i="44" s="1"/>
  <c r="BE268" i="44" s="1"/>
  <c r="BE271" i="44" s="1"/>
  <c r="BE244" i="44"/>
  <c r="BE262" i="44" s="1"/>
  <c r="BI154" i="44"/>
  <c r="BI149" i="44"/>
  <c r="BJ144" i="44"/>
  <c r="BJ143" i="44"/>
  <c r="BG169" i="44"/>
  <c r="BG170" i="44"/>
  <c r="BH167" i="44" s="1"/>
  <c r="BI137" i="44"/>
  <c r="BI153" i="44"/>
  <c r="BJ130" i="44"/>
  <c r="BJ135" i="44" s="1"/>
  <c r="BJ139" i="44"/>
  <c r="BE174" i="44"/>
  <c r="BE178" i="44"/>
  <c r="BE243" i="44"/>
  <c r="BE261" i="44" s="1"/>
  <c r="BG215" i="44"/>
  <c r="BG220" i="44"/>
  <c r="BG224" i="44" s="1"/>
  <c r="BG221" i="44"/>
  <c r="BH214" i="44" s="1"/>
  <c r="AY60" i="45"/>
  <c r="AY78" i="45"/>
  <c r="BF173" i="44"/>
  <c r="BF150" i="44"/>
  <c r="BH155" i="44"/>
  <c r="BH242" i="44"/>
  <c r="BH177" i="44"/>
  <c r="BH179" i="44" s="1"/>
  <c r="BG165" i="44"/>
  <c r="BH162" i="44" s="1"/>
  <c r="BG164" i="44"/>
  <c r="AW67" i="45"/>
  <c r="AW54" i="45"/>
  <c r="AZ57" i="45"/>
  <c r="AZ53" i="45"/>
  <c r="AT74" i="45"/>
  <c r="AT87" i="45"/>
  <c r="BA47" i="45"/>
  <c r="BA48" i="45"/>
  <c r="BB45" i="45" s="1"/>
  <c r="BF138" i="44"/>
  <c r="BF172" i="44"/>
  <c r="BE185" i="44"/>
  <c r="BE199" i="44"/>
  <c r="BE218" i="44" s="1"/>
  <c r="BE252" i="44"/>
  <c r="BJ142" i="44"/>
  <c r="BJ147" i="44" s="1"/>
  <c r="BJ151" i="44"/>
  <c r="AV236" i="44"/>
  <c r="AV238" i="44" s="1"/>
  <c r="AV270" i="44" s="1"/>
  <c r="AV246" i="44"/>
  <c r="AV264" i="44" s="1"/>
  <c r="AS88" i="45"/>
  <c r="AS100" i="45"/>
  <c r="AW232" i="44"/>
  <c r="AW235" i="44" s="1"/>
  <c r="AW255" i="44" s="1"/>
  <c r="AW231" i="44"/>
  <c r="AW234" i="44" s="1"/>
  <c r="BJ131" i="44"/>
  <c r="BJ132" i="44"/>
  <c r="BB109" i="44"/>
  <c r="BB87" i="44"/>
  <c r="BB97" i="44" s="1"/>
  <c r="BB120" i="44" s="1"/>
  <c r="AX212" i="44"/>
  <c r="AX230" i="44"/>
  <c r="AX211" i="44"/>
  <c r="BH184" i="44"/>
  <c r="BH186" i="44" s="1"/>
  <c r="BH198" i="44"/>
  <c r="BH217" i="44" s="1"/>
  <c r="BH251" i="44"/>
  <c r="BH256" i="44" s="1"/>
  <c r="AU72" i="45"/>
  <c r="AU73" i="45"/>
  <c r="AU80" i="45" s="1"/>
  <c r="AU94" i="45" s="1"/>
  <c r="BA46" i="45"/>
  <c r="BA51" i="45" s="1"/>
  <c r="BA55" i="45"/>
  <c r="BB50" i="45" s="1"/>
  <c r="BH196" i="44"/>
  <c r="BH201" i="44"/>
  <c r="BI195" i="44" s="1"/>
  <c r="BH200" i="44"/>
  <c r="BE225" i="44"/>
  <c r="BE227" i="44" s="1"/>
  <c r="BE269" i="44" s="1"/>
  <c r="BE245" i="44"/>
  <c r="BE263" i="44" s="1"/>
  <c r="BF223" i="44"/>
  <c r="BF254" i="44"/>
  <c r="AX64" i="45"/>
  <c r="AX65" i="45"/>
  <c r="AY62" i="45" s="1"/>
  <c r="AY193" i="44"/>
  <c r="AY192" i="44"/>
  <c r="AY210" i="44"/>
  <c r="BG247" i="44"/>
  <c r="BG260" i="44"/>
  <c r="BA126" i="44"/>
  <c r="BA127" i="44"/>
  <c r="BA158" i="44"/>
  <c r="BC84" i="44"/>
  <c r="BC80" i="44"/>
  <c r="AW115" i="45"/>
  <c r="AW116" i="45" s="1"/>
  <c r="AW118" i="45" s="1"/>
  <c r="AW95" i="45"/>
  <c r="AZ159" i="44"/>
  <c r="AZ160" i="44"/>
  <c r="AZ191" i="44"/>
  <c r="BG219" i="44"/>
  <c r="BG204" i="44"/>
  <c r="BF203" i="44"/>
  <c r="BF253" i="44"/>
  <c r="BF279" i="44"/>
  <c r="BF280" i="44" s="1"/>
  <c r="BF282" i="44" s="1"/>
  <c r="BF265" i="44"/>
  <c r="AV79" i="45"/>
  <c r="AV93" i="45" s="1"/>
  <c r="AV70" i="45"/>
  <c r="BE74" i="44" l="1"/>
  <c r="BE75" i="44" s="1"/>
  <c r="BF72" i="44" s="1"/>
  <c r="BB47" i="45"/>
  <c r="BB48" i="45"/>
  <c r="BC45" i="45" s="1"/>
  <c r="BH169" i="44"/>
  <c r="BH170" i="44"/>
  <c r="BI167" i="44" s="1"/>
  <c r="BJ154" i="44"/>
  <c r="BJ149" i="44"/>
  <c r="AU74" i="45"/>
  <c r="AU87" i="45"/>
  <c r="BG223" i="44"/>
  <c r="BG254" i="44"/>
  <c r="AZ193" i="44"/>
  <c r="AZ192" i="44"/>
  <c r="AZ210" i="44"/>
  <c r="AW79" i="45"/>
  <c r="AW93" i="45" s="1"/>
  <c r="AW70" i="45"/>
  <c r="BJ137" i="44"/>
  <c r="BJ153" i="44"/>
  <c r="BF185" i="44"/>
  <c r="BF199" i="44"/>
  <c r="BF218" i="44" s="1"/>
  <c r="BF252" i="44"/>
  <c r="BG265" i="44"/>
  <c r="BG279" i="44"/>
  <c r="BG280" i="44" s="1"/>
  <c r="BG282" i="44" s="1"/>
  <c r="BG138" i="44"/>
  <c r="BG172" i="44"/>
  <c r="BB46" i="45"/>
  <c r="BB51" i="45" s="1"/>
  <c r="BB55" i="45"/>
  <c r="BC50" i="45" s="1"/>
  <c r="BG203" i="44"/>
  <c r="BG253" i="44"/>
  <c r="BH215" i="44"/>
  <c r="BH221" i="44"/>
  <c r="BI214" i="44" s="1"/>
  <c r="BH220" i="44"/>
  <c r="BH224" i="44" s="1"/>
  <c r="AX232" i="44"/>
  <c r="AX235" i="44" s="1"/>
  <c r="AX255" i="44" s="1"/>
  <c r="AX231" i="44"/>
  <c r="AX234" i="44" s="1"/>
  <c r="BH164" i="44"/>
  <c r="BH165" i="44"/>
  <c r="BI162" i="44" s="1"/>
  <c r="AY99" i="45"/>
  <c r="AY101" i="45" s="1"/>
  <c r="AY81" i="45"/>
  <c r="AY92" i="45"/>
  <c r="AY105" i="45"/>
  <c r="AY107" i="45" s="1"/>
  <c r="BI184" i="44"/>
  <c r="BI186" i="44" s="1"/>
  <c r="BI198" i="44"/>
  <c r="BI217" i="44" s="1"/>
  <c r="BI251" i="44"/>
  <c r="BI256" i="44" s="1"/>
  <c r="AX67" i="45"/>
  <c r="AX54" i="45"/>
  <c r="AX115" i="45"/>
  <c r="AX116" i="45" s="1"/>
  <c r="AX118" i="45" s="1"/>
  <c r="AX95" i="45"/>
  <c r="AW246" i="44"/>
  <c r="AW264" i="44" s="1"/>
  <c r="AW236" i="44"/>
  <c r="AW238" i="44" s="1"/>
  <c r="AW270" i="44" s="1"/>
  <c r="BH247" i="44"/>
  <c r="BH260" i="44"/>
  <c r="BG173" i="44"/>
  <c r="BG150" i="44"/>
  <c r="AT88" i="45"/>
  <c r="AT100" i="45"/>
  <c r="AY65" i="45"/>
  <c r="AZ62" i="45" s="1"/>
  <c r="AY64" i="45"/>
  <c r="AV72" i="45"/>
  <c r="AV73" i="45"/>
  <c r="AV80" i="45" s="1"/>
  <c r="AV94" i="45" s="1"/>
  <c r="BC109" i="44"/>
  <c r="BC112" i="44" s="1"/>
  <c r="BC87" i="44"/>
  <c r="BC97" i="44" s="1"/>
  <c r="BC120" i="44" s="1"/>
  <c r="BA159" i="44"/>
  <c r="BA160" i="44"/>
  <c r="BA191" i="44"/>
  <c r="BH219" i="44"/>
  <c r="BH204" i="44"/>
  <c r="BB112" i="44"/>
  <c r="BF174" i="44"/>
  <c r="BF178" i="44"/>
  <c r="BF243" i="44"/>
  <c r="BF261" i="44" s="1"/>
  <c r="BI155" i="44"/>
  <c r="BI242" i="44"/>
  <c r="BI177" i="44"/>
  <c r="BI179" i="44" s="1"/>
  <c r="BA57" i="45"/>
  <c r="BA53" i="45"/>
  <c r="BF244" i="44"/>
  <c r="BF262" i="44" s="1"/>
  <c r="BF205" i="44"/>
  <c r="BF207" i="44" s="1"/>
  <c r="BF268" i="44" s="1"/>
  <c r="BF271" i="44" s="1"/>
  <c r="AY211" i="44"/>
  <c r="AY212" i="44"/>
  <c r="AY230" i="44"/>
  <c r="AZ60" i="45"/>
  <c r="AZ78" i="45"/>
  <c r="BF225" i="44"/>
  <c r="BF227" i="44" s="1"/>
  <c r="BF269" i="44" s="1"/>
  <c r="BF245" i="44"/>
  <c r="BF263" i="44" s="1"/>
  <c r="BB122" i="44"/>
  <c r="BB125" i="44"/>
  <c r="BI200" i="44"/>
  <c r="BI196" i="44"/>
  <c r="BI201" i="44"/>
  <c r="BJ195" i="44" s="1"/>
  <c r="BD84" i="44"/>
  <c r="BD80" i="44"/>
  <c r="BF74" i="44" l="1"/>
  <c r="BF75" i="44"/>
  <c r="BG72" i="44" s="1"/>
  <c r="AY115" i="45"/>
  <c r="AY116" i="45" s="1"/>
  <c r="AY118" i="45" s="1"/>
  <c r="AY95" i="45"/>
  <c r="BG174" i="44"/>
  <c r="BG178" i="44"/>
  <c r="BG243" i="44"/>
  <c r="BG261" i="44" s="1"/>
  <c r="AX236" i="44"/>
  <c r="AX238" i="44" s="1"/>
  <c r="AX270" i="44" s="1"/>
  <c r="AX246" i="44"/>
  <c r="AX264" i="44" s="1"/>
  <c r="BJ184" i="44"/>
  <c r="BJ186" i="44" s="1"/>
  <c r="BJ198" i="44"/>
  <c r="BJ217" i="44" s="1"/>
  <c r="BJ251" i="44"/>
  <c r="BJ256" i="44" s="1"/>
  <c r="BH203" i="44"/>
  <c r="BH253" i="44"/>
  <c r="BH279" i="44"/>
  <c r="BH280" i="44" s="1"/>
  <c r="BH282" i="44" s="1"/>
  <c r="BH265" i="44"/>
  <c r="BD109" i="44"/>
  <c r="BD87" i="44"/>
  <c r="BD97" i="44" s="1"/>
  <c r="BD120" i="44" s="1"/>
  <c r="BI169" i="44"/>
  <c r="BI170" i="44"/>
  <c r="BJ167" i="44" s="1"/>
  <c r="BJ200" i="44"/>
  <c r="BJ196" i="44"/>
  <c r="BJ201" i="44"/>
  <c r="BC122" i="44"/>
  <c r="BC125" i="44"/>
  <c r="BI219" i="44"/>
  <c r="BI204" i="44"/>
  <c r="BH223" i="44"/>
  <c r="BH254" i="44"/>
  <c r="BJ155" i="44"/>
  <c r="BJ242" i="44"/>
  <c r="BJ177" i="44"/>
  <c r="BJ179" i="44" s="1"/>
  <c r="BH150" i="44"/>
  <c r="BH173" i="44"/>
  <c r="BI247" i="44"/>
  <c r="BI260" i="44"/>
  <c r="BI215" i="44"/>
  <c r="BI220" i="44"/>
  <c r="BI224" i="44" s="1"/>
  <c r="BI221" i="44"/>
  <c r="BJ214" i="44" s="1"/>
  <c r="BC47" i="45"/>
  <c r="BC48" i="45"/>
  <c r="BD45" i="45" s="1"/>
  <c r="AY232" i="44"/>
  <c r="AY235" i="44" s="1"/>
  <c r="AY255" i="44" s="1"/>
  <c r="AY231" i="44"/>
  <c r="AY234" i="44" s="1"/>
  <c r="BG185" i="44"/>
  <c r="BG199" i="44"/>
  <c r="BG218" i="44" s="1"/>
  <c r="BG252" i="44"/>
  <c r="BI164" i="44"/>
  <c r="BI165" i="44"/>
  <c r="BJ162" i="44" s="1"/>
  <c r="AV74" i="45"/>
  <c r="AV87" i="45"/>
  <c r="AX79" i="45"/>
  <c r="AX93" i="45" s="1"/>
  <c r="AX70" i="45"/>
  <c r="AW73" i="45"/>
  <c r="AW80" i="45" s="1"/>
  <c r="AW94" i="45" s="1"/>
  <c r="AW72" i="45"/>
  <c r="BB57" i="45"/>
  <c r="BB53" i="45"/>
  <c r="BG245" i="44"/>
  <c r="BG263" i="44" s="1"/>
  <c r="BG225" i="44"/>
  <c r="BG227" i="44" s="1"/>
  <c r="BG269" i="44" s="1"/>
  <c r="BA193" i="44"/>
  <c r="BA192" i="44"/>
  <c r="BA210" i="44"/>
  <c r="BH138" i="44"/>
  <c r="BH172" i="44"/>
  <c r="BB126" i="44"/>
  <c r="BB127" i="44"/>
  <c r="BB158" i="44"/>
  <c r="AY67" i="45"/>
  <c r="AY54" i="45"/>
  <c r="AZ65" i="45"/>
  <c r="BA62" i="45" s="1"/>
  <c r="AZ64" i="45"/>
  <c r="BG205" i="44"/>
  <c r="BG207" i="44" s="1"/>
  <c r="BG268" i="44" s="1"/>
  <c r="BG271" i="44" s="1"/>
  <c r="BG244" i="44"/>
  <c r="BG262" i="44" s="1"/>
  <c r="AZ211" i="44"/>
  <c r="AZ212" i="44"/>
  <c r="AZ230" i="44"/>
  <c r="AU100" i="45"/>
  <c r="AU88" i="45"/>
  <c r="BA60" i="45"/>
  <c r="BA78" i="45"/>
  <c r="AZ99" i="45"/>
  <c r="AZ101" i="45" s="1"/>
  <c r="AZ81" i="45"/>
  <c r="AZ92" i="45"/>
  <c r="AZ105" i="45"/>
  <c r="AZ107" i="45" s="1"/>
  <c r="BC46" i="45"/>
  <c r="BC51" i="45" s="1"/>
  <c r="BC55" i="45"/>
  <c r="BD50" i="45" s="1"/>
  <c r="BE80" i="44"/>
  <c r="BE84" i="44"/>
  <c r="BJ215" i="44" l="1"/>
  <c r="BJ220" i="44"/>
  <c r="BJ224" i="44" s="1"/>
  <c r="BJ221" i="44"/>
  <c r="BC127" i="44"/>
  <c r="BC126" i="44"/>
  <c r="BC158" i="44"/>
  <c r="BH205" i="44"/>
  <c r="BH207" i="44" s="1"/>
  <c r="BH268" i="44" s="1"/>
  <c r="BH271" i="44" s="1"/>
  <c r="BH244" i="44"/>
  <c r="BH262" i="44" s="1"/>
  <c r="AW87" i="45"/>
  <c r="AW74" i="45"/>
  <c r="AY79" i="45"/>
  <c r="AY93" i="45" s="1"/>
  <c r="AY70" i="45"/>
  <c r="BJ219" i="44"/>
  <c r="BJ204" i="44"/>
  <c r="BA65" i="45"/>
  <c r="BB62" i="45" s="1"/>
  <c r="BA64" i="45"/>
  <c r="BA99" i="45"/>
  <c r="BA101" i="45" s="1"/>
  <c r="BA81" i="45"/>
  <c r="BA92" i="45"/>
  <c r="BA105" i="45"/>
  <c r="BA107" i="45" s="1"/>
  <c r="BD47" i="45"/>
  <c r="BD48" i="45"/>
  <c r="BE45" i="45" s="1"/>
  <c r="BC57" i="45"/>
  <c r="BC53" i="45"/>
  <c r="AX73" i="45"/>
  <c r="AX80" i="45" s="1"/>
  <c r="AX94" i="45" s="1"/>
  <c r="AX72" i="45"/>
  <c r="BJ169" i="44"/>
  <c r="BJ170" i="44"/>
  <c r="BA211" i="44"/>
  <c r="BA212" i="44"/>
  <c r="BA230" i="44"/>
  <c r="BD122" i="44"/>
  <c r="BD125" i="44"/>
  <c r="BE87" i="44"/>
  <c r="BE97" i="44" s="1"/>
  <c r="BE120" i="44" s="1"/>
  <c r="BE109" i="44"/>
  <c r="BE112" i="44" s="1"/>
  <c r="BJ247" i="44"/>
  <c r="BJ260" i="44"/>
  <c r="BD112" i="44"/>
  <c r="BB78" i="45"/>
  <c r="BB60" i="45"/>
  <c r="BI203" i="44"/>
  <c r="BI253" i="44"/>
  <c r="BB159" i="44"/>
  <c r="BB160" i="44"/>
  <c r="BB191" i="44"/>
  <c r="BI138" i="44"/>
  <c r="BI172" i="44"/>
  <c r="BI223" i="44"/>
  <c r="BI254" i="44"/>
  <c r="BI279" i="44"/>
  <c r="BI280" i="44" s="1"/>
  <c r="BI282" i="44" s="1"/>
  <c r="BI265" i="44"/>
  <c r="BH185" i="44"/>
  <c r="BH199" i="44"/>
  <c r="BH218" i="44" s="1"/>
  <c r="BH252" i="44"/>
  <c r="AZ232" i="44"/>
  <c r="AZ235" i="44" s="1"/>
  <c r="AZ255" i="44" s="1"/>
  <c r="AZ231" i="44"/>
  <c r="AZ234" i="44" s="1"/>
  <c r="AY236" i="44"/>
  <c r="AY238" i="44" s="1"/>
  <c r="AY270" i="44" s="1"/>
  <c r="AY246" i="44"/>
  <c r="AY264" i="44" s="1"/>
  <c r="BG74" i="44"/>
  <c r="BG75" i="44"/>
  <c r="BH72" i="44" s="1"/>
  <c r="AZ115" i="45"/>
  <c r="AZ116" i="45" s="1"/>
  <c r="AZ118" i="45" s="1"/>
  <c r="AZ95" i="45"/>
  <c r="AV100" i="45"/>
  <c r="AV88" i="45"/>
  <c r="BH178" i="44"/>
  <c r="BH174" i="44"/>
  <c r="BH243" i="44"/>
  <c r="BH261" i="44" s="1"/>
  <c r="BJ164" i="44"/>
  <c r="BJ165" i="44"/>
  <c r="BI150" i="44"/>
  <c r="BI173" i="44"/>
  <c r="BD46" i="45"/>
  <c r="BD51" i="45" s="1"/>
  <c r="BD55" i="45"/>
  <c r="BE50" i="45" s="1"/>
  <c r="AZ67" i="45"/>
  <c r="AZ54" i="45"/>
  <c r="BH225" i="44"/>
  <c r="BH227" i="44" s="1"/>
  <c r="BH269" i="44" s="1"/>
  <c r="BH245" i="44"/>
  <c r="BH263" i="44" s="1"/>
  <c r="BF84" i="44"/>
  <c r="BF80" i="44"/>
  <c r="BB99" i="45" l="1"/>
  <c r="BB101" i="45" s="1"/>
  <c r="BB81" i="45"/>
  <c r="BB92" i="45"/>
  <c r="BB105" i="45"/>
  <c r="BB107" i="45" s="1"/>
  <c r="AY73" i="45"/>
  <c r="AY80" i="45" s="1"/>
  <c r="AY94" i="45" s="1"/>
  <c r="AY72" i="45"/>
  <c r="BE47" i="45"/>
  <c r="BE48" i="45"/>
  <c r="BF45" i="45" s="1"/>
  <c r="BJ150" i="44"/>
  <c r="BJ173" i="44"/>
  <c r="BI178" i="44"/>
  <c r="BI174" i="44"/>
  <c r="BI243" i="44"/>
  <c r="BI261" i="44" s="1"/>
  <c r="AZ79" i="45"/>
  <c r="AZ93" i="45" s="1"/>
  <c r="AZ70" i="45"/>
  <c r="BD126" i="44"/>
  <c r="BD127" i="44"/>
  <c r="BD158" i="44"/>
  <c r="BC160" i="44"/>
  <c r="BC159" i="44"/>
  <c r="BC191" i="44"/>
  <c r="BJ279" i="44"/>
  <c r="BJ280" i="44" s="1"/>
  <c r="BJ282" i="44" s="1"/>
  <c r="BJ265" i="44"/>
  <c r="AW88" i="45"/>
  <c r="AW100" i="45"/>
  <c r="BE46" i="45"/>
  <c r="BE51" i="45" s="1"/>
  <c r="BE55" i="45"/>
  <c r="BF50" i="45" s="1"/>
  <c r="BB193" i="44"/>
  <c r="BB192" i="44"/>
  <c r="BB210" i="44"/>
  <c r="BA95" i="45"/>
  <c r="BA115" i="45"/>
  <c r="BA116" i="45" s="1"/>
  <c r="BA118" i="45" s="1"/>
  <c r="BC78" i="45"/>
  <c r="BC60" i="45"/>
  <c r="BD57" i="45"/>
  <c r="BD53" i="45"/>
  <c r="BH74" i="44"/>
  <c r="BH75" i="44" s="1"/>
  <c r="BI72" i="44" s="1"/>
  <c r="BJ203" i="44"/>
  <c r="BJ253" i="44"/>
  <c r="AX74" i="45"/>
  <c r="AX87" i="45"/>
  <c r="BG80" i="44"/>
  <c r="BG84" i="44"/>
  <c r="BI245" i="44"/>
  <c r="BI263" i="44" s="1"/>
  <c r="BI225" i="44"/>
  <c r="BI227" i="44" s="1"/>
  <c r="BI269" i="44" s="1"/>
  <c r="BA231" i="44"/>
  <c r="BA234" i="44" s="1"/>
  <c r="BA232" i="44"/>
  <c r="BA235" i="44" s="1"/>
  <c r="BA255" i="44" s="1"/>
  <c r="BI199" i="44"/>
  <c r="BI218" i="44" s="1"/>
  <c r="BI185" i="44"/>
  <c r="BI252" i="44"/>
  <c r="AZ236" i="44"/>
  <c r="AZ238" i="44" s="1"/>
  <c r="AZ270" i="44" s="1"/>
  <c r="AZ246" i="44"/>
  <c r="AZ264" i="44" s="1"/>
  <c r="BA67" i="45"/>
  <c r="BA54" i="45"/>
  <c r="BJ223" i="44"/>
  <c r="BJ254" i="44"/>
  <c r="BJ172" i="44"/>
  <c r="BJ138" i="44"/>
  <c r="BF109" i="44"/>
  <c r="BF112" i="44" s="1"/>
  <c r="BF87" i="44"/>
  <c r="BF97" i="44" s="1"/>
  <c r="BF120" i="44" s="1"/>
  <c r="BE125" i="44"/>
  <c r="BE122" i="44"/>
  <c r="BI205" i="44"/>
  <c r="BI207" i="44" s="1"/>
  <c r="BI268" i="44" s="1"/>
  <c r="BI271" i="44" s="1"/>
  <c r="BI244" i="44"/>
  <c r="BI262" i="44" s="1"/>
  <c r="BB64" i="45"/>
  <c r="BB65" i="45"/>
  <c r="BC62" i="45" s="1"/>
  <c r="BI74" i="44" l="1"/>
  <c r="BC64" i="45"/>
  <c r="BC65" i="45"/>
  <c r="BD62" i="45" s="1"/>
  <c r="BF47" i="45"/>
  <c r="BF48" i="45"/>
  <c r="BG45" i="45" s="1"/>
  <c r="BJ205" i="44"/>
  <c r="BJ207" i="44" s="1"/>
  <c r="BJ268" i="44" s="1"/>
  <c r="BJ271" i="44" s="1"/>
  <c r="BJ244" i="44"/>
  <c r="BJ262" i="44" s="1"/>
  <c r="BE53" i="45"/>
  <c r="BE57" i="45"/>
  <c r="BB54" i="45"/>
  <c r="BB67" i="45"/>
  <c r="AY74" i="45"/>
  <c r="AY87" i="45"/>
  <c r="BF46" i="45"/>
  <c r="BF51" i="45" s="1"/>
  <c r="BF55" i="45"/>
  <c r="BG50" i="45" s="1"/>
  <c r="BC192" i="44"/>
  <c r="BC193" i="44"/>
  <c r="BC210" i="44"/>
  <c r="BC81" i="45"/>
  <c r="BC105" i="45"/>
  <c r="BC107" i="45" s="1"/>
  <c r="BC99" i="45"/>
  <c r="BC101" i="45" s="1"/>
  <c r="BC92" i="45"/>
  <c r="BJ185" i="44"/>
  <c r="BJ199" i="44"/>
  <c r="BJ218" i="44" s="1"/>
  <c r="BJ252" i="44"/>
  <c r="BE127" i="44"/>
  <c r="BE126" i="44"/>
  <c r="BE158" i="44"/>
  <c r="BD160" i="44"/>
  <c r="BD159" i="44"/>
  <c r="BD191" i="44"/>
  <c r="BD60" i="45"/>
  <c r="BD78" i="45"/>
  <c r="BF125" i="44"/>
  <c r="BF122" i="44"/>
  <c r="BB95" i="45"/>
  <c r="BB115" i="45"/>
  <c r="BB116" i="45" s="1"/>
  <c r="BB118" i="45" s="1"/>
  <c r="BA79" i="45"/>
  <c r="BA93" i="45" s="1"/>
  <c r="BA70" i="45"/>
  <c r="BJ178" i="44"/>
  <c r="BJ174" i="44"/>
  <c r="BJ243" i="44"/>
  <c r="BJ261" i="44" s="1"/>
  <c r="BG109" i="44"/>
  <c r="BG112" i="44" s="1"/>
  <c r="BG87" i="44"/>
  <c r="BG97" i="44" s="1"/>
  <c r="BG120" i="44" s="1"/>
  <c r="BB211" i="44"/>
  <c r="BB212" i="44"/>
  <c r="BB230" i="44"/>
  <c r="AZ73" i="45"/>
  <c r="AZ80" i="45" s="1"/>
  <c r="AZ94" i="45" s="1"/>
  <c r="AZ72" i="45"/>
  <c r="BH84" i="44"/>
  <c r="BH80" i="44"/>
  <c r="BA236" i="44"/>
  <c r="BA238" i="44" s="1"/>
  <c r="BA270" i="44" s="1"/>
  <c r="BA246" i="44"/>
  <c r="BA264" i="44" s="1"/>
  <c r="BJ245" i="44"/>
  <c r="BJ263" i="44" s="1"/>
  <c r="BJ225" i="44"/>
  <c r="BJ227" i="44" s="1"/>
  <c r="BJ269" i="44" s="1"/>
  <c r="AX100" i="45"/>
  <c r="AX88" i="45"/>
  <c r="BH87" i="44" l="1"/>
  <c r="BH97" i="44" s="1"/>
  <c r="BH120" i="44" s="1"/>
  <c r="BH109" i="44"/>
  <c r="BH112" i="44" s="1"/>
  <c r="BC95" i="45"/>
  <c r="BC115" i="45"/>
  <c r="BC116" i="45" s="1"/>
  <c r="BC118" i="45" s="1"/>
  <c r="BA73" i="45"/>
  <c r="BA80" i="45" s="1"/>
  <c r="BA94" i="45" s="1"/>
  <c r="BA72" i="45"/>
  <c r="BE60" i="45"/>
  <c r="BE78" i="45"/>
  <c r="AY88" i="45"/>
  <c r="AY100" i="45"/>
  <c r="BG47" i="45"/>
  <c r="BG48" i="45"/>
  <c r="BH45" i="45" s="1"/>
  <c r="AZ74" i="45"/>
  <c r="AZ87" i="45"/>
  <c r="BF53" i="45"/>
  <c r="BF57" i="45"/>
  <c r="BD64" i="45"/>
  <c r="BD65" i="45"/>
  <c r="BE62" i="45" s="1"/>
  <c r="BF127" i="44"/>
  <c r="BF158" i="44"/>
  <c r="BF126" i="44"/>
  <c r="BD105" i="45"/>
  <c r="BD107" i="45" s="1"/>
  <c r="BD99" i="45"/>
  <c r="BD101" i="45" s="1"/>
  <c r="BD92" i="45"/>
  <c r="BD81" i="45"/>
  <c r="BC54" i="45"/>
  <c r="BC67" i="45"/>
  <c r="BD192" i="44"/>
  <c r="BD193" i="44"/>
  <c r="BD210" i="44"/>
  <c r="BG46" i="45"/>
  <c r="BG51" i="45" s="1"/>
  <c r="BG55" i="45"/>
  <c r="BH50" i="45" s="1"/>
  <c r="BB79" i="45"/>
  <c r="BB93" i="45" s="1"/>
  <c r="BB70" i="45"/>
  <c r="BB231" i="44"/>
  <c r="BB234" i="44" s="1"/>
  <c r="BB232" i="44"/>
  <c r="BB235" i="44" s="1"/>
  <c r="BB255" i="44" s="1"/>
  <c r="BC211" i="44"/>
  <c r="BC212" i="44"/>
  <c r="BC230" i="44"/>
  <c r="BG125" i="44"/>
  <c r="BG122" i="44"/>
  <c r="BI84" i="44"/>
  <c r="BI80" i="44"/>
  <c r="BE159" i="44"/>
  <c r="BE191" i="44"/>
  <c r="BE160" i="44"/>
  <c r="BI75" i="44"/>
  <c r="BJ72" i="44" s="1"/>
  <c r="BC79" i="45" l="1"/>
  <c r="BC93" i="45" s="1"/>
  <c r="BC70" i="45"/>
  <c r="BG127" i="44"/>
  <c r="BG158" i="44"/>
  <c r="BG126" i="44"/>
  <c r="BD95" i="45"/>
  <c r="BD115" i="45"/>
  <c r="BD116" i="45" s="1"/>
  <c r="BD118" i="45" s="1"/>
  <c r="BB236" i="44"/>
  <c r="BB238" i="44" s="1"/>
  <c r="BB270" i="44" s="1"/>
  <c r="BB246" i="44"/>
  <c r="BB264" i="44" s="1"/>
  <c r="BF160" i="44"/>
  <c r="BF159" i="44"/>
  <c r="BF191" i="44"/>
  <c r="BH47" i="45"/>
  <c r="BH48" i="45"/>
  <c r="BI45" i="45" s="1"/>
  <c r="BA74" i="45"/>
  <c r="BA87" i="45"/>
  <c r="BE64" i="45"/>
  <c r="BE65" i="45"/>
  <c r="BF62" i="45" s="1"/>
  <c r="AZ88" i="45"/>
  <c r="AZ100" i="45"/>
  <c r="BC231" i="44"/>
  <c r="BC234" i="44" s="1"/>
  <c r="BC232" i="44"/>
  <c r="BC235" i="44" s="1"/>
  <c r="BC255" i="44" s="1"/>
  <c r="BG53" i="45"/>
  <c r="BG57" i="45"/>
  <c r="BE105" i="45"/>
  <c r="BE107" i="45" s="1"/>
  <c r="BE92" i="45"/>
  <c r="BE81" i="45"/>
  <c r="BE99" i="45"/>
  <c r="BE101" i="45" s="1"/>
  <c r="BJ74" i="44"/>
  <c r="BB73" i="45"/>
  <c r="BB80" i="45" s="1"/>
  <c r="BB94" i="45" s="1"/>
  <c r="BB72" i="45"/>
  <c r="BE192" i="44"/>
  <c r="BE193" i="44"/>
  <c r="BE210" i="44"/>
  <c r="BH46" i="45"/>
  <c r="BH51" i="45" s="1"/>
  <c r="BH55" i="45"/>
  <c r="BI50" i="45" s="1"/>
  <c r="BD54" i="45"/>
  <c r="BD67" i="45"/>
  <c r="BD211" i="44"/>
  <c r="BD212" i="44"/>
  <c r="BD230" i="44"/>
  <c r="BF60" i="45"/>
  <c r="BF78" i="45"/>
  <c r="BI109" i="44"/>
  <c r="BI112" i="44" s="1"/>
  <c r="BI87" i="44"/>
  <c r="BI97" i="44" s="1"/>
  <c r="BI120" i="44" s="1"/>
  <c r="BH125" i="44"/>
  <c r="BH122" i="44"/>
  <c r="BE95" i="45" l="1"/>
  <c r="BE115" i="45"/>
  <c r="BE116" i="45" s="1"/>
  <c r="BE118" i="45" s="1"/>
  <c r="BG60" i="45"/>
  <c r="BG78" i="45"/>
  <c r="BI47" i="45"/>
  <c r="BI48" i="45"/>
  <c r="BJ45" i="45" s="1"/>
  <c r="BD79" i="45"/>
  <c r="BD93" i="45" s="1"/>
  <c r="BD70" i="45"/>
  <c r="BH53" i="45"/>
  <c r="BH57" i="45"/>
  <c r="BF192" i="44"/>
  <c r="BF210" i="44"/>
  <c r="BF193" i="44"/>
  <c r="BI46" i="45"/>
  <c r="BI51" i="45" s="1"/>
  <c r="BI55" i="45"/>
  <c r="BJ50" i="45" s="1"/>
  <c r="BE230" i="44"/>
  <c r="BE211" i="44"/>
  <c r="BE212" i="44"/>
  <c r="BC236" i="44"/>
  <c r="BC238" i="44" s="1"/>
  <c r="BC270" i="44" s="1"/>
  <c r="BC246" i="44"/>
  <c r="BC264" i="44" s="1"/>
  <c r="BH127" i="44"/>
  <c r="BH158" i="44"/>
  <c r="BH126" i="44"/>
  <c r="BI122" i="44"/>
  <c r="BI125" i="44"/>
  <c r="BB87" i="45"/>
  <c r="BB74" i="45"/>
  <c r="BF64" i="45"/>
  <c r="BF65" i="45"/>
  <c r="BG62" i="45" s="1"/>
  <c r="BG191" i="44"/>
  <c r="BG159" i="44"/>
  <c r="BG160" i="44"/>
  <c r="BF105" i="45"/>
  <c r="BF107" i="45" s="1"/>
  <c r="BF81" i="45"/>
  <c r="BF99" i="45"/>
  <c r="BF101" i="45" s="1"/>
  <c r="BF92" i="45"/>
  <c r="BJ80" i="44"/>
  <c r="BJ84" i="44"/>
  <c r="BE54" i="45"/>
  <c r="BE67" i="45"/>
  <c r="BJ75" i="44"/>
  <c r="BA88" i="45"/>
  <c r="BA100" i="45"/>
  <c r="BC73" i="45"/>
  <c r="BC80" i="45" s="1"/>
  <c r="BC94" i="45" s="1"/>
  <c r="BC72" i="45"/>
  <c r="BD231" i="44"/>
  <c r="BD234" i="44" s="1"/>
  <c r="BD232" i="44"/>
  <c r="BD235" i="44" s="1"/>
  <c r="BD255" i="44" s="1"/>
  <c r="BI126" i="44" l="1"/>
  <c r="BI127" i="44"/>
  <c r="BI158" i="44"/>
  <c r="BJ109" i="44"/>
  <c r="BJ87" i="44"/>
  <c r="BJ97" i="44" s="1"/>
  <c r="BJ120" i="44" s="1"/>
  <c r="BF54" i="45"/>
  <c r="BF67" i="45"/>
  <c r="BE79" i="45"/>
  <c r="BE93" i="45" s="1"/>
  <c r="BE70" i="45"/>
  <c r="BB88" i="45"/>
  <c r="BB100" i="45"/>
  <c r="BI53" i="45"/>
  <c r="BI57" i="45"/>
  <c r="BF230" i="44"/>
  <c r="BF212" i="44"/>
  <c r="BF211" i="44"/>
  <c r="BH60" i="45"/>
  <c r="BH78" i="45"/>
  <c r="BF95" i="45"/>
  <c r="BF115" i="45"/>
  <c r="BF116" i="45" s="1"/>
  <c r="BF118" i="45" s="1"/>
  <c r="BH160" i="44"/>
  <c r="BH191" i="44"/>
  <c r="BH159" i="44"/>
  <c r="BD72" i="45"/>
  <c r="BD73" i="45"/>
  <c r="BD80" i="45" s="1"/>
  <c r="BD94" i="45" s="1"/>
  <c r="BJ47" i="45"/>
  <c r="BJ48" i="45"/>
  <c r="BD236" i="44"/>
  <c r="BD238" i="44" s="1"/>
  <c r="BD270" i="44" s="1"/>
  <c r="BD246" i="44"/>
  <c r="BD264" i="44" s="1"/>
  <c r="BC87" i="45"/>
  <c r="BC74" i="45"/>
  <c r="BG81" i="45"/>
  <c r="BG105" i="45"/>
  <c r="BG107" i="45" s="1"/>
  <c r="BG99" i="45"/>
  <c r="BG101" i="45" s="1"/>
  <c r="BG92" i="45"/>
  <c r="BG192" i="44"/>
  <c r="BG193" i="44"/>
  <c r="BG210" i="44"/>
  <c r="BE231" i="44"/>
  <c r="BE234" i="44" s="1"/>
  <c r="BE232" i="44"/>
  <c r="BE235" i="44" s="1"/>
  <c r="BE255" i="44" s="1"/>
  <c r="BG64" i="45"/>
  <c r="BG65" i="45"/>
  <c r="BH62" i="45" s="1"/>
  <c r="BJ46" i="45"/>
  <c r="BJ51" i="45" s="1"/>
  <c r="BJ55" i="45"/>
  <c r="BE236" i="44" l="1"/>
  <c r="BE238" i="44" s="1"/>
  <c r="BE270" i="44" s="1"/>
  <c r="BE246" i="44"/>
  <c r="BE264" i="44" s="1"/>
  <c r="BF231" i="44"/>
  <c r="BF234" i="44" s="1"/>
  <c r="BF232" i="44"/>
  <c r="BF235" i="44" s="1"/>
  <c r="BF255" i="44" s="1"/>
  <c r="BG230" i="44"/>
  <c r="BG211" i="44"/>
  <c r="BG212" i="44"/>
  <c r="BE72" i="45"/>
  <c r="BE73" i="45"/>
  <c r="BE80" i="45" s="1"/>
  <c r="BE94" i="45" s="1"/>
  <c r="BG54" i="45"/>
  <c r="BG67" i="45"/>
  <c r="BG115" i="45"/>
  <c r="BG116" i="45" s="1"/>
  <c r="BG118" i="45" s="1"/>
  <c r="BG95" i="45"/>
  <c r="BH192" i="44"/>
  <c r="BH210" i="44"/>
  <c r="BH193" i="44"/>
  <c r="BJ125" i="44"/>
  <c r="BJ122" i="44"/>
  <c r="BI78" i="45"/>
  <c r="BI60" i="45"/>
  <c r="BJ57" i="45"/>
  <c r="BJ53" i="45"/>
  <c r="BD74" i="45"/>
  <c r="BD87" i="45"/>
  <c r="BF79" i="45"/>
  <c r="BF93" i="45" s="1"/>
  <c r="BF70" i="45"/>
  <c r="BH105" i="45"/>
  <c r="BH107" i="45" s="1"/>
  <c r="BH99" i="45"/>
  <c r="BH101" i="45" s="1"/>
  <c r="BH92" i="45"/>
  <c r="BH81" i="45"/>
  <c r="BJ112" i="44"/>
  <c r="D15" i="44"/>
  <c r="BI160" i="44"/>
  <c r="BI191" i="44"/>
  <c r="BI159" i="44"/>
  <c r="BC88" i="45"/>
  <c r="BC100" i="45"/>
  <c r="BH64" i="45"/>
  <c r="BH65" i="45"/>
  <c r="BI62" i="45" s="1"/>
  <c r="BH54" i="45" l="1"/>
  <c r="BH67" i="45"/>
  <c r="BE87" i="45"/>
  <c r="BE74" i="45"/>
  <c r="BI192" i="44"/>
  <c r="BI193" i="44"/>
  <c r="BI210" i="44"/>
  <c r="BI64" i="45"/>
  <c r="BI65" i="45"/>
  <c r="BJ62" i="45" s="1"/>
  <c r="BF72" i="45"/>
  <c r="BF73" i="45"/>
  <c r="BF80" i="45" s="1"/>
  <c r="BF94" i="45" s="1"/>
  <c r="BG79" i="45"/>
  <c r="BG93" i="45" s="1"/>
  <c r="BG70" i="45"/>
  <c r="BD100" i="45"/>
  <c r="BD88" i="45"/>
  <c r="BJ78" i="45"/>
  <c r="BJ60" i="45"/>
  <c r="BI105" i="45"/>
  <c r="BI107" i="45" s="1"/>
  <c r="BI99" i="45"/>
  <c r="BI101" i="45" s="1"/>
  <c r="BI81" i="45"/>
  <c r="BI92" i="45"/>
  <c r="BG231" i="44"/>
  <c r="BG234" i="44" s="1"/>
  <c r="BG232" i="44"/>
  <c r="BG235" i="44" s="1"/>
  <c r="BG255" i="44" s="1"/>
  <c r="D13" i="44"/>
  <c r="D16" i="44"/>
  <c r="BJ126" i="44"/>
  <c r="BJ127" i="44"/>
  <c r="BJ158" i="44"/>
  <c r="BF246" i="44"/>
  <c r="BF264" i="44" s="1"/>
  <c r="BF236" i="44"/>
  <c r="BF238" i="44" s="1"/>
  <c r="BF270" i="44" s="1"/>
  <c r="BH115" i="45"/>
  <c r="BH116" i="45" s="1"/>
  <c r="BH118" i="45" s="1"/>
  <c r="BH95" i="45"/>
  <c r="BH230" i="44"/>
  <c r="BH211" i="44"/>
  <c r="BH212" i="44"/>
  <c r="BG246" i="44" l="1"/>
  <c r="BG264" i="44" s="1"/>
  <c r="BG236" i="44"/>
  <c r="BG238" i="44" s="1"/>
  <c r="BG270" i="44" s="1"/>
  <c r="BJ64" i="45"/>
  <c r="BJ65" i="45"/>
  <c r="BG72" i="45"/>
  <c r="BG73" i="45"/>
  <c r="BG80" i="45" s="1"/>
  <c r="BG94" i="45" s="1"/>
  <c r="BF87" i="45"/>
  <c r="BF74" i="45"/>
  <c r="BI115" i="45"/>
  <c r="BI116" i="45" s="1"/>
  <c r="BI118" i="45" s="1"/>
  <c r="BI95" i="45"/>
  <c r="BI67" i="45"/>
  <c r="BI54" i="45"/>
  <c r="BI212" i="44"/>
  <c r="BI230" i="44"/>
  <c r="BI211" i="44"/>
  <c r="BH232" i="44"/>
  <c r="BH235" i="44" s="1"/>
  <c r="BH255" i="44" s="1"/>
  <c r="BH231" i="44"/>
  <c r="BH234" i="44" s="1"/>
  <c r="BE88" i="45"/>
  <c r="BE100" i="45"/>
  <c r="BJ92" i="45"/>
  <c r="BJ105" i="45"/>
  <c r="BJ107" i="45" s="1"/>
  <c r="BJ99" i="45"/>
  <c r="BJ101" i="45" s="1"/>
  <c r="BJ81" i="45"/>
  <c r="BH79" i="45"/>
  <c r="BH93" i="45" s="1"/>
  <c r="BH70" i="45"/>
  <c r="BJ160" i="44"/>
  <c r="BJ159" i="44"/>
  <c r="BJ191" i="44"/>
  <c r="BI231" i="44" l="1"/>
  <c r="BI234" i="44" s="1"/>
  <c r="BI232" i="44"/>
  <c r="BI235" i="44" s="1"/>
  <c r="BI255" i="44" s="1"/>
  <c r="BH72" i="45"/>
  <c r="BH73" i="45"/>
  <c r="BH80" i="45" s="1"/>
  <c r="BH94" i="45" s="1"/>
  <c r="BI79" i="45"/>
  <c r="BI93" i="45" s="1"/>
  <c r="BI70" i="45"/>
  <c r="BJ115" i="45"/>
  <c r="BJ116" i="45" s="1"/>
  <c r="BJ118" i="45" s="1"/>
  <c r="BJ95" i="45"/>
  <c r="BF88" i="45"/>
  <c r="BF100" i="45"/>
  <c r="BG74" i="45"/>
  <c r="BG87" i="45"/>
  <c r="BH236" i="44"/>
  <c r="BH238" i="44" s="1"/>
  <c r="BH270" i="44" s="1"/>
  <c r="BH246" i="44"/>
  <c r="BH264" i="44" s="1"/>
  <c r="BJ67" i="45"/>
  <c r="BJ54" i="45"/>
  <c r="BJ193" i="44"/>
  <c r="BJ192" i="44"/>
  <c r="BJ210" i="44"/>
  <c r="BG88" i="45" l="1"/>
  <c r="BG100" i="45"/>
  <c r="BI72" i="45"/>
  <c r="BI73" i="45"/>
  <c r="BI80" i="45" s="1"/>
  <c r="BI94" i="45" s="1"/>
  <c r="BJ212" i="44"/>
  <c r="BJ230" i="44"/>
  <c r="BJ211" i="44"/>
  <c r="BH74" i="45"/>
  <c r="BH87" i="45"/>
  <c r="BJ79" i="45"/>
  <c r="BJ93" i="45" s="1"/>
  <c r="BJ70" i="45"/>
  <c r="BI246" i="44"/>
  <c r="BI264" i="44" s="1"/>
  <c r="BI236" i="44"/>
  <c r="BI238" i="44" s="1"/>
  <c r="BI270" i="44" s="1"/>
  <c r="BJ72" i="45" l="1"/>
  <c r="BJ73" i="45"/>
  <c r="BJ80" i="45" s="1"/>
  <c r="BJ94" i="45" s="1"/>
  <c r="BH88" i="45"/>
  <c r="BH100" i="45"/>
  <c r="BJ231" i="44"/>
  <c r="BJ234" i="44" s="1"/>
  <c r="BJ232" i="44"/>
  <c r="BJ235" i="44" s="1"/>
  <c r="BJ255" i="44" s="1"/>
  <c r="BI74" i="45"/>
  <c r="BI87" i="45"/>
  <c r="BI100" i="45" l="1"/>
  <c r="BI88" i="45"/>
  <c r="BJ246" i="44"/>
  <c r="BJ264" i="44" s="1"/>
  <c r="BJ236" i="44"/>
  <c r="BJ238" i="44" s="1"/>
  <c r="BJ270" i="44" s="1"/>
  <c r="BJ74" i="45"/>
  <c r="BJ87" i="45"/>
  <c r="BJ100" i="45" l="1"/>
  <c r="BJ88" i="45"/>
  <c r="F22" i="35"/>
  <c r="G8" i="35"/>
  <c r="N9" i="35"/>
  <c r="O9" i="35"/>
  <c r="P9" i="35"/>
  <c r="Q9" i="35"/>
  <c r="N10" i="35"/>
  <c r="O10" i="35"/>
  <c r="P10" i="35"/>
  <c r="Q10" i="35"/>
  <c r="D11" i="35"/>
  <c r="E11" i="35"/>
  <c r="F11" i="35"/>
  <c r="G11" i="35"/>
  <c r="N11" i="35"/>
  <c r="O11" i="35"/>
  <c r="P11" i="35"/>
  <c r="Q11" i="35"/>
  <c r="D12" i="35"/>
  <c r="E12" i="35"/>
  <c r="F12" i="35"/>
  <c r="G12" i="35"/>
  <c r="N12" i="35"/>
  <c r="O12" i="35"/>
  <c r="P12" i="35"/>
  <c r="Q12" i="35"/>
  <c r="G13" i="35"/>
  <c r="D14" i="35"/>
  <c r="E14" i="35"/>
  <c r="F14" i="35"/>
  <c r="G14" i="35"/>
  <c r="D15" i="35"/>
  <c r="E15" i="35"/>
  <c r="F15" i="35"/>
  <c r="G15" i="35"/>
  <c r="Q15" i="35"/>
  <c r="G16" i="35"/>
  <c r="Q16" i="35"/>
  <c r="D17" i="35"/>
  <c r="E17" i="35"/>
  <c r="F17" i="35"/>
  <c r="G17" i="35"/>
  <c r="N17" i="35"/>
  <c r="O17" i="35"/>
  <c r="P17" i="35"/>
  <c r="Q17" i="35"/>
  <c r="D18" i="35"/>
  <c r="E18" i="35"/>
  <c r="F18" i="35"/>
  <c r="G18" i="35"/>
  <c r="N18" i="35"/>
  <c r="O18" i="35"/>
  <c r="P18" i="35"/>
  <c r="Q18" i="35"/>
  <c r="G19" i="35"/>
  <c r="G20" i="35"/>
  <c r="G21" i="35"/>
  <c r="G22" i="35"/>
  <c r="G23" i="35"/>
  <c r="N23" i="35"/>
  <c r="D24" i="35"/>
  <c r="E24" i="35"/>
  <c r="F24" i="35"/>
  <c r="G24" i="35"/>
  <c r="N25" i="35"/>
  <c r="D27" i="35"/>
  <c r="E27" i="35"/>
  <c r="F27" i="35"/>
  <c r="G27" i="35"/>
  <c r="G28" i="35"/>
  <c r="G29" i="35"/>
  <c r="D30" i="35"/>
  <c r="E30" i="35"/>
  <c r="F30" i="35"/>
  <c r="G30" i="35"/>
  <c r="G33" i="35"/>
  <c r="N33" i="35"/>
  <c r="G34" i="35"/>
  <c r="D35" i="35"/>
  <c r="E35" i="35"/>
  <c r="F35" i="35"/>
  <c r="G35" i="35"/>
  <c r="G36" i="35"/>
  <c r="N36" i="35"/>
  <c r="D37" i="35"/>
  <c r="E37" i="35"/>
  <c r="F37" i="35"/>
  <c r="G37" i="35"/>
  <c r="D38" i="35"/>
  <c r="E38" i="35"/>
  <c r="F38" i="35"/>
  <c r="G38" i="35"/>
  <c r="N38" i="35"/>
  <c r="V38" i="35"/>
  <c r="G39" i="35"/>
  <c r="G40" i="35"/>
  <c r="V40" i="35"/>
  <c r="G41" i="35"/>
  <c r="N41" i="35"/>
  <c r="G42" i="35"/>
  <c r="D43" i="35"/>
  <c r="E43" i="35"/>
  <c r="F43" i="35"/>
  <c r="G43" i="35"/>
  <c r="N43" i="35"/>
  <c r="O43" i="35"/>
  <c r="N44" i="35"/>
  <c r="O44" i="35"/>
  <c r="G46" i="35"/>
  <c r="G47" i="35"/>
  <c r="G48" i="35"/>
  <c r="G49" i="35"/>
  <c r="G50" i="35"/>
  <c r="G51" i="35"/>
  <c r="G52" i="35"/>
  <c r="G53" i="35"/>
  <c r="G54" i="35"/>
  <c r="G55" i="35"/>
  <c r="G56" i="35"/>
  <c r="G57" i="35"/>
  <c r="G58" i="35"/>
  <c r="G59" i="35"/>
  <c r="G60" i="35"/>
  <c r="G61" i="35"/>
  <c r="G62" i="35"/>
  <c r="G63" i="35"/>
  <c r="G64" i="35"/>
  <c r="G67" i="35"/>
  <c r="G68" i="35"/>
  <c r="G69" i="35"/>
  <c r="G70" i="35"/>
  <c r="G71" i="35"/>
  <c r="G72" i="35"/>
  <c r="G75" i="35"/>
  <c r="G76" i="35"/>
  <c r="G77" i="35"/>
  <c r="G78" i="35"/>
  <c r="G81" i="35"/>
  <c r="D82" i="35"/>
  <c r="E82" i="35"/>
  <c r="F82" i="35"/>
  <c r="G82" i="35"/>
  <c r="G83" i="35"/>
  <c r="D84" i="35"/>
  <c r="E84" i="35"/>
  <c r="F84" i="35"/>
  <c r="G84" i="35"/>
  <c r="D86" i="35"/>
  <c r="E86" i="35"/>
  <c r="F86" i="35"/>
  <c r="G86" i="35"/>
  <c r="C42"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N8" authorId="0" shapeId="0" xr:uid="{4F8C6817-6F4D-464B-9967-BFF3DDD1C0AF}">
      <text>
        <r>
          <rPr>
            <b/>
            <sz val="9"/>
            <color indexed="81"/>
            <rFont val="Tahoma"/>
            <family val="2"/>
          </rPr>
          <t>Analyst:</t>
        </r>
        <r>
          <rPr>
            <sz val="9"/>
            <color indexed="81"/>
            <rFont val="Tahoma"/>
            <family val="2"/>
          </rPr>
          <t xml:space="preserve">
I've used 2026 Assessed value as per GIS. Check notes on 'Global' sheet for explanation. 2025 AV - $38,214,480</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<sst xmlns="http://schemas.openxmlformats.org/spreadsheetml/2006/main" count="915" uniqueCount="466">
  <si>
    <t>Global Assumptions</t>
  </si>
  <si>
    <t>Property Name</t>
  </si>
  <si>
    <t>607 Cedar St</t>
  </si>
  <si>
    <t>Project Type</t>
  </si>
  <si>
    <t>4-Story SP</t>
  </si>
  <si>
    <t>Market</t>
  </si>
  <si>
    <t>Raleigh-Durham</t>
  </si>
  <si>
    <t>Submarket</t>
  </si>
  <si>
    <t>Cary</t>
  </si>
  <si>
    <t>Address</t>
  </si>
  <si>
    <t>City, State</t>
  </si>
  <si>
    <t>Cary, NC</t>
  </si>
  <si>
    <t>ZIP Code</t>
  </si>
  <si>
    <t>County</t>
  </si>
  <si>
    <t>Wake</t>
  </si>
  <si>
    <t>Circuit Breaker</t>
  </si>
  <si>
    <t>Off</t>
  </si>
  <si>
    <t>Underwriting Notes &amp; Assumptions</t>
  </si>
  <si>
    <t>Rent Comps</t>
  </si>
  <si>
    <t>1. We have used the Nearest comp (0.7 miles) as the subject property to find Rent comps from Hello Data and added the screenshot for the rent comps as well.</t>
  </si>
  <si>
    <t>2. Unit counts were not available so they are kept blank.</t>
  </si>
  <si>
    <t>Expenses</t>
  </si>
  <si>
    <t>1. We have changed the Impact Fees assumption to $8,880/unit as per the new prompt shared by Austin. We have used Gemini as we had the Pro subscription for it.</t>
  </si>
  <si>
    <t>2. We have taken the 4 story (Non Costal) assumption for Insurance costs.</t>
  </si>
  <si>
    <t>Taxes</t>
  </si>
  <si>
    <t>1. Millage rate has been taken from the 2025 tax bill of our property.</t>
  </si>
  <si>
    <t>2. Comp 1 'Meridian East Chatham' is built in 2025 so we believe the full Assessed value wasn't shown in Tax bill 2025. We've taken 2026 AV as per GIS.</t>
  </si>
  <si>
    <t>3. For Comp 2 (The Walker) and 3 (Allisson at Fenton) there were Original and Adjusted Assessed values, we have taken the Adjusted values as they are used for Tax calculation as well. We've also verified with the Tax bill.</t>
  </si>
  <si>
    <t>Question to the team Catalyst</t>
  </si>
  <si>
    <t>1. We have taken 500 units as suggested by the current buyer of the property (330 MF and 97 THs) but since we aren't building THs, we have assumed 500 MF units.</t>
  </si>
  <si>
    <t>2. We reached out to the Broker for pricing guidance but he told us that the property "Is under contract". We've taken the Land costs as $26.7MM based on the info we found out for the sale of the property.</t>
  </si>
  <si>
    <t>3. The Broker has told us that the property status is "Under-Contract".</t>
  </si>
  <si>
    <t>4. Upon additional research we found out that the property might've been sold already at $26.7MM.</t>
  </si>
  <si>
    <t>Source</t>
  </si>
  <si>
    <t>Unit Mix (Vetting Model Only)</t>
  </si>
  <si>
    <t>Total Units</t>
  </si>
  <si>
    <t>Floorplan</t>
  </si>
  <si>
    <t>Type</t>
  </si>
  <si>
    <t>#</t>
  </si>
  <si>
    <t>%</t>
  </si>
  <si>
    <t xml:space="preserve">SF </t>
  </si>
  <si>
    <t xml:space="preserve">$ </t>
  </si>
  <si>
    <t>PSF</t>
  </si>
  <si>
    <t>Studio</t>
  </si>
  <si>
    <t>1) Meridian East Chatham</t>
  </si>
  <si>
    <t>1 Bedroom</t>
  </si>
  <si>
    <t>SF</t>
  </si>
  <si>
    <t>Rent</t>
  </si>
  <si>
    <t>Rent PSF</t>
  </si>
  <si>
    <t>Multifamily</t>
  </si>
  <si>
    <t>2 Bedroom</t>
  </si>
  <si>
    <t>Year Built</t>
  </si>
  <si>
    <t>3 Bedroom</t>
  </si>
  <si>
    <t>1 BR</t>
  </si>
  <si>
    <t>Vacancy</t>
  </si>
  <si>
    <t>Townhouse</t>
  </si>
  <si>
    <t>2 BR</t>
  </si>
  <si>
    <t>Developer</t>
  </si>
  <si>
    <t>3 BR</t>
  </si>
  <si>
    <t>Owner</t>
  </si>
  <si>
    <t>MERIDIAN EAST CHATHAM LLC</t>
  </si>
  <si>
    <t>TH</t>
  </si>
  <si>
    <t>Link to Website</t>
  </si>
  <si>
    <t>Link</t>
  </si>
  <si>
    <t>Total</t>
  </si>
  <si>
    <t>2) The Walker</t>
  </si>
  <si>
    <t>Academy Park Cary Llc</t>
  </si>
  <si>
    <t>3) Keystone at James Landing</t>
  </si>
  <si>
    <t>Usef Hcg Fenton Llc</t>
  </si>
  <si>
    <t>Budget (Vetting Model Only)</t>
  </si>
  <si>
    <t>Budget</t>
  </si>
  <si>
    <t>Cost Type</t>
  </si>
  <si>
    <t>$</t>
  </si>
  <si>
    <t>Per Unit</t>
  </si>
  <si>
    <t>Per NRSF</t>
  </si>
  <si>
    <t>% of Total</t>
  </si>
  <si>
    <t>Land</t>
  </si>
  <si>
    <t>Soruces &amp; Uses</t>
  </si>
  <si>
    <t>Land Acquisition</t>
  </si>
  <si>
    <t>Sources:</t>
  </si>
  <si>
    <t>JV Equity</t>
  </si>
  <si>
    <t>Financing Costs</t>
  </si>
  <si>
    <t>Preferred Equity</t>
  </si>
  <si>
    <t>Construction Loan Broker Fee</t>
  </si>
  <si>
    <t>Soft Costs</t>
  </si>
  <si>
    <t xml:space="preserve"> &lt; % of Loan Commitment</t>
  </si>
  <si>
    <t>Construction Loan</t>
  </si>
  <si>
    <t>Construction Loan Origination Fee</t>
  </si>
  <si>
    <t>Total Sources</t>
  </si>
  <si>
    <t>Misc Construction Loan Fees</t>
  </si>
  <si>
    <t>Preferred Equity Broker Fee</t>
  </si>
  <si>
    <t xml:space="preserve"> &lt; % of Pref Equity</t>
  </si>
  <si>
    <t>Uses:</t>
  </si>
  <si>
    <t>Preferred Equity Origination Fee</t>
  </si>
  <si>
    <t>Misc Preferred Equity Fees</t>
  </si>
  <si>
    <t>Hard Costs</t>
  </si>
  <si>
    <t>JV Equity Broker Fee</t>
  </si>
  <si>
    <t xml:space="preserve"> &lt; % of LP Equity</t>
  </si>
  <si>
    <t>JV Equity Origination Fee</t>
  </si>
  <si>
    <t>Total Uses</t>
  </si>
  <si>
    <t>Misc JV Equity Fees</t>
  </si>
  <si>
    <t>Operating Deficit</t>
  </si>
  <si>
    <t>RE Taxes During Construction</t>
  </si>
  <si>
    <t>Financing Assumptions</t>
  </si>
  <si>
    <t>Interest Reserve</t>
  </si>
  <si>
    <t>Misc Financing Costs</t>
  </si>
  <si>
    <t>Total Financing Costs</t>
  </si>
  <si>
    <t>Loan-to-Cost</t>
  </si>
  <si>
    <t>Debt Yield (Untrended)</t>
  </si>
  <si>
    <t>Fees</t>
  </si>
  <si>
    <t>Development Fee</t>
  </si>
  <si>
    <t xml:space="preserve"> &lt; % of Total Costs</t>
  </si>
  <si>
    <t>SOFR</t>
  </si>
  <si>
    <t>Construction Management Fee</t>
  </si>
  <si>
    <t xml:space="preserve"> &lt; % of Construction Costs</t>
  </si>
  <si>
    <t>Spread</t>
  </si>
  <si>
    <t>Acquisition Fee</t>
  </si>
  <si>
    <t>All-In Rate</t>
  </si>
  <si>
    <t>Total Fees</t>
  </si>
  <si>
    <t>Months from First Draw to 1.0x DSCR</t>
  </si>
  <si>
    <t>Legal &amp; Closing</t>
  </si>
  <si>
    <t>Average Loan Funded %</t>
  </si>
  <si>
    <t>Marketing / Start-Up</t>
  </si>
  <si>
    <t>Interest Reserve Required</t>
  </si>
  <si>
    <t>Legal</t>
  </si>
  <si>
    <t>BR Insurance Calc:</t>
  </si>
  <si>
    <t>Debt Recording Fee</t>
  </si>
  <si>
    <t>Rate</t>
  </si>
  <si>
    <t>Closing Costs</t>
  </si>
  <si>
    <t>Title Insurance</t>
  </si>
  <si>
    <t>Last-Dollar-to-Cost</t>
  </si>
  <si>
    <t>HC</t>
  </si>
  <si>
    <t>Builder's Risk Insurance</t>
  </si>
  <si>
    <t>Pref Debt Yield (Untrended)</t>
  </si>
  <si>
    <t>SC</t>
  </si>
  <si>
    <t>General Liability Insurance</t>
  </si>
  <si>
    <t>Y0 Total Rent</t>
  </si>
  <si>
    <t>Re-Zoning</t>
  </si>
  <si>
    <t>Travel Expenses</t>
  </si>
  <si>
    <t>Total JV Equity</t>
  </si>
  <si>
    <t>Misc Legal &amp; Closing</t>
  </si>
  <si>
    <t>GL Insurance Calc:</t>
  </si>
  <si>
    <t>Total Legal &amp; Closing</t>
  </si>
  <si>
    <t>GP Co-Invest</t>
  </si>
  <si>
    <t>LP Investment</t>
  </si>
  <si>
    <t>Cap Rate</t>
  </si>
  <si>
    <t>Architectural &amp; Engineering</t>
  </si>
  <si>
    <t>Implied Value</t>
  </si>
  <si>
    <t>Architect</t>
  </si>
  <si>
    <t>Interiors</t>
  </si>
  <si>
    <t>Landscape Architect</t>
  </si>
  <si>
    <t>Civil</t>
  </si>
  <si>
    <t>Soil Testing</t>
  </si>
  <si>
    <t>Consultants</t>
  </si>
  <si>
    <t>Survey</t>
  </si>
  <si>
    <t>Permits</t>
  </si>
  <si>
    <t>Impact Fees</t>
  </si>
  <si>
    <t>Reimbursables</t>
  </si>
  <si>
    <t>FF&amp;E</t>
  </si>
  <si>
    <t>Signage</t>
  </si>
  <si>
    <t>Security</t>
  </si>
  <si>
    <t>Audio/Video</t>
  </si>
  <si>
    <t>Fitness</t>
  </si>
  <si>
    <t>Submetering</t>
  </si>
  <si>
    <t>Low Voltage</t>
  </si>
  <si>
    <t>Impact Fee Contingency</t>
  </si>
  <si>
    <t>Total Architectural &amp; Engineering</t>
  </si>
  <si>
    <t>Construction Costs</t>
  </si>
  <si>
    <t>Cost Escalation</t>
  </si>
  <si>
    <t>Offsite Improvements</t>
  </si>
  <si>
    <t>Sitework</t>
  </si>
  <si>
    <t>Amenity</t>
  </si>
  <si>
    <t>Total Hard Costs</t>
  </si>
  <si>
    <t>Retail</t>
  </si>
  <si>
    <t>Tenant Improvements</t>
  </si>
  <si>
    <t>Leasing Commissions</t>
  </si>
  <si>
    <t>Misc Retail</t>
  </si>
  <si>
    <t>Total Retail</t>
  </si>
  <si>
    <t>Contingency</t>
  </si>
  <si>
    <t>Hard Cost Contingency</t>
  </si>
  <si>
    <t xml:space="preserve"> &lt; % of Hard Costs</t>
  </si>
  <si>
    <t>Soft Cost Contingency</t>
  </si>
  <si>
    <t xml:space="preserve"> &lt; % of Soft Costs</t>
  </si>
  <si>
    <t>Misc Contingency</t>
  </si>
  <si>
    <t>Total Contingency</t>
  </si>
  <si>
    <t>Total Costs</t>
  </si>
  <si>
    <t>Pro-Forma</t>
  </si>
  <si>
    <t>Untrended</t>
  </si>
  <si>
    <t>Per Unit / %</t>
  </si>
  <si>
    <t>Untrended RETAX</t>
  </si>
  <si>
    <t>RETAX Comps</t>
  </si>
  <si>
    <t>Units</t>
  </si>
  <si>
    <t>Tax Year</t>
  </si>
  <si>
    <t>AV</t>
  </si>
  <si>
    <t>AV / Unit</t>
  </si>
  <si>
    <t>Millage</t>
  </si>
  <si>
    <t>Direct</t>
  </si>
  <si>
    <t>Direct / Unit</t>
  </si>
  <si>
    <t>Total / Unit</t>
  </si>
  <si>
    <t>Assessed Value</t>
  </si>
  <si>
    <t>Meridian East Chatham</t>
  </si>
  <si>
    <t>Gross Potential Rent</t>
  </si>
  <si>
    <t>Assessed Value / Unit</t>
  </si>
  <si>
    <t>The Walker</t>
  </si>
  <si>
    <t>Concessions</t>
  </si>
  <si>
    <t>The Allison at Fenton</t>
  </si>
  <si>
    <t>Non-Revenue Units</t>
  </si>
  <si>
    <t>Millage Rate</t>
  </si>
  <si>
    <t>Adj. Gross Potential Rent</t>
  </si>
  <si>
    <t>Direct Assessments</t>
  </si>
  <si>
    <t>Direct Assessments / Unit</t>
  </si>
  <si>
    <t>Other Income</t>
  </si>
  <si>
    <t>Pre-Payment Discount</t>
  </si>
  <si>
    <t>Controllable Expenses</t>
  </si>
  <si>
    <t>Input</t>
  </si>
  <si>
    <t>Commercial Income</t>
  </si>
  <si>
    <t>Contract Services</t>
  </si>
  <si>
    <t>Gross Potential Income</t>
  </si>
  <si>
    <t>Gross RETAX</t>
  </si>
  <si>
    <t>Landscaping</t>
  </si>
  <si>
    <t>Gross RETAX / Unit</t>
  </si>
  <si>
    <t>Pest Control</t>
  </si>
  <si>
    <t>Janitorial</t>
  </si>
  <si>
    <t>Credit Loss</t>
  </si>
  <si>
    <t>Adjustments</t>
  </si>
  <si>
    <t>Valet Trash</t>
  </si>
  <si>
    <t>Effective Gross Income</t>
  </si>
  <si>
    <t>Cable / WiFi</t>
  </si>
  <si>
    <t>Net RETAX</t>
  </si>
  <si>
    <t>Alarms &amp; Monitoring</t>
  </si>
  <si>
    <t>Management Fee</t>
  </si>
  <si>
    <t>Net RETAX / Unit</t>
  </si>
  <si>
    <t>Elevators</t>
  </si>
  <si>
    <t>Real Estate Taxes</t>
  </si>
  <si>
    <t>Other</t>
  </si>
  <si>
    <t>Insurance</t>
  </si>
  <si>
    <t>RETAX Gut Check:</t>
  </si>
  <si>
    <t>Total Contract Services</t>
  </si>
  <si>
    <t>HOA/POA</t>
  </si>
  <si>
    <t>Utilities</t>
  </si>
  <si>
    <t>Other Non-Controllable Expenses</t>
  </si>
  <si>
    <t>Electric - Vacant</t>
  </si>
  <si>
    <t>Electric - Model</t>
  </si>
  <si>
    <t>Electric - Common Areas</t>
  </si>
  <si>
    <t>Make-Ready / Turnover</t>
  </si>
  <si>
    <t>Water / Sewer</t>
  </si>
  <si>
    <t>Repairs &amp; Maintenance</t>
  </si>
  <si>
    <t>Trash Removal</t>
  </si>
  <si>
    <t>Amenities</t>
  </si>
  <si>
    <t>Marketing</t>
  </si>
  <si>
    <t>Total Utilities</t>
  </si>
  <si>
    <t>Payroll</t>
  </si>
  <si>
    <t>Office Expenses</t>
  </si>
  <si>
    <t>Community Manager</t>
  </si>
  <si>
    <t>General &amp; Administrative</t>
  </si>
  <si>
    <t>Bonus</t>
  </si>
  <si>
    <t>Other Controllable Expenses</t>
  </si>
  <si>
    <t>Assistant Manager</t>
  </si>
  <si>
    <t>Total Operating Expenses</t>
  </si>
  <si>
    <t>Leasing Consultant #1</t>
  </si>
  <si>
    <t>Net Operating Income</t>
  </si>
  <si>
    <t>Leasing Consultant #2</t>
  </si>
  <si>
    <t>NOI Margin</t>
  </si>
  <si>
    <t>Service Supervisor</t>
  </si>
  <si>
    <t>Return on Cost</t>
  </si>
  <si>
    <t>Maintenance  Tech #1</t>
  </si>
  <si>
    <t>Maintenance  Tech #2</t>
  </si>
  <si>
    <t>Leasing Bonus</t>
  </si>
  <si>
    <t>Payroll Load</t>
  </si>
  <si>
    <t>Total Payroll</t>
  </si>
  <si>
    <t>Per Unit / Mo.</t>
  </si>
  <si>
    <t>General Other Income</t>
  </si>
  <si>
    <t>Cable / Internet</t>
  </si>
  <si>
    <t>Storage</t>
  </si>
  <si>
    <t>Garages</t>
  </si>
  <si>
    <t>Miscellaneous</t>
  </si>
  <si>
    <t>Total Other Income</t>
  </si>
  <si>
    <t>FULL MODEL</t>
  </si>
  <si>
    <t>REFORECAST + DISPO</t>
  </si>
  <si>
    <t>MODEL</t>
  </si>
  <si>
    <t>Budget Reforecast</t>
  </si>
  <si>
    <t>Current Budget</t>
  </si>
  <si>
    <t>Drawn to Date</t>
  </si>
  <si>
    <t>Current Remaining</t>
  </si>
  <si>
    <t>Future Re-Allocations</t>
  </si>
  <si>
    <t>Revised Budget</t>
  </si>
  <si>
    <t>Revised Remaining</t>
  </si>
  <si>
    <t>Future Draws</t>
  </si>
  <si>
    <t>Final Outstanding</t>
  </si>
  <si>
    <t>Final Remaining</t>
  </si>
  <si>
    <t>Status</t>
  </si>
  <si>
    <t>Actual</t>
  </si>
  <si>
    <t>Sources</t>
  </si>
  <si>
    <t>GP Equity</t>
  </si>
  <si>
    <t>LP Equity</t>
  </si>
  <si>
    <t>Uses</t>
  </si>
  <si>
    <t>Misc Fees</t>
  </si>
  <si>
    <t>Debt Recording Fee (FL Only)</t>
  </si>
  <si>
    <t>Misc Architectural &amp; Engineering</t>
  </si>
  <si>
    <t>Demolition</t>
  </si>
  <si>
    <t>Misc Hard Costs</t>
  </si>
  <si>
    <t>Delta</t>
  </si>
  <si>
    <t>Disposition - Deal Level Waterfall</t>
  </si>
  <si>
    <t>Date</t>
  </si>
  <si>
    <t>Days</t>
  </si>
  <si>
    <t>Pro-Rata</t>
  </si>
  <si>
    <t>Waterfall</t>
  </si>
  <si>
    <t>Levered</t>
  </si>
  <si>
    <t>Pref Equity</t>
  </si>
  <si>
    <t>LP</t>
  </si>
  <si>
    <t>GP</t>
  </si>
  <si>
    <t>Promote</t>
  </si>
  <si>
    <t>IRR</t>
  </si>
  <si>
    <t>-</t>
  </si>
  <si>
    <t xml:space="preserve">Parity Check: </t>
  </si>
  <si>
    <t>Multiple</t>
  </si>
  <si>
    <t>Equity Invested</t>
  </si>
  <si>
    <t>Gross Cash Flow</t>
  </si>
  <si>
    <t>Net Cash Flow</t>
  </si>
  <si>
    <t>Preferred Equity Assumptions</t>
  </si>
  <si>
    <t>Hurdle</t>
  </si>
  <si>
    <t>Tier 1 - Return of Preference</t>
  </si>
  <si>
    <t>Tier 2 - Return of Pref Equity</t>
  </si>
  <si>
    <t>ROE</t>
  </si>
  <si>
    <t>Tier 3 - Minimum Multiple</t>
  </si>
  <si>
    <t>No</t>
  </si>
  <si>
    <t>Waterfall Assumptions</t>
  </si>
  <si>
    <t>On</t>
  </si>
  <si>
    <t>JV Equity Capital Stack</t>
  </si>
  <si>
    <t>Sale</t>
  </si>
  <si>
    <t>Sale Date</t>
  </si>
  <si>
    <t>Closing Statement:</t>
  </si>
  <si>
    <t>Sale Price</t>
  </si>
  <si>
    <t>Broker Fee</t>
  </si>
  <si>
    <t>Deed Stamps</t>
  </si>
  <si>
    <t>Partnership Expenses</t>
  </si>
  <si>
    <t>Pro-Rated RETAX</t>
  </si>
  <si>
    <t>Other Pro-Rations</t>
  </si>
  <si>
    <t>Holdback</t>
  </si>
  <si>
    <t>Loan Payoff</t>
  </si>
  <si>
    <t>Net Proceeds from Sale</t>
  </si>
  <si>
    <t>Levered Cash Flow</t>
  </si>
  <si>
    <t>Draws:</t>
  </si>
  <si>
    <t>Total Draws</t>
  </si>
  <si>
    <t>Distributions:</t>
  </si>
  <si>
    <t>Operating Cash</t>
  </si>
  <si>
    <t>Holdback Distribution</t>
  </si>
  <si>
    <t>Total Distributions</t>
  </si>
  <si>
    <t>Tier 1: Return of Preference</t>
  </si>
  <si>
    <t>Cash Flow Available for Distribution</t>
  </si>
  <si>
    <t>Preference Beginning</t>
  </si>
  <si>
    <t>Accrued Preference</t>
  </si>
  <si>
    <t>Preference Distributions</t>
  </si>
  <si>
    <t>Preference Ending</t>
  </si>
  <si>
    <t>Tier 1 Balance Beginning</t>
  </si>
  <si>
    <t>Pref Equity Draws</t>
  </si>
  <si>
    <t>Pref Equity Distributions</t>
  </si>
  <si>
    <t>Tier 1 Balance Ending</t>
  </si>
  <si>
    <t>Tier 1 Distributions</t>
  </si>
  <si>
    <t>Tier 2: Return of Pref Equity</t>
  </si>
  <si>
    <t>Pref Equity Beginning</t>
  </si>
  <si>
    <t>Pref Equity Ending</t>
  </si>
  <si>
    <t>Tier 2 Distributions</t>
  </si>
  <si>
    <t>Minimum Multiple Beginning Balance</t>
  </si>
  <si>
    <t>Tier 3 Distributions</t>
  </si>
  <si>
    <t>Minimum Multiple Ending Balance</t>
  </si>
  <si>
    <t>Pref Equity Cash Flow</t>
  </si>
  <si>
    <t>Tier 1 Distirbutions</t>
  </si>
  <si>
    <t>Tier 2 Distirbutions</t>
  </si>
  <si>
    <t>Tier 3 Distirbutions</t>
  </si>
  <si>
    <t>JV Equity Waterfall</t>
  </si>
  <si>
    <t>JV Equity Cash Flow</t>
  </si>
  <si>
    <t>GP Share</t>
  </si>
  <si>
    <t>LP Share</t>
  </si>
  <si>
    <t>GP Preference Beginning</t>
  </si>
  <si>
    <t>GP Preference Ending</t>
  </si>
  <si>
    <t>GP Tier 1 Beginning</t>
  </si>
  <si>
    <t>Equity Draws</t>
  </si>
  <si>
    <t>Equity Distributions</t>
  </si>
  <si>
    <t>GP Tier 1 Ending</t>
  </si>
  <si>
    <t>LP Preference Beginning</t>
  </si>
  <si>
    <t>LP Preference Ending</t>
  </si>
  <si>
    <t>LP Tier 1 Beginning</t>
  </si>
  <si>
    <t>LP Tier 1 Ending</t>
  </si>
  <si>
    <t>GP Tier 1 Distributions</t>
  </si>
  <si>
    <t>LP Tier 1 Distributions</t>
  </si>
  <si>
    <t>Total Tier 1 Distributions</t>
  </si>
  <si>
    <t>GP Equity Beginning</t>
  </si>
  <si>
    <t>GP Equity Ending</t>
  </si>
  <si>
    <t>LP Equity Beginning</t>
  </si>
  <si>
    <t>LP Equity Ending</t>
  </si>
  <si>
    <t>GP Tier 2 Distributions</t>
  </si>
  <si>
    <t>LP Tier 2 Distributions</t>
  </si>
  <si>
    <t>Total Tier 2 Distributions</t>
  </si>
  <si>
    <t>GP Equity Invested</t>
  </si>
  <si>
    <t>Total GP Tiers 1-2 Distributions</t>
  </si>
  <si>
    <t>GP Tiers 1-2 XIRR Check</t>
  </si>
  <si>
    <t>LP Equity Invested</t>
  </si>
  <si>
    <t>Total LP Tiers 1-2 Distributions</t>
  </si>
  <si>
    <t>LP Tier 3 Beginning</t>
  </si>
  <si>
    <t>Accrued Return</t>
  </si>
  <si>
    <t>LP Tier 3 Ending</t>
  </si>
  <si>
    <t>GP Tier 3 Distributions</t>
  </si>
  <si>
    <t>LP Tier 3 Distributions</t>
  </si>
  <si>
    <t>Total Tier 3 Distributions</t>
  </si>
  <si>
    <t>Tier 3 Promote</t>
  </si>
  <si>
    <t>LP Tier 4 Beginning</t>
  </si>
  <si>
    <t>Tier 4 Distributions</t>
  </si>
  <si>
    <t>GP Tier 4 Distributions</t>
  </si>
  <si>
    <t>LP Tier 4 Distributions</t>
  </si>
  <si>
    <t>Total Tier 4 Distributions</t>
  </si>
  <si>
    <t>Tier 4 Promote</t>
  </si>
  <si>
    <t>GP Tier 5 Distributions</t>
  </si>
  <si>
    <t>LP Tier 5 Distributions</t>
  </si>
  <si>
    <t>Total Tier 5 Distributions</t>
  </si>
  <si>
    <t>Tier 5 Promote</t>
  </si>
  <si>
    <t>GP Equity Cash Flow</t>
  </si>
  <si>
    <t>Tier 4 Distirbutions</t>
  </si>
  <si>
    <t>Tier 5 Distirbutions</t>
  </si>
  <si>
    <t>LP Equity Cash Flow</t>
  </si>
  <si>
    <t>Parity Check</t>
  </si>
  <si>
    <t>Equity Draws (From Levered Cash Flow)</t>
  </si>
  <si>
    <t>Distributions (From Levered Cash Flow)</t>
  </si>
  <si>
    <t>Total (From Levered Cash Flow)</t>
  </si>
  <si>
    <t>Equity Draws (From Waterfall)</t>
  </si>
  <si>
    <t>Distributions (From Waterfall)</t>
  </si>
  <si>
    <t>Total (From Waterfall)</t>
  </si>
  <si>
    <t>Disposition - SRIF I Waterfall</t>
  </si>
  <si>
    <t>SRIF I</t>
  </si>
  <si>
    <t>SRIF I Members</t>
  </si>
  <si>
    <t>SRIF I Manager</t>
  </si>
  <si>
    <t>SRIF I LP</t>
  </si>
  <si>
    <t>SRIF I GP</t>
  </si>
  <si>
    <t>GP Economics</t>
  </si>
  <si>
    <t>80% Share of Deal Level Promote</t>
  </si>
  <si>
    <t>Total GP Economics</t>
  </si>
  <si>
    <t>SRIF I Cap Table</t>
  </si>
  <si>
    <t>SRIF I Waterfall Assumptions</t>
  </si>
  <si>
    <t>Manager</t>
  </si>
  <si>
    <t>Member</t>
  </si>
  <si>
    <t>GP %</t>
  </si>
  <si>
    <t>LP %</t>
  </si>
  <si>
    <t>GP to SOF II Cash Flow</t>
  </si>
  <si>
    <t>Deal Level Draws (GP)</t>
  </si>
  <si>
    <t>Fund Expenses</t>
  </si>
  <si>
    <t>Distirbutions:</t>
  </si>
  <si>
    <t>GP Proceeds</t>
  </si>
  <si>
    <t>Deal Level Promote Sharing</t>
  </si>
  <si>
    <t>SRIF I Cash Flow</t>
  </si>
  <si>
    <t>SOF II Waterfall</t>
  </si>
  <si>
    <t>Tier 1 Beginning Balance</t>
  </si>
  <si>
    <t>Tier 1 Ending Balance</t>
  </si>
  <si>
    <t>Equity Beginning Balance</t>
  </si>
  <si>
    <t>Equity Ending Balance</t>
  </si>
  <si>
    <t>Manager Tier 3 Distributions</t>
  </si>
  <si>
    <t>Member Tier 3 Distirbutions</t>
  </si>
  <si>
    <t>Member Cash Flow</t>
  </si>
  <si>
    <t>Manager Cash Flow</t>
  </si>
  <si>
    <t>GP Cash Flow</t>
  </si>
  <si>
    <t>Share of Member Distributions</t>
  </si>
  <si>
    <t>Share of Manager Distributions</t>
  </si>
  <si>
    <t>LP Cash Flow</t>
  </si>
  <si>
    <t>Equity Draws (From Draw Section)</t>
  </si>
  <si>
    <t>Distributions (From Distribution Section)</t>
  </si>
  <si>
    <t>SOFR Forward Curve - Reforecast</t>
  </si>
  <si>
    <t>Adj.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</si>
</sst>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5" formatCode="&quot;$&quot;#,##0_);\(&quot;$&quot;#,##0\)"/>
    <numFmt numFmtId="6" formatCode="&quot;$&quot;#,##0_);[Red]\(&quot;$&quot;#,##0\)"/>
    <numFmt numFmtId="8" formatCode="&quot;$&quot;#,##0.00_);[Red]\(&quot;$&quot;#,##0.00\)"/>
    <numFmt numFmtId="43" formatCode="_(* #,##0.00_);_(* \(#,##0.00\);_(* &quot;-&quot;??_);_(@_)"/>
    <numFmt numFmtId="164" formatCode="_(* #,##0_);_(* \(#,##0\);_(* &quot;-&quot;??_);_(@_)"/>
    <numFmt numFmtId="165" formatCode="0.0%"/>
    <numFmt numFmtId="166" formatCode="_(* #,##0.0%_);_(* \(#,##0.0%\);_(* &quot;-&quot;??_);_(@_)"/>
    <numFmt numFmtId="167" formatCode="_(* #,##0.00%_);_(* \(#,##0.00%\)"/>
    <numFmt numFmtId="168" formatCode="_(* #,##0.0000_);_(* \(#,##0.0000\);_(* &quot;-&quot;??_);_(@_)"/>
    <numFmt numFmtId="169" formatCode="&quot;$&quot;#,##0"/>
    <numFmt numFmtId="170" formatCode="&quot;$&quot;#,##0.00"/>
    <numFmt numFmtId="171" formatCode="[$-409]mmm\-yy;@"/>
    <numFmt numFmtId="172" formatCode="0.00\x"/>
    <numFmt numFmtId="173" formatCode="_(* #,##0.0%_);_(* \(#,##0.0%\)"/>
    <numFmt numFmtId="174" formatCode="_(* #,##0.0000%_);_(* \(#,##0.0000%\);_(* &quot;-&quot;??_);_(@_)"/>
    <numFmt numFmtId="175" formatCode="&quot;$&quot;#,##0&quot; / Mo&quot;"/>
    <numFmt numFmtId="176" formatCode="&quot;$&quot;0&quot; / Unit / Mo&quot;"/>
    <numFmt numFmtId="177" formatCode="&quot;$&quot;#,##0&quot; / Hr&quot;"/>
    <numFmt numFmtId="178" formatCode="#,##0&quot; Hours&quot;"/>
    <numFmt numFmtId="179" formatCode="&quot;$&quot;0\ &quot;/ Lease&quot;"/>
    <numFmt numFmtId="180" formatCode="&quot;$&quot;0&quot;  / Mo&quot;"/>
    <numFmt numFmtId="181" formatCode="0.0000%"/>
  </numFmts>
  <fonts count="27">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5"/>
      <color theme="1"/>
      <name val="Aptos Narrow"/>
      <family val="2"/>
      <scheme val="minor"/>
    </font>
    <font>
      <b/>
      <sz val="20"/>
      <color theme="1"/>
      <name val="Aptos Narrow"/>
      <family val="2"/>
      <scheme val="minor"/>
    </font>
    <font>
      <sz val="11"/>
      <color rgb="FF0000FF"/>
      <name val="Aptos Narrow"/>
      <family val="2"/>
      <scheme val="minor"/>
    </font>
    <font>
      <b/>
      <sz val="11"/>
      <color theme="4"/>
      <name val="Aptos Narrow"/>
      <family val="2"/>
      <scheme val="minor"/>
    </font>
    <font>
      <sz val="11"/>
      <color rgb="FF00B050"/>
      <name val="Aptos Narrow"/>
      <family val="2"/>
      <scheme val="minor"/>
    </font>
    <font>
      <i/>
      <sz val="11"/>
      <color theme="1"/>
      <name val="Aptos Narrow"/>
      <family val="2"/>
      <scheme val="minor"/>
    </font>
    <font>
      <i/>
      <sz val="11"/>
      <color rgb="FF0000FF"/>
      <name val="Aptos Narrow"/>
      <family val="2"/>
      <scheme val="minor"/>
    </font>
    <font>
      <i/>
      <sz val="11"/>
      <color theme="4"/>
      <name val="Aptos Narrow"/>
      <family val="2"/>
      <scheme val="minor"/>
    </font>
    <font>
      <sz val="11"/>
      <name val="Aptos Narrow"/>
      <family val="2"/>
      <scheme val="minor"/>
    </font>
    <font>
      <i/>
      <sz val="11"/>
      <color rgb="FFC00000"/>
      <name val="Aptos Narrow"/>
      <family val="2"/>
      <scheme val="minor"/>
    </font>
    <font>
      <i/>
      <sz val="11"/>
      <color theme="5"/>
      <name val="Aptos Narrow"/>
      <family val="2"/>
      <scheme val="minor"/>
    </font>
    <font>
      <b/>
      <sz val="11"/>
      <name val="Aptos Narrow"/>
      <family val="2"/>
      <scheme val="minor"/>
    </font>
    <font>
      <i/>
      <sz val="11"/>
      <name val="Aptos Narrow"/>
      <family val="2"/>
      <scheme val="minor"/>
    </font>
    <font>
      <b/>
      <u/>
      <sz val="11"/>
      <color theme="1"/>
      <name val="Aptos Narrow"/>
      <family val="2"/>
      <scheme val="minor"/>
    </font>
    <font>
      <b/>
      <u val="singleAccounting"/>
      <sz val="11"/>
      <color theme="0"/>
      <name val="Aptos Narrow"/>
      <family val="2"/>
      <scheme val="minor"/>
    </font>
    <font>
      <b/>
      <sz val="11"/>
      <color rgb="FF0000FF"/>
      <name val="Aptos Narrow"/>
      <family val="2"/>
      <scheme val="minor"/>
    </font>
    <font>
      <b/>
      <sz val="100"/>
      <color theme="4"/>
      <name val="Aptos Narrow"/>
      <family val="2"/>
      <scheme val="minor"/>
    </font>
    <font>
      <b/>
      <sz val="20"/>
      <color theme="0"/>
      <name val="Aptos Narrow"/>
      <family val="2"/>
      <scheme val="minor"/>
    </font>
    <font>
      <b/>
      <sz val="15"/>
      <color theme="0"/>
      <name val="Aptos Narrow"/>
      <family val="2"/>
      <scheme val="minor"/>
    </font>
    <font>
      <u/>
      <sz val="11"/>
      <color theme="10"/>
      <name val="Aptos Narrow"/>
      <family val="2"/>
      <scheme val="minor"/>
    </font>
    <font>
      <b/>
      <sz val="9"/>
      <color indexed="81"/>
      <name val="Tahoma"/>
      <family val="2"/>
    </font>
    <font>
      <sz val="9"/>
      <color indexed="81"/>
      <name val="Tahoma"/>
      <family val="2"/>
    </font>
  </fonts>
  <fills count="12">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2"/>
        <bgColor indexed="64"/>
      </patternFill>
    </fill>
    <fill>
      <patternFill patternType="solid">
        <fgColor rgb="FFFFFFCC"/>
        <bgColor indexed="64"/>
      </patternFill>
    </fill>
    <fill>
      <patternFill patternType="solid">
        <fgColor theme="4"/>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0"/>
        <bgColor indexed="64"/>
      </patternFill>
    </fill>
  </fills>
  <borders count="22">
    <border>
      <left/>
      <right/>
      <top/>
      <bottom/>
      <diagonal/>
    </border>
    <border>
      <left/>
      <right/>
      <top/>
      <bottom style="medium">
        <color indexed="64"/>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auto="1"/>
      </right>
      <top/>
      <bottom/>
      <diagonal/>
    </border>
    <border>
      <left style="medium">
        <color indexed="64"/>
      </left>
      <right/>
      <top/>
      <bottom style="medium">
        <color indexed="64"/>
      </bottom>
      <diagonal/>
    </border>
    <border>
      <left/>
      <right style="medium">
        <color auto="1"/>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4" fillId="0" borderId="0" applyNumberFormat="0" applyFill="0" applyBorder="0" applyAlignment="0" applyProtection="0"/>
  </cellStyleXfs>
  <cellXfs count="287">
    <xf numFmtId="0" fontId="0" fillId="0" borderId="0" xfId="0"/>
    <xf numFmtId="0" fontId="3" fillId="0" borderId="0" xfId="0" applyFont="1"/>
    <xf numFmtId="0" fontId="0" fillId="0" borderId="1" xfId="0" applyBorder="1"/>
    <xf numFmtId="0" fontId="0" fillId="0" borderId="2" xfId="0" applyBorder="1"/>
    <xf numFmtId="0" fontId="0" fillId="2" borderId="0" xfId="0" applyFill="1"/>
    <xf numFmtId="0" fontId="0" fillId="2" borderId="3" xfId="0" applyFill="1" applyBorder="1"/>
    <xf numFmtId="0" fontId="0" fillId="2" borderId="2" xfId="0" applyFill="1" applyBorder="1"/>
    <xf numFmtId="0" fontId="6" fillId="0" borderId="0" xfId="0" applyFont="1"/>
    <xf numFmtId="0" fontId="5" fillId="0" borderId="1" xfId="0" applyFont="1" applyBorder="1"/>
    <xf numFmtId="0" fontId="7" fillId="0" borderId="0" xfId="0" applyFont="1"/>
    <xf numFmtId="0" fontId="4" fillId="3" borderId="0" xfId="0" applyFont="1" applyFill="1"/>
    <xf numFmtId="0" fontId="2" fillId="3" borderId="0" xfId="0" applyFont="1" applyFill="1" applyAlignment="1">
      <alignment horizontal="center"/>
    </xf>
    <xf numFmtId="0" fontId="8" fillId="4" borderId="0" xfId="0" applyFont="1" applyFill="1"/>
    <xf numFmtId="164" fontId="0" fillId="0" borderId="2" xfId="1" applyNumberFormat="1" applyFont="1" applyBorder="1"/>
    <xf numFmtId="164" fontId="0" fillId="0" borderId="0" xfId="1" applyNumberFormat="1" applyFont="1"/>
    <xf numFmtId="164" fontId="8" fillId="4" borderId="0" xfId="1" applyNumberFormat="1" applyFont="1" applyFill="1"/>
    <xf numFmtId="164" fontId="7" fillId="0" borderId="0" xfId="1" applyNumberFormat="1" applyFont="1"/>
    <xf numFmtId="0" fontId="0" fillId="5" borderId="5" xfId="0" applyFill="1" applyBorder="1"/>
    <xf numFmtId="164" fontId="0" fillId="5" borderId="6" xfId="0" applyNumberFormat="1" applyFill="1" applyBorder="1"/>
    <xf numFmtId="164" fontId="1" fillId="5" borderId="6" xfId="1" applyNumberFormat="1" applyFont="1" applyFill="1" applyBorder="1"/>
    <xf numFmtId="0" fontId="10" fillId="0" borderId="0" xfId="0" applyFont="1"/>
    <xf numFmtId="10" fontId="11" fillId="0" borderId="4" xfId="2" applyNumberFormat="1" applyFont="1" applyBorder="1" applyAlignment="1">
      <alignment horizontal="center"/>
    </xf>
    <xf numFmtId="0" fontId="0" fillId="5" borderId="6" xfId="0" applyFill="1" applyBorder="1"/>
    <xf numFmtId="0" fontId="0" fillId="0" borderId="0" xfId="0" applyAlignment="1">
      <alignment horizontal="center"/>
    </xf>
    <xf numFmtId="0" fontId="7" fillId="0" borderId="0" xfId="0" applyFont="1" applyAlignment="1">
      <alignment horizontal="center"/>
    </xf>
    <xf numFmtId="166" fontId="0" fillId="0" borderId="0" xfId="1" applyNumberFormat="1" applyFont="1"/>
    <xf numFmtId="166" fontId="0" fillId="0" borderId="2" xfId="0" applyNumberFormat="1" applyBorder="1"/>
    <xf numFmtId="166" fontId="0" fillId="5" borderId="7" xfId="1" applyNumberFormat="1" applyFont="1" applyFill="1" applyBorder="1"/>
    <xf numFmtId="0" fontId="12" fillId="0" borderId="0" xfId="0" applyFont="1"/>
    <xf numFmtId="164" fontId="0" fillId="0" borderId="2" xfId="0" applyNumberFormat="1" applyBorder="1"/>
    <xf numFmtId="164" fontId="0" fillId="0" borderId="0" xfId="0" applyNumberFormat="1"/>
    <xf numFmtId="164" fontId="0" fillId="0" borderId="0" xfId="1" applyNumberFormat="1" applyFont="1" applyFill="1"/>
    <xf numFmtId="3" fontId="7" fillId="0" borderId="0" xfId="0" applyNumberFormat="1" applyFont="1" applyAlignment="1">
      <alignment horizontal="center"/>
    </xf>
    <xf numFmtId="165" fontId="0" fillId="0" borderId="0" xfId="2" applyNumberFormat="1" applyFont="1" applyAlignment="1">
      <alignment horizontal="center"/>
    </xf>
    <xf numFmtId="169" fontId="7" fillId="0" borderId="0" xfId="0" applyNumberFormat="1" applyFont="1" applyAlignment="1">
      <alignment horizontal="center"/>
    </xf>
    <xf numFmtId="169" fontId="0" fillId="0" borderId="2" xfId="0" applyNumberFormat="1" applyBorder="1" applyAlignment="1">
      <alignment horizontal="center"/>
    </xf>
    <xf numFmtId="169" fontId="0" fillId="0" borderId="0" xfId="0" applyNumberFormat="1" applyAlignment="1">
      <alignment horizontal="center"/>
    </xf>
    <xf numFmtId="164" fontId="13" fillId="0" borderId="0" xfId="1" applyNumberFormat="1" applyFont="1"/>
    <xf numFmtId="171" fontId="7" fillId="0" borderId="0" xfId="0" applyNumberFormat="1" applyFont="1" applyAlignment="1">
      <alignment horizontal="center"/>
    </xf>
    <xf numFmtId="171" fontId="0" fillId="0" borderId="0" xfId="0" applyNumberFormat="1" applyAlignment="1">
      <alignment horizontal="center"/>
    </xf>
    <xf numFmtId="0" fontId="14" fillId="0" borderId="0" xfId="0" applyFont="1"/>
    <xf numFmtId="0" fontId="15" fillId="0" borderId="0" xfId="0" applyFont="1"/>
    <xf numFmtId="169" fontId="0" fillId="0" borderId="0" xfId="0" applyNumberFormat="1"/>
    <xf numFmtId="165" fontId="0" fillId="0" borderId="0" xfId="0" applyNumberFormat="1" applyAlignment="1">
      <alignment horizontal="center"/>
    </xf>
    <xf numFmtId="165" fontId="7" fillId="0" borderId="0" xfId="0" applyNumberFormat="1" applyFont="1" applyAlignment="1">
      <alignment horizontal="center"/>
    </xf>
    <xf numFmtId="10" fontId="7" fillId="0" borderId="0" xfId="0" applyNumberFormat="1" applyFont="1" applyAlignment="1">
      <alignment horizontal="center"/>
    </xf>
    <xf numFmtId="9" fontId="10" fillId="0" borderId="0" xfId="2" applyFont="1" applyAlignment="1">
      <alignment horizontal="center"/>
    </xf>
    <xf numFmtId="10" fontId="0" fillId="0" borderId="2" xfId="0" applyNumberFormat="1" applyBorder="1" applyAlignment="1">
      <alignment horizontal="center"/>
    </xf>
    <xf numFmtId="10" fontId="11" fillId="0" borderId="0" xfId="0" applyNumberFormat="1" applyFont="1" applyAlignment="1">
      <alignment horizontal="center"/>
    </xf>
    <xf numFmtId="165" fontId="0" fillId="0" borderId="0" xfId="2" applyNumberFormat="1" applyFont="1" applyFill="1" applyAlignment="1">
      <alignment horizontal="center"/>
    </xf>
    <xf numFmtId="172" fontId="7" fillId="0" borderId="0" xfId="0" applyNumberFormat="1" applyFont="1" applyAlignment="1">
      <alignment horizontal="center"/>
    </xf>
    <xf numFmtId="9" fontId="10" fillId="0" borderId="0" xfId="0" applyNumberFormat="1" applyFont="1" applyAlignment="1">
      <alignment horizontal="center"/>
    </xf>
    <xf numFmtId="164" fontId="13" fillId="0" borderId="0" xfId="1" applyNumberFormat="1" applyFont="1" applyFill="1"/>
    <xf numFmtId="43" fontId="0" fillId="0" borderId="0" xfId="0" applyNumberFormat="1"/>
    <xf numFmtId="10" fontId="0" fillId="0" borderId="0" xfId="2" applyNumberFormat="1" applyFont="1"/>
    <xf numFmtId="0" fontId="18" fillId="0" borderId="0" xfId="0" applyFont="1"/>
    <xf numFmtId="0" fontId="0" fillId="0" borderId="3" xfId="0" applyBorder="1"/>
    <xf numFmtId="0" fontId="0" fillId="0" borderId="11" xfId="0" applyBorder="1"/>
    <xf numFmtId="169" fontId="13" fillId="0" borderId="0" xfId="0" applyNumberFormat="1" applyFont="1" applyAlignment="1">
      <alignment horizontal="center"/>
    </xf>
    <xf numFmtId="0" fontId="0" fillId="0" borderId="12" xfId="0" applyBorder="1"/>
    <xf numFmtId="10" fontId="7" fillId="0" borderId="0" xfId="2" applyNumberFormat="1" applyFont="1" applyAlignment="1">
      <alignment horizontal="center"/>
    </xf>
    <xf numFmtId="0" fontId="10" fillId="2" borderId="0" xfId="0" applyFont="1" applyFill="1"/>
    <xf numFmtId="0" fontId="16" fillId="5" borderId="5" xfId="0" applyFont="1" applyFill="1" applyBorder="1"/>
    <xf numFmtId="0" fontId="3" fillId="5" borderId="7" xfId="0" applyFont="1" applyFill="1" applyBorder="1"/>
    <xf numFmtId="164" fontId="0" fillId="0" borderId="3" xfId="1" applyNumberFormat="1" applyFont="1" applyBorder="1"/>
    <xf numFmtId="164" fontId="0" fillId="0" borderId="10" xfId="1" applyNumberFormat="1" applyFont="1" applyBorder="1"/>
    <xf numFmtId="173" fontId="10" fillId="0" borderId="3" xfId="1" applyNumberFormat="1" applyFont="1" applyBorder="1"/>
    <xf numFmtId="167" fontId="3" fillId="5" borderId="5" xfId="1" applyNumberFormat="1" applyFont="1" applyFill="1" applyBorder="1"/>
    <xf numFmtId="0" fontId="13" fillId="0" borderId="3" xfId="0" applyFont="1" applyBorder="1"/>
    <xf numFmtId="0" fontId="13" fillId="0" borderId="10" xfId="0" applyFont="1" applyBorder="1"/>
    <xf numFmtId="0" fontId="17" fillId="0" borderId="3" xfId="0" applyFont="1" applyBorder="1" applyAlignment="1">
      <alignment horizontal="left" indent="1"/>
    </xf>
    <xf numFmtId="164" fontId="0" fillId="0" borderId="11" xfId="1" applyNumberFormat="1" applyFont="1" applyBorder="1"/>
    <xf numFmtId="164" fontId="0" fillId="0" borderId="9" xfId="1" applyNumberFormat="1" applyFont="1" applyBorder="1"/>
    <xf numFmtId="164" fontId="0" fillId="0" borderId="3" xfId="1" applyNumberFormat="1" applyFont="1" applyFill="1" applyBorder="1"/>
    <xf numFmtId="0" fontId="18" fillId="0" borderId="0" xfId="0" applyFont="1" applyAlignment="1">
      <alignment horizontal="center"/>
    </xf>
    <xf numFmtId="0" fontId="10" fillId="0" borderId="0" xfId="0" applyFont="1" applyAlignment="1">
      <alignment horizontal="left" indent="1"/>
    </xf>
    <xf numFmtId="164" fontId="7" fillId="0" borderId="0" xfId="1" applyNumberFormat="1" applyFont="1" applyFill="1"/>
    <xf numFmtId="0" fontId="21" fillId="0" borderId="0" xfId="0" applyFont="1"/>
    <xf numFmtId="164" fontId="9" fillId="0" borderId="11" xfId="1" applyNumberFormat="1" applyFont="1" applyBorder="1"/>
    <xf numFmtId="164" fontId="7" fillId="0" borderId="3" xfId="1" applyNumberFormat="1" applyFont="1" applyFill="1" applyBorder="1"/>
    <xf numFmtId="164" fontId="13" fillId="0" borderId="3" xfId="1" applyNumberFormat="1" applyFont="1" applyFill="1" applyBorder="1"/>
    <xf numFmtId="0" fontId="2" fillId="6" borderId="5" xfId="0" applyFont="1" applyFill="1" applyBorder="1"/>
    <xf numFmtId="164" fontId="0" fillId="0" borderId="11" xfId="1" applyNumberFormat="1" applyFont="1" applyFill="1" applyBorder="1"/>
    <xf numFmtId="164" fontId="7" fillId="0" borderId="11" xfId="1" applyNumberFormat="1" applyFont="1" applyFill="1" applyBorder="1"/>
    <xf numFmtId="164" fontId="0" fillId="0" borderId="11" xfId="0" applyNumberFormat="1" applyBorder="1"/>
    <xf numFmtId="164" fontId="0" fillId="0" borderId="13" xfId="1" applyNumberFormat="1" applyFont="1" applyFill="1" applyBorder="1"/>
    <xf numFmtId="165" fontId="13" fillId="0" borderId="0" xfId="2" applyNumberFormat="1" applyFont="1" applyAlignment="1">
      <alignment horizontal="center"/>
    </xf>
    <xf numFmtId="165" fontId="13" fillId="0" borderId="2" xfId="2" applyNumberFormat="1" applyFont="1" applyBorder="1" applyAlignment="1">
      <alignment horizontal="center"/>
    </xf>
    <xf numFmtId="165" fontId="7" fillId="0" borderId="0" xfId="2" applyNumberFormat="1" applyFont="1" applyAlignment="1">
      <alignment horizontal="center"/>
    </xf>
    <xf numFmtId="0" fontId="2" fillId="3" borderId="0" xfId="0" applyFont="1" applyFill="1" applyAlignment="1">
      <alignment horizontal="center" wrapText="1"/>
    </xf>
    <xf numFmtId="0" fontId="2" fillId="3" borderId="10" xfId="0" applyFont="1" applyFill="1" applyBorder="1"/>
    <xf numFmtId="0" fontId="2" fillId="3" borderId="3" xfId="0" applyFont="1" applyFill="1" applyBorder="1"/>
    <xf numFmtId="0" fontId="2" fillId="3" borderId="12" xfId="0" applyFont="1" applyFill="1" applyBorder="1"/>
    <xf numFmtId="14" fontId="20" fillId="7" borderId="5" xfId="0" applyNumberFormat="1" applyFont="1" applyFill="1" applyBorder="1" applyAlignment="1">
      <alignment horizontal="center"/>
    </xf>
    <xf numFmtId="14" fontId="20" fillId="7" borderId="6" xfId="0" applyNumberFormat="1" applyFont="1" applyFill="1" applyBorder="1" applyAlignment="1">
      <alignment horizontal="center"/>
    </xf>
    <xf numFmtId="14" fontId="20" fillId="7" borderId="7" xfId="0" applyNumberFormat="1" applyFont="1" applyFill="1" applyBorder="1" applyAlignment="1">
      <alignment horizontal="center"/>
    </xf>
    <xf numFmtId="0" fontId="2" fillId="6" borderId="6" xfId="0" applyFont="1" applyFill="1" applyBorder="1" applyAlignment="1">
      <alignment horizontal="center"/>
    </xf>
    <xf numFmtId="0" fontId="2" fillId="6" borderId="7" xfId="0" applyFont="1" applyFill="1" applyBorder="1" applyAlignment="1">
      <alignment horizontal="center"/>
    </xf>
    <xf numFmtId="172" fontId="0" fillId="0" borderId="0" xfId="2" applyNumberFormat="1" applyFont="1" applyAlignment="1">
      <alignment horizontal="center"/>
    </xf>
    <xf numFmtId="165" fontId="0" fillId="0" borderId="2" xfId="2" applyNumberFormat="1" applyFont="1" applyBorder="1" applyAlignment="1">
      <alignment horizontal="center"/>
    </xf>
    <xf numFmtId="164" fontId="7" fillId="0" borderId="0" xfId="1" applyNumberFormat="1" applyFont="1" applyAlignment="1">
      <alignment horizontal="center"/>
    </xf>
    <xf numFmtId="165" fontId="2" fillId="3" borderId="0" xfId="2" applyNumberFormat="1" applyFont="1" applyFill="1" applyBorder="1" applyAlignment="1">
      <alignment horizontal="center"/>
    </xf>
    <xf numFmtId="3" fontId="2" fillId="3" borderId="0" xfId="0" applyNumberFormat="1" applyFont="1" applyFill="1" applyAlignment="1">
      <alignment horizontal="center"/>
    </xf>
    <xf numFmtId="3" fontId="2" fillId="3" borderId="11" xfId="0" applyNumberFormat="1" applyFont="1" applyFill="1" applyBorder="1" applyAlignment="1">
      <alignment horizontal="center"/>
    </xf>
    <xf numFmtId="165" fontId="2" fillId="3" borderId="11" xfId="2" applyNumberFormat="1" applyFont="1" applyFill="1" applyBorder="1" applyAlignment="1">
      <alignment horizontal="center"/>
    </xf>
    <xf numFmtId="0" fontId="20" fillId="7" borderId="8" xfId="2" applyNumberFormat="1" applyFont="1" applyFill="1" applyBorder="1" applyAlignment="1">
      <alignment horizontal="center"/>
    </xf>
    <xf numFmtId="0" fontId="20" fillId="7" borderId="13" xfId="2" applyNumberFormat="1" applyFont="1" applyFill="1" applyBorder="1" applyAlignment="1">
      <alignment horizontal="center"/>
    </xf>
    <xf numFmtId="164" fontId="10" fillId="0" borderId="0" xfId="1" applyNumberFormat="1" applyFont="1"/>
    <xf numFmtId="174" fontId="0" fillId="0" borderId="0" xfId="1" applyNumberFormat="1" applyFont="1"/>
    <xf numFmtId="171" fontId="20" fillId="7" borderId="6" xfId="0" applyNumberFormat="1" applyFont="1" applyFill="1" applyBorder="1" applyAlignment="1">
      <alignment horizontal="center"/>
    </xf>
    <xf numFmtId="171" fontId="20" fillId="7" borderId="7" xfId="0" applyNumberFormat="1" applyFont="1" applyFill="1" applyBorder="1" applyAlignment="1">
      <alignment horizontal="center"/>
    </xf>
    <xf numFmtId="0" fontId="20" fillId="0" borderId="0" xfId="0" applyFont="1" applyAlignment="1">
      <alignment horizontal="center"/>
    </xf>
    <xf numFmtId="171" fontId="20" fillId="7" borderId="5" xfId="0" applyNumberFormat="1" applyFont="1" applyFill="1" applyBorder="1" applyAlignment="1">
      <alignment horizontal="center"/>
    </xf>
    <xf numFmtId="0" fontId="10" fillId="0" borderId="0" xfId="0" applyFont="1" applyAlignment="1">
      <alignment horizontal="right"/>
    </xf>
    <xf numFmtId="0" fontId="2" fillId="6" borderId="5" xfId="0" applyFont="1" applyFill="1" applyBorder="1" applyAlignment="1">
      <alignment horizontal="left"/>
    </xf>
    <xf numFmtId="0" fontId="2" fillId="6" borderId="6" xfId="0" applyFont="1" applyFill="1" applyBorder="1" applyAlignment="1">
      <alignment horizontal="left"/>
    </xf>
    <xf numFmtId="0" fontId="2" fillId="6" borderId="7" xfId="0" applyFont="1" applyFill="1" applyBorder="1" applyAlignment="1">
      <alignment horizontal="left"/>
    </xf>
    <xf numFmtId="0" fontId="4" fillId="6" borderId="5" xfId="0" applyFont="1" applyFill="1" applyBorder="1"/>
    <xf numFmtId="164" fontId="0" fillId="0" borderId="2" xfId="1" applyNumberFormat="1" applyFont="1" applyFill="1" applyBorder="1"/>
    <xf numFmtId="172" fontId="0" fillId="0" borderId="0" xfId="2" applyNumberFormat="1" applyFont="1" applyFill="1" applyAlignment="1">
      <alignment horizontal="center"/>
    </xf>
    <xf numFmtId="0" fontId="13" fillId="0" borderId="14" xfId="0" applyFont="1" applyBorder="1"/>
    <xf numFmtId="0" fontId="2" fillId="8" borderId="0" xfId="0" applyFont="1" applyFill="1"/>
    <xf numFmtId="0" fontId="2" fillId="8" borderId="0" xfId="0" applyFont="1" applyFill="1" applyAlignment="1">
      <alignment horizontal="center"/>
    </xf>
    <xf numFmtId="0" fontId="2" fillId="8" borderId="10" xfId="0" applyFont="1" applyFill="1" applyBorder="1"/>
    <xf numFmtId="0" fontId="2" fillId="8" borderId="2" xfId="0" applyFont="1" applyFill="1" applyBorder="1" applyAlignment="1">
      <alignment horizontal="center"/>
    </xf>
    <xf numFmtId="0" fontId="2" fillId="8" borderId="9" xfId="0" applyFont="1" applyFill="1" applyBorder="1" applyAlignment="1">
      <alignment horizontal="center"/>
    </xf>
    <xf numFmtId="0" fontId="0" fillId="0" borderId="5" xfId="0" applyBorder="1"/>
    <xf numFmtId="3" fontId="0" fillId="0" borderId="6" xfId="0" applyNumberFormat="1" applyBorder="1" applyAlignment="1">
      <alignment horizontal="center"/>
    </xf>
    <xf numFmtId="169" fontId="0" fillId="0" borderId="6" xfId="0" applyNumberFormat="1" applyBorder="1" applyAlignment="1">
      <alignment horizontal="center"/>
    </xf>
    <xf numFmtId="164" fontId="13" fillId="0" borderId="11" xfId="1" applyNumberFormat="1" applyFont="1" applyFill="1" applyBorder="1"/>
    <xf numFmtId="164" fontId="13" fillId="0" borderId="0" xfId="1" applyNumberFormat="1" applyFont="1" applyFill="1" applyBorder="1"/>
    <xf numFmtId="0" fontId="0" fillId="2" borderId="10" xfId="0" applyFill="1" applyBorder="1"/>
    <xf numFmtId="0" fontId="0" fillId="2" borderId="11" xfId="0" applyFill="1" applyBorder="1"/>
    <xf numFmtId="3" fontId="0" fillId="2" borderId="11" xfId="0" applyNumberFormat="1" applyFill="1" applyBorder="1"/>
    <xf numFmtId="0" fontId="0" fillId="2" borderId="5" xfId="0" applyFill="1" applyBorder="1"/>
    <xf numFmtId="3" fontId="0" fillId="2" borderId="7" xfId="0" applyNumberFormat="1" applyFill="1" applyBorder="1"/>
    <xf numFmtId="0" fontId="3" fillId="2" borderId="5" xfId="0" applyFont="1" applyFill="1" applyBorder="1"/>
    <xf numFmtId="0" fontId="0" fillId="2" borderId="7" xfId="0" applyFill="1" applyBorder="1"/>
    <xf numFmtId="0" fontId="7" fillId="2" borderId="9" xfId="0" applyFont="1" applyFill="1" applyBorder="1"/>
    <xf numFmtId="166" fontId="0" fillId="0" borderId="0" xfId="1" applyNumberFormat="1" applyFont="1" applyFill="1"/>
    <xf numFmtId="0" fontId="2" fillId="8" borderId="5" xfId="0" applyFont="1" applyFill="1" applyBorder="1"/>
    <xf numFmtId="0" fontId="2" fillId="8" borderId="7" xfId="0" applyFont="1" applyFill="1" applyBorder="1"/>
    <xf numFmtId="0" fontId="0" fillId="8" borderId="0" xfId="0" applyFill="1"/>
    <xf numFmtId="0" fontId="0" fillId="8" borderId="0" xfId="0" applyFill="1" applyAlignment="1">
      <alignment horizontal="center"/>
    </xf>
    <xf numFmtId="0" fontId="13" fillId="8" borderId="0" xfId="0" applyFont="1" applyFill="1"/>
    <xf numFmtId="0" fontId="22" fillId="8" borderId="0" xfId="0" applyFont="1" applyFill="1"/>
    <xf numFmtId="0" fontId="23" fillId="8" borderId="0" xfId="0" applyFont="1" applyFill="1"/>
    <xf numFmtId="165" fontId="0" fillId="0" borderId="0" xfId="2" applyNumberFormat="1" applyFont="1" applyBorder="1" applyAlignment="1">
      <alignment horizontal="center"/>
    </xf>
    <xf numFmtId="170" fontId="0" fillId="0" borderId="11" xfId="0" applyNumberFormat="1" applyBorder="1" applyAlignment="1">
      <alignment horizontal="center"/>
    </xf>
    <xf numFmtId="3" fontId="0" fillId="5" borderId="6" xfId="0" applyNumberFormat="1" applyFill="1" applyBorder="1" applyAlignment="1">
      <alignment horizontal="center"/>
    </xf>
    <xf numFmtId="165" fontId="1" fillId="5" borderId="6" xfId="2" applyNumberFormat="1" applyFont="1" applyFill="1" applyBorder="1" applyAlignment="1">
      <alignment horizontal="center"/>
    </xf>
    <xf numFmtId="169" fontId="0" fillId="5" borderId="6" xfId="0" applyNumberFormat="1" applyFill="1" applyBorder="1" applyAlignment="1">
      <alignment horizontal="center"/>
    </xf>
    <xf numFmtId="170" fontId="0" fillId="5" borderId="7" xfId="0" applyNumberFormat="1" applyFill="1" applyBorder="1" applyAlignment="1">
      <alignment horizontal="center"/>
    </xf>
    <xf numFmtId="3" fontId="0" fillId="0" borderId="2" xfId="0" applyNumberFormat="1" applyBorder="1" applyAlignment="1">
      <alignment horizontal="center"/>
    </xf>
    <xf numFmtId="170" fontId="0" fillId="0" borderId="9" xfId="0" applyNumberFormat="1" applyBorder="1" applyAlignment="1">
      <alignment horizontal="center"/>
    </xf>
    <xf numFmtId="3" fontId="0" fillId="0" borderId="0" xfId="0" applyNumberFormat="1" applyAlignment="1">
      <alignment horizontal="center"/>
    </xf>
    <xf numFmtId="0" fontId="2" fillId="8" borderId="6" xfId="0" applyFont="1" applyFill="1" applyBorder="1" applyAlignment="1">
      <alignment horizontal="center"/>
    </xf>
    <xf numFmtId="0" fontId="2" fillId="8" borderId="7" xfId="0" applyFont="1" applyFill="1" applyBorder="1" applyAlignment="1">
      <alignment horizontal="center"/>
    </xf>
    <xf numFmtId="0" fontId="2" fillId="8" borderId="0" xfId="0" applyFont="1" applyFill="1" applyAlignment="1">
      <alignment horizontal="left"/>
    </xf>
    <xf numFmtId="2" fontId="7" fillId="2" borderId="11" xfId="0" applyNumberFormat="1" applyFont="1" applyFill="1" applyBorder="1"/>
    <xf numFmtId="10" fontId="7" fillId="2" borderId="11" xfId="0" applyNumberFormat="1" applyFont="1" applyFill="1" applyBorder="1"/>
    <xf numFmtId="0" fontId="0" fillId="2" borderId="12" xfId="0" applyFill="1" applyBorder="1"/>
    <xf numFmtId="169" fontId="0" fillId="2" borderId="13" xfId="0" applyNumberFormat="1" applyFill="1" applyBorder="1"/>
    <xf numFmtId="0" fontId="4" fillId="8" borderId="9" xfId="0" applyFont="1" applyFill="1" applyBorder="1"/>
    <xf numFmtId="0" fontId="7" fillId="0" borderId="11" xfId="0" applyFont="1" applyBorder="1" applyAlignment="1">
      <alignment horizontal="right"/>
    </xf>
    <xf numFmtId="0" fontId="7" fillId="0" borderId="13" xfId="0" applyFont="1" applyBorder="1" applyAlignment="1">
      <alignment horizontal="right"/>
    </xf>
    <xf numFmtId="0" fontId="4" fillId="8" borderId="10" xfId="0" applyFont="1" applyFill="1" applyBorder="1"/>
    <xf numFmtId="43" fontId="19" fillId="8" borderId="2" xfId="1" applyFont="1" applyFill="1" applyBorder="1" applyAlignment="1">
      <alignment horizontal="centerContinuous"/>
    </xf>
    <xf numFmtId="0" fontId="4" fillId="8" borderId="12" xfId="0" applyFont="1" applyFill="1" applyBorder="1"/>
    <xf numFmtId="0" fontId="2" fillId="8" borderId="8" xfId="0" applyFont="1" applyFill="1" applyBorder="1" applyAlignment="1">
      <alignment horizontal="center"/>
    </xf>
    <xf numFmtId="0" fontId="2" fillId="8" borderId="6" xfId="0" applyFont="1" applyFill="1" applyBorder="1"/>
    <xf numFmtId="169" fontId="0" fillId="7" borderId="6" xfId="0" applyNumberFormat="1" applyFill="1" applyBorder="1" applyAlignment="1">
      <alignment horizontal="center"/>
    </xf>
    <xf numFmtId="175" fontId="7" fillId="7" borderId="0" xfId="0" applyNumberFormat="1" applyFont="1" applyFill="1" applyAlignment="1">
      <alignment horizontal="center"/>
    </xf>
    <xf numFmtId="0" fontId="0" fillId="7" borderId="0" xfId="0" applyFill="1"/>
    <xf numFmtId="0" fontId="0" fillId="7" borderId="0" xfId="0" applyFill="1" applyAlignment="1">
      <alignment horizontal="center"/>
    </xf>
    <xf numFmtId="0" fontId="0" fillId="7" borderId="2" xfId="0" applyFill="1" applyBorder="1"/>
    <xf numFmtId="0" fontId="0" fillId="7" borderId="2" xfId="0" applyFill="1" applyBorder="1" applyAlignment="1">
      <alignment horizontal="center"/>
    </xf>
    <xf numFmtId="169" fontId="0" fillId="7" borderId="2" xfId="0" applyNumberFormat="1" applyFill="1" applyBorder="1" applyAlignment="1">
      <alignment horizontal="center"/>
    </xf>
    <xf numFmtId="0" fontId="2" fillId="8" borderId="2" xfId="0" applyFont="1" applyFill="1" applyBorder="1"/>
    <xf numFmtId="0" fontId="0" fillId="7" borderId="3" xfId="0" applyFill="1" applyBorder="1"/>
    <xf numFmtId="169" fontId="0" fillId="7" borderId="0" xfId="0" applyNumberFormat="1" applyFill="1" applyAlignment="1">
      <alignment horizontal="center"/>
    </xf>
    <xf numFmtId="5" fontId="0" fillId="7" borderId="11" xfId="0" applyNumberFormat="1" applyFill="1" applyBorder="1" applyAlignment="1">
      <alignment horizontal="center"/>
    </xf>
    <xf numFmtId="176" fontId="7" fillId="7" borderId="0" xfId="0" applyNumberFormat="1" applyFont="1" applyFill="1" applyAlignment="1">
      <alignment horizontal="center"/>
    </xf>
    <xf numFmtId="0" fontId="0" fillId="7" borderId="5" xfId="0" applyFill="1" applyBorder="1"/>
    <xf numFmtId="0" fontId="0" fillId="7" borderId="6" xfId="0" applyFill="1" applyBorder="1"/>
    <xf numFmtId="0" fontId="0" fillId="7" borderId="6" xfId="0" applyFill="1" applyBorder="1" applyAlignment="1">
      <alignment horizontal="center"/>
    </xf>
    <xf numFmtId="5" fontId="0" fillId="7" borderId="7" xfId="0" applyNumberFormat="1" applyFill="1" applyBorder="1" applyAlignment="1">
      <alignment horizontal="center"/>
    </xf>
    <xf numFmtId="0" fontId="0" fillId="7" borderId="10" xfId="0" applyFill="1" applyBorder="1"/>
    <xf numFmtId="5" fontId="0" fillId="7" borderId="9" xfId="0" applyNumberFormat="1" applyFill="1" applyBorder="1" applyAlignment="1">
      <alignment horizontal="center"/>
    </xf>
    <xf numFmtId="0" fontId="16" fillId="9" borderId="5" xfId="0" applyFont="1" applyFill="1" applyBorder="1"/>
    <xf numFmtId="0" fontId="0" fillId="9" borderId="6" xfId="0" applyFill="1" applyBorder="1"/>
    <xf numFmtId="0" fontId="0" fillId="9" borderId="6" xfId="0" applyFill="1" applyBorder="1" applyAlignment="1">
      <alignment horizontal="center"/>
    </xf>
    <xf numFmtId="0" fontId="0" fillId="9" borderId="7" xfId="0" applyFill="1" applyBorder="1" applyAlignment="1">
      <alignment horizontal="center"/>
    </xf>
    <xf numFmtId="0" fontId="0" fillId="7" borderId="3" xfId="0" applyFill="1" applyBorder="1" applyAlignment="1">
      <alignment horizontal="left"/>
    </xf>
    <xf numFmtId="177" fontId="7" fillId="7" borderId="0" xfId="0" applyNumberFormat="1" applyFont="1" applyFill="1" applyAlignment="1">
      <alignment horizontal="center"/>
    </xf>
    <xf numFmtId="178" fontId="7" fillId="7" borderId="0" xfId="0" applyNumberFormat="1" applyFont="1" applyFill="1" applyAlignment="1">
      <alignment horizontal="center"/>
    </xf>
    <xf numFmtId="6" fontId="0" fillId="7" borderId="0" xfId="0" applyNumberFormat="1" applyFill="1" applyAlignment="1">
      <alignment horizontal="center"/>
    </xf>
    <xf numFmtId="6" fontId="0" fillId="7" borderId="11" xfId="0" applyNumberFormat="1" applyFill="1" applyBorder="1" applyAlignment="1">
      <alignment horizontal="center"/>
    </xf>
    <xf numFmtId="0" fontId="10" fillId="7" borderId="3" xfId="0" applyFont="1" applyFill="1" applyBorder="1" applyAlignment="1">
      <alignment horizontal="left" indent="2"/>
    </xf>
    <xf numFmtId="165" fontId="7" fillId="7" borderId="0" xfId="0" applyNumberFormat="1" applyFont="1" applyFill="1" applyAlignment="1">
      <alignment horizontal="center"/>
    </xf>
    <xf numFmtId="0" fontId="0" fillId="7" borderId="5" xfId="0" applyFill="1" applyBorder="1" applyAlignment="1">
      <alignment horizontal="left"/>
    </xf>
    <xf numFmtId="6" fontId="0" fillId="7" borderId="6" xfId="0" applyNumberFormat="1" applyFill="1" applyBorder="1" applyAlignment="1">
      <alignment horizontal="center"/>
    </xf>
    <xf numFmtId="169" fontId="0" fillId="7" borderId="7" xfId="0" applyNumberFormat="1" applyFill="1" applyBorder="1" applyAlignment="1">
      <alignment horizontal="center"/>
    </xf>
    <xf numFmtId="179" fontId="7" fillId="7" borderId="0" xfId="0" applyNumberFormat="1" applyFont="1" applyFill="1" applyAlignment="1">
      <alignment horizontal="center"/>
    </xf>
    <xf numFmtId="9" fontId="0" fillId="0" borderId="0" xfId="0" applyNumberFormat="1" applyAlignment="1">
      <alignment horizontal="center"/>
    </xf>
    <xf numFmtId="0" fontId="0" fillId="8" borderId="0" xfId="0" applyFill="1" applyAlignment="1">
      <alignment horizontal="left"/>
    </xf>
    <xf numFmtId="0" fontId="2" fillId="8" borderId="5" xfId="0" applyFont="1" applyFill="1" applyBorder="1" applyAlignment="1">
      <alignment horizontal="left"/>
    </xf>
    <xf numFmtId="0" fontId="0" fillId="5" borderId="5" xfId="0" applyFill="1" applyBorder="1" applyAlignment="1">
      <alignment horizontal="left"/>
    </xf>
    <xf numFmtId="0" fontId="0" fillId="0" borderId="0" xfId="0" applyAlignment="1">
      <alignment horizontal="left"/>
    </xf>
    <xf numFmtId="0" fontId="0" fillId="0" borderId="10" xfId="0" applyBorder="1" applyAlignment="1">
      <alignment horizontal="left"/>
    </xf>
    <xf numFmtId="0" fontId="0" fillId="0" borderId="3" xfId="0" applyBorder="1" applyAlignment="1">
      <alignment horizontal="left"/>
    </xf>
    <xf numFmtId="0" fontId="3" fillId="0" borderId="5" xfId="0" applyFont="1" applyBorder="1"/>
    <xf numFmtId="0" fontId="3" fillId="0" borderId="6" xfId="0" applyFont="1" applyBorder="1" applyAlignment="1">
      <alignment horizontal="center"/>
    </xf>
    <xf numFmtId="0" fontId="3" fillId="0" borderId="7" xfId="0" applyFont="1" applyBorder="1" applyAlignment="1">
      <alignment horizontal="center"/>
    </xf>
    <xf numFmtId="0" fontId="0" fillId="0" borderId="6" xfId="0" applyBorder="1" applyAlignment="1">
      <alignment horizontal="center"/>
    </xf>
    <xf numFmtId="9" fontId="0" fillId="0" borderId="6" xfId="0" applyNumberFormat="1" applyBorder="1" applyAlignment="1">
      <alignment horizontal="center"/>
    </xf>
    <xf numFmtId="8" fontId="0" fillId="0" borderId="11" xfId="0" applyNumberFormat="1" applyBorder="1" applyAlignment="1">
      <alignment horizontal="center"/>
    </xf>
    <xf numFmtId="8" fontId="0" fillId="0" borderId="7" xfId="0" applyNumberFormat="1" applyBorder="1" applyAlignment="1">
      <alignment horizontal="center"/>
    </xf>
    <xf numFmtId="0" fontId="0" fillId="7" borderId="10" xfId="0" applyFill="1" applyBorder="1" applyAlignment="1">
      <alignment horizontal="left"/>
    </xf>
    <xf numFmtId="0" fontId="0" fillId="7" borderId="12" xfId="0" applyFill="1" applyBorder="1" applyAlignment="1">
      <alignment horizontal="left"/>
    </xf>
    <xf numFmtId="0" fontId="7" fillId="7" borderId="9" xfId="0" applyFont="1" applyFill="1" applyBorder="1" applyAlignment="1">
      <alignment horizontal="left"/>
    </xf>
    <xf numFmtId="0" fontId="7" fillId="7" borderId="11" xfId="0" applyFont="1" applyFill="1" applyBorder="1" applyAlignment="1">
      <alignment horizontal="left"/>
    </xf>
    <xf numFmtId="165" fontId="7" fillId="7" borderId="11" xfId="0" applyNumberFormat="1" applyFont="1" applyFill="1" applyBorder="1" applyAlignment="1">
      <alignment horizontal="left"/>
    </xf>
    <xf numFmtId="164" fontId="9" fillId="0" borderId="11" xfId="0" applyNumberFormat="1" applyFont="1" applyBorder="1"/>
    <xf numFmtId="164" fontId="0" fillId="0" borderId="9" xfId="0" applyNumberFormat="1" applyBorder="1"/>
    <xf numFmtId="0" fontId="0" fillId="0" borderId="10" xfId="0" applyBorder="1"/>
    <xf numFmtId="164" fontId="9" fillId="0" borderId="9" xfId="0" applyNumberFormat="1" applyFont="1" applyBorder="1"/>
    <xf numFmtId="173" fontId="13" fillId="0" borderId="13" xfId="1" applyNumberFormat="1" applyFont="1" applyFill="1" applyBorder="1"/>
    <xf numFmtId="169" fontId="0" fillId="0" borderId="8" xfId="0" applyNumberFormat="1" applyBorder="1" applyAlignment="1">
      <alignment horizontal="center"/>
    </xf>
    <xf numFmtId="0" fontId="3" fillId="9" borderId="6" xfId="0" applyFont="1" applyFill="1" applyBorder="1" applyAlignment="1">
      <alignment horizontal="center"/>
    </xf>
    <xf numFmtId="0" fontId="3" fillId="9" borderId="7" xfId="0" applyFont="1" applyFill="1" applyBorder="1" applyAlignment="1">
      <alignment horizontal="center"/>
    </xf>
    <xf numFmtId="169" fontId="0" fillId="0" borderId="11" xfId="0" applyNumberFormat="1" applyBorder="1" applyAlignment="1">
      <alignment horizontal="center"/>
    </xf>
    <xf numFmtId="0" fontId="0" fillId="0" borderId="5" xfId="0" applyBorder="1" applyAlignment="1">
      <alignment horizontal="left"/>
    </xf>
    <xf numFmtId="9" fontId="7" fillId="0" borderId="6" xfId="0" applyNumberFormat="1" applyFont="1" applyBorder="1" applyAlignment="1">
      <alignment horizontal="center"/>
    </xf>
    <xf numFmtId="3" fontId="9" fillId="0" borderId="6" xfId="0" applyNumberFormat="1" applyFont="1" applyBorder="1" applyAlignment="1">
      <alignment horizontal="center"/>
    </xf>
    <xf numFmtId="176" fontId="13" fillId="0" borderId="6" xfId="0" applyNumberFormat="1" applyFont="1" applyBorder="1" applyAlignment="1">
      <alignment horizontal="center"/>
    </xf>
    <xf numFmtId="169" fontId="0" fillId="0" borderId="7" xfId="0" applyNumberFormat="1" applyBorder="1" applyAlignment="1">
      <alignment horizontal="center"/>
    </xf>
    <xf numFmtId="169" fontId="0" fillId="0" borderId="13" xfId="0" applyNumberFormat="1" applyBorder="1" applyAlignment="1">
      <alignment horizontal="center"/>
    </xf>
    <xf numFmtId="8" fontId="0" fillId="0" borderId="0" xfId="0" applyNumberFormat="1" applyAlignment="1">
      <alignment horizontal="center"/>
    </xf>
    <xf numFmtId="10" fontId="0" fillId="0" borderId="0" xfId="2" applyNumberFormat="1" applyFont="1" applyAlignment="1">
      <alignment horizontal="center"/>
    </xf>
    <xf numFmtId="0" fontId="7" fillId="10" borderId="0" xfId="0" applyFont="1" applyFill="1" applyAlignment="1">
      <alignment horizontal="center"/>
    </xf>
    <xf numFmtId="3" fontId="7" fillId="10" borderId="0" xfId="0" applyNumberFormat="1" applyFont="1" applyFill="1" applyAlignment="1">
      <alignment horizontal="center"/>
    </xf>
    <xf numFmtId="169" fontId="7" fillId="10" borderId="0" xfId="0" applyNumberFormat="1" applyFont="1" applyFill="1" applyAlignment="1">
      <alignment horizontal="center"/>
    </xf>
    <xf numFmtId="167" fontId="7" fillId="10" borderId="11" xfId="1" applyNumberFormat="1" applyFont="1" applyFill="1" applyBorder="1"/>
    <xf numFmtId="168" fontId="7" fillId="10" borderId="11" xfId="1" applyNumberFormat="1" applyFont="1" applyFill="1" applyBorder="1"/>
    <xf numFmtId="0" fontId="7" fillId="10" borderId="3" xfId="0" applyFont="1" applyFill="1" applyBorder="1"/>
    <xf numFmtId="0" fontId="7" fillId="10" borderId="12" xfId="0" applyFont="1" applyFill="1" applyBorder="1"/>
    <xf numFmtId="0" fontId="7" fillId="10" borderId="8" xfId="0" applyFont="1" applyFill="1" applyBorder="1" applyAlignment="1">
      <alignment horizontal="center"/>
    </xf>
    <xf numFmtId="169" fontId="7" fillId="10" borderId="8" xfId="0" applyNumberFormat="1" applyFont="1" applyFill="1" applyBorder="1" applyAlignment="1">
      <alignment horizontal="center"/>
    </xf>
    <xf numFmtId="164" fontId="7" fillId="10" borderId="11" xfId="1" applyNumberFormat="1" applyFont="1" applyFill="1" applyBorder="1"/>
    <xf numFmtId="164" fontId="7" fillId="10" borderId="0" xfId="1" applyNumberFormat="1" applyFont="1" applyFill="1"/>
    <xf numFmtId="9" fontId="7" fillId="7" borderId="0" xfId="0" applyNumberFormat="1" applyFont="1" applyFill="1" applyAlignment="1">
      <alignment horizontal="center"/>
    </xf>
    <xf numFmtId="3" fontId="9" fillId="7" borderId="0" xfId="0" applyNumberFormat="1" applyFont="1" applyFill="1" applyAlignment="1">
      <alignment horizontal="center"/>
    </xf>
    <xf numFmtId="169" fontId="0" fillId="7" borderId="11" xfId="0" applyNumberFormat="1" applyFill="1" applyBorder="1" applyAlignment="1">
      <alignment horizontal="center"/>
    </xf>
    <xf numFmtId="176" fontId="13" fillId="7" borderId="0" xfId="0" applyNumberFormat="1" applyFont="1" applyFill="1" applyAlignment="1">
      <alignment horizontal="center"/>
    </xf>
    <xf numFmtId="3" fontId="7" fillId="7" borderId="0" xfId="0" applyNumberFormat="1" applyFont="1" applyFill="1" applyAlignment="1">
      <alignment horizontal="center"/>
    </xf>
    <xf numFmtId="180" fontId="13" fillId="7" borderId="0" xfId="0" applyNumberFormat="1" applyFont="1" applyFill="1" applyAlignment="1">
      <alignment horizontal="center"/>
    </xf>
    <xf numFmtId="0" fontId="0" fillId="8" borderId="9" xfId="0" applyFill="1" applyBorder="1"/>
    <xf numFmtId="0" fontId="0" fillId="0" borderId="6" xfId="0" applyBorder="1"/>
    <xf numFmtId="0" fontId="7" fillId="10" borderId="7" xfId="0" applyFont="1" applyFill="1" applyBorder="1" applyAlignment="1">
      <alignment horizontal="center"/>
    </xf>
    <xf numFmtId="3" fontId="13" fillId="0" borderId="0" xfId="0" applyNumberFormat="1" applyFont="1" applyAlignment="1">
      <alignment horizontal="center"/>
    </xf>
    <xf numFmtId="167" fontId="7" fillId="0" borderId="11" xfId="1" applyNumberFormat="1" applyFont="1" applyFill="1" applyBorder="1"/>
    <xf numFmtId="0" fontId="7" fillId="0" borderId="3" xfId="0" applyFont="1" applyBorder="1" applyAlignment="1">
      <alignment horizontal="left"/>
    </xf>
    <xf numFmtId="165" fontId="7" fillId="0" borderId="0" xfId="2" applyNumberFormat="1" applyFont="1" applyFill="1" applyBorder="1" applyAlignment="1">
      <alignment horizontal="center"/>
    </xf>
    <xf numFmtId="0" fontId="24" fillId="10" borderId="0" xfId="3" applyFill="1" applyAlignment="1">
      <alignment horizontal="center"/>
    </xf>
    <xf numFmtId="0" fontId="3" fillId="2" borderId="15" xfId="0" applyFont="1" applyFill="1" applyBorder="1"/>
    <xf numFmtId="0" fontId="3" fillId="2" borderId="16" xfId="0" applyFont="1" applyFill="1" applyBorder="1"/>
    <xf numFmtId="0" fontId="3" fillId="2" borderId="17" xfId="0" applyFont="1" applyFill="1" applyBorder="1"/>
    <xf numFmtId="0" fontId="0" fillId="0" borderId="18" xfId="0" applyBorder="1"/>
    <xf numFmtId="0" fontId="0" fillId="0" borderId="19" xfId="0" applyBorder="1"/>
    <xf numFmtId="0" fontId="3" fillId="0" borderId="18" xfId="0" applyFont="1" applyBorder="1"/>
    <xf numFmtId="0" fontId="0" fillId="0" borderId="18" xfId="0" applyBorder="1" applyAlignment="1">
      <alignment horizontal="left" indent="1"/>
    </xf>
    <xf numFmtId="0" fontId="3" fillId="11" borderId="18" xfId="0" applyFont="1" applyFill="1" applyBorder="1" applyAlignment="1">
      <alignment horizontal="left" indent="1"/>
    </xf>
    <xf numFmtId="0" fontId="0" fillId="11" borderId="18" xfId="0" applyFill="1" applyBorder="1" applyAlignment="1">
      <alignment horizontal="left" indent="1"/>
    </xf>
    <xf numFmtId="0" fontId="3" fillId="0" borderId="18" xfId="0" applyFont="1" applyBorder="1" applyAlignment="1">
      <alignment horizontal="left" indent="1"/>
    </xf>
    <xf numFmtId="0" fontId="3" fillId="2" borderId="18" xfId="0" applyFont="1" applyFill="1" applyBorder="1"/>
    <xf numFmtId="0" fontId="3" fillId="2" borderId="0" xfId="0" applyFont="1" applyFill="1"/>
    <xf numFmtId="0" fontId="3" fillId="2" borderId="19" xfId="0" applyFont="1" applyFill="1" applyBorder="1"/>
    <xf numFmtId="0" fontId="0" fillId="0" borderId="21" xfId="0" applyBorder="1"/>
    <xf numFmtId="0" fontId="24" fillId="7" borderId="13" xfId="3" applyFill="1" applyBorder="1" applyAlignment="1">
      <alignment horizontal="left"/>
    </xf>
    <xf numFmtId="0" fontId="24" fillId="10" borderId="8" xfId="3" applyFill="1" applyBorder="1" applyAlignment="1">
      <alignment horizontal="center"/>
    </xf>
    <xf numFmtId="0" fontId="24" fillId="0" borderId="0" xfId="3"/>
    <xf numFmtId="167" fontId="3" fillId="0" borderId="0" xfId="1" applyNumberFormat="1" applyFont="1" applyFill="1" applyBorder="1"/>
    <xf numFmtId="4" fontId="0" fillId="0" borderId="0" xfId="0" applyNumberFormat="1" applyAlignment="1">
      <alignment horizontal="center"/>
    </xf>
    <xf numFmtId="181" fontId="0" fillId="0" borderId="0" xfId="2" applyNumberFormat="1" applyFont="1" applyAlignment="1">
      <alignment horizontal="center"/>
    </xf>
    <xf numFmtId="0" fontId="0" fillId="0" borderId="20" xfId="0" applyBorder="1" applyAlignment="1">
      <alignment horizontal="left" indent="1"/>
    </xf>
    <xf numFmtId="0" fontId="24" fillId="0" borderId="1" xfId="3" applyFill="1" applyBorder="1"/>
  </cellXfs>
  <cellStyles count="4">
    <cellStyle name="Comma" xfId="1" builtinId="3"/>
    <cellStyle name="Hyperlink" xfId="3" builtinId="8"/>
    <cellStyle name="Normal" xfId="0" builtinId="0"/>
    <cellStyle name="Percent" xfId="2" builtinId="5"/>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33</xdr:row>
      <xdr:rowOff>38100</xdr:rowOff>
    </xdr:from>
    <xdr:to>
      <xdr:col>24</xdr:col>
      <xdr:colOff>144378</xdr:colOff>
      <xdr:row>56</xdr:row>
      <xdr:rowOff>93938</xdr:rowOff>
    </xdr:to>
    <xdr:pic>
      <xdr:nvPicPr>
        <xdr:cNvPr id="2" name="Picture 1">
          <a:extLst>
            <a:ext uri="{FF2B5EF4-FFF2-40B4-BE49-F238E27FC236}">
              <a16:creationId xmlns:a16="http://schemas.microsoft.com/office/drawing/2014/main" id="{AEA74A44-DE46-4BA7-9E5E-344CC25B59B8}"/>
            </a:ext>
          </a:extLst>
        </xdr:cNvPr>
        <xdr:cNvPicPr>
          <a:picLocks noChangeAspect="1"/>
        </xdr:cNvPicPr>
      </xdr:nvPicPr>
      <xdr:blipFill>
        <a:blip xmlns:r="http://schemas.openxmlformats.org/officeDocument/2006/relationships" r:embed="rId1"/>
        <a:stretch>
          <a:fillRect/>
        </a:stretch>
      </xdr:blipFill>
      <xdr:spPr>
        <a:xfrm>
          <a:off x="0" y="6257925"/>
          <a:ext cx="17070091" cy="42277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traded.co/deals/north-carolina/mobile-home/sale/607-cedar-stree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allisonatfenton.com/" TargetMode="External"/><Relationship Id="rId2" Type="http://schemas.openxmlformats.org/officeDocument/2006/relationships/hyperlink" Target="https://www.thewalkerapartments.com/" TargetMode="External"/><Relationship Id="rId1" Type="http://schemas.openxmlformats.org/officeDocument/2006/relationships/hyperlink" Target="https://meridianeastchatham.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services.wake.gov/ptax/main/billing/statement.aspx?search=bus&amp;yrs=2&amp;prev=summ&amp;pk=27372336&amp;summpg=1&amp;pks=27381181-39629756,27381180-39629755,27381179-39629754,27372336-39840172,27372335-39840171,27848191-40170369,27949012-40222865&amp;last=&amp;first=&amp;middle=&amp;bus=Usef%20Hcg%20Fenton%20Llc&amp;nbpg=1" TargetMode="External"/><Relationship Id="rId2" Type="http://schemas.openxmlformats.org/officeDocument/2006/relationships/hyperlink" Target="https://services.wake.gov/ptax/main/billing/statement.aspx?search=bus&amp;yrs=2&amp;prev=summ&amp;pk=27357277&amp;summpg=1&amp;pks=27357277-39781610&amp;last=&amp;first=&amp;middle=&amp;bus=MERIDIAN%20EAST%20CHATHAM%20LLC&amp;nbpg=1" TargetMode="External"/><Relationship Id="rId1" Type="http://schemas.openxmlformats.org/officeDocument/2006/relationships/hyperlink" Target="https://services.wake.gov/ptax/main/billing/statement.aspx?search=bus&amp;yrs=2&amp;prev=summ&amp;pk=27404462&amp;summpg=1&amp;pks=27885082-40058150,27404462-39236076&amp;last=&amp;first=&amp;middle=&amp;bus=ACADEMY%20PARK%20CARY%20LLC&amp;nbpg=1"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BAA4-C4D0-4FF5-97AB-D44FFCF880B8}">
  <sheetPr>
    <tabColor theme="0"/>
  </sheetPr>
  <dimension ref="A1:P36"/>
  <sheetViews>
    <sheetView showGridLines="0" zoomScale="90" zoomScaleNormal="90" workbookViewId="0">
      <selection activeCell="B5" sqref="B5"/>
    </sheetView>
  </sheetViews>
  <sheetFormatPr defaultColWidth="9.140625" defaultRowHeight="14.45"/>
  <cols>
    <col min="1" max="1" width="3.7109375" customWidth="1"/>
    <col min="2" max="3" width="35.7109375" customWidth="1"/>
    <col min="4" max="5" width="3.7109375" customWidth="1"/>
  </cols>
  <sheetData>
    <row r="1" spans="1:3" s="142" customFormat="1" ht="25.9">
      <c r="A1" s="145" t="str">
        <f>TEXT(C7,"")</f>
        <v>607 Cedar St</v>
      </c>
    </row>
    <row r="2" spans="1:3" s="142" customFormat="1" ht="19.899999999999999">
      <c r="A2" s="146" t="s">
        <v>0</v>
      </c>
    </row>
    <row r="6" spans="1:3">
      <c r="B6" s="123" t="s">
        <v>0</v>
      </c>
      <c r="C6" s="163"/>
    </row>
    <row r="7" spans="1:3">
      <c r="B7" s="56" t="s">
        <v>1</v>
      </c>
      <c r="C7" s="164" t="s">
        <v>2</v>
      </c>
    </row>
    <row r="8" spans="1:3">
      <c r="B8" s="56" t="s">
        <v>3</v>
      </c>
      <c r="C8" s="164" t="s">
        <v>4</v>
      </c>
    </row>
    <row r="9" spans="1:3">
      <c r="B9" s="56" t="s">
        <v>5</v>
      </c>
      <c r="C9" s="164" t="s">
        <v>6</v>
      </c>
    </row>
    <row r="10" spans="1:3">
      <c r="B10" s="56" t="s">
        <v>7</v>
      </c>
      <c r="C10" s="164" t="s">
        <v>8</v>
      </c>
    </row>
    <row r="11" spans="1:3">
      <c r="B11" s="56" t="s">
        <v>9</v>
      </c>
      <c r="C11" s="164" t="s">
        <v>2</v>
      </c>
    </row>
    <row r="12" spans="1:3">
      <c r="B12" s="56" t="s">
        <v>10</v>
      </c>
      <c r="C12" s="164" t="s">
        <v>11</v>
      </c>
    </row>
    <row r="13" spans="1:3">
      <c r="B13" s="56" t="s">
        <v>12</v>
      </c>
      <c r="C13" s="164">
        <v>27511</v>
      </c>
    </row>
    <row r="14" spans="1:3">
      <c r="B14" s="56" t="s">
        <v>13</v>
      </c>
      <c r="C14" s="164" t="s">
        <v>14</v>
      </c>
    </row>
    <row r="15" spans="1:3">
      <c r="B15" s="56"/>
      <c r="C15" s="57"/>
    </row>
    <row r="16" spans="1:3">
      <c r="B16" s="59" t="s">
        <v>15</v>
      </c>
      <c r="C16" s="165" t="s">
        <v>16</v>
      </c>
    </row>
    <row r="18" spans="2:16" ht="15" thickBot="1"/>
    <row r="19" spans="2:16">
      <c r="B19" s="265" t="s">
        <v>17</v>
      </c>
      <c r="C19" s="266"/>
      <c r="D19" s="266"/>
      <c r="E19" s="266"/>
      <c r="F19" s="266"/>
      <c r="G19" s="266"/>
      <c r="H19" s="266"/>
      <c r="I19" s="266"/>
      <c r="J19" s="266"/>
      <c r="K19" s="266"/>
      <c r="L19" s="266"/>
      <c r="M19" s="266"/>
      <c r="N19" s="266"/>
      <c r="O19" s="266"/>
      <c r="P19" s="267"/>
    </row>
    <row r="20" spans="2:16">
      <c r="B20" s="268"/>
      <c r="P20" s="269"/>
    </row>
    <row r="21" spans="2:16">
      <c r="B21" s="270" t="s">
        <v>18</v>
      </c>
      <c r="C21" s="1"/>
      <c r="D21" s="1"/>
      <c r="E21" s="1"/>
      <c r="F21" s="1"/>
      <c r="G21" s="1"/>
      <c r="H21" s="1"/>
      <c r="I21" s="1"/>
      <c r="J21" s="1"/>
      <c r="K21" s="1"/>
      <c r="L21" s="1"/>
      <c r="P21" s="269"/>
    </row>
    <row r="22" spans="2:16">
      <c r="B22" s="271" t="s">
        <v>19</v>
      </c>
      <c r="P22" s="269"/>
    </row>
    <row r="23" spans="2:16">
      <c r="B23" s="271" t="s">
        <v>20</v>
      </c>
      <c r="P23" s="269"/>
    </row>
    <row r="24" spans="2:16">
      <c r="B24" s="271"/>
      <c r="P24" s="269"/>
    </row>
    <row r="25" spans="2:16">
      <c r="B25" s="272" t="s">
        <v>21</v>
      </c>
      <c r="P25" s="269"/>
    </row>
    <row r="26" spans="2:16">
      <c r="B26" s="273" t="s">
        <v>22</v>
      </c>
      <c r="P26" s="269"/>
    </row>
    <row r="27" spans="2:16">
      <c r="B27" s="271" t="s">
        <v>23</v>
      </c>
      <c r="P27" s="269"/>
    </row>
    <row r="28" spans="2:16">
      <c r="B28" s="274" t="s">
        <v>24</v>
      </c>
      <c r="P28" s="269"/>
    </row>
    <row r="29" spans="2:16">
      <c r="B29" s="273" t="s">
        <v>25</v>
      </c>
      <c r="P29" s="269"/>
    </row>
    <row r="30" spans="2:16">
      <c r="B30" s="271" t="s">
        <v>26</v>
      </c>
      <c r="P30" s="269"/>
    </row>
    <row r="31" spans="2:16">
      <c r="B31" s="271" t="s">
        <v>27</v>
      </c>
      <c r="P31" s="269"/>
    </row>
    <row r="32" spans="2:16">
      <c r="B32" s="275" t="s">
        <v>28</v>
      </c>
      <c r="C32" s="276"/>
      <c r="D32" s="276"/>
      <c r="E32" s="276"/>
      <c r="F32" s="276"/>
      <c r="G32" s="276"/>
      <c r="H32" s="276"/>
      <c r="I32" s="276"/>
      <c r="J32" s="276"/>
      <c r="K32" s="276"/>
      <c r="L32" s="276"/>
      <c r="M32" s="276"/>
      <c r="N32" s="276"/>
      <c r="O32" s="276"/>
      <c r="P32" s="277"/>
    </row>
    <row r="33" spans="2:16">
      <c r="B33" s="271" t="s">
        <v>29</v>
      </c>
      <c r="P33" s="269"/>
    </row>
    <row r="34" spans="2:16">
      <c r="B34" s="271" t="s">
        <v>30</v>
      </c>
      <c r="P34" s="269"/>
    </row>
    <row r="35" spans="2:16">
      <c r="B35" s="271" t="s">
        <v>31</v>
      </c>
      <c r="P35" s="269"/>
    </row>
    <row r="36" spans="2:16" ht="15" thickBot="1">
      <c r="B36" s="285" t="s">
        <v>32</v>
      </c>
      <c r="C36" s="2"/>
      <c r="D36" s="2"/>
      <c r="E36" s="2"/>
      <c r="F36" s="2"/>
      <c r="G36" s="286" t="s">
        <v>33</v>
      </c>
      <c r="H36" s="2"/>
      <c r="I36" s="2"/>
      <c r="J36" s="2"/>
      <c r="K36" s="2"/>
      <c r="L36" s="2"/>
      <c r="M36" s="2"/>
      <c r="N36" s="2"/>
      <c r="O36" s="2"/>
      <c r="P36" s="278"/>
    </row>
  </sheetData>
  <dataValidations disablePrompts="1" count="1">
    <dataValidation type="list" allowBlank="1" showInputMessage="1" showErrorMessage="1" sqref="C16" xr:uid="{4656E670-14EF-416D-B9CE-060CB2F63CD2}">
      <formula1>"On,Off"</formula1>
    </dataValidation>
  </dataValidations>
  <hyperlinks>
    <hyperlink ref="G36" r:id="rId1" location="deal-summary" xr:uid="{724D60D0-0261-4B06-ABF0-FCD00118869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EB42-6B9B-46DE-817F-80A6D9591286}">
  <sheetPr>
    <tabColor theme="0"/>
    <pageSetUpPr autoPageBreaks="0"/>
  </sheetPr>
  <dimension ref="A1:S35"/>
  <sheetViews>
    <sheetView showGridLines="0" zoomScale="90" zoomScaleNormal="90" workbookViewId="0">
      <pane ySplit="6" topLeftCell="A7" activePane="bottomLeft" state="frozen"/>
      <selection pane="bottomLeft" activeCell="B5" sqref="B5"/>
      <selection activeCell="B5" sqref="B5"/>
    </sheetView>
  </sheetViews>
  <sheetFormatPr defaultColWidth="9.140625" defaultRowHeight="14.45"/>
  <cols>
    <col min="1" max="1" width="1.7109375" customWidth="1"/>
    <col min="2" max="2" width="12.7109375" style="208" customWidth="1"/>
    <col min="3" max="8" width="12.7109375" customWidth="1"/>
    <col min="9" max="10" width="1.7109375" customWidth="1"/>
    <col min="11" max="16" width="10.7109375" customWidth="1"/>
    <col min="17" max="17" width="1.7109375" customWidth="1"/>
    <col min="18" max="18" width="15.7109375" style="208" customWidth="1"/>
    <col min="19" max="19" width="26" style="208" bestFit="1" customWidth="1"/>
  </cols>
  <sheetData>
    <row r="1" spans="1:19" s="142" customFormat="1" ht="25.9">
      <c r="A1" s="145" t="str">
        <f>TEXT(Global!$C$7,"")</f>
        <v>607 Cedar St</v>
      </c>
      <c r="B1" s="205"/>
      <c r="R1" s="205"/>
      <c r="S1" s="205"/>
    </row>
    <row r="2" spans="1:19" s="142" customFormat="1" ht="19.899999999999999">
      <c r="A2" s="146" t="s">
        <v>34</v>
      </c>
      <c r="B2" s="205"/>
      <c r="R2" s="205"/>
      <c r="S2" s="205"/>
    </row>
    <row r="4" spans="1:19">
      <c r="B4" s="232" t="s">
        <v>35</v>
      </c>
      <c r="C4" s="258"/>
      <c r="D4" s="259">
        <v>500</v>
      </c>
    </row>
    <row r="6" spans="1:19">
      <c r="B6" s="206" t="s">
        <v>36</v>
      </c>
      <c r="C6" s="156" t="s">
        <v>37</v>
      </c>
      <c r="D6" s="156" t="s">
        <v>38</v>
      </c>
      <c r="E6" s="156" t="s">
        <v>39</v>
      </c>
      <c r="F6" s="156" t="s">
        <v>40</v>
      </c>
      <c r="G6" s="156" t="s">
        <v>41</v>
      </c>
      <c r="H6" s="157" t="s">
        <v>42</v>
      </c>
    </row>
    <row r="7" spans="1:19">
      <c r="B7" s="262" t="s">
        <v>43</v>
      </c>
      <c r="C7" s="24" t="s">
        <v>43</v>
      </c>
      <c r="D7" s="260">
        <f>ROUND($D$4*E7,0)</f>
        <v>0</v>
      </c>
      <c r="E7" s="263">
        <v>0</v>
      </c>
      <c r="F7" s="32">
        <v>0</v>
      </c>
      <c r="G7" s="242">
        <v>0</v>
      </c>
      <c r="H7" s="148">
        <f>IFERROR(G7/F7,0)</f>
        <v>0</v>
      </c>
      <c r="K7" s="140" t="s">
        <v>44</v>
      </c>
      <c r="L7" s="170"/>
      <c r="M7" s="170"/>
      <c r="N7" s="170"/>
      <c r="O7" s="170"/>
      <c r="P7" s="141"/>
    </row>
    <row r="8" spans="1:19">
      <c r="B8" s="262" t="s">
        <v>45</v>
      </c>
      <c r="C8" s="24" t="s">
        <v>45</v>
      </c>
      <c r="D8" s="260">
        <f t="shared" ref="D8:D11" si="0">ROUND($D$4*E8,0)</f>
        <v>300</v>
      </c>
      <c r="E8" s="263">
        <v>0.6</v>
      </c>
      <c r="F8" s="32">
        <v>800</v>
      </c>
      <c r="G8" s="242">
        <v>2150</v>
      </c>
      <c r="H8" s="148">
        <f t="shared" ref="H8:H14" si="1">IFERROR(G8/F8,0)</f>
        <v>2.6875</v>
      </c>
      <c r="K8" s="211" t="s">
        <v>37</v>
      </c>
      <c r="L8" s="212" t="s">
        <v>38</v>
      </c>
      <c r="M8" s="212" t="s">
        <v>39</v>
      </c>
      <c r="N8" s="212" t="s">
        <v>46</v>
      </c>
      <c r="O8" s="212" t="s">
        <v>47</v>
      </c>
      <c r="P8" s="213" t="s">
        <v>48</v>
      </c>
      <c r="R8" s="218" t="s">
        <v>37</v>
      </c>
      <c r="S8" s="220" t="s">
        <v>49</v>
      </c>
    </row>
    <row r="9" spans="1:19">
      <c r="B9" s="262" t="s">
        <v>50</v>
      </c>
      <c r="C9" s="24" t="s">
        <v>50</v>
      </c>
      <c r="D9" s="260">
        <f t="shared" si="0"/>
        <v>200</v>
      </c>
      <c r="E9" s="263">
        <v>0.4</v>
      </c>
      <c r="F9" s="32">
        <v>1050</v>
      </c>
      <c r="G9" s="242">
        <v>3050</v>
      </c>
      <c r="H9" s="148">
        <f t="shared" si="1"/>
        <v>2.9047619047619047</v>
      </c>
      <c r="K9" s="56" t="s">
        <v>43</v>
      </c>
      <c r="L9" s="240"/>
      <c r="M9" s="204" t="e">
        <f>L9/$L$14</f>
        <v>#DIV/0!</v>
      </c>
      <c r="N9" s="241">
        <v>640</v>
      </c>
      <c r="O9" s="242">
        <v>1920</v>
      </c>
      <c r="P9" s="216">
        <f>IFERROR(O9/N9,"-")</f>
        <v>3</v>
      </c>
      <c r="R9" s="193" t="s">
        <v>51</v>
      </c>
      <c r="S9" s="221">
        <v>2025</v>
      </c>
    </row>
    <row r="10" spans="1:19">
      <c r="B10" s="262" t="s">
        <v>52</v>
      </c>
      <c r="C10" s="24" t="s">
        <v>52</v>
      </c>
      <c r="D10" s="260">
        <f t="shared" si="0"/>
        <v>0</v>
      </c>
      <c r="E10" s="263">
        <v>0</v>
      </c>
      <c r="F10" s="32">
        <v>0</v>
      </c>
      <c r="G10" s="242">
        <v>0</v>
      </c>
      <c r="H10" s="148">
        <f t="shared" si="1"/>
        <v>0</v>
      </c>
      <c r="K10" s="56" t="s">
        <v>53</v>
      </c>
      <c r="L10" s="240"/>
      <c r="M10" s="204" t="e">
        <f t="shared" ref="M10:M13" si="2">L10/$L$14</f>
        <v>#DIV/0!</v>
      </c>
      <c r="N10" s="241">
        <v>800</v>
      </c>
      <c r="O10" s="242">
        <v>2336</v>
      </c>
      <c r="P10" s="216">
        <f t="shared" ref="P10:P14" si="3">IFERROR(O10/N10,"-")</f>
        <v>2.92</v>
      </c>
      <c r="R10" s="193" t="s">
        <v>54</v>
      </c>
      <c r="S10" s="222">
        <v>0.60499999999999998</v>
      </c>
    </row>
    <row r="11" spans="1:19">
      <c r="B11" s="262" t="s">
        <v>55</v>
      </c>
      <c r="C11" s="24" t="s">
        <v>55</v>
      </c>
      <c r="D11" s="260">
        <f t="shared" si="0"/>
        <v>0</v>
      </c>
      <c r="E11" s="263">
        <v>0</v>
      </c>
      <c r="F11" s="32">
        <v>0</v>
      </c>
      <c r="G11" s="242">
        <v>0</v>
      </c>
      <c r="H11" s="148">
        <f t="shared" si="1"/>
        <v>0</v>
      </c>
      <c r="K11" s="56" t="s">
        <v>56</v>
      </c>
      <c r="L11" s="240"/>
      <c r="M11" s="204" t="e">
        <f t="shared" si="2"/>
        <v>#DIV/0!</v>
      </c>
      <c r="N11" s="241">
        <v>1214</v>
      </c>
      <c r="O11" s="242">
        <v>3312</v>
      </c>
      <c r="P11" s="216">
        <f t="shared" si="3"/>
        <v>2.728171334431631</v>
      </c>
      <c r="R11" s="193" t="s">
        <v>57</v>
      </c>
      <c r="S11" s="221"/>
    </row>
    <row r="12" spans="1:19" ht="15" customHeight="1">
      <c r="B12" s="262"/>
      <c r="C12" s="24"/>
      <c r="D12" s="260"/>
      <c r="E12" s="263">
        <v>0</v>
      </c>
      <c r="F12" s="32"/>
      <c r="G12" s="242"/>
      <c r="H12" s="148">
        <f t="shared" si="1"/>
        <v>0</v>
      </c>
      <c r="K12" s="56" t="s">
        <v>58</v>
      </c>
      <c r="L12" s="240"/>
      <c r="M12" s="204" t="e">
        <f t="shared" si="2"/>
        <v>#DIV/0!</v>
      </c>
      <c r="N12" s="241">
        <v>1527</v>
      </c>
      <c r="O12" s="242">
        <v>4339</v>
      </c>
      <c r="P12" s="216">
        <f t="shared" si="3"/>
        <v>2.8415193189259988</v>
      </c>
      <c r="R12" s="193" t="s">
        <v>59</v>
      </c>
      <c r="S12" s="221" t="s">
        <v>60</v>
      </c>
    </row>
    <row r="13" spans="1:19" ht="15" customHeight="1">
      <c r="B13" s="262"/>
      <c r="C13" s="24"/>
      <c r="D13" s="260"/>
      <c r="E13" s="263">
        <v>0</v>
      </c>
      <c r="F13" s="32"/>
      <c r="G13" s="242"/>
      <c r="H13" s="148">
        <f t="shared" si="1"/>
        <v>0</v>
      </c>
      <c r="K13" s="56" t="s">
        <v>61</v>
      </c>
      <c r="L13" s="240"/>
      <c r="M13" s="204" t="e">
        <f t="shared" si="2"/>
        <v>#DIV/0!</v>
      </c>
      <c r="N13" s="241"/>
      <c r="O13" s="242"/>
      <c r="P13" s="216" t="str">
        <f t="shared" si="3"/>
        <v>-</v>
      </c>
      <c r="R13" s="219" t="s">
        <v>62</v>
      </c>
      <c r="S13" s="279" t="s">
        <v>63</v>
      </c>
    </row>
    <row r="14" spans="1:19" ht="15" customHeight="1">
      <c r="B14" s="262"/>
      <c r="C14" s="24"/>
      <c r="D14" s="260"/>
      <c r="E14" s="263">
        <v>0</v>
      </c>
      <c r="F14" s="32"/>
      <c r="G14" s="242"/>
      <c r="H14" s="148">
        <f t="shared" si="1"/>
        <v>0</v>
      </c>
      <c r="K14" s="126" t="s">
        <v>64</v>
      </c>
      <c r="L14" s="214">
        <f>SUM(L9:L13)</f>
        <v>0</v>
      </c>
      <c r="M14" s="215" t="e">
        <f>SUM(M9:M13)</f>
        <v>#DIV/0!</v>
      </c>
      <c r="N14" s="127" t="e">
        <f>SUMPRODUCT(N9:N13,L9:L13)/L14</f>
        <v>#DIV/0!</v>
      </c>
      <c r="O14" s="128" t="e">
        <f>SUMPRODUCT(O9:O13,$L$9:$L$13)/$L$14</f>
        <v>#DIV/0!</v>
      </c>
      <c r="P14" s="217" t="str">
        <f t="shared" si="3"/>
        <v>-</v>
      </c>
    </row>
    <row r="15" spans="1:19" ht="15" customHeight="1">
      <c r="B15" s="207" t="s">
        <v>64</v>
      </c>
      <c r="C15" s="22"/>
      <c r="D15" s="149">
        <f>+SUM(D7:D14)</f>
        <v>500</v>
      </c>
      <c r="E15" s="150">
        <f>+SUM(E7:E14)</f>
        <v>1</v>
      </c>
      <c r="F15" s="149">
        <f>IFERROR(SUMPRODUCT(F7:F14,D7:D14)/D15,0)</f>
        <v>900</v>
      </c>
      <c r="G15" s="151">
        <f>IFERROR(SUMPRODUCT(G7:G14,E7:E14)/E15,0)</f>
        <v>2510</v>
      </c>
      <c r="H15" s="152">
        <f>IFERROR(G15/F15,0)</f>
        <v>2.7888888888888888</v>
      </c>
    </row>
    <row r="16" spans="1:19">
      <c r="K16" s="140" t="s">
        <v>65</v>
      </c>
      <c r="L16" s="170"/>
      <c r="M16" s="170"/>
      <c r="N16" s="170"/>
      <c r="O16" s="170"/>
      <c r="P16" s="141"/>
    </row>
    <row r="17" spans="2:19">
      <c r="B17" s="209" t="s">
        <v>43</v>
      </c>
      <c r="C17" s="3"/>
      <c r="D17" s="153">
        <f>SUMIF($C$7:$C$14,$B17,D$7:D$14)</f>
        <v>0</v>
      </c>
      <c r="E17" s="99">
        <f>IFERROR(D17/D$22,0)</f>
        <v>0</v>
      </c>
      <c r="F17" s="153" cm="1">
        <f t="array" ref="F17">IFERROR(SUMPRODUCT(($C$7:$C$14=$B17)*($D$7:$D$14)*($F$7:$F$14))/$D17,0)</f>
        <v>0</v>
      </c>
      <c r="G17" s="35" cm="1">
        <f t="array" ref="G17">IFERROR(SUMPRODUCT(($C$7:$C$14=$B17)*($D$7:$D$14)*($G$7:$G$14))/$D17,0)</f>
        <v>0</v>
      </c>
      <c r="H17" s="154">
        <f>IFERROR(G17/F17,0)</f>
        <v>0</v>
      </c>
      <c r="K17" s="211" t="s">
        <v>37</v>
      </c>
      <c r="L17" s="212" t="s">
        <v>38</v>
      </c>
      <c r="M17" s="212" t="s">
        <v>39</v>
      </c>
      <c r="N17" s="212" t="s">
        <v>46</v>
      </c>
      <c r="O17" s="212" t="s">
        <v>47</v>
      </c>
      <c r="P17" s="213" t="s">
        <v>48</v>
      </c>
      <c r="R17" s="218" t="s">
        <v>37</v>
      </c>
      <c r="S17" s="220" t="s">
        <v>49</v>
      </c>
    </row>
    <row r="18" spans="2:19">
      <c r="B18" s="210" t="s">
        <v>45</v>
      </c>
      <c r="D18" s="155">
        <f>SUMIF($C$7:$C$14,$B18,D$7:D$14)</f>
        <v>300</v>
      </c>
      <c r="E18" s="147">
        <f t="shared" ref="E18:E21" si="4">IFERROR(D18/D$22,0)</f>
        <v>0.6</v>
      </c>
      <c r="F18" s="155" cm="1">
        <f t="array" ref="F18">IFERROR(SUMPRODUCT(($C$7:$C$14=$B18)*($D$7:$D$14)*($F$7:$F$14))/$D18,0)</f>
        <v>800</v>
      </c>
      <c r="G18" s="36" cm="1">
        <f t="array" ref="G18">IFERROR(SUMPRODUCT(($C$7:$C$14=$B18)*($D$7:$D$14)*($G$7:$G$14))/$D18,0)</f>
        <v>2150</v>
      </c>
      <c r="H18" s="148">
        <f t="shared" ref="H18:H22" si="5">IFERROR(G18/F18,0)</f>
        <v>2.6875</v>
      </c>
      <c r="K18" s="56" t="s">
        <v>43</v>
      </c>
      <c r="L18" s="240"/>
      <c r="M18" s="204" t="e">
        <f>L18/$L$14</f>
        <v>#DIV/0!</v>
      </c>
      <c r="N18" s="241">
        <v>514</v>
      </c>
      <c r="O18" s="242">
        <v>1775</v>
      </c>
      <c r="P18" s="216">
        <f>IFERROR(O18/N18,"-")</f>
        <v>3.4533073929961091</v>
      </c>
      <c r="R18" s="193" t="s">
        <v>51</v>
      </c>
      <c r="S18" s="221">
        <v>2021</v>
      </c>
    </row>
    <row r="19" spans="2:19">
      <c r="B19" s="210" t="s">
        <v>50</v>
      </c>
      <c r="D19" s="155">
        <f>SUMIF($C$7:$C$14,$B19,D$7:D$14)</f>
        <v>200</v>
      </c>
      <c r="E19" s="147">
        <f t="shared" si="4"/>
        <v>0.4</v>
      </c>
      <c r="F19" s="155" cm="1">
        <f t="array" ref="F19">IFERROR(SUMPRODUCT(($C$7:$C$14=$B19)*($D$7:$D$14)*($F$7:$F$14))/$D19,0)</f>
        <v>1050</v>
      </c>
      <c r="G19" s="36" cm="1">
        <f t="array" ref="G19">IFERROR(SUMPRODUCT(($C$7:$C$14=$B19)*($D$7:$D$14)*($G$7:$G$14))/$D19,0)</f>
        <v>3050</v>
      </c>
      <c r="H19" s="148">
        <f t="shared" si="5"/>
        <v>2.9047619047619047</v>
      </c>
      <c r="K19" s="56" t="s">
        <v>53</v>
      </c>
      <c r="L19" s="240"/>
      <c r="M19" s="204" t="e">
        <f t="shared" ref="M19:M22" si="6">L19/$L$14</f>
        <v>#DIV/0!</v>
      </c>
      <c r="N19" s="241">
        <v>860</v>
      </c>
      <c r="O19" s="242">
        <v>2072</v>
      </c>
      <c r="P19" s="216">
        <f t="shared" ref="P19:P23" si="7">IFERROR(O19/N19,"-")</f>
        <v>2.4093023255813955</v>
      </c>
      <c r="R19" s="193" t="s">
        <v>54</v>
      </c>
      <c r="S19" s="222">
        <v>2.5999999999999999E-2</v>
      </c>
    </row>
    <row r="20" spans="2:19">
      <c r="B20" s="210" t="s">
        <v>52</v>
      </c>
      <c r="D20" s="155">
        <f>SUMIF($C$7:$C$14,$B20,D$7:D$14)</f>
        <v>0</v>
      </c>
      <c r="E20" s="147">
        <f t="shared" si="4"/>
        <v>0</v>
      </c>
      <c r="F20" s="155" cm="1">
        <f t="array" ref="F20">IFERROR(SUMPRODUCT(($C$7:$C$14=$B20)*($D$7:$D$14)*($F$7:$F$14))/$D20,0)</f>
        <v>0</v>
      </c>
      <c r="G20" s="36" cm="1">
        <f t="array" ref="G20">IFERROR(SUMPRODUCT(($C$7:$C$14=$B20)*($D$7:$D$14)*($G$7:$G$14))/$D20,0)</f>
        <v>0</v>
      </c>
      <c r="H20" s="148">
        <f t="shared" si="5"/>
        <v>0</v>
      </c>
      <c r="K20" s="56" t="s">
        <v>56</v>
      </c>
      <c r="L20" s="240"/>
      <c r="M20" s="204" t="e">
        <f t="shared" si="6"/>
        <v>#DIV/0!</v>
      </c>
      <c r="N20" s="241">
        <v>1322</v>
      </c>
      <c r="O20" s="242">
        <v>3073</v>
      </c>
      <c r="P20" s="216">
        <f t="shared" si="7"/>
        <v>2.3245083207261725</v>
      </c>
      <c r="R20" s="193" t="s">
        <v>57</v>
      </c>
      <c r="S20" s="221"/>
    </row>
    <row r="21" spans="2:19">
      <c r="B21" s="210" t="s">
        <v>55</v>
      </c>
      <c r="D21" s="155">
        <f>SUMIF($C$7:$C$14,$B21,D$7:D$14)</f>
        <v>0</v>
      </c>
      <c r="E21" s="147">
        <f t="shared" si="4"/>
        <v>0</v>
      </c>
      <c r="F21" s="155" cm="1">
        <f t="array" ref="F21">IFERROR(SUMPRODUCT(($C$7:$C$14=$B21)*($D$7:$D$14)*($F$7:$F$14))/$D21,0)</f>
        <v>0</v>
      </c>
      <c r="G21" s="36" cm="1">
        <f t="array" ref="G21">IFERROR(SUMPRODUCT(($C$7:$C$14=$B21)*($D$7:$D$14)*($G$7:$G$14))/$D21,0)</f>
        <v>0</v>
      </c>
      <c r="H21" s="148">
        <f t="shared" si="5"/>
        <v>0</v>
      </c>
      <c r="K21" s="56" t="s">
        <v>58</v>
      </c>
      <c r="L21" s="240"/>
      <c r="M21" s="204" t="e">
        <f t="shared" si="6"/>
        <v>#DIV/0!</v>
      </c>
      <c r="N21" s="241"/>
      <c r="O21" s="242"/>
      <c r="P21" s="216" t="str">
        <f t="shared" si="7"/>
        <v>-</v>
      </c>
      <c r="R21" s="193" t="s">
        <v>59</v>
      </c>
      <c r="S21" s="221" t="s">
        <v>66</v>
      </c>
    </row>
    <row r="22" spans="2:19">
      <c r="B22" s="207" t="s">
        <v>64</v>
      </c>
      <c r="C22" s="22"/>
      <c r="D22" s="149">
        <f>SUM(D17:D21)</f>
        <v>500</v>
      </c>
      <c r="E22" s="150">
        <f>SUM(E17:E21)</f>
        <v>1</v>
      </c>
      <c r="F22" s="149">
        <f>IFERROR(SUMPRODUCT(F17:F21,$D17:$D21)/$D22,0)</f>
        <v>900</v>
      </c>
      <c r="G22" s="151">
        <f>IFERROR(SUMPRODUCT(G17:G21,$D17:$D21)/$D22,0)</f>
        <v>2510</v>
      </c>
      <c r="H22" s="152">
        <f t="shared" si="5"/>
        <v>2.7888888888888888</v>
      </c>
      <c r="K22" s="56" t="s">
        <v>61</v>
      </c>
      <c r="L22" s="240"/>
      <c r="M22" s="204" t="e">
        <f t="shared" si="6"/>
        <v>#DIV/0!</v>
      </c>
      <c r="N22" s="241"/>
      <c r="O22" s="242"/>
      <c r="P22" s="216" t="str">
        <f t="shared" si="7"/>
        <v>-</v>
      </c>
      <c r="R22" s="219" t="s">
        <v>62</v>
      </c>
      <c r="S22" s="279" t="s">
        <v>63</v>
      </c>
    </row>
    <row r="23" spans="2:19">
      <c r="K23" s="126" t="s">
        <v>64</v>
      </c>
      <c r="L23" s="214">
        <f>SUM(L18:L22)</f>
        <v>0</v>
      </c>
      <c r="M23" s="215" t="e">
        <f>SUM(M18:M22)</f>
        <v>#DIV/0!</v>
      </c>
      <c r="N23" s="127" t="e">
        <f>SUMPRODUCT(N18:N22,$L$18:$L$22)/$L$23</f>
        <v>#DIV/0!</v>
      </c>
      <c r="O23" s="128" t="e">
        <f>SUMPRODUCT(O18:O22,$L$18:$L$22)/$L$23</f>
        <v>#DIV/0!</v>
      </c>
      <c r="P23" s="217" t="str">
        <f t="shared" si="7"/>
        <v>-</v>
      </c>
    </row>
    <row r="24" spans="2:19">
      <c r="C24" s="208"/>
      <c r="D24" s="208"/>
      <c r="E24" s="208"/>
      <c r="F24" s="208"/>
    </row>
    <row r="25" spans="2:19">
      <c r="C25" s="208"/>
      <c r="D25" s="208"/>
      <c r="E25" s="208"/>
      <c r="F25" s="208"/>
      <c r="K25" s="140" t="s">
        <v>67</v>
      </c>
      <c r="L25" s="170"/>
      <c r="M25" s="170"/>
      <c r="N25" s="170"/>
      <c r="O25" s="170"/>
      <c r="P25" s="141"/>
    </row>
    <row r="26" spans="2:19">
      <c r="C26" s="208"/>
      <c r="D26" s="208"/>
      <c r="E26" s="208"/>
      <c r="F26" s="208"/>
      <c r="K26" s="211" t="s">
        <v>37</v>
      </c>
      <c r="L26" s="212" t="s">
        <v>38</v>
      </c>
      <c r="M26" s="212" t="s">
        <v>39</v>
      </c>
      <c r="N26" s="212" t="s">
        <v>46</v>
      </c>
      <c r="O26" s="212" t="s">
        <v>47</v>
      </c>
      <c r="P26" s="213" t="s">
        <v>48</v>
      </c>
      <c r="R26" s="218" t="s">
        <v>37</v>
      </c>
      <c r="S26" s="220" t="s">
        <v>49</v>
      </c>
    </row>
    <row r="27" spans="2:19">
      <c r="C27" s="208"/>
      <c r="D27" s="208"/>
      <c r="E27" s="208"/>
      <c r="F27" s="208"/>
      <c r="K27" s="56" t="s">
        <v>43</v>
      </c>
      <c r="L27" s="240"/>
      <c r="M27" s="204" t="e">
        <f>L27/$L$14</f>
        <v>#DIV/0!</v>
      </c>
      <c r="N27" s="241">
        <v>588</v>
      </c>
      <c r="O27" s="242">
        <v>1549</v>
      </c>
      <c r="P27" s="216">
        <f>IFERROR(O27/N27,"-")</f>
        <v>2.6343537414965987</v>
      </c>
      <c r="R27" s="193" t="s">
        <v>51</v>
      </c>
      <c r="S27" s="221">
        <v>2022</v>
      </c>
    </row>
    <row r="28" spans="2:19">
      <c r="C28" s="208"/>
      <c r="D28" s="208"/>
      <c r="E28" s="208"/>
      <c r="F28" s="208"/>
      <c r="K28" s="56" t="s">
        <v>53</v>
      </c>
      <c r="L28" s="240"/>
      <c r="M28" s="204" t="e">
        <f t="shared" ref="M28:M31" si="8">L28/$L$14</f>
        <v>#DIV/0!</v>
      </c>
      <c r="N28" s="241">
        <v>772</v>
      </c>
      <c r="O28" s="242">
        <v>1897</v>
      </c>
      <c r="P28" s="216">
        <f t="shared" ref="P28:P32" si="9">IFERROR(O28/N28,"-")</f>
        <v>2.4572538860103625</v>
      </c>
      <c r="R28" s="193" t="s">
        <v>54</v>
      </c>
      <c r="S28" s="222">
        <v>5.8999999999999997E-2</v>
      </c>
    </row>
    <row r="29" spans="2:19">
      <c r="C29" s="208"/>
      <c r="D29" s="208"/>
      <c r="E29" s="208"/>
      <c r="F29" s="208"/>
      <c r="K29" s="56" t="s">
        <v>56</v>
      </c>
      <c r="L29" s="240"/>
      <c r="M29" s="204" t="e">
        <f t="shared" si="8"/>
        <v>#DIV/0!</v>
      </c>
      <c r="N29" s="241">
        <v>1086</v>
      </c>
      <c r="O29" s="242">
        <v>2614</v>
      </c>
      <c r="P29" s="216">
        <f t="shared" si="9"/>
        <v>2.4069981583793738</v>
      </c>
      <c r="R29" s="193" t="s">
        <v>57</v>
      </c>
      <c r="S29" s="221"/>
    </row>
    <row r="30" spans="2:19">
      <c r="C30" s="208"/>
      <c r="D30" s="208"/>
      <c r="E30" s="208"/>
      <c r="F30" s="208"/>
      <c r="K30" s="56" t="s">
        <v>58</v>
      </c>
      <c r="L30" s="240"/>
      <c r="M30" s="204" t="e">
        <f t="shared" si="8"/>
        <v>#DIV/0!</v>
      </c>
      <c r="N30" s="241"/>
      <c r="O30" s="242"/>
      <c r="P30" s="216" t="str">
        <f t="shared" si="9"/>
        <v>-</v>
      </c>
      <c r="R30" s="193" t="s">
        <v>59</v>
      </c>
      <c r="S30" s="221" t="s">
        <v>68</v>
      </c>
    </row>
    <row r="31" spans="2:19">
      <c r="C31" s="208"/>
      <c r="D31" s="208"/>
      <c r="E31" s="208"/>
      <c r="F31" s="208"/>
      <c r="K31" s="56" t="s">
        <v>61</v>
      </c>
      <c r="L31" s="240"/>
      <c r="M31" s="204" t="e">
        <f t="shared" si="8"/>
        <v>#DIV/0!</v>
      </c>
      <c r="N31" s="241"/>
      <c r="O31" s="242"/>
      <c r="P31" s="216" t="str">
        <f t="shared" si="9"/>
        <v>-</v>
      </c>
      <c r="R31" s="219" t="s">
        <v>62</v>
      </c>
      <c r="S31" s="279" t="s">
        <v>63</v>
      </c>
    </row>
    <row r="32" spans="2:19">
      <c r="C32" s="208"/>
      <c r="D32" s="208"/>
      <c r="E32" s="208"/>
      <c r="F32" s="208"/>
      <c r="K32" s="126" t="s">
        <v>64</v>
      </c>
      <c r="L32" s="214">
        <f>SUM(L27:L31)</f>
        <v>0</v>
      </c>
      <c r="M32" s="215" t="e">
        <f>SUM(M27:M31)</f>
        <v>#DIV/0!</v>
      </c>
      <c r="N32" s="127" t="e">
        <f>SUMPRODUCT(N27:N31,$L$27:$L$31)/$L$32</f>
        <v>#DIV/0!</v>
      </c>
      <c r="O32" s="128" t="e">
        <f>SUMPRODUCT(O27:O31,$L$27:$L$31)/$L$32</f>
        <v>#DIV/0!</v>
      </c>
      <c r="P32" s="217" t="str">
        <f t="shared" si="9"/>
        <v>-</v>
      </c>
    </row>
    <row r="33" spans="3:6">
      <c r="C33" s="208"/>
      <c r="D33" s="208"/>
      <c r="E33" s="208"/>
      <c r="F33" s="208"/>
    </row>
    <row r="34" spans="3:6">
      <c r="C34" s="208"/>
      <c r="D34" s="208"/>
      <c r="E34" s="208"/>
      <c r="F34" s="208"/>
    </row>
    <row r="35" spans="3:6">
      <c r="C35" s="208"/>
      <c r="D35" s="208"/>
      <c r="E35" s="208"/>
      <c r="F35" s="208"/>
    </row>
  </sheetData>
  <dataValidations count="1">
    <dataValidation type="list" allowBlank="1" showInputMessage="1" showErrorMessage="1" sqref="C7:C14" xr:uid="{508B2A46-B9EE-4273-B6FC-FA6B422D82CC}">
      <formula1>$B$17:$B$21</formula1>
    </dataValidation>
  </dataValidations>
  <hyperlinks>
    <hyperlink ref="S13" r:id="rId1" xr:uid="{EBE2179D-53D8-4E9A-BB28-C21B6371B299}"/>
    <hyperlink ref="S22" r:id="rId2" xr:uid="{8487822B-A385-49C4-8BC9-4902812D0C46}"/>
    <hyperlink ref="S31" r:id="rId3" xr:uid="{D636158F-66C4-4A77-8816-2150E6F1F91F}"/>
  </hyperlinks>
  <pageMargins left="0.7" right="0.7" top="0.75" bottom="0.7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2BC2-B4E2-4313-9C10-C4FBA6ABDF8C}">
  <sheetPr>
    <tabColor theme="0"/>
  </sheetPr>
  <dimension ref="A1:V89"/>
  <sheetViews>
    <sheetView showGridLines="0" zoomScale="90" zoomScaleNormal="90" workbookViewId="0">
      <pane ySplit="6" topLeftCell="A58" activePane="bottomLeft" state="frozen"/>
      <selection pane="bottomLeft" activeCell="F67" sqref="F67"/>
      <selection activeCell="B5" sqref="B5"/>
    </sheetView>
  </sheetViews>
  <sheetFormatPr defaultColWidth="9.140625" defaultRowHeight="14.45" outlineLevelRow="1"/>
  <cols>
    <col min="1" max="1" width="3.7109375" customWidth="1"/>
    <col min="2" max="2" width="35.7109375" customWidth="1"/>
    <col min="3" max="7" width="14.7109375" customWidth="1"/>
    <col min="8" max="8" width="3.7109375" customWidth="1"/>
    <col min="13" max="13" width="35.7109375" customWidth="1"/>
    <col min="14" max="17" width="14.7109375" customWidth="1"/>
    <col min="18" max="18" width="4.42578125" customWidth="1"/>
    <col min="19" max="19" width="3.7109375" customWidth="1"/>
    <col min="21" max="21" width="15.140625" bestFit="1" customWidth="1"/>
    <col min="22" max="22" width="11.42578125" bestFit="1" customWidth="1"/>
    <col min="24" max="24" width="3.28515625" customWidth="1"/>
  </cols>
  <sheetData>
    <row r="1" spans="1:17" s="142" customFormat="1" ht="25.9">
      <c r="A1" s="145" t="str">
        <f>TEXT(Global!$C$7,"")</f>
        <v>607 Cedar St</v>
      </c>
    </row>
    <row r="2" spans="1:17" s="142" customFormat="1" ht="19.899999999999999">
      <c r="A2" s="146" t="s">
        <v>69</v>
      </c>
    </row>
    <row r="6" spans="1:17">
      <c r="B6" s="121" t="s">
        <v>70</v>
      </c>
      <c r="C6" s="122" t="s">
        <v>71</v>
      </c>
      <c r="D6" s="122" t="s">
        <v>72</v>
      </c>
      <c r="E6" s="122" t="s">
        <v>73</v>
      </c>
      <c r="F6" s="122" t="s">
        <v>74</v>
      </c>
      <c r="G6" s="122" t="s">
        <v>75</v>
      </c>
    </row>
    <row r="7" spans="1:17">
      <c r="B7" s="12" t="s">
        <v>76</v>
      </c>
      <c r="C7" s="12"/>
      <c r="D7" s="12"/>
      <c r="E7" s="12"/>
      <c r="F7" s="12"/>
      <c r="G7" s="12"/>
      <c r="M7" s="158" t="s">
        <v>77</v>
      </c>
      <c r="N7" s="122" t="s">
        <v>72</v>
      </c>
      <c r="O7" s="122" t="s">
        <v>73</v>
      </c>
      <c r="P7" s="122" t="s">
        <v>74</v>
      </c>
      <c r="Q7" s="122" t="s">
        <v>75</v>
      </c>
    </row>
    <row r="8" spans="1:17">
      <c r="B8" t="s">
        <v>78</v>
      </c>
      <c r="C8" s="24" t="s">
        <v>76</v>
      </c>
      <c r="D8" s="52">
        <f>E8*'Unit Mix_vm'!$D$15</f>
        <v>26700000</v>
      </c>
      <c r="E8" s="250">
        <v>53400</v>
      </c>
      <c r="F8" s="37">
        <f>IFERROR(E8/'Unit Mix_vm'!$F$15,0)</f>
        <v>59.333333333333336</v>
      </c>
      <c r="G8" s="25">
        <f ca="1">+IFERROR(D8/D$86,0)</f>
        <v>0.18746403734601533</v>
      </c>
      <c r="M8" s="28" t="s">
        <v>79</v>
      </c>
    </row>
    <row r="9" spans="1:17">
      <c r="D9" s="14"/>
      <c r="E9" s="14"/>
      <c r="F9" s="14"/>
      <c r="M9" t="s">
        <v>80</v>
      </c>
      <c r="N9" s="52">
        <f ca="1">N41</f>
        <v>56970927.070588276</v>
      </c>
      <c r="O9" s="37">
        <f ca="1">IFERROR(N9/'Unit Mix_vm'!$D$15,0)</f>
        <v>113941.85414117655</v>
      </c>
      <c r="P9" s="37">
        <f ca="1">IFERROR(O9/'Unit Mix_vm'!$F$15,0)</f>
        <v>126.60206015686283</v>
      </c>
      <c r="Q9" s="25">
        <f ca="1">IFERROR(N9/N$12,0)</f>
        <v>0.40000000000041058</v>
      </c>
    </row>
    <row r="10" spans="1:17">
      <c r="B10" s="12" t="s">
        <v>81</v>
      </c>
      <c r="C10" s="12"/>
      <c r="D10" s="15"/>
      <c r="E10" s="15"/>
      <c r="F10" s="15"/>
      <c r="G10" s="12"/>
      <c r="M10" t="s">
        <v>82</v>
      </c>
      <c r="N10" s="52">
        <f ca="1">+N36</f>
        <v>0</v>
      </c>
      <c r="O10" s="37">
        <f ca="1">IFERROR(N10/'Unit Mix_vm'!$D$15,0)</f>
        <v>0</v>
      </c>
      <c r="P10" s="37">
        <f ca="1">IFERROR(O10/'Unit Mix_vm'!$F$15,0)</f>
        <v>0</v>
      </c>
      <c r="Q10" s="25">
        <f t="shared" ref="Q10:Q11" ca="1" si="0">IFERROR(N10/N$12,0)</f>
        <v>0</v>
      </c>
    </row>
    <row r="11" spans="1:17">
      <c r="B11" t="s">
        <v>83</v>
      </c>
      <c r="C11" s="24" t="s">
        <v>84</v>
      </c>
      <c r="D11" s="52">
        <f ca="1">+IF(Global!$C$16="On",0,I11*$N$11)</f>
        <v>427281.95302897342</v>
      </c>
      <c r="E11" s="37">
        <f ca="1">IFERROR(D11/'Unit Mix_vm'!$D$15,0)</f>
        <v>854.56390605794684</v>
      </c>
      <c r="F11" s="37">
        <f ca="1">IFERROR(E11/'Unit Mix_vm'!$F$15,0)</f>
        <v>0.94951545117549652</v>
      </c>
      <c r="G11" s="25">
        <f t="shared" ref="G11:G23" ca="1" si="1">+IFERROR(D11/D$86,0)</f>
        <v>2.9999999999963237E-3</v>
      </c>
      <c r="I11" s="21">
        <v>5.0000000000000001E-3</v>
      </c>
      <c r="J11" s="20" t="s">
        <v>85</v>
      </c>
      <c r="M11" t="s">
        <v>86</v>
      </c>
      <c r="N11" s="52">
        <f ca="1">+N23</f>
        <v>85456390.605882391</v>
      </c>
      <c r="O11" s="37">
        <f ca="1">IFERROR(N11/'Unit Mix_vm'!$D$15,0)</f>
        <v>170912.78121176478</v>
      </c>
      <c r="P11" s="37">
        <f ca="1">IFERROR(O11/'Unit Mix_vm'!$F$15,0)</f>
        <v>189.9030902352942</v>
      </c>
      <c r="Q11" s="25">
        <f t="shared" ca="1" si="0"/>
        <v>0.60000000000061571</v>
      </c>
    </row>
    <row r="12" spans="1:17">
      <c r="B12" t="s">
        <v>87</v>
      </c>
      <c r="C12" s="24" t="s">
        <v>84</v>
      </c>
      <c r="D12" s="52">
        <f ca="1">+IF(Global!$C$16="On",0,I12*$N$11)</f>
        <v>640922.92954411788</v>
      </c>
      <c r="E12" s="37">
        <f ca="1">IFERROR(D12/'Unit Mix_vm'!$D$15,0)</f>
        <v>1281.8458590882358</v>
      </c>
      <c r="F12" s="37">
        <f ca="1">IFERROR(E12/'Unit Mix_vm'!$F$15,0)</f>
        <v>1.4242731767647063</v>
      </c>
      <c r="G12" s="25">
        <f t="shared" ca="1" si="1"/>
        <v>4.4999999999991037E-3</v>
      </c>
      <c r="I12" s="21">
        <v>7.4999999999999997E-3</v>
      </c>
      <c r="J12" s="20" t="s">
        <v>85</v>
      </c>
      <c r="M12" s="3" t="s">
        <v>88</v>
      </c>
      <c r="N12" s="13">
        <f ca="1">SUM(N9:N11)</f>
        <v>142427317.67647067</v>
      </c>
      <c r="O12" s="13">
        <f ca="1">SUM(O9:O11)</f>
        <v>284854.63535294135</v>
      </c>
      <c r="P12" s="29">
        <f ca="1">SUM(P9:P11)</f>
        <v>316.50515039215702</v>
      </c>
      <c r="Q12" s="26">
        <f ca="1">SUM(Q9:Q11)</f>
        <v>1.0000000000010263</v>
      </c>
    </row>
    <row r="13" spans="1:17">
      <c r="B13" t="s">
        <v>89</v>
      </c>
      <c r="C13" s="24" t="s">
        <v>84</v>
      </c>
      <c r="D13" s="16">
        <v>0</v>
      </c>
      <c r="E13" s="37">
        <f>IFERROR(D13/'Unit Mix_vm'!$D$15,0)</f>
        <v>0</v>
      </c>
      <c r="F13" s="37">
        <f>IFERROR(E13/'Unit Mix_vm'!$F$15,0)</f>
        <v>0</v>
      </c>
      <c r="G13" s="25">
        <f t="shared" ca="1" si="1"/>
        <v>0</v>
      </c>
    </row>
    <row r="14" spans="1:17">
      <c r="B14" t="s">
        <v>90</v>
      </c>
      <c r="C14" s="24" t="s">
        <v>84</v>
      </c>
      <c r="D14" s="52">
        <f ca="1">+IF(Global!$C$16="On",0,I14*$N$10)</f>
        <v>0</v>
      </c>
      <c r="E14" s="37">
        <f ca="1">IFERROR(D14/'Unit Mix_vm'!$D$15,0)</f>
        <v>0</v>
      </c>
      <c r="F14" s="37">
        <f ca="1">IFERROR(E14/'Unit Mix_vm'!$F$15,0)</f>
        <v>0</v>
      </c>
      <c r="G14" s="25">
        <f t="shared" ca="1" si="1"/>
        <v>0</v>
      </c>
      <c r="I14" s="21">
        <v>0.01</v>
      </c>
      <c r="J14" s="20" t="s">
        <v>91</v>
      </c>
      <c r="M14" s="28" t="s">
        <v>92</v>
      </c>
    </row>
    <row r="15" spans="1:17">
      <c r="B15" t="s">
        <v>93</v>
      </c>
      <c r="C15" s="24" t="s">
        <v>84</v>
      </c>
      <c r="D15" s="52">
        <f ca="1">+IF(Global!$C$16="On",0,I15*$N$10)</f>
        <v>0</v>
      </c>
      <c r="E15" s="37">
        <f ca="1">IFERROR(D15/'Unit Mix_vm'!$D$15,0)</f>
        <v>0</v>
      </c>
      <c r="F15" s="37">
        <f ca="1">IFERROR(E15/'Unit Mix_vm'!$F$15,0)</f>
        <v>0</v>
      </c>
      <c r="G15" s="25">
        <f t="shared" ca="1" si="1"/>
        <v>0</v>
      </c>
      <c r="I15" s="21">
        <v>0.01</v>
      </c>
      <c r="J15" s="20" t="s">
        <v>91</v>
      </c>
      <c r="M15" t="s">
        <v>76</v>
      </c>
      <c r="N15" s="14">
        <f>+SUMIF($C$8:$C$86,$M15,$D$8:$D$86)</f>
        <v>26700000</v>
      </c>
      <c r="O15" s="37">
        <f>IFERROR(N15/'Unit Mix_vm'!$D$15,0)</f>
        <v>53400</v>
      </c>
      <c r="P15" s="37">
        <f>IFERROR(O15/'Unit Mix_vm'!$F$15,0)</f>
        <v>59.333333333333336</v>
      </c>
      <c r="Q15" s="25">
        <f ca="1">IFERROR(N15/N$18,0)</f>
        <v>0.18746403734603156</v>
      </c>
    </row>
    <row r="16" spans="1:17">
      <c r="B16" t="s">
        <v>94</v>
      </c>
      <c r="C16" s="24" t="s">
        <v>84</v>
      </c>
      <c r="D16" s="16">
        <v>0</v>
      </c>
      <c r="E16" s="37">
        <f>IFERROR(D16/'Unit Mix_vm'!$D$15,0)</f>
        <v>0</v>
      </c>
      <c r="F16" s="37">
        <f>IFERROR(E16/'Unit Mix_vm'!$F$15,0)</f>
        <v>0</v>
      </c>
      <c r="G16" s="25">
        <f t="shared" ca="1" si="1"/>
        <v>0</v>
      </c>
      <c r="M16" t="s">
        <v>95</v>
      </c>
      <c r="N16" s="14">
        <f>+SUMIF($C$8:$C$86,$M16,$D$8:$D$86)</f>
        <v>90000000</v>
      </c>
      <c r="O16" s="37">
        <f>IFERROR(N16/'Unit Mix_vm'!$D$15,0)</f>
        <v>180000</v>
      </c>
      <c r="P16" s="37">
        <f>IFERROR(O16/'Unit Mix_vm'!$F$15,0)</f>
        <v>200</v>
      </c>
      <c r="Q16" s="25">
        <f t="shared" ref="Q16:Q17" ca="1" si="2">IFERROR(N16/N$18,0)</f>
        <v>0.63190124948100534</v>
      </c>
    </row>
    <row r="17" spans="2:17">
      <c r="B17" t="s">
        <v>96</v>
      </c>
      <c r="C17" s="24" t="s">
        <v>84</v>
      </c>
      <c r="D17" s="52">
        <f ca="1">+IF(Global!$C$16="On",0,I17*$N$44)</f>
        <v>0</v>
      </c>
      <c r="E17" s="37">
        <f ca="1">IFERROR(D17/'Unit Mix_vm'!$D$15,0)</f>
        <v>0</v>
      </c>
      <c r="F17" s="37">
        <f ca="1">IFERROR(E17/'Unit Mix_vm'!$F$15,0)</f>
        <v>0</v>
      </c>
      <c r="G17" s="25">
        <f t="shared" ca="1" si="1"/>
        <v>0</v>
      </c>
      <c r="I17" s="21">
        <v>0</v>
      </c>
      <c r="J17" s="20" t="s">
        <v>97</v>
      </c>
      <c r="M17" t="s">
        <v>84</v>
      </c>
      <c r="N17" s="14">
        <f ca="1">+SUMIF($C$8:$C$86,$M17,$D$8:$D$86)</f>
        <v>25727317.676501963</v>
      </c>
      <c r="O17" s="37">
        <f ca="1">IFERROR(N17/'Unit Mix_vm'!$D$15,0)</f>
        <v>51454.635353003927</v>
      </c>
      <c r="P17" s="37">
        <f ca="1">IFERROR(O17/'Unit Mix_vm'!$F$15,0)</f>
        <v>57.171817058893254</v>
      </c>
      <c r="Q17" s="25">
        <f t="shared" ca="1" si="2"/>
        <v>0.1806347131730705</v>
      </c>
    </row>
    <row r="18" spans="2:17">
      <c r="B18" t="s">
        <v>98</v>
      </c>
      <c r="C18" s="24" t="s">
        <v>84</v>
      </c>
      <c r="D18" s="52">
        <f ca="1">+IF(Global!$C$16="On",0,I18*$N$44)</f>
        <v>0</v>
      </c>
      <c r="E18" s="37">
        <f ca="1">IFERROR(D18/'Unit Mix_vm'!$D$15,0)</f>
        <v>0</v>
      </c>
      <c r="F18" s="37">
        <f ca="1">IFERROR(E18/'Unit Mix_vm'!$F$15,0)</f>
        <v>0</v>
      </c>
      <c r="G18" s="25">
        <f t="shared" ca="1" si="1"/>
        <v>0</v>
      </c>
      <c r="I18" s="21">
        <v>0</v>
      </c>
      <c r="J18" s="20" t="s">
        <v>97</v>
      </c>
      <c r="M18" s="3" t="s">
        <v>99</v>
      </c>
      <c r="N18" s="13">
        <f ca="1">SUM(N15:N17)</f>
        <v>142427317.67650196</v>
      </c>
      <c r="O18" s="29">
        <f ca="1">SUM(O15:O17)</f>
        <v>284854.63535300392</v>
      </c>
      <c r="P18" s="29">
        <f ca="1">SUM(P15:P17)</f>
        <v>316.5051503922266</v>
      </c>
      <c r="Q18" s="26">
        <f ca="1">SUM(Q15:Q17)</f>
        <v>1.0000000000001075</v>
      </c>
    </row>
    <row r="19" spans="2:17">
      <c r="B19" t="s">
        <v>100</v>
      </c>
      <c r="C19" s="24" t="s">
        <v>84</v>
      </c>
      <c r="D19" s="16">
        <v>0</v>
      </c>
      <c r="E19" s="37">
        <f>IFERROR(D19/'Unit Mix_vm'!$D$15,0)</f>
        <v>0</v>
      </c>
      <c r="F19" s="37">
        <f>IFERROR(E19/'Unit Mix_vm'!$F$15,0)</f>
        <v>0</v>
      </c>
      <c r="G19" s="25">
        <f t="shared" ca="1" si="1"/>
        <v>0</v>
      </c>
    </row>
    <row r="20" spans="2:17">
      <c r="B20" t="s">
        <v>101</v>
      </c>
      <c r="C20" s="24" t="s">
        <v>84</v>
      </c>
      <c r="D20" s="76">
        <v>300000</v>
      </c>
      <c r="E20" s="52">
        <f>IFERROR(D20/'Unit Mix_vm'!$D$15,0)</f>
        <v>600</v>
      </c>
      <c r="F20" s="37">
        <f>IFERROR(E20/'Unit Mix_vm'!$F$15,0)</f>
        <v>0.66666666666666663</v>
      </c>
      <c r="G20" s="25">
        <f t="shared" ca="1" si="1"/>
        <v>2.1063374982698353E-3</v>
      </c>
      <c r="M20" s="1"/>
    </row>
    <row r="21" spans="2:17">
      <c r="B21" t="s">
        <v>102</v>
      </c>
      <c r="C21" s="24" t="s">
        <v>84</v>
      </c>
      <c r="D21" s="76">
        <v>300000</v>
      </c>
      <c r="E21" s="52">
        <f>IFERROR(D21/'Unit Mix_vm'!$D$15,0)</f>
        <v>600</v>
      </c>
      <c r="F21" s="37">
        <f>IFERROR(E21/'Unit Mix_vm'!$F$15,0)</f>
        <v>0.66666666666666663</v>
      </c>
      <c r="G21" s="25">
        <f t="shared" ca="1" si="1"/>
        <v>2.1063374982698353E-3</v>
      </c>
      <c r="M21" s="158" t="s">
        <v>103</v>
      </c>
      <c r="N21" s="122"/>
      <c r="O21" s="122"/>
      <c r="P21" s="122"/>
      <c r="Q21" s="122"/>
    </row>
    <row r="22" spans="2:17">
      <c r="B22" t="s">
        <v>104</v>
      </c>
      <c r="C22" s="24" t="s">
        <v>84</v>
      </c>
      <c r="D22" s="52">
        <f>E22*'Unit Mix_vm'!$D$15</f>
        <v>3000000</v>
      </c>
      <c r="E22" s="76">
        <v>6000</v>
      </c>
      <c r="F22" s="37">
        <f>IFERROR(E22/'Unit Mix_vm'!$F$15,0)</f>
        <v>6.666666666666667</v>
      </c>
      <c r="G22" s="25">
        <f t="shared" ca="1" si="1"/>
        <v>2.1063374982698353E-2</v>
      </c>
      <c r="M22" s="55" t="s">
        <v>86</v>
      </c>
    </row>
    <row r="23" spans="2:17">
      <c r="B23" t="s">
        <v>105</v>
      </c>
      <c r="C23" s="24" t="s">
        <v>84</v>
      </c>
      <c r="D23" s="76">
        <v>0</v>
      </c>
      <c r="E23" s="52">
        <f>IFERROR(D23/'Unit Mix_vm'!$D$15,0)</f>
        <v>0</v>
      </c>
      <c r="F23" s="37">
        <f>IFERROR(E23/'Unit Mix_vm'!$F$15,0)</f>
        <v>0</v>
      </c>
      <c r="G23" s="25">
        <f t="shared" ca="1" si="1"/>
        <v>0</v>
      </c>
      <c r="M23" t="s">
        <v>86</v>
      </c>
      <c r="N23" s="36">
        <f ca="1">D86*N24</f>
        <v>85456390.605899408</v>
      </c>
    </row>
    <row r="24" spans="2:17">
      <c r="B24" s="3" t="s">
        <v>106</v>
      </c>
      <c r="C24" s="3"/>
      <c r="D24" s="13">
        <f ca="1">+SUM(D11:D23)</f>
        <v>4668204.8825730914</v>
      </c>
      <c r="E24" s="13">
        <f ca="1">SUM(E11:E23)</f>
        <v>9336.4097651461816</v>
      </c>
      <c r="F24" s="13">
        <f ca="1">SUM(F11:F23)</f>
        <v>10.373788627940202</v>
      </c>
      <c r="G24" s="26">
        <f ca="1">SUM(G11:G23)</f>
        <v>3.2776049979233446E-2</v>
      </c>
      <c r="M24" t="s">
        <v>107</v>
      </c>
      <c r="N24" s="44">
        <v>0.6</v>
      </c>
    </row>
    <row r="25" spans="2:17">
      <c r="D25" s="14"/>
      <c r="E25" s="14"/>
      <c r="F25" s="14"/>
      <c r="M25" t="s">
        <v>108</v>
      </c>
      <c r="N25" s="49">
        <f ca="1">IFERROR('Pro-Forma_vm'!$C$39/Budget_vm!N23,0)</f>
        <v>0.12927574429099922</v>
      </c>
      <c r="O25" s="53"/>
    </row>
    <row r="26" spans="2:17">
      <c r="B26" s="12" t="s">
        <v>109</v>
      </c>
      <c r="C26" s="12"/>
      <c r="D26" s="15"/>
      <c r="E26" s="15"/>
      <c r="F26" s="15"/>
      <c r="G26" s="12"/>
      <c r="O26" s="54"/>
    </row>
    <row r="27" spans="2:17">
      <c r="B27" t="s">
        <v>110</v>
      </c>
      <c r="C27" s="24" t="s">
        <v>84</v>
      </c>
      <c r="D27" s="52">
        <f ca="1">I27*(D86-D8)</f>
        <v>3471819.5302949701</v>
      </c>
      <c r="E27" s="37">
        <f ca="1">IFERROR(D27/'Unit Mix_vm'!$D$15,0)</f>
        <v>6943.6390605899405</v>
      </c>
      <c r="F27" s="37">
        <f ca="1">IFERROR(E27/'Unit Mix_vm'!$F$15,0)</f>
        <v>7.7151545117666007</v>
      </c>
      <c r="G27" s="25">
        <f t="shared" ref="G27:G29" ca="1" si="3">+IFERROR(D27/D$86,0)</f>
        <v>2.4376078879619539E-2</v>
      </c>
      <c r="I27" s="21">
        <v>0.03</v>
      </c>
      <c r="J27" s="20" t="s">
        <v>111</v>
      </c>
      <c r="K27" s="20"/>
      <c r="M27" t="s">
        <v>112</v>
      </c>
      <c r="N27" s="45">
        <v>0.04</v>
      </c>
    </row>
    <row r="28" spans="2:17">
      <c r="B28" t="s">
        <v>113</v>
      </c>
      <c r="C28" s="24" t="s">
        <v>84</v>
      </c>
      <c r="D28" s="14">
        <f>+I28*SUM(D67:D68)</f>
        <v>900000</v>
      </c>
      <c r="E28" s="37">
        <f>IFERROR(D28/'Unit Mix_vm'!$D$15,0)</f>
        <v>1800</v>
      </c>
      <c r="F28" s="37">
        <f>IFERROR(E28/'Unit Mix_vm'!$F$15,0)</f>
        <v>2</v>
      </c>
      <c r="G28" s="25">
        <f t="shared" ca="1" si="3"/>
        <v>6.3190124948095056E-3</v>
      </c>
      <c r="I28" s="21">
        <v>0.01</v>
      </c>
      <c r="J28" s="20" t="s">
        <v>114</v>
      </c>
      <c r="K28" s="20"/>
      <c r="M28" t="s">
        <v>115</v>
      </c>
      <c r="N28" s="45">
        <v>0.03</v>
      </c>
      <c r="O28" s="30"/>
    </row>
    <row r="29" spans="2:17">
      <c r="B29" t="s">
        <v>116</v>
      </c>
      <c r="C29" s="24" t="s">
        <v>84</v>
      </c>
      <c r="D29" s="76">
        <v>300000</v>
      </c>
      <c r="E29" s="37">
        <f>IFERROR(D29/'Unit Mix_vm'!$D$15,0)</f>
        <v>600</v>
      </c>
      <c r="F29" s="37">
        <f>IFERROR(E29/'Unit Mix_vm'!$F$15,0)</f>
        <v>0.66666666666666663</v>
      </c>
      <c r="G29" s="25">
        <f t="shared" ca="1" si="3"/>
        <v>2.1063374982698353E-3</v>
      </c>
      <c r="M29" s="3" t="s">
        <v>117</v>
      </c>
      <c r="N29" s="47">
        <f>SUM(N27:N28)</f>
        <v>7.0000000000000007E-2</v>
      </c>
    </row>
    <row r="30" spans="2:17">
      <c r="B30" s="3" t="s">
        <v>118</v>
      </c>
      <c r="C30" s="3"/>
      <c r="D30" s="13">
        <f ca="1">+SUM(D27:D29)</f>
        <v>4671819.5302949697</v>
      </c>
      <c r="E30" s="13">
        <f ca="1">SUM(E27:E29)</f>
        <v>9343.6390605899396</v>
      </c>
      <c r="F30" s="13">
        <f ca="1">SUM(F27:F29)</f>
        <v>10.381821178433267</v>
      </c>
      <c r="G30" s="26">
        <f ca="1">SUM(G27:G29)</f>
        <v>3.2801428872698879E-2</v>
      </c>
    </row>
    <row r="31" spans="2:17">
      <c r="D31" s="14"/>
      <c r="E31" s="14"/>
      <c r="F31" s="14"/>
      <c r="M31" t="s">
        <v>119</v>
      </c>
      <c r="N31" s="32">
        <v>21</v>
      </c>
      <c r="O31" s="30"/>
    </row>
    <row r="32" spans="2:17">
      <c r="B32" s="12" t="s">
        <v>120</v>
      </c>
      <c r="C32" s="12"/>
      <c r="D32" s="15"/>
      <c r="E32" s="15"/>
      <c r="F32" s="15"/>
      <c r="G32" s="12"/>
      <c r="M32" t="s">
        <v>121</v>
      </c>
      <c r="N32" s="44">
        <v>0.5</v>
      </c>
    </row>
    <row r="33" spans="2:22">
      <c r="B33" t="s">
        <v>122</v>
      </c>
      <c r="C33" s="24" t="s">
        <v>84</v>
      </c>
      <c r="D33" s="76">
        <v>300000</v>
      </c>
      <c r="E33" s="37">
        <f>IFERROR(D33/'Unit Mix_vm'!$D$15,0)</f>
        <v>600</v>
      </c>
      <c r="F33" s="37">
        <f>IFERROR(E33/'Unit Mix_vm'!$F$15,0)</f>
        <v>0.66666666666666663</v>
      </c>
      <c r="G33" s="25">
        <f t="shared" ref="G33:G42" ca="1" si="4">+IFERROR(D33/D$86,0)</f>
        <v>2.1063374982698353E-3</v>
      </c>
      <c r="M33" t="s">
        <v>123</v>
      </c>
      <c r="N33" s="36">
        <f ca="1">+N23*N29*N31*N32/12</f>
        <v>5234203.9246113384</v>
      </c>
    </row>
    <row r="34" spans="2:22">
      <c r="B34" t="s">
        <v>124</v>
      </c>
      <c r="C34" s="24" t="s">
        <v>84</v>
      </c>
      <c r="D34" s="76">
        <v>400000</v>
      </c>
      <c r="E34" s="37">
        <f>IFERROR(D34/'Unit Mix_vm'!$D$15,0)</f>
        <v>800</v>
      </c>
      <c r="F34" s="37">
        <f>IFERROR(E34/'Unit Mix_vm'!$F$15,0)</f>
        <v>0.88888888888888884</v>
      </c>
      <c r="G34" s="25">
        <f t="shared" ca="1" si="4"/>
        <v>2.8084499976931136E-3</v>
      </c>
      <c r="O34" s="42"/>
      <c r="U34" s="136" t="s">
        <v>125</v>
      </c>
      <c r="V34" s="137"/>
    </row>
    <row r="35" spans="2:22">
      <c r="B35" t="s">
        <v>126</v>
      </c>
      <c r="C35" s="24" t="s">
        <v>84</v>
      </c>
      <c r="D35" s="52">
        <f ca="1">+IF(Global!C16="On",0,I35*N11)</f>
        <v>0</v>
      </c>
      <c r="E35" s="37">
        <f ca="1">IFERROR(D35/'Unit Mix_vm'!$D$15,0)</f>
        <v>0</v>
      </c>
      <c r="F35" s="37">
        <f ca="1">IFERROR(E35/'Unit Mix_vm'!$F$15,0)</f>
        <v>0</v>
      </c>
      <c r="G35" s="25">
        <f t="shared" ca="1" si="4"/>
        <v>0</v>
      </c>
      <c r="I35" s="21">
        <v>0</v>
      </c>
      <c r="J35" s="20" t="s">
        <v>85</v>
      </c>
      <c r="K35" s="20"/>
      <c r="M35" s="55" t="s">
        <v>82</v>
      </c>
      <c r="U35" s="131" t="s">
        <v>127</v>
      </c>
      <c r="V35" s="138">
        <v>0.45</v>
      </c>
    </row>
    <row r="36" spans="2:22">
      <c r="B36" t="s">
        <v>128</v>
      </c>
      <c r="C36" s="24" t="s">
        <v>84</v>
      </c>
      <c r="D36" s="76">
        <v>50000</v>
      </c>
      <c r="E36" s="37">
        <f>IFERROR(D36/'Unit Mix_vm'!$D$15,0)</f>
        <v>100</v>
      </c>
      <c r="F36" s="37">
        <f>IFERROR(E36/'Unit Mix_vm'!$F$15,0)</f>
        <v>0.1111111111111111</v>
      </c>
      <c r="G36" s="25">
        <f t="shared" ca="1" si="4"/>
        <v>3.5105624971163921E-4</v>
      </c>
      <c r="M36" t="s">
        <v>82</v>
      </c>
      <c r="N36" s="36">
        <f ca="1">D86*N37-N23</f>
        <v>0</v>
      </c>
      <c r="U36" s="5"/>
      <c r="V36" s="132"/>
    </row>
    <row r="37" spans="2:22">
      <c r="B37" t="s">
        <v>129</v>
      </c>
      <c r="C37" s="24" t="s">
        <v>84</v>
      </c>
      <c r="D37" s="52">
        <f ca="1">I37*D86</f>
        <v>98274.849196784315</v>
      </c>
      <c r="E37" s="37">
        <f ca="1">IFERROR(D37/'Unit Mix_vm'!$D$15,0)</f>
        <v>196.54969839356863</v>
      </c>
      <c r="F37" s="37">
        <f ca="1">IFERROR(E37/'Unit Mix_vm'!$F$15,0)</f>
        <v>0.21838855377063182</v>
      </c>
      <c r="G37" s="25">
        <f t="shared" ca="1" si="4"/>
        <v>6.8999999999999997E-4</v>
      </c>
      <c r="I37" s="21">
        <v>6.8999999999999997E-4</v>
      </c>
      <c r="J37" s="20" t="s">
        <v>111</v>
      </c>
      <c r="M37" t="s">
        <v>130</v>
      </c>
      <c r="N37" s="44">
        <f>+N24</f>
        <v>0.6</v>
      </c>
      <c r="U37" s="5" t="s">
        <v>131</v>
      </c>
      <c r="V37" s="133">
        <f>N16</f>
        <v>90000000</v>
      </c>
    </row>
    <row r="38" spans="2:22">
      <c r="B38" t="s">
        <v>132</v>
      </c>
      <c r="C38" s="24" t="s">
        <v>84</v>
      </c>
      <c r="D38" s="52">
        <f ca="1">(((V40/100)*V35)*2)+60000</f>
        <v>1237085.8590883801</v>
      </c>
      <c r="E38" s="52">
        <f ca="1">IFERROR(D38/'Unit Mix_vm'!$D$15,0)</f>
        <v>2474.1717181767604</v>
      </c>
      <c r="F38" s="52">
        <f ca="1">IFERROR(E38/'Unit Mix_vm'!$F$15,0)</f>
        <v>2.7490796868630669</v>
      </c>
      <c r="G38" s="139">
        <f t="shared" ca="1" si="4"/>
        <v>8.685734445257361E-3</v>
      </c>
      <c r="M38" t="s">
        <v>133</v>
      </c>
      <c r="N38" s="49">
        <f ca="1">IFERROR('Pro-Forma_vm'!$C$39/SUM(N36,N23),0)</f>
        <v>0.12927574429099922</v>
      </c>
      <c r="U38" s="5" t="s">
        <v>134</v>
      </c>
      <c r="V38" s="133">
        <f t="shared" ref="V38" ca="1" si="5">N17</f>
        <v>25727317.676501963</v>
      </c>
    </row>
    <row r="39" spans="2:22">
      <c r="B39" t="s">
        <v>135</v>
      </c>
      <c r="C39" s="24" t="s">
        <v>84</v>
      </c>
      <c r="D39" s="52">
        <f>((V45/1000)*V43)+30000</f>
        <v>275566.67152600008</v>
      </c>
      <c r="E39" s="52">
        <f>IFERROR(D39/'Unit Mix_vm'!$D$15,0)</f>
        <v>551.1333430520001</v>
      </c>
      <c r="F39" s="52">
        <f>IFERROR(E39/'Unit Mix_vm'!$F$15,0)</f>
        <v>0.61237038116888898</v>
      </c>
      <c r="G39" s="139">
        <f t="shared" ref="G39" ca="1" si="6">+IFERROR(D39/D$86,0)</f>
        <v>1.9347880450287349E-3</v>
      </c>
      <c r="N39" s="49"/>
      <c r="U39" s="5" t="s">
        <v>136</v>
      </c>
      <c r="V39" s="133">
        <f>'Unit Mix_vm'!D15*'Unit Mix_vm'!G15*12</f>
        <v>15060000</v>
      </c>
    </row>
    <row r="40" spans="2:22">
      <c r="B40" t="s">
        <v>137</v>
      </c>
      <c r="C40" s="24" t="s">
        <v>84</v>
      </c>
      <c r="D40" s="76">
        <v>0</v>
      </c>
      <c r="E40" s="37">
        <f>IFERROR(D40/'Unit Mix_vm'!$D$15,0)</f>
        <v>0</v>
      </c>
      <c r="F40" s="37">
        <f>IFERROR(E40/'Unit Mix_vm'!$F$15,0)</f>
        <v>0</v>
      </c>
      <c r="G40" s="25">
        <f t="shared" ca="1" si="4"/>
        <v>0</v>
      </c>
      <c r="M40" s="55" t="s">
        <v>80</v>
      </c>
      <c r="U40" s="134" t="s">
        <v>64</v>
      </c>
      <c r="V40" s="135">
        <f ca="1">SUM(V37:V39)</f>
        <v>130787317.67650196</v>
      </c>
    </row>
    <row r="41" spans="2:22">
      <c r="B41" t="s">
        <v>138</v>
      </c>
      <c r="C41" s="24" t="s">
        <v>84</v>
      </c>
      <c r="D41" s="76">
        <v>50000</v>
      </c>
      <c r="E41" s="37">
        <f>IFERROR(D41/'Unit Mix_vm'!$D$15,0)</f>
        <v>100</v>
      </c>
      <c r="F41" s="37">
        <f>IFERROR(E41/'Unit Mix_vm'!$F$15,0)</f>
        <v>0.1111111111111111</v>
      </c>
      <c r="G41" s="25">
        <f t="shared" ca="1" si="4"/>
        <v>3.5105624971163921E-4</v>
      </c>
      <c r="M41" t="s">
        <v>139</v>
      </c>
      <c r="N41" s="58">
        <f ca="1">D86-N23-N36</f>
        <v>56970927.070599601</v>
      </c>
      <c r="U41" s="4"/>
      <c r="V41" s="4"/>
    </row>
    <row r="42" spans="2:22">
      <c r="B42" t="s">
        <v>140</v>
      </c>
      <c r="C42" s="24" t="s">
        <v>84</v>
      </c>
      <c r="D42" s="76">
        <v>0</v>
      </c>
      <c r="E42" s="37">
        <f>IFERROR(D42/'Unit Mix_vm'!$D$15,0)</f>
        <v>0</v>
      </c>
      <c r="F42" s="37">
        <f>IFERROR(E42/'Unit Mix_vm'!$F$15,0)</f>
        <v>0</v>
      </c>
      <c r="G42" s="25">
        <f t="shared" ca="1" si="4"/>
        <v>0</v>
      </c>
      <c r="U42" s="136" t="s">
        <v>141</v>
      </c>
      <c r="V42" s="137"/>
    </row>
    <row r="43" spans="2:22">
      <c r="B43" s="3" t="s">
        <v>142</v>
      </c>
      <c r="C43" s="3"/>
      <c r="D43" s="13">
        <f ca="1">+SUM(D33:D42)</f>
        <v>2410927.3798111645</v>
      </c>
      <c r="E43" s="13">
        <f ca="1">SUM(E33:E42)</f>
        <v>4821.8547596223289</v>
      </c>
      <c r="F43" s="13">
        <f ca="1">SUM(F33:F42)</f>
        <v>5.3576163995803645</v>
      </c>
      <c r="G43" s="26">
        <f ca="1">SUM(G33:G42)</f>
        <v>1.6927422485672323E-2</v>
      </c>
      <c r="M43" t="s">
        <v>143</v>
      </c>
      <c r="N43" s="34">
        <f ca="1">+N41*0.1</f>
        <v>5697092.7070599608</v>
      </c>
      <c r="O43" s="46">
        <f ca="1">+N43/N41</f>
        <v>0.10000000000000002</v>
      </c>
      <c r="U43" s="5" t="s">
        <v>127</v>
      </c>
      <c r="V43" s="159">
        <v>1.1000000000000001</v>
      </c>
    </row>
    <row r="44" spans="2:22">
      <c r="D44" s="14"/>
      <c r="E44" s="14"/>
      <c r="F44" s="14"/>
      <c r="M44" t="s">
        <v>144</v>
      </c>
      <c r="N44" s="36">
        <f ca="1">+N41-N43</f>
        <v>51273834.363539636</v>
      </c>
      <c r="O44" s="51">
        <f ca="1">1-O43</f>
        <v>0.9</v>
      </c>
      <c r="U44" s="5" t="s">
        <v>145</v>
      </c>
      <c r="V44" s="160">
        <v>5.2499999999999998E-2</v>
      </c>
    </row>
    <row r="45" spans="2:22">
      <c r="B45" s="12" t="s">
        <v>146</v>
      </c>
      <c r="C45" s="12"/>
      <c r="D45" s="15"/>
      <c r="E45" s="15"/>
      <c r="F45" s="15"/>
      <c r="G45" s="12"/>
      <c r="U45" s="161" t="s">
        <v>147</v>
      </c>
      <c r="V45" s="162">
        <f>(('Pro-Forma_vm'!C39*1.03*1.03)/Budget_vm!V44)</f>
        <v>223242428.66000006</v>
      </c>
    </row>
    <row r="46" spans="2:22">
      <c r="B46" t="s">
        <v>148</v>
      </c>
      <c r="C46" s="24" t="s">
        <v>84</v>
      </c>
      <c r="D46" s="52">
        <f>E46*'Unit Mix_vm'!$D$15</f>
        <v>1250000</v>
      </c>
      <c r="E46" s="76">
        <v>2500</v>
      </c>
      <c r="F46" s="37">
        <f>IFERROR(E46/'Unit Mix_vm'!$F$15,0)</f>
        <v>2.7777777777777777</v>
      </c>
      <c r="G46" s="25">
        <f t="shared" ref="G46:G63" ca="1" si="7">+IFERROR(D46/D$86,0)</f>
        <v>8.7764062427909805E-3</v>
      </c>
    </row>
    <row r="47" spans="2:22">
      <c r="B47" t="s">
        <v>149</v>
      </c>
      <c r="C47" s="24" t="s">
        <v>84</v>
      </c>
      <c r="D47" s="76">
        <v>75000</v>
      </c>
      <c r="E47" s="52">
        <f>IFERROR(D47/'Unit Mix_vm'!$D$15,0)</f>
        <v>150</v>
      </c>
      <c r="F47" s="37">
        <f>IFERROR(E47/'Unit Mix_vm'!$F$15,0)</f>
        <v>0.16666666666666666</v>
      </c>
      <c r="G47" s="25">
        <f t="shared" ca="1" si="7"/>
        <v>5.2658437456745884E-4</v>
      </c>
    </row>
    <row r="48" spans="2:22">
      <c r="B48" t="s">
        <v>150</v>
      </c>
      <c r="C48" s="24" t="s">
        <v>84</v>
      </c>
      <c r="D48" s="76">
        <v>50000</v>
      </c>
      <c r="E48" s="52">
        <f>IFERROR(D48/'Unit Mix_vm'!$D$15,0)</f>
        <v>100</v>
      </c>
      <c r="F48" s="37">
        <f>IFERROR(E48/'Unit Mix_vm'!$F$15,0)</f>
        <v>0.1111111111111111</v>
      </c>
      <c r="G48" s="25">
        <f t="shared" ca="1" si="7"/>
        <v>3.5105624971163921E-4</v>
      </c>
    </row>
    <row r="49" spans="2:7">
      <c r="B49" t="s">
        <v>151</v>
      </c>
      <c r="C49" s="24" t="s">
        <v>84</v>
      </c>
      <c r="D49" s="52">
        <f>E49*'Unit Mix_vm'!$D$15</f>
        <v>750000</v>
      </c>
      <c r="E49" s="76">
        <v>1500</v>
      </c>
      <c r="F49" s="37">
        <f>IFERROR(E49/'Unit Mix_vm'!$F$15,0)</f>
        <v>1.6666666666666667</v>
      </c>
      <c r="G49" s="25">
        <f t="shared" ca="1" si="7"/>
        <v>5.2658437456745881E-3</v>
      </c>
    </row>
    <row r="50" spans="2:7">
      <c r="B50" t="s">
        <v>152</v>
      </c>
      <c r="C50" s="24" t="s">
        <v>84</v>
      </c>
      <c r="D50" s="76">
        <v>0</v>
      </c>
      <c r="E50" s="52">
        <f>IFERROR(D50/'Unit Mix_vm'!$D$15,0)</f>
        <v>0</v>
      </c>
      <c r="F50" s="37">
        <f>IFERROR(E50/'Unit Mix_vm'!$F$15,0)</f>
        <v>0</v>
      </c>
      <c r="G50" s="25">
        <f t="shared" ca="1" si="7"/>
        <v>0</v>
      </c>
    </row>
    <row r="51" spans="2:7">
      <c r="B51" t="s">
        <v>153</v>
      </c>
      <c r="C51" s="24" t="s">
        <v>84</v>
      </c>
      <c r="D51" s="76">
        <v>150000</v>
      </c>
      <c r="E51" s="52">
        <f>IFERROR(D51/'Unit Mix_vm'!$D$15,0)</f>
        <v>300</v>
      </c>
      <c r="F51" s="37">
        <f>IFERROR(E51/'Unit Mix_vm'!$F$15,0)</f>
        <v>0.33333333333333331</v>
      </c>
      <c r="G51" s="25">
        <f t="shared" ca="1" si="7"/>
        <v>1.0531687491349177E-3</v>
      </c>
    </row>
    <row r="52" spans="2:7">
      <c r="B52" t="s">
        <v>154</v>
      </c>
      <c r="C52" s="24" t="s">
        <v>84</v>
      </c>
      <c r="D52" s="76">
        <v>35000</v>
      </c>
      <c r="E52" s="52">
        <f>IFERROR(D52/'Unit Mix_vm'!$D$15,0)</f>
        <v>70</v>
      </c>
      <c r="F52" s="37">
        <f>IFERROR(E52/'Unit Mix_vm'!$F$15,0)</f>
        <v>7.7777777777777779E-2</v>
      </c>
      <c r="G52" s="25">
        <f t="shared" ca="1" si="7"/>
        <v>2.4573937479814746E-4</v>
      </c>
    </row>
    <row r="53" spans="2:7">
      <c r="B53" t="s">
        <v>155</v>
      </c>
      <c r="C53" s="24" t="s">
        <v>84</v>
      </c>
      <c r="D53" s="76">
        <v>300000</v>
      </c>
      <c r="E53" s="52">
        <f>IFERROR(D53/'Unit Mix_vm'!$D$15,0)</f>
        <v>600</v>
      </c>
      <c r="F53" s="37">
        <f>IFERROR(E53/'Unit Mix_vm'!$F$15,0)</f>
        <v>0.66666666666666663</v>
      </c>
      <c r="G53" s="25">
        <f t="shared" ca="1" si="7"/>
        <v>2.1063374982698353E-3</v>
      </c>
    </row>
    <row r="54" spans="2:7">
      <c r="B54" t="s">
        <v>156</v>
      </c>
      <c r="C54" s="24" t="s">
        <v>84</v>
      </c>
      <c r="D54" s="52">
        <f>E54*'Unit Mix_vm'!$D$15</f>
        <v>4400000</v>
      </c>
      <c r="E54" s="76">
        <v>8800</v>
      </c>
      <c r="F54" s="37">
        <f>IFERROR(E54/'Unit Mix_vm'!$F$15,0)</f>
        <v>9.7777777777777786</v>
      </c>
      <c r="G54" s="25">
        <f t="shared" ca="1" si="7"/>
        <v>3.0892949974624249E-2</v>
      </c>
    </row>
    <row r="55" spans="2:7">
      <c r="B55" t="s">
        <v>157</v>
      </c>
      <c r="C55" s="24" t="s">
        <v>84</v>
      </c>
      <c r="D55" s="76">
        <v>25000</v>
      </c>
      <c r="E55" s="52">
        <f>IFERROR(D55/'Unit Mix_vm'!$D$15,0)</f>
        <v>50</v>
      </c>
      <c r="F55" s="37">
        <f>IFERROR(E55/'Unit Mix_vm'!$F$15,0)</f>
        <v>5.5555555555555552E-2</v>
      </c>
      <c r="G55" s="25">
        <f t="shared" ca="1" si="7"/>
        <v>1.755281248558196E-4</v>
      </c>
    </row>
    <row r="56" spans="2:7">
      <c r="B56" t="s">
        <v>158</v>
      </c>
      <c r="C56" s="24" t="s">
        <v>84</v>
      </c>
      <c r="D56" s="76">
        <v>500000</v>
      </c>
      <c r="E56" s="52">
        <f>IFERROR(D56/'Unit Mix_vm'!$D$15,0)</f>
        <v>1000</v>
      </c>
      <c r="F56" s="37">
        <f>IFERROR(E56/'Unit Mix_vm'!$F$15,0)</f>
        <v>1.1111111111111112</v>
      </c>
      <c r="G56" s="25">
        <f t="shared" ca="1" si="7"/>
        <v>3.5105624971163919E-3</v>
      </c>
    </row>
    <row r="57" spans="2:7">
      <c r="B57" t="s">
        <v>159</v>
      </c>
      <c r="C57" s="24" t="s">
        <v>84</v>
      </c>
      <c r="D57" s="76">
        <v>80000</v>
      </c>
      <c r="E57" s="52">
        <f>IFERROR(D57/'Unit Mix_vm'!$D$15,0)</f>
        <v>160</v>
      </c>
      <c r="F57" s="37">
        <f>IFERROR(E57/'Unit Mix_vm'!$F$15,0)</f>
        <v>0.17777777777777778</v>
      </c>
      <c r="G57" s="25">
        <f t="shared" ca="1" si="7"/>
        <v>5.6168999953862275E-4</v>
      </c>
    </row>
    <row r="58" spans="2:7">
      <c r="B58" t="s">
        <v>160</v>
      </c>
      <c r="C58" s="24" t="s">
        <v>84</v>
      </c>
      <c r="D58" s="76">
        <v>100000</v>
      </c>
      <c r="E58" s="52">
        <f>IFERROR(D58/'Unit Mix_vm'!$D$15,0)</f>
        <v>200</v>
      </c>
      <c r="F58" s="37">
        <f>IFERROR(E58/'Unit Mix_vm'!$F$15,0)</f>
        <v>0.22222222222222221</v>
      </c>
      <c r="G58" s="25">
        <f t="shared" ca="1" si="7"/>
        <v>7.0211249942327841E-4</v>
      </c>
    </row>
    <row r="59" spans="2:7">
      <c r="B59" t="s">
        <v>161</v>
      </c>
      <c r="C59" s="24" t="s">
        <v>84</v>
      </c>
      <c r="D59" s="76">
        <v>100000</v>
      </c>
      <c r="E59" s="52">
        <f>IFERROR(D59/'Unit Mix_vm'!$D$15,0)</f>
        <v>200</v>
      </c>
      <c r="F59" s="37">
        <f>IFERROR(E59/'Unit Mix_vm'!$F$15,0)</f>
        <v>0.22222222222222221</v>
      </c>
      <c r="G59" s="25">
        <f t="shared" ca="1" si="7"/>
        <v>7.0211249942327841E-4</v>
      </c>
    </row>
    <row r="60" spans="2:7">
      <c r="B60" t="s">
        <v>162</v>
      </c>
      <c r="C60" s="24" t="s">
        <v>84</v>
      </c>
      <c r="D60" s="76">
        <v>150000</v>
      </c>
      <c r="E60" s="52">
        <f>IFERROR(D60/'Unit Mix_vm'!$D$15,0)</f>
        <v>300</v>
      </c>
      <c r="F60" s="37">
        <f>IFERROR(E60/'Unit Mix_vm'!$F$15,0)</f>
        <v>0.33333333333333331</v>
      </c>
      <c r="G60" s="25">
        <f t="shared" ca="1" si="7"/>
        <v>1.0531687491349177E-3</v>
      </c>
    </row>
    <row r="61" spans="2:7">
      <c r="B61" t="s">
        <v>163</v>
      </c>
      <c r="C61" s="24" t="s">
        <v>84</v>
      </c>
      <c r="D61" s="52">
        <f>E61*'Unit Mix_vm'!$D$15</f>
        <v>75000</v>
      </c>
      <c r="E61" s="76">
        <v>150</v>
      </c>
      <c r="F61" s="37">
        <f>IFERROR(E61/'Unit Mix_vm'!$F$15,0)</f>
        <v>0.16666666666666666</v>
      </c>
      <c r="G61" s="25">
        <f t="shared" ca="1" si="7"/>
        <v>5.2658437456745884E-4</v>
      </c>
    </row>
    <row r="62" spans="2:7">
      <c r="B62" t="s">
        <v>164</v>
      </c>
      <c r="C62" s="24" t="s">
        <v>84</v>
      </c>
      <c r="D62" s="76">
        <v>150000</v>
      </c>
      <c r="E62" s="52">
        <f>IFERROR(D62/'Unit Mix_vm'!$D$15,0)</f>
        <v>300</v>
      </c>
      <c r="F62" s="37">
        <f>IFERROR(E62/'Unit Mix_vm'!$F$15,0)</f>
        <v>0.33333333333333331</v>
      </c>
      <c r="G62" s="25">
        <f t="shared" ca="1" si="7"/>
        <v>1.0531687491349177E-3</v>
      </c>
    </row>
    <row r="63" spans="2:7">
      <c r="B63" t="s">
        <v>165</v>
      </c>
      <c r="C63" s="24" t="s">
        <v>84</v>
      </c>
      <c r="D63" s="76">
        <v>0</v>
      </c>
      <c r="E63" s="52">
        <f>IFERROR(D63/'Unit Mix_vm'!$D$15,0)</f>
        <v>0</v>
      </c>
      <c r="F63" s="37">
        <f>IFERROR(E63/'Unit Mix_vm'!$F$15,0)</f>
        <v>0</v>
      </c>
      <c r="G63" s="25">
        <f t="shared" ca="1" si="7"/>
        <v>0</v>
      </c>
    </row>
    <row r="64" spans="2:7">
      <c r="B64" s="3" t="s">
        <v>166</v>
      </c>
      <c r="C64" s="3"/>
      <c r="D64" s="13">
        <f>+SUM(D46:D63)</f>
        <v>8190000</v>
      </c>
      <c r="E64" s="13">
        <f>SUM(E46:E63)</f>
        <v>16380</v>
      </c>
      <c r="F64" s="13">
        <f>SUM(F46:F63)</f>
        <v>18.2</v>
      </c>
      <c r="G64" s="26">
        <f ca="1">SUM(G46:G63)</f>
        <v>5.7503013702766503E-2</v>
      </c>
    </row>
    <row r="65" spans="2:7">
      <c r="D65" s="14"/>
      <c r="E65" s="14"/>
      <c r="F65" s="14"/>
    </row>
    <row r="66" spans="2:7">
      <c r="B66" s="12" t="s">
        <v>95</v>
      </c>
      <c r="C66" s="12"/>
      <c r="D66" s="15"/>
      <c r="E66" s="15"/>
      <c r="F66" s="15"/>
      <c r="G66" s="12"/>
    </row>
    <row r="67" spans="2:7">
      <c r="B67" t="s">
        <v>167</v>
      </c>
      <c r="C67" s="24" t="s">
        <v>95</v>
      </c>
      <c r="D67" s="31">
        <f>F67*'Unit Mix_vm'!$D$15*'Unit Mix_vm'!$F$15</f>
        <v>90000000</v>
      </c>
      <c r="E67" s="37">
        <f>IFERROR(D67/'Unit Mix_vm'!$D$15,0)</f>
        <v>180000</v>
      </c>
      <c r="F67" s="76">
        <v>200</v>
      </c>
      <c r="G67" s="25">
        <f t="shared" ref="G67:G71" ca="1" si="8">+IFERROR(D67/D$86,0)</f>
        <v>0.63190124948095061</v>
      </c>
    </row>
    <row r="68" spans="2:7">
      <c r="B68" t="s">
        <v>168</v>
      </c>
      <c r="C68" s="24" t="s">
        <v>95</v>
      </c>
      <c r="D68" s="31">
        <v>0</v>
      </c>
      <c r="E68" s="37">
        <f>IFERROR(D68/'Unit Mix_vm'!$D$15,0)</f>
        <v>0</v>
      </c>
      <c r="F68" s="37">
        <f>IFERROR(E68/'Unit Mix_vm'!$F$15,0)</f>
        <v>0</v>
      </c>
      <c r="G68" s="25">
        <f t="shared" ca="1" si="8"/>
        <v>0</v>
      </c>
    </row>
    <row r="69" spans="2:7">
      <c r="B69" t="s">
        <v>169</v>
      </c>
      <c r="C69" s="24" t="s">
        <v>95</v>
      </c>
      <c r="D69" s="16">
        <v>0</v>
      </c>
      <c r="E69" s="37">
        <f>IFERROR(D69/'Unit Mix_vm'!$D$15,0)</f>
        <v>0</v>
      </c>
      <c r="F69" s="37">
        <f>IFERROR(E69/'Unit Mix_vm'!$F$15,0)</f>
        <v>0</v>
      </c>
      <c r="G69" s="25">
        <f t="shared" ca="1" si="8"/>
        <v>0</v>
      </c>
    </row>
    <row r="70" spans="2:7">
      <c r="B70" t="s">
        <v>170</v>
      </c>
      <c r="C70" s="24" t="s">
        <v>95</v>
      </c>
      <c r="D70" s="52">
        <f>E70*'Unit Mix_vm'!$D$15</f>
        <v>0</v>
      </c>
      <c r="E70" s="76">
        <v>0</v>
      </c>
      <c r="F70" s="37">
        <f>IFERROR(E70/'Unit Mix_vm'!$F$15,0)</f>
        <v>0</v>
      </c>
      <c r="G70" s="25">
        <f t="shared" ca="1" si="8"/>
        <v>0</v>
      </c>
    </row>
    <row r="71" spans="2:7">
      <c r="B71" t="s">
        <v>171</v>
      </c>
      <c r="C71" s="24" t="s">
        <v>95</v>
      </c>
      <c r="D71" s="16">
        <v>0</v>
      </c>
      <c r="E71" s="37">
        <f>IFERROR(D71/'Unit Mix_vm'!$D$15,0)</f>
        <v>0</v>
      </c>
      <c r="F71" s="37">
        <f>IFERROR(E71/'Unit Mix_vm'!$F$15,0)</f>
        <v>0</v>
      </c>
      <c r="G71" s="25">
        <f t="shared" ca="1" si="8"/>
        <v>0</v>
      </c>
    </row>
    <row r="72" spans="2:7">
      <c r="B72" s="3" t="s">
        <v>172</v>
      </c>
      <c r="C72" s="3"/>
      <c r="D72" s="13">
        <f>+SUM(D67:D71)</f>
        <v>90000000</v>
      </c>
      <c r="E72" s="13">
        <f>SUM(E67:E71)</f>
        <v>180000</v>
      </c>
      <c r="F72" s="13">
        <f>SUM(F67:F71)</f>
        <v>200</v>
      </c>
      <c r="G72" s="26">
        <f ca="1">SUM(G67:G71)</f>
        <v>0.63190124948095061</v>
      </c>
    </row>
    <row r="73" spans="2:7" hidden="1" outlineLevel="1">
      <c r="D73" s="14"/>
      <c r="E73" s="14"/>
      <c r="F73" s="14"/>
    </row>
    <row r="74" spans="2:7" hidden="1" outlineLevel="1">
      <c r="B74" s="12" t="s">
        <v>173</v>
      </c>
      <c r="C74" s="12"/>
      <c r="D74" s="15"/>
      <c r="E74" s="15"/>
      <c r="F74" s="15"/>
      <c r="G74" s="12"/>
    </row>
    <row r="75" spans="2:7" hidden="1" outlineLevel="1">
      <c r="B75" t="s">
        <v>174</v>
      </c>
      <c r="C75" s="24" t="s">
        <v>84</v>
      </c>
      <c r="D75" s="76">
        <v>0</v>
      </c>
      <c r="E75" s="37">
        <f>IFERROR(D75/'Unit Mix_vm'!$D$15,0)</f>
        <v>0</v>
      </c>
      <c r="F75" s="37">
        <f>IFERROR(E75/'Unit Mix_vm'!$F$15,0)</f>
        <v>0</v>
      </c>
      <c r="G75" s="25">
        <f t="shared" ref="G75:G77" ca="1" si="9">+IFERROR(D75/D$86,0)</f>
        <v>0</v>
      </c>
    </row>
    <row r="76" spans="2:7" hidden="1" outlineLevel="1">
      <c r="B76" t="s">
        <v>175</v>
      </c>
      <c r="C76" s="24" t="s">
        <v>84</v>
      </c>
      <c r="D76" s="76">
        <v>0</v>
      </c>
      <c r="E76" s="37">
        <f>IFERROR(D76/'Unit Mix_vm'!$D$15,0)</f>
        <v>0</v>
      </c>
      <c r="F76" s="37">
        <f>IFERROR(E76/'Unit Mix_vm'!$F$15,0)</f>
        <v>0</v>
      </c>
      <c r="G76" s="25">
        <f t="shared" ca="1" si="9"/>
        <v>0</v>
      </c>
    </row>
    <row r="77" spans="2:7" hidden="1" outlineLevel="1">
      <c r="B77" t="s">
        <v>176</v>
      </c>
      <c r="C77" s="24" t="s">
        <v>84</v>
      </c>
      <c r="D77" s="16">
        <v>0</v>
      </c>
      <c r="E77" s="37">
        <f>IFERROR(D77/'Unit Mix_vm'!$D$15,0)</f>
        <v>0</v>
      </c>
      <c r="F77" s="37">
        <f>IFERROR(E77/'Unit Mix_vm'!$F$15,0)</f>
        <v>0</v>
      </c>
      <c r="G77" s="25">
        <f t="shared" ca="1" si="9"/>
        <v>0</v>
      </c>
    </row>
    <row r="78" spans="2:7" hidden="1" outlineLevel="1">
      <c r="B78" s="3" t="s">
        <v>177</v>
      </c>
      <c r="C78" s="3"/>
      <c r="D78" s="13">
        <f>+SUM(D75:D77)</f>
        <v>0</v>
      </c>
      <c r="E78" s="13">
        <f>SUM(E75:E77)</f>
        <v>0</v>
      </c>
      <c r="F78" s="13">
        <f>SUM(F75:F77)</f>
        <v>0</v>
      </c>
      <c r="G78" s="26">
        <f ca="1">SUM(G75:G77)</f>
        <v>0</v>
      </c>
    </row>
    <row r="79" spans="2:7" collapsed="1">
      <c r="D79" s="14"/>
      <c r="E79" s="14"/>
      <c r="F79" s="14"/>
    </row>
    <row r="80" spans="2:7">
      <c r="B80" s="12" t="s">
        <v>178</v>
      </c>
      <c r="C80" s="12"/>
      <c r="D80" s="15"/>
      <c r="E80" s="15"/>
      <c r="F80" s="15"/>
      <c r="G80" s="12"/>
    </row>
    <row r="81" spans="2:11">
      <c r="B81" t="s">
        <v>179</v>
      </c>
      <c r="C81" s="24" t="s">
        <v>84</v>
      </c>
      <c r="D81" s="14">
        <f>+I81*D72</f>
        <v>4500000</v>
      </c>
      <c r="E81" s="37">
        <f>IFERROR(D81/'Unit Mix_vm'!$D$15,0)</f>
        <v>9000</v>
      </c>
      <c r="F81" s="37">
        <f>IFERROR(E81/'Unit Mix_vm'!$F$15,0)</f>
        <v>10</v>
      </c>
      <c r="G81" s="25">
        <f t="shared" ref="G81:G83" ca="1" si="10">+IFERROR(D81/D$86,0)</f>
        <v>3.1595062474047531E-2</v>
      </c>
      <c r="I81" s="21">
        <v>0.05</v>
      </c>
      <c r="J81" s="20" t="s">
        <v>180</v>
      </c>
      <c r="K81" s="20"/>
    </row>
    <row r="82" spans="2:11">
      <c r="B82" t="s">
        <v>181</v>
      </c>
      <c r="C82" s="24" t="s">
        <v>84</v>
      </c>
      <c r="D82" s="31">
        <f ca="1">+IF(Global!C16="On",0,I82*N17)</f>
        <v>1286365.8838250982</v>
      </c>
      <c r="E82" s="37">
        <f ca="1">IFERROR(D82/'Unit Mix_vm'!$D$15,0)</f>
        <v>2572.7317676501962</v>
      </c>
      <c r="F82" s="37">
        <f ca="1">IFERROR(E82/'Unit Mix_vm'!$F$15,0)</f>
        <v>2.8585908529446624</v>
      </c>
      <c r="G82" s="25">
        <f t="shared" ca="1" si="10"/>
        <v>9.0317356586527425E-3</v>
      </c>
      <c r="I82" s="21">
        <v>0.05</v>
      </c>
      <c r="J82" s="20" t="s">
        <v>182</v>
      </c>
      <c r="K82" s="20"/>
    </row>
    <row r="83" spans="2:11">
      <c r="B83" t="s">
        <v>183</v>
      </c>
      <c r="C83" s="24" t="s">
        <v>84</v>
      </c>
      <c r="D83" s="16">
        <v>0</v>
      </c>
      <c r="E83" s="37">
        <f>IFERROR(D83/'Unit Mix_vm'!$D$15,0)</f>
        <v>0</v>
      </c>
      <c r="F83" s="37">
        <f>IFERROR(E83/'Unit Mix_vm'!$F$15,0)</f>
        <v>0</v>
      </c>
      <c r="G83" s="25">
        <f t="shared" ca="1" si="10"/>
        <v>0</v>
      </c>
    </row>
    <row r="84" spans="2:11">
      <c r="B84" s="3" t="s">
        <v>184</v>
      </c>
      <c r="C84" s="3"/>
      <c r="D84" s="13">
        <f ca="1">+SUM(D81:D83)</f>
        <v>5786365.8838250982</v>
      </c>
      <c r="E84" s="13">
        <f ca="1">SUM(E81:E83)</f>
        <v>11572.731767650195</v>
      </c>
      <c r="F84" s="13">
        <f ca="1">SUM(F81:F83)</f>
        <v>12.858590852944662</v>
      </c>
      <c r="G84" s="26">
        <f ca="1">SUM(G81:G83)</f>
        <v>4.0626798132700273E-2</v>
      </c>
    </row>
    <row r="86" spans="2:11">
      <c r="B86" s="17" t="s">
        <v>185</v>
      </c>
      <c r="C86" s="22"/>
      <c r="D86" s="18">
        <f ca="1">+SUM(D84,D78,D72,D64,D43,D30,D24,D8)</f>
        <v>142427317.67650431</v>
      </c>
      <c r="E86" s="19">
        <f ca="1">+SUM(E84,E78,E72,E64,E43,E30,E24,E8)</f>
        <v>284854.63535300863</v>
      </c>
      <c r="F86" s="19">
        <f ca="1">+SUM(F84,F78,F72,F64,F43,F30,F24,F8)</f>
        <v>316.50515039223183</v>
      </c>
      <c r="G86" s="27">
        <f ca="1">+SUM(G84,G78,G72,G64,G43,G30,G24,G8)</f>
        <v>1.0000000000000373</v>
      </c>
    </row>
    <row r="89" spans="2:11">
      <c r="E89" s="30"/>
    </row>
  </sheetData>
  <dataValidations count="1">
    <dataValidation type="list" allowBlank="1" showInputMessage="1" showErrorMessage="1" sqref="C8 C27:C29 C11:C23 C46:C63 C67:C71 C75:C77 C81:C83 C33:C42" xr:uid="{4DB2A9E5-475F-4838-AD5E-F494FFC1E7D1}">
      <formula1>"Land,Hard Costs,Soft Costs"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FD9A-CB03-4204-B408-8CFADBCF49BD}">
  <sheetPr>
    <tabColor theme="0"/>
    <pageSetUpPr autoPageBreaks="0" fitToPage="1"/>
  </sheetPr>
  <dimension ref="A1:T57"/>
  <sheetViews>
    <sheetView showGridLines="0" tabSelected="1" zoomScale="90" zoomScaleNormal="90" workbookViewId="0">
      <selection activeCell="B5" sqref="B5"/>
    </sheetView>
  </sheetViews>
  <sheetFormatPr defaultColWidth="9.140625" defaultRowHeight="14.45"/>
  <cols>
    <col min="1" max="1" width="1.7109375" customWidth="1"/>
    <col min="2" max="2" width="35.7109375" customWidth="1"/>
    <col min="3" max="3" width="14.7109375" customWidth="1"/>
    <col min="4" max="4" width="11.7109375" customWidth="1"/>
    <col min="5" max="5" width="1.7109375" customWidth="1"/>
    <col min="6" max="6" width="28.7109375" customWidth="1"/>
    <col min="7" max="7" width="13.28515625" bestFit="1" customWidth="1"/>
    <col min="8" max="8" width="1.7109375" customWidth="1"/>
    <col min="9" max="9" width="24.7109375" customWidth="1"/>
    <col min="10" max="10" width="12.7109375" customWidth="1"/>
    <col min="11" max="13" width="12.7109375" style="23" customWidth="1"/>
    <col min="14" max="14" width="13.28515625" style="23" bestFit="1" customWidth="1"/>
    <col min="15" max="19" width="12.7109375" style="23" customWidth="1"/>
    <col min="20" max="20" width="12.7109375" customWidth="1"/>
  </cols>
  <sheetData>
    <row r="1" spans="1:20" s="142" customFormat="1" ht="25.9">
      <c r="A1" s="145" t="str">
        <f>TEXT(Global!$C$7,"")</f>
        <v>607 Cedar St</v>
      </c>
      <c r="B1" s="144"/>
      <c r="K1" s="143"/>
      <c r="L1" s="143"/>
      <c r="M1" s="143"/>
      <c r="N1" s="143"/>
      <c r="O1" s="143"/>
      <c r="P1" s="143"/>
      <c r="Q1" s="143"/>
      <c r="R1" s="143"/>
      <c r="S1" s="143"/>
    </row>
    <row r="2" spans="1:20" s="142" customFormat="1" ht="19.899999999999999">
      <c r="A2" s="146" t="s">
        <v>186</v>
      </c>
      <c r="B2" s="144"/>
      <c r="K2" s="143"/>
      <c r="L2" s="143"/>
      <c r="M2" s="143"/>
      <c r="N2" s="143"/>
      <c r="O2" s="143"/>
      <c r="P2" s="143"/>
      <c r="Q2" s="143"/>
      <c r="R2" s="143"/>
      <c r="S2" s="143"/>
    </row>
    <row r="6" spans="1:20" ht="16.149999999999999">
      <c r="B6" s="166"/>
      <c r="C6" s="167" t="s">
        <v>187</v>
      </c>
      <c r="D6" s="167"/>
    </row>
    <row r="7" spans="1:20">
      <c r="B7" s="168"/>
      <c r="C7" s="169" t="s">
        <v>72</v>
      </c>
      <c r="D7" s="169" t="s">
        <v>188</v>
      </c>
      <c r="F7" s="140" t="s">
        <v>189</v>
      </c>
      <c r="G7" s="141"/>
      <c r="I7" s="140" t="s">
        <v>190</v>
      </c>
      <c r="J7" s="156" t="s">
        <v>63</v>
      </c>
      <c r="K7" s="156" t="s">
        <v>191</v>
      </c>
      <c r="L7" s="156" t="s">
        <v>51</v>
      </c>
      <c r="M7" s="156" t="s">
        <v>192</v>
      </c>
      <c r="N7" s="156" t="s">
        <v>193</v>
      </c>
      <c r="O7" s="156" t="s">
        <v>194</v>
      </c>
      <c r="P7" s="156" t="s">
        <v>195</v>
      </c>
      <c r="Q7" s="156" t="s">
        <v>196</v>
      </c>
      <c r="R7" s="156" t="s">
        <v>197</v>
      </c>
      <c r="S7" s="156" t="s">
        <v>64</v>
      </c>
      <c r="T7" s="157" t="s">
        <v>198</v>
      </c>
    </row>
    <row r="8" spans="1:20">
      <c r="B8" s="68"/>
      <c r="C8" s="64"/>
      <c r="D8" s="57"/>
      <c r="F8" s="56" t="s">
        <v>199</v>
      </c>
      <c r="G8" s="129">
        <f>G9*'Unit Mix_vm'!$D$15</f>
        <v>204000000</v>
      </c>
      <c r="I8" s="245" t="s">
        <v>200</v>
      </c>
      <c r="J8" s="264" t="s">
        <v>63</v>
      </c>
      <c r="K8" s="240">
        <v>220</v>
      </c>
      <c r="L8" s="240">
        <v>2025</v>
      </c>
      <c r="M8" s="240">
        <v>2025</v>
      </c>
      <c r="N8" s="242">
        <v>63558280</v>
      </c>
      <c r="O8" s="36">
        <f>N8/$K8</f>
        <v>288901.27272727271</v>
      </c>
      <c r="P8" s="240">
        <f>0.34+0.5171</f>
        <v>0.85709999999999997</v>
      </c>
      <c r="Q8" s="242">
        <v>0</v>
      </c>
      <c r="R8" s="36">
        <f>Q8/$K8</f>
        <v>0</v>
      </c>
      <c r="S8" s="36">
        <f>N8*P8/100+Q8</f>
        <v>544758.01787999994</v>
      </c>
      <c r="T8" s="231">
        <f>S8/$K8</f>
        <v>2476.1728085454542</v>
      </c>
    </row>
    <row r="9" spans="1:20">
      <c r="B9" s="68" t="s">
        <v>201</v>
      </c>
      <c r="C9" s="64">
        <f>+D9*'Unit Mix_vm'!D15*12</f>
        <v>15060000</v>
      </c>
      <c r="D9" s="78">
        <f>+'Unit Mix_vm'!G15</f>
        <v>2510</v>
      </c>
      <c r="F9" s="56" t="s">
        <v>202</v>
      </c>
      <c r="G9" s="249">
        <v>408000</v>
      </c>
      <c r="I9" s="245" t="s">
        <v>203</v>
      </c>
      <c r="J9" s="264" t="s">
        <v>63</v>
      </c>
      <c r="K9" s="240">
        <v>153</v>
      </c>
      <c r="L9" s="240">
        <v>2021</v>
      </c>
      <c r="M9" s="240">
        <v>2025</v>
      </c>
      <c r="N9" s="242">
        <v>56715691</v>
      </c>
      <c r="O9" s="36">
        <f>N9/$K9</f>
        <v>370690.79084967321</v>
      </c>
      <c r="P9" s="240">
        <f>0.34+0.5171</f>
        <v>0.85709999999999997</v>
      </c>
      <c r="Q9" s="242">
        <v>3060</v>
      </c>
      <c r="R9" s="36">
        <f>Q9/$K9</f>
        <v>20</v>
      </c>
      <c r="S9" s="36">
        <f t="shared" ref="S9:S10" si="0">N9*P9/100+Q9</f>
        <v>489170.187561</v>
      </c>
      <c r="T9" s="231">
        <f>S9/$K9</f>
        <v>3197.190768372549</v>
      </c>
    </row>
    <row r="10" spans="1:20">
      <c r="B10" s="68" t="s">
        <v>204</v>
      </c>
      <c r="C10" s="80">
        <f>-D10*C9</f>
        <v>-150600</v>
      </c>
      <c r="D10" s="261">
        <v>0.01</v>
      </c>
      <c r="F10" s="56"/>
      <c r="G10" s="57"/>
      <c r="I10" s="246" t="s">
        <v>205</v>
      </c>
      <c r="J10" s="280" t="s">
        <v>63</v>
      </c>
      <c r="K10" s="247">
        <v>357</v>
      </c>
      <c r="L10" s="247">
        <v>2022</v>
      </c>
      <c r="M10" s="247">
        <v>2025</v>
      </c>
      <c r="N10" s="248">
        <v>201461895</v>
      </c>
      <c r="O10" s="228">
        <f>N10/$K10</f>
        <v>564319.03361344535</v>
      </c>
      <c r="P10" s="247">
        <f>0.34+0.5171</f>
        <v>0.85709999999999997</v>
      </c>
      <c r="Q10" s="248">
        <v>7140</v>
      </c>
      <c r="R10" s="228">
        <f>Q10/$K10</f>
        <v>20</v>
      </c>
      <c r="S10" s="228">
        <f t="shared" si="0"/>
        <v>1733869.9020449999</v>
      </c>
      <c r="T10" s="237">
        <f>S10/$K10</f>
        <v>4856.7784371008402</v>
      </c>
    </row>
    <row r="11" spans="1:20">
      <c r="B11" s="68" t="s">
        <v>206</v>
      </c>
      <c r="C11" s="80">
        <f>-D11*C9</f>
        <v>-30120</v>
      </c>
      <c r="D11" s="261">
        <f>1/'Unit Mix_vm'!$D$15</f>
        <v>2E-3</v>
      </c>
      <c r="F11" s="56" t="s">
        <v>207</v>
      </c>
      <c r="G11" s="244">
        <f>0.34+0.5171</f>
        <v>0.85709999999999997</v>
      </c>
      <c r="J11" s="281"/>
    </row>
    <row r="12" spans="1:20">
      <c r="B12" s="69" t="s">
        <v>208</v>
      </c>
      <c r="C12" s="65">
        <f>SUM(C9:C11)</f>
        <v>14879280</v>
      </c>
      <c r="D12" s="72">
        <f>IFERROR(C12/'Unit Mix_vm'!$D$15/12,0)</f>
        <v>2479.88</v>
      </c>
      <c r="F12" s="56" t="s">
        <v>209</v>
      </c>
      <c r="G12" s="129">
        <f>G13*'Unit Mix_vm'!$D$15</f>
        <v>10000</v>
      </c>
    </row>
    <row r="13" spans="1:20">
      <c r="B13" s="68"/>
      <c r="C13" s="64"/>
      <c r="D13" s="57"/>
      <c r="F13" s="56" t="s">
        <v>210</v>
      </c>
      <c r="G13" s="249">
        <v>20</v>
      </c>
      <c r="P13" s="155"/>
      <c r="R13" s="283"/>
    </row>
    <row r="14" spans="1:20">
      <c r="B14" s="68" t="s">
        <v>211</v>
      </c>
      <c r="C14" s="64">
        <f>+D14*'Unit Mix_vm'!$D$15*12</f>
        <v>1173119.9999999998</v>
      </c>
      <c r="D14" s="129">
        <f>$N$57</f>
        <v>195.51999999999998</v>
      </c>
      <c r="F14" s="56" t="s">
        <v>212</v>
      </c>
      <c r="G14" s="243">
        <v>0</v>
      </c>
      <c r="I14" s="123" t="s">
        <v>213</v>
      </c>
      <c r="J14" s="178"/>
      <c r="K14" s="124"/>
      <c r="L14" s="124" t="s">
        <v>214</v>
      </c>
      <c r="M14" s="124" t="s">
        <v>64</v>
      </c>
      <c r="N14" s="125" t="s">
        <v>73</v>
      </c>
      <c r="R14" s="155"/>
    </row>
    <row r="15" spans="1:20">
      <c r="B15" s="68" t="s">
        <v>215</v>
      </c>
      <c r="C15" s="79">
        <v>0</v>
      </c>
      <c r="D15" s="71">
        <f>IFERROR(C15/'Unit Mix_vm'!$D$15/12,0)</f>
        <v>0</v>
      </c>
      <c r="F15" s="56"/>
      <c r="G15" s="57"/>
      <c r="I15" s="189" t="s">
        <v>216</v>
      </c>
      <c r="J15" s="190"/>
      <c r="K15" s="191"/>
      <c r="L15" s="191"/>
      <c r="M15" s="191"/>
      <c r="N15" s="192"/>
      <c r="R15" s="284"/>
    </row>
    <row r="16" spans="1:20">
      <c r="B16" s="69" t="s">
        <v>217</v>
      </c>
      <c r="C16" s="65">
        <f>SUM(C14:C15,C12)</f>
        <v>16052400</v>
      </c>
      <c r="D16" s="72">
        <f>IFERROR(C16/'Unit Mix_vm'!$D$15/12,0)</f>
        <v>2675.4</v>
      </c>
      <c r="F16" s="56" t="s">
        <v>218</v>
      </c>
      <c r="G16" s="82">
        <f>(G11*G8/100+G12)*(1-G14)</f>
        <v>1758484</v>
      </c>
      <c r="I16" s="179" t="s">
        <v>219</v>
      </c>
      <c r="J16" s="173"/>
      <c r="K16" s="174"/>
      <c r="L16" s="172">
        <v>4000</v>
      </c>
      <c r="M16" s="180">
        <f>L16*12</f>
        <v>48000</v>
      </c>
      <c r="N16" s="181">
        <f>M16/'Unit Mix_vm'!$D$15</f>
        <v>96</v>
      </c>
      <c r="P16" s="155"/>
    </row>
    <row r="17" spans="2:14">
      <c r="B17" s="68"/>
      <c r="C17" s="64"/>
      <c r="D17" s="57"/>
      <c r="F17" s="56" t="s">
        <v>220</v>
      </c>
      <c r="G17" s="82">
        <f>+G16/'Unit Mix_vm'!$D$15</f>
        <v>3516.9679999999998</v>
      </c>
      <c r="I17" s="179" t="s">
        <v>221</v>
      </c>
      <c r="J17" s="173"/>
      <c r="K17" s="174"/>
      <c r="L17" s="182">
        <v>3</v>
      </c>
      <c r="M17" s="180">
        <f>L17*'Unit Mix_vm'!$D$15*12</f>
        <v>18000</v>
      </c>
      <c r="N17" s="181">
        <f>M17/'Unit Mix_vm'!$D$15</f>
        <v>36</v>
      </c>
    </row>
    <row r="18" spans="2:14">
      <c r="B18" s="68" t="s">
        <v>54</v>
      </c>
      <c r="C18" s="73">
        <f>-D18*SUM(C9,C14)</f>
        <v>-811656</v>
      </c>
      <c r="D18" s="261">
        <v>0.05</v>
      </c>
      <c r="F18" s="56"/>
      <c r="G18" s="57"/>
      <c r="I18" s="179" t="s">
        <v>222</v>
      </c>
      <c r="J18" s="173"/>
      <c r="K18" s="174"/>
      <c r="L18" s="172">
        <v>2000</v>
      </c>
      <c r="M18" s="180">
        <f>L18*12</f>
        <v>24000</v>
      </c>
      <c r="N18" s="181">
        <f>M18/'Unit Mix_vm'!$D$15</f>
        <v>48</v>
      </c>
    </row>
    <row r="19" spans="2:14">
      <c r="B19" s="68" t="s">
        <v>223</v>
      </c>
      <c r="C19" s="73">
        <f>-D19*SUM(C9,C14,C18)</f>
        <v>0</v>
      </c>
      <c r="D19" s="261">
        <v>0</v>
      </c>
      <c r="F19" s="56" t="s">
        <v>224</v>
      </c>
      <c r="G19" s="83">
        <v>0</v>
      </c>
      <c r="I19" s="179" t="s">
        <v>225</v>
      </c>
      <c r="J19" s="173"/>
      <c r="K19" s="174"/>
      <c r="L19" s="182">
        <v>10</v>
      </c>
      <c r="M19" s="180">
        <f>L19*'Unit Mix_vm'!$D$15*12</f>
        <v>60000</v>
      </c>
      <c r="N19" s="181">
        <f>M19/'Unit Mix_vm'!$D$15</f>
        <v>120</v>
      </c>
    </row>
    <row r="20" spans="2:14">
      <c r="B20" s="69" t="s">
        <v>226</v>
      </c>
      <c r="C20" s="65">
        <f>SUM(C18:C19,C16)</f>
        <v>15240744</v>
      </c>
      <c r="D20" s="72">
        <f>IFERROR(C20/#REF!/12,0)</f>
        <v>0</v>
      </c>
      <c r="F20" s="56"/>
      <c r="G20" s="57"/>
      <c r="I20" s="179" t="s">
        <v>227</v>
      </c>
      <c r="J20" s="173"/>
      <c r="K20" s="174"/>
      <c r="L20" s="182">
        <v>30</v>
      </c>
      <c r="M20" s="180">
        <f>L20*'Unit Mix_vm'!$D$15*12</f>
        <v>180000</v>
      </c>
      <c r="N20" s="181">
        <f>M20/'Unit Mix_vm'!$D$15</f>
        <v>360</v>
      </c>
    </row>
    <row r="21" spans="2:14">
      <c r="B21" s="68"/>
      <c r="C21" s="64"/>
      <c r="D21" s="57"/>
      <c r="F21" s="56" t="s">
        <v>228</v>
      </c>
      <c r="G21" s="84">
        <f>+G16+G19</f>
        <v>1758484</v>
      </c>
      <c r="I21" s="179" t="s">
        <v>229</v>
      </c>
      <c r="J21" s="173"/>
      <c r="K21" s="174"/>
      <c r="L21" s="172">
        <v>500</v>
      </c>
      <c r="M21" s="180">
        <f>L21*12</f>
        <v>6000</v>
      </c>
      <c r="N21" s="181">
        <f>M21/'Unit Mix_vm'!$D$15</f>
        <v>12</v>
      </c>
    </row>
    <row r="22" spans="2:14">
      <c r="B22" s="68" t="s">
        <v>230</v>
      </c>
      <c r="C22" s="73">
        <f>D22*C20</f>
        <v>419120.46</v>
      </c>
      <c r="D22" s="261">
        <v>2.75E-2</v>
      </c>
      <c r="F22" s="59" t="s">
        <v>231</v>
      </c>
      <c r="G22" s="85">
        <f>+G21/'Unit Mix_vm'!$D$15</f>
        <v>3516.9679999999998</v>
      </c>
      <c r="I22" s="179" t="s">
        <v>232</v>
      </c>
      <c r="J22" s="173"/>
      <c r="K22" s="174"/>
      <c r="L22" s="172">
        <v>1500</v>
      </c>
      <c r="M22" s="180">
        <f>L22*12</f>
        <v>18000</v>
      </c>
      <c r="N22" s="181">
        <f>M22/'Unit Mix_vm'!$D$15</f>
        <v>36</v>
      </c>
    </row>
    <row r="23" spans="2:14">
      <c r="B23" s="120" t="s">
        <v>233</v>
      </c>
      <c r="C23" s="130">
        <f>G21</f>
        <v>1758484</v>
      </c>
      <c r="D23" s="82">
        <f>IFERROR(C23/'Unit Mix_vm'!$D$15,0)</f>
        <v>3516.9679999999998</v>
      </c>
      <c r="I23" s="179" t="s">
        <v>234</v>
      </c>
      <c r="J23" s="173"/>
      <c r="K23" s="174"/>
      <c r="L23" s="172">
        <v>0</v>
      </c>
      <c r="M23" s="180">
        <f t="shared" ref="M23" si="1">L23*12</f>
        <v>0</v>
      </c>
      <c r="N23" s="181">
        <f>M23/'Unit Mix_vm'!$D$15</f>
        <v>0</v>
      </c>
    </row>
    <row r="24" spans="2:14">
      <c r="B24" s="68" t="s">
        <v>235</v>
      </c>
      <c r="C24" s="73">
        <f>+D24*'Unit Mix_vm'!$D$15</f>
        <v>300000</v>
      </c>
      <c r="D24" s="83">
        <v>600</v>
      </c>
      <c r="F24" s="123" t="s">
        <v>236</v>
      </c>
      <c r="G24" s="257"/>
      <c r="I24" s="187" t="s">
        <v>237</v>
      </c>
      <c r="J24" s="175"/>
      <c r="K24" s="176"/>
      <c r="L24" s="176"/>
      <c r="M24" s="177">
        <f>SUM(M16:M23)</f>
        <v>354000</v>
      </c>
      <c r="N24" s="188">
        <f>M24/'Unit Mix_vm'!$D$15</f>
        <v>708</v>
      </c>
    </row>
    <row r="25" spans="2:14">
      <c r="B25" s="68" t="s">
        <v>238</v>
      </c>
      <c r="C25" s="73">
        <f>+D25*'Unit Mix_vm'!$D$15</f>
        <v>0</v>
      </c>
      <c r="D25" s="83">
        <v>0</v>
      </c>
      <c r="F25" s="225" t="s">
        <v>76</v>
      </c>
      <c r="G25" s="226">
        <f>Budget_vm!E8</f>
        <v>53400</v>
      </c>
      <c r="I25" s="189" t="s">
        <v>239</v>
      </c>
      <c r="J25" s="190"/>
      <c r="K25" s="191"/>
      <c r="L25" s="191"/>
      <c r="M25" s="191"/>
      <c r="N25" s="192"/>
    </row>
    <row r="26" spans="2:14">
      <c r="B26" s="68" t="s">
        <v>240</v>
      </c>
      <c r="C26" s="73">
        <f>+D26*'Unit Mix_vm'!$D$15</f>
        <v>0</v>
      </c>
      <c r="D26" s="83">
        <v>0</v>
      </c>
      <c r="F26" s="56" t="s">
        <v>95</v>
      </c>
      <c r="G26" s="223">
        <f>Budget_vm!E67</f>
        <v>180000</v>
      </c>
      <c r="I26" s="179" t="s">
        <v>241</v>
      </c>
      <c r="J26" s="173"/>
      <c r="K26" s="174"/>
      <c r="L26" s="182">
        <v>50</v>
      </c>
      <c r="M26" s="180">
        <f>L26*'Unit Mix_vm'!$D$15*12*5%</f>
        <v>15000</v>
      </c>
      <c r="N26" s="181">
        <f>M26/'Unit Mix_vm'!$D$15</f>
        <v>30</v>
      </c>
    </row>
    <row r="27" spans="2:14">
      <c r="B27" s="68" t="s">
        <v>239</v>
      </c>
      <c r="C27" s="73">
        <f>+D27*'Unit Mix_vm'!$D$15</f>
        <v>255900</v>
      </c>
      <c r="D27" s="129">
        <f>N32</f>
        <v>511.8</v>
      </c>
      <c r="F27" s="225" t="s">
        <v>64</v>
      </c>
      <c r="G27" s="224">
        <f>SUM(G25:G26)</f>
        <v>233400</v>
      </c>
      <c r="I27" s="179" t="s">
        <v>242</v>
      </c>
      <c r="J27" s="173"/>
      <c r="K27" s="174"/>
      <c r="L27" s="182">
        <v>75</v>
      </c>
      <c r="M27" s="180">
        <f>L27*12</f>
        <v>900</v>
      </c>
      <c r="N27" s="181">
        <f>M27/'Unit Mix_vm'!$D$15</f>
        <v>1.8</v>
      </c>
    </row>
    <row r="28" spans="2:14">
      <c r="B28" s="68" t="s">
        <v>216</v>
      </c>
      <c r="C28" s="73">
        <f>+D28*'Unit Mix_vm'!$D$15</f>
        <v>354000</v>
      </c>
      <c r="D28" s="129">
        <f>N24</f>
        <v>708</v>
      </c>
      <c r="F28" s="59" t="s">
        <v>75</v>
      </c>
      <c r="G28" s="227">
        <f>G27/G9</f>
        <v>0.57205882352941173</v>
      </c>
      <c r="I28" s="179" t="s">
        <v>243</v>
      </c>
      <c r="J28" s="173"/>
      <c r="K28" s="174"/>
      <c r="L28" s="172">
        <v>5000</v>
      </c>
      <c r="M28" s="180">
        <f>L28*12</f>
        <v>60000</v>
      </c>
      <c r="N28" s="181">
        <f>M28/'Unit Mix_vm'!$D$15</f>
        <v>120</v>
      </c>
    </row>
    <row r="29" spans="2:14">
      <c r="B29" s="68" t="s">
        <v>244</v>
      </c>
      <c r="C29" s="73">
        <f>+D29*'Unit Mix_vm'!$D$15</f>
        <v>125000</v>
      </c>
      <c r="D29" s="83">
        <v>250</v>
      </c>
      <c r="I29" s="179" t="s">
        <v>245</v>
      </c>
      <c r="J29" s="173"/>
      <c r="K29" s="174"/>
      <c r="L29" s="182">
        <v>30</v>
      </c>
      <c r="M29" s="180">
        <f>L29*'Unit Mix_vm'!$D$15*12</f>
        <v>180000</v>
      </c>
      <c r="N29" s="181">
        <f>M29/'Unit Mix_vm'!$D$15</f>
        <v>360</v>
      </c>
    </row>
    <row r="30" spans="2:14">
      <c r="B30" s="68" t="s">
        <v>246</v>
      </c>
      <c r="C30" s="73">
        <f>+D30*'Unit Mix_vm'!$D$15</f>
        <v>137500</v>
      </c>
      <c r="D30" s="83">
        <v>275</v>
      </c>
      <c r="I30" s="179" t="s">
        <v>247</v>
      </c>
      <c r="J30" s="173"/>
      <c r="K30" s="174"/>
      <c r="L30" s="182">
        <v>0</v>
      </c>
      <c r="M30" s="180">
        <f>L30*'Unit Mix_vm'!$D$15*12*5%</f>
        <v>0</v>
      </c>
      <c r="N30" s="181">
        <f>M30/'Unit Mix_vm'!$D$15</f>
        <v>0</v>
      </c>
    </row>
    <row r="31" spans="2:14">
      <c r="B31" s="68" t="s">
        <v>248</v>
      </c>
      <c r="C31" s="73">
        <f>+D31*'Unit Mix_vm'!$D$15</f>
        <v>15000</v>
      </c>
      <c r="D31" s="83">
        <v>30</v>
      </c>
      <c r="I31" s="179" t="s">
        <v>234</v>
      </c>
      <c r="J31" s="173"/>
      <c r="K31" s="174"/>
      <c r="L31" s="172">
        <v>0</v>
      </c>
      <c r="M31" s="180">
        <f t="shared" ref="M31" si="2">L31*12</f>
        <v>0</v>
      </c>
      <c r="N31" s="181">
        <f>M31/'Unit Mix_vm'!$D$15</f>
        <v>0</v>
      </c>
    </row>
    <row r="32" spans="2:14">
      <c r="B32" s="68" t="s">
        <v>249</v>
      </c>
      <c r="C32" s="73">
        <f>+D32*'Unit Mix_vm'!$D$15</f>
        <v>175000</v>
      </c>
      <c r="D32" s="83">
        <v>350</v>
      </c>
      <c r="I32" s="183" t="s">
        <v>250</v>
      </c>
      <c r="J32" s="184"/>
      <c r="K32" s="185"/>
      <c r="L32" s="185"/>
      <c r="M32" s="171">
        <f>SUM(M26:M31)</f>
        <v>255900</v>
      </c>
      <c r="N32" s="186">
        <f>M32/'Unit Mix_vm'!$D$15</f>
        <v>511.8</v>
      </c>
    </row>
    <row r="33" spans="2:15">
      <c r="B33" s="68" t="s">
        <v>251</v>
      </c>
      <c r="C33" s="73">
        <f>+D33*'Unit Mix_vm'!$D$15</f>
        <v>478301.04</v>
      </c>
      <c r="D33" s="129">
        <f>N46</f>
        <v>956.60208</v>
      </c>
      <c r="F33" s="30"/>
      <c r="I33" s="189" t="s">
        <v>251</v>
      </c>
      <c r="J33" s="190"/>
      <c r="K33" s="191"/>
      <c r="L33" s="191"/>
      <c r="M33" s="191"/>
      <c r="N33" s="192"/>
    </row>
    <row r="34" spans="2:15">
      <c r="B34" s="68" t="s">
        <v>252</v>
      </c>
      <c r="C34" s="73">
        <f>+D34*'Unit Mix_vm'!$D$15</f>
        <v>100000</v>
      </c>
      <c r="D34" s="83">
        <v>200</v>
      </c>
      <c r="I34" s="193" t="s">
        <v>253</v>
      </c>
      <c r="J34" s="173"/>
      <c r="K34" s="194">
        <v>35</v>
      </c>
      <c r="L34" s="195">
        <v>2080</v>
      </c>
      <c r="M34" s="196">
        <f>K34*L34</f>
        <v>72800</v>
      </c>
      <c r="N34" s="197">
        <f>M34/'Unit Mix_vm'!$D$15</f>
        <v>145.6</v>
      </c>
    </row>
    <row r="35" spans="2:15">
      <c r="B35" s="68" t="s">
        <v>254</v>
      </c>
      <c r="C35" s="73">
        <f>+D35*'Unit Mix_vm'!$D$15</f>
        <v>75000</v>
      </c>
      <c r="D35" s="83">
        <v>150</v>
      </c>
      <c r="I35" s="198" t="s">
        <v>255</v>
      </c>
      <c r="J35" s="173"/>
      <c r="K35" s="172"/>
      <c r="L35" s="199">
        <v>0.2</v>
      </c>
      <c r="M35" s="196">
        <f>M34*L35</f>
        <v>14560</v>
      </c>
      <c r="N35" s="197">
        <f>M35/'Unit Mix_vm'!$D$15</f>
        <v>29.12</v>
      </c>
    </row>
    <row r="36" spans="2:15">
      <c r="B36" s="68" t="s">
        <v>256</v>
      </c>
      <c r="C36" s="73">
        <f>+D36*'Unit Mix_vm'!$D$15</f>
        <v>0</v>
      </c>
      <c r="D36" s="83">
        <v>0</v>
      </c>
      <c r="I36" s="193" t="s">
        <v>257</v>
      </c>
      <c r="J36" s="173"/>
      <c r="K36" s="194">
        <v>25</v>
      </c>
      <c r="L36" s="195">
        <v>2080</v>
      </c>
      <c r="M36" s="196">
        <f>K36*L36</f>
        <v>52000</v>
      </c>
      <c r="N36" s="197">
        <f>M36/'Unit Mix_vm'!$D$15</f>
        <v>104</v>
      </c>
    </row>
    <row r="37" spans="2:15">
      <c r="B37" s="69" t="s">
        <v>258</v>
      </c>
      <c r="C37" s="65">
        <f>+SUM(C22:C36)</f>
        <v>4193305.5</v>
      </c>
      <c r="D37" s="72">
        <f>IFERROR(C37/'Unit Mix_vm'!$D$15,0)</f>
        <v>8386.6110000000008</v>
      </c>
      <c r="I37" s="198" t="s">
        <v>255</v>
      </c>
      <c r="J37" s="173"/>
      <c r="K37" s="172"/>
      <c r="L37" s="199">
        <v>0</v>
      </c>
      <c r="M37" s="196">
        <f>M36*L37</f>
        <v>0</v>
      </c>
      <c r="N37" s="197">
        <f>M37/'Unit Mix_vm'!$D$15</f>
        <v>0</v>
      </c>
    </row>
    <row r="38" spans="2:15">
      <c r="B38" s="56"/>
      <c r="C38" s="64"/>
      <c r="D38" s="57"/>
      <c r="I38" s="193" t="s">
        <v>259</v>
      </c>
      <c r="J38" s="173"/>
      <c r="K38" s="194">
        <v>20</v>
      </c>
      <c r="L38" s="195">
        <v>2080</v>
      </c>
      <c r="M38" s="196">
        <f>K38*L38</f>
        <v>41600</v>
      </c>
      <c r="N38" s="197">
        <f>M38/'Unit Mix_vm'!$D$15</f>
        <v>83.2</v>
      </c>
    </row>
    <row r="39" spans="2:15">
      <c r="B39" s="68" t="s">
        <v>260</v>
      </c>
      <c r="C39" s="64">
        <f>+C20-C37</f>
        <v>11047438.5</v>
      </c>
      <c r="D39" s="71">
        <f>IFERROR(C39/#REF!,0)</f>
        <v>0</v>
      </c>
      <c r="F39" s="282"/>
      <c r="I39" s="193" t="s">
        <v>261</v>
      </c>
      <c r="J39" s="173"/>
      <c r="K39" s="194">
        <v>0</v>
      </c>
      <c r="L39" s="195">
        <v>0</v>
      </c>
      <c r="M39" s="196">
        <f>K39*L39</f>
        <v>0</v>
      </c>
      <c r="N39" s="197">
        <f>M39/'Unit Mix_vm'!$D$15</f>
        <v>0</v>
      </c>
    </row>
    <row r="40" spans="2:15">
      <c r="B40" s="70" t="s">
        <v>262</v>
      </c>
      <c r="C40" s="66">
        <f>IFERROR(C39/C20,0)</f>
        <v>0.72486215239885932</v>
      </c>
      <c r="D40" s="57"/>
      <c r="I40" s="193" t="s">
        <v>263</v>
      </c>
      <c r="J40" s="173"/>
      <c r="K40" s="194">
        <v>32</v>
      </c>
      <c r="L40" s="195">
        <v>2080</v>
      </c>
      <c r="M40" s="196">
        <f>K40*L40</f>
        <v>66560</v>
      </c>
      <c r="N40" s="197">
        <f>M40/'Unit Mix_vm'!$D$15</f>
        <v>133.12</v>
      </c>
    </row>
    <row r="41" spans="2:15">
      <c r="B41" s="56"/>
      <c r="C41" s="56"/>
      <c r="D41" s="57"/>
      <c r="I41" s="198" t="s">
        <v>255</v>
      </c>
      <c r="J41" s="173"/>
      <c r="K41" s="172"/>
      <c r="L41" s="199">
        <v>0.1</v>
      </c>
      <c r="M41" s="196">
        <f>M40*L41</f>
        <v>6656</v>
      </c>
      <c r="N41" s="197">
        <f>M41/'Unit Mix_vm'!$D$15</f>
        <v>13.311999999999999</v>
      </c>
    </row>
    <row r="42" spans="2:15">
      <c r="B42" s="62" t="s">
        <v>264</v>
      </c>
      <c r="C42" s="67">
        <f ca="1">C39/Budget_vm!D86</f>
        <v>7.7565446574596644E-2</v>
      </c>
      <c r="D42" s="63"/>
      <c r="I42" s="193" t="s">
        <v>265</v>
      </c>
      <c r="J42" s="173"/>
      <c r="K42" s="194">
        <v>20</v>
      </c>
      <c r="L42" s="195">
        <v>2080</v>
      </c>
      <c r="M42" s="196">
        <f>K42*L42</f>
        <v>41600</v>
      </c>
      <c r="N42" s="197">
        <f>M42/'Unit Mix_vm'!$D$15</f>
        <v>83.2</v>
      </c>
    </row>
    <row r="43" spans="2:15">
      <c r="I43" s="193" t="s">
        <v>266</v>
      </c>
      <c r="J43" s="173"/>
      <c r="K43" s="194">
        <v>0</v>
      </c>
      <c r="L43" s="195">
        <v>0</v>
      </c>
      <c r="M43" s="196">
        <f>K43*L43</f>
        <v>0</v>
      </c>
      <c r="N43" s="197">
        <f>M43/'Unit Mix_vm'!$D$15</f>
        <v>0</v>
      </c>
    </row>
    <row r="44" spans="2:15">
      <c r="I44" s="193" t="s">
        <v>267</v>
      </c>
      <c r="J44" s="173"/>
      <c r="K44" s="172"/>
      <c r="L44" s="203">
        <v>150</v>
      </c>
      <c r="M44" s="196">
        <f>L44*'Unit Mix_vm'!D15</f>
        <v>75000</v>
      </c>
      <c r="N44" s="197">
        <f>M44/'Unit Mix_vm'!$D$15</f>
        <v>150</v>
      </c>
    </row>
    <row r="45" spans="2:15">
      <c r="I45" s="193" t="s">
        <v>268</v>
      </c>
      <c r="J45" s="173"/>
      <c r="K45" s="172"/>
      <c r="L45" s="199">
        <v>0.28999999999999998</v>
      </c>
      <c r="M45" s="196">
        <f>SUM(M34:M44)*L45</f>
        <v>107525.04</v>
      </c>
      <c r="N45" s="197">
        <f>M45/'Unit Mix_vm'!$D$15</f>
        <v>215.05007999999998</v>
      </c>
    </row>
    <row r="46" spans="2:15">
      <c r="I46" s="200" t="s">
        <v>269</v>
      </c>
      <c r="J46" s="184"/>
      <c r="K46" s="184"/>
      <c r="L46" s="184"/>
      <c r="M46" s="201">
        <f>SUM(M34:M45)</f>
        <v>478301.04</v>
      </c>
      <c r="N46" s="202">
        <f>M46/'Unit Mix_vm'!$D$15</f>
        <v>956.60208</v>
      </c>
      <c r="O46" s="238"/>
    </row>
    <row r="48" spans="2:15">
      <c r="I48" s="189" t="s">
        <v>211</v>
      </c>
      <c r="J48" s="229" t="s">
        <v>39</v>
      </c>
      <c r="K48" s="229" t="s">
        <v>38</v>
      </c>
      <c r="L48" s="229" t="s">
        <v>214</v>
      </c>
      <c r="M48" s="229" t="s">
        <v>64</v>
      </c>
      <c r="N48" s="230" t="s">
        <v>270</v>
      </c>
    </row>
    <row r="49" spans="9:16">
      <c r="I49" s="193" t="s">
        <v>271</v>
      </c>
      <c r="J49" s="251">
        <v>1</v>
      </c>
      <c r="K49" s="252">
        <f>'Unit Mix_vm'!$D$15</f>
        <v>500</v>
      </c>
      <c r="L49" s="182">
        <v>65</v>
      </c>
      <c r="M49" s="180">
        <f>L49*K49*J49*12</f>
        <v>390000</v>
      </c>
      <c r="N49" s="253">
        <f>M49/'Unit Mix_vm'!$D$15/12</f>
        <v>65</v>
      </c>
      <c r="O49" s="36"/>
      <c r="P49" s="239"/>
    </row>
    <row r="50" spans="9:16">
      <c r="I50" s="193" t="s">
        <v>272</v>
      </c>
      <c r="J50" s="251">
        <v>1</v>
      </c>
      <c r="K50" s="252">
        <f>'Unit Mix_vm'!$D$15</f>
        <v>500</v>
      </c>
      <c r="L50" s="182">
        <v>70</v>
      </c>
      <c r="M50" s="180">
        <f t="shared" ref="M50:M55" si="3">L50*K50*J50*12</f>
        <v>420000</v>
      </c>
      <c r="N50" s="253">
        <f>M50/'Unit Mix_vm'!$D$15/12</f>
        <v>70</v>
      </c>
    </row>
    <row r="51" spans="9:16">
      <c r="I51" s="193" t="s">
        <v>225</v>
      </c>
      <c r="J51" s="251">
        <v>1</v>
      </c>
      <c r="K51" s="252">
        <f>'Unit Mix_vm'!$D$15</f>
        <v>500</v>
      </c>
      <c r="L51" s="182">
        <v>25</v>
      </c>
      <c r="M51" s="180">
        <f t="shared" si="3"/>
        <v>150000</v>
      </c>
      <c r="N51" s="253">
        <f>M51/'Unit Mix_vm'!$D$15/12</f>
        <v>25</v>
      </c>
    </row>
    <row r="52" spans="9:16">
      <c r="I52" s="193" t="s">
        <v>221</v>
      </c>
      <c r="J52" s="251">
        <v>1</v>
      </c>
      <c r="K52" s="252">
        <f>'Unit Mix_vm'!$D$15</f>
        <v>500</v>
      </c>
      <c r="L52" s="182">
        <v>5</v>
      </c>
      <c r="M52" s="180">
        <f t="shared" si="3"/>
        <v>30000</v>
      </c>
      <c r="N52" s="253">
        <f>M52/'Unit Mix_vm'!$D$15/12</f>
        <v>5</v>
      </c>
    </row>
    <row r="53" spans="9:16">
      <c r="I53" s="193" t="s">
        <v>245</v>
      </c>
      <c r="J53" s="251">
        <v>0.9</v>
      </c>
      <c r="K53" s="252">
        <f>'Unit Mix_vm'!$D$15</f>
        <v>500</v>
      </c>
      <c r="L53" s="254">
        <f>$L$29</f>
        <v>30</v>
      </c>
      <c r="M53" s="180">
        <f t="shared" si="3"/>
        <v>162000</v>
      </c>
      <c r="N53" s="253">
        <f>M53/'Unit Mix_vm'!$D$15/12</f>
        <v>27</v>
      </c>
    </row>
    <row r="54" spans="9:16">
      <c r="I54" s="193" t="s">
        <v>273</v>
      </c>
      <c r="J54" s="251">
        <v>1</v>
      </c>
      <c r="K54" s="255">
        <v>32</v>
      </c>
      <c r="L54" s="256">
        <v>55</v>
      </c>
      <c r="M54" s="180">
        <f t="shared" si="3"/>
        <v>21120</v>
      </c>
      <c r="N54" s="253">
        <f>M54/'Unit Mix_vm'!$D$15/12</f>
        <v>3.52</v>
      </c>
    </row>
    <row r="55" spans="9:16">
      <c r="I55" s="193" t="s">
        <v>274</v>
      </c>
      <c r="J55" s="251">
        <v>1</v>
      </c>
      <c r="K55" s="255">
        <v>0</v>
      </c>
      <c r="L55" s="256">
        <v>200</v>
      </c>
      <c r="M55" s="180">
        <f t="shared" si="3"/>
        <v>0</v>
      </c>
      <c r="N55" s="253">
        <f>M55/'Unit Mix_vm'!$D$15/12</f>
        <v>0</v>
      </c>
    </row>
    <row r="56" spans="9:16">
      <c r="I56" s="193" t="s">
        <v>275</v>
      </c>
      <c r="J56" s="251">
        <v>1</v>
      </c>
      <c r="K56" s="252">
        <f>'Unit Mix_vm'!$D$15</f>
        <v>500</v>
      </c>
      <c r="L56" s="182">
        <v>0</v>
      </c>
      <c r="M56" s="180">
        <f t="shared" ref="M56" si="4">L56*K56*J56*12</f>
        <v>0</v>
      </c>
      <c r="N56" s="253">
        <f>M56/'Unit Mix_vm'!$D$15/12</f>
        <v>0</v>
      </c>
    </row>
    <row r="57" spans="9:16">
      <c r="I57" s="232" t="s">
        <v>276</v>
      </c>
      <c r="J57" s="233"/>
      <c r="K57" s="234"/>
      <c r="L57" s="235"/>
      <c r="M57" s="128">
        <f>SUM(M49:M56)</f>
        <v>1173120</v>
      </c>
      <c r="N57" s="236">
        <f>M57/'Unit Mix_vm'!$D$15/12</f>
        <v>195.51999999999998</v>
      </c>
    </row>
  </sheetData>
  <hyperlinks>
    <hyperlink ref="J9" r:id="rId1" xr:uid="{86B72F93-7092-4035-BBCE-D8C28B73A723}"/>
    <hyperlink ref="J8" r:id="rId2" xr:uid="{79698CEF-F47D-4279-81FB-EBDFC3AC82D4}"/>
    <hyperlink ref="J10" r:id="rId3" xr:uid="{0EE01984-608C-4EE1-AEEA-FC03A593BE30}"/>
  </hyperlinks>
  <pageMargins left="0.7" right="0.7" top="0.75" bottom="0.75" header="0.3" footer="0.3"/>
  <pageSetup orientation="portrait" verticalDpi="0" r:id="rId4"/>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3209-103F-4CE9-B553-D1EFB24DAB70}">
  <sheetPr>
    <tabColor theme="1"/>
  </sheetPr>
  <dimension ref="B2"/>
  <sheetViews>
    <sheetView showGridLines="0" workbookViewId="0"/>
  </sheetViews>
  <sheetFormatPr defaultColWidth="8.85546875" defaultRowHeight="14.45"/>
  <cols>
    <col min="1" max="1" width="3.7109375" customWidth="1"/>
  </cols>
  <sheetData>
    <row r="2" spans="2:2" ht="130.9">
      <c r="B2" s="77" t="s">
        <v>277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D7F2-1156-4F7A-94C7-7E606C6E31A9}">
  <sheetPr>
    <tabColor theme="1"/>
  </sheetPr>
  <dimension ref="B2:B3"/>
  <sheetViews>
    <sheetView showGridLines="0" workbookViewId="0">
      <selection activeCell="B1" sqref="B1"/>
    </sheetView>
  </sheetViews>
  <sheetFormatPr defaultColWidth="8.85546875" defaultRowHeight="14.45"/>
  <cols>
    <col min="1" max="1" width="3.7109375" customWidth="1"/>
  </cols>
  <sheetData>
    <row r="2" spans="2:2" ht="130.9">
      <c r="B2" s="77" t="s">
        <v>278</v>
      </c>
    </row>
    <row r="3" spans="2:2" ht="130.9">
      <c r="B3" s="77" t="s">
        <v>279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AA71-5021-4F42-A922-844592EA0A94}">
  <sheetPr>
    <tabColor theme="3" tint="0.89999084444715716"/>
  </sheetPr>
  <dimension ref="A1:BV83"/>
  <sheetViews>
    <sheetView showGridLines="0" workbookViewId="0">
      <pane xSplit="2" ySplit="6" topLeftCell="C7"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11" width="14.7109375" style="4" customWidth="1"/>
    <col min="12" max="12" width="3.7109375" style="4" customWidth="1"/>
    <col min="13" max="72" width="14.7109375" style="4" customWidth="1"/>
    <col min="73" max="73" width="3.7109375" style="4" customWidth="1"/>
    <col min="74" max="16384" width="8.85546875" style="4"/>
  </cols>
  <sheetData>
    <row r="1" spans="1:74" ht="25.9">
      <c r="A1" s="7" t="str">
        <f>TEXT(Global!$C$7,"")</f>
        <v>607 Cedar St</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s="5"/>
    </row>
    <row r="2" spans="1:74" ht="20.45" thickBot="1">
      <c r="A2" s="8" t="s">
        <v>280</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5"/>
    </row>
    <row r="5" spans="1:7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5"/>
    </row>
    <row r="6" spans="1:74" ht="28.9">
      <c r="A6"/>
      <c r="B6" s="10"/>
      <c r="C6" s="89" t="s">
        <v>281</v>
      </c>
      <c r="D6" s="89" t="s">
        <v>282</v>
      </c>
      <c r="E6" s="89" t="s">
        <v>283</v>
      </c>
      <c r="F6" s="89" t="s">
        <v>284</v>
      </c>
      <c r="G6" s="89" t="s">
        <v>285</v>
      </c>
      <c r="H6" s="89" t="s">
        <v>286</v>
      </c>
      <c r="I6" s="89" t="s">
        <v>287</v>
      </c>
      <c r="J6" s="89" t="s">
        <v>288</v>
      </c>
      <c r="K6" s="89" t="s">
        <v>289</v>
      </c>
      <c r="L6"/>
      <c r="M6" s="112">
        <v>45382</v>
      </c>
      <c r="N6" s="109">
        <f>EOMONTH(M6,1)</f>
        <v>45412</v>
      </c>
      <c r="O6" s="109">
        <f t="shared" ref="O6:AQ6" si="0">EOMONTH(N6,1)</f>
        <v>45443</v>
      </c>
      <c r="P6" s="109">
        <f t="shared" si="0"/>
        <v>45473</v>
      </c>
      <c r="Q6" s="109">
        <f t="shared" si="0"/>
        <v>45504</v>
      </c>
      <c r="R6" s="109">
        <f t="shared" si="0"/>
        <v>45535</v>
      </c>
      <c r="S6" s="109">
        <f t="shared" si="0"/>
        <v>45565</v>
      </c>
      <c r="T6" s="109">
        <f t="shared" si="0"/>
        <v>45596</v>
      </c>
      <c r="U6" s="109">
        <f t="shared" si="0"/>
        <v>45626</v>
      </c>
      <c r="V6" s="109">
        <f t="shared" si="0"/>
        <v>45657</v>
      </c>
      <c r="W6" s="109">
        <f t="shared" si="0"/>
        <v>45688</v>
      </c>
      <c r="X6" s="109">
        <f t="shared" si="0"/>
        <v>45716</v>
      </c>
      <c r="Y6" s="109">
        <f t="shared" si="0"/>
        <v>45747</v>
      </c>
      <c r="Z6" s="109">
        <f t="shared" si="0"/>
        <v>45777</v>
      </c>
      <c r="AA6" s="109">
        <f t="shared" si="0"/>
        <v>45808</v>
      </c>
      <c r="AB6" s="109">
        <f t="shared" si="0"/>
        <v>45838</v>
      </c>
      <c r="AC6" s="109">
        <f t="shared" si="0"/>
        <v>45869</v>
      </c>
      <c r="AD6" s="109">
        <f t="shared" si="0"/>
        <v>45900</v>
      </c>
      <c r="AE6" s="109">
        <f t="shared" si="0"/>
        <v>45930</v>
      </c>
      <c r="AF6" s="109">
        <f t="shared" si="0"/>
        <v>45961</v>
      </c>
      <c r="AG6" s="109">
        <f t="shared" si="0"/>
        <v>45991</v>
      </c>
      <c r="AH6" s="109">
        <f t="shared" si="0"/>
        <v>46022</v>
      </c>
      <c r="AI6" s="109">
        <f t="shared" si="0"/>
        <v>46053</v>
      </c>
      <c r="AJ6" s="109">
        <f t="shared" si="0"/>
        <v>46081</v>
      </c>
      <c r="AK6" s="109">
        <f t="shared" si="0"/>
        <v>46112</v>
      </c>
      <c r="AL6" s="109">
        <f t="shared" si="0"/>
        <v>46142</v>
      </c>
      <c r="AM6" s="109">
        <f t="shared" si="0"/>
        <v>46173</v>
      </c>
      <c r="AN6" s="109">
        <f t="shared" si="0"/>
        <v>46203</v>
      </c>
      <c r="AO6" s="109">
        <f t="shared" si="0"/>
        <v>46234</v>
      </c>
      <c r="AP6" s="109">
        <f t="shared" si="0"/>
        <v>46265</v>
      </c>
      <c r="AQ6" s="109">
        <f t="shared" si="0"/>
        <v>46295</v>
      </c>
      <c r="AR6" s="109">
        <f t="shared" ref="AR6:BI6" si="1">EOMONTH(AQ6,1)</f>
        <v>46326</v>
      </c>
      <c r="AS6" s="109">
        <f t="shared" si="1"/>
        <v>46356</v>
      </c>
      <c r="AT6" s="109">
        <f t="shared" si="1"/>
        <v>46387</v>
      </c>
      <c r="AU6" s="109">
        <f t="shared" si="1"/>
        <v>46418</v>
      </c>
      <c r="AV6" s="109">
        <f t="shared" si="1"/>
        <v>46446</v>
      </c>
      <c r="AW6" s="109">
        <f t="shared" si="1"/>
        <v>46477</v>
      </c>
      <c r="AX6" s="109">
        <f t="shared" si="1"/>
        <v>46507</v>
      </c>
      <c r="AY6" s="109">
        <f t="shared" si="1"/>
        <v>46538</v>
      </c>
      <c r="AZ6" s="109">
        <f t="shared" si="1"/>
        <v>46568</v>
      </c>
      <c r="BA6" s="109">
        <f t="shared" si="1"/>
        <v>46599</v>
      </c>
      <c r="BB6" s="109">
        <f t="shared" si="1"/>
        <v>46630</v>
      </c>
      <c r="BC6" s="109">
        <f t="shared" si="1"/>
        <v>46660</v>
      </c>
      <c r="BD6" s="109">
        <f t="shared" si="1"/>
        <v>46691</v>
      </c>
      <c r="BE6" s="109">
        <f t="shared" si="1"/>
        <v>46721</v>
      </c>
      <c r="BF6" s="109">
        <f t="shared" si="1"/>
        <v>46752</v>
      </c>
      <c r="BG6" s="109">
        <f t="shared" si="1"/>
        <v>46783</v>
      </c>
      <c r="BH6" s="109">
        <f t="shared" si="1"/>
        <v>46812</v>
      </c>
      <c r="BI6" s="109">
        <f t="shared" si="1"/>
        <v>46843</v>
      </c>
      <c r="BJ6" s="109">
        <f t="shared" ref="BJ6:BO6" si="2">EOMONTH(BI6,1)</f>
        <v>46873</v>
      </c>
      <c r="BK6" s="109">
        <f t="shared" si="2"/>
        <v>46904</v>
      </c>
      <c r="BL6" s="109">
        <f t="shared" si="2"/>
        <v>46934</v>
      </c>
      <c r="BM6" s="109">
        <f t="shared" si="2"/>
        <v>46965</v>
      </c>
      <c r="BN6" s="109">
        <f t="shared" si="2"/>
        <v>46996</v>
      </c>
      <c r="BO6" s="109">
        <f t="shared" si="2"/>
        <v>47026</v>
      </c>
      <c r="BP6" s="109">
        <f t="shared" ref="BP6:BS6" si="3">EOMONTH(BO6,1)</f>
        <v>47057</v>
      </c>
      <c r="BQ6" s="109">
        <f t="shared" si="3"/>
        <v>47087</v>
      </c>
      <c r="BR6" s="109">
        <f t="shared" si="3"/>
        <v>47118</v>
      </c>
      <c r="BS6" s="109">
        <f t="shared" si="3"/>
        <v>47149</v>
      </c>
      <c r="BT6" s="110">
        <f t="shared" ref="BT6" si="4">EOMONTH(BS6,1)</f>
        <v>47177</v>
      </c>
      <c r="BU6"/>
      <c r="BV6" s="5"/>
    </row>
    <row r="7" spans="1:74">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s="5"/>
    </row>
    <row r="8" spans="1:74">
      <c r="A8"/>
      <c r="B8" t="s">
        <v>290</v>
      </c>
      <c r="C8"/>
      <c r="D8"/>
      <c r="E8"/>
      <c r="F8"/>
      <c r="G8"/>
      <c r="H8"/>
      <c r="I8"/>
      <c r="J8"/>
      <c r="K8"/>
      <c r="L8"/>
      <c r="M8" s="111" t="s">
        <v>291</v>
      </c>
      <c r="N8" s="111" t="s">
        <v>291</v>
      </c>
      <c r="O8" s="111" t="s">
        <v>291</v>
      </c>
      <c r="P8" s="111" t="s">
        <v>291</v>
      </c>
      <c r="Q8" s="111" t="s">
        <v>291</v>
      </c>
      <c r="R8" s="111" t="s">
        <v>291</v>
      </c>
      <c r="S8" s="111" t="s">
        <v>291</v>
      </c>
      <c r="T8" s="111" t="s">
        <v>291</v>
      </c>
      <c r="U8" s="111" t="s">
        <v>291</v>
      </c>
      <c r="V8" s="111" t="s">
        <v>291</v>
      </c>
      <c r="W8" s="111" t="s">
        <v>291</v>
      </c>
      <c r="X8" s="111" t="s">
        <v>291</v>
      </c>
      <c r="Y8" s="111" t="s">
        <v>291</v>
      </c>
      <c r="Z8" s="111" t="s">
        <v>291</v>
      </c>
      <c r="AA8" s="111" t="s">
        <v>291</v>
      </c>
      <c r="AB8" s="111" t="s">
        <v>291</v>
      </c>
      <c r="AC8" s="111" t="s">
        <v>291</v>
      </c>
      <c r="AD8" s="111" t="s">
        <v>291</v>
      </c>
      <c r="AE8" s="111" t="s">
        <v>291</v>
      </c>
      <c r="AF8" s="111" t="s">
        <v>291</v>
      </c>
      <c r="AG8" s="111" t="s">
        <v>291</v>
      </c>
      <c r="AH8" s="111" t="s">
        <v>291</v>
      </c>
      <c r="AI8" s="111" t="s">
        <v>291</v>
      </c>
      <c r="AJ8" s="111" t="s">
        <v>291</v>
      </c>
      <c r="AK8" s="111" t="s">
        <v>291</v>
      </c>
      <c r="AL8" s="111" t="s">
        <v>291</v>
      </c>
      <c r="AM8" s="111" t="s">
        <v>291</v>
      </c>
      <c r="AN8" s="111" t="s">
        <v>291</v>
      </c>
      <c r="AO8" s="111" t="s">
        <v>291</v>
      </c>
      <c r="AP8" s="111" t="s">
        <v>291</v>
      </c>
      <c r="AQ8" s="111" t="s">
        <v>291</v>
      </c>
      <c r="AR8" s="111" t="s">
        <v>291</v>
      </c>
      <c r="AS8" s="111" t="s">
        <v>291</v>
      </c>
      <c r="AT8" s="111" t="s">
        <v>291</v>
      </c>
      <c r="AU8" s="111" t="s">
        <v>291</v>
      </c>
      <c r="AV8" s="111" t="s">
        <v>291</v>
      </c>
      <c r="AW8" s="111" t="s">
        <v>291</v>
      </c>
      <c r="AX8" s="111" t="s">
        <v>291</v>
      </c>
      <c r="AY8" s="111" t="s">
        <v>291</v>
      </c>
      <c r="AZ8" s="111" t="s">
        <v>291</v>
      </c>
      <c r="BA8" s="111" t="s">
        <v>291</v>
      </c>
      <c r="BB8" s="111" t="s">
        <v>291</v>
      </c>
      <c r="BC8" s="111" t="s">
        <v>291</v>
      </c>
      <c r="BD8" s="111" t="s">
        <v>291</v>
      </c>
      <c r="BE8" s="111" t="s">
        <v>291</v>
      </c>
      <c r="BF8" s="111" t="s">
        <v>291</v>
      </c>
      <c r="BG8" s="111" t="s">
        <v>291</v>
      </c>
      <c r="BH8" s="111" t="s">
        <v>291</v>
      </c>
      <c r="BI8" s="111" t="s">
        <v>291</v>
      </c>
      <c r="BJ8" s="111" t="s">
        <v>291</v>
      </c>
      <c r="BK8" s="111" t="s">
        <v>291</v>
      </c>
      <c r="BL8" s="111" t="s">
        <v>291</v>
      </c>
      <c r="BM8" s="111" t="s">
        <v>291</v>
      </c>
      <c r="BN8" s="111" t="s">
        <v>291</v>
      </c>
      <c r="BO8" s="111" t="s">
        <v>291</v>
      </c>
      <c r="BP8" s="111" t="s">
        <v>291</v>
      </c>
      <c r="BQ8" s="111" t="s">
        <v>291</v>
      </c>
      <c r="BR8" s="111" t="s">
        <v>291</v>
      </c>
      <c r="BS8" s="111" t="s">
        <v>291</v>
      </c>
      <c r="BT8" s="111" t="s">
        <v>291</v>
      </c>
      <c r="BU8"/>
      <c r="BV8" s="5"/>
    </row>
    <row r="9" spans="1:74">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s="5"/>
    </row>
    <row r="10" spans="1:74">
      <c r="A10"/>
      <c r="B10" s="55" t="s">
        <v>292</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s="5"/>
    </row>
    <row r="11" spans="1:74">
      <c r="A11"/>
      <c r="B11" s="9" t="s">
        <v>293</v>
      </c>
      <c r="C11" s="16">
        <v>0</v>
      </c>
      <c r="D11" s="16">
        <v>0</v>
      </c>
      <c r="E11" s="30">
        <f>+C11-D11</f>
        <v>0</v>
      </c>
      <c r="F11" s="16">
        <v>0</v>
      </c>
      <c r="G11" s="30">
        <f>+SUM(C11,F11)</f>
        <v>0</v>
      </c>
      <c r="H11" s="30">
        <f>G11-D11</f>
        <v>0</v>
      </c>
      <c r="I11" s="14">
        <f>SUM(M11:BT11)</f>
        <v>0</v>
      </c>
      <c r="J11" s="30">
        <f>SUM(D11,I11)</f>
        <v>0</v>
      </c>
      <c r="K11" s="30">
        <f>G11-J11</f>
        <v>0</v>
      </c>
      <c r="L11"/>
      <c r="M11" s="16">
        <v>0</v>
      </c>
      <c r="N11" s="16">
        <v>0</v>
      </c>
      <c r="O11" s="16">
        <v>0</v>
      </c>
      <c r="P11" s="16">
        <v>0</v>
      </c>
      <c r="Q11" s="16">
        <v>0</v>
      </c>
      <c r="R11" s="16">
        <v>0</v>
      </c>
      <c r="S11" s="16">
        <v>0</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0</v>
      </c>
      <c r="BJ11" s="16">
        <v>0</v>
      </c>
      <c r="BK11" s="16">
        <v>0</v>
      </c>
      <c r="BL11" s="16">
        <v>0</v>
      </c>
      <c r="BM11" s="16">
        <v>0</v>
      </c>
      <c r="BN11" s="16">
        <v>0</v>
      </c>
      <c r="BO11" s="16">
        <v>0</v>
      </c>
      <c r="BP11" s="16">
        <v>0</v>
      </c>
      <c r="BQ11" s="16">
        <v>0</v>
      </c>
      <c r="BR11" s="16">
        <v>0</v>
      </c>
      <c r="BS11" s="16">
        <v>0</v>
      </c>
      <c r="BT11" s="16">
        <v>0</v>
      </c>
      <c r="BU11"/>
      <c r="BV11" s="5"/>
    </row>
    <row r="12" spans="1:74">
      <c r="A12"/>
      <c r="B12" s="9" t="s">
        <v>294</v>
      </c>
      <c r="C12" s="16">
        <v>0</v>
      </c>
      <c r="D12" s="16">
        <v>0</v>
      </c>
      <c r="E12" s="30">
        <f t="shared" ref="E12:E16" si="5">+C12-D12</f>
        <v>0</v>
      </c>
      <c r="F12" s="16">
        <v>0</v>
      </c>
      <c r="G12" s="30">
        <f t="shared" ref="G12:G16" si="6">+SUM(C12,F12)</f>
        <v>0</v>
      </c>
      <c r="H12" s="30">
        <f t="shared" ref="H12:H16" si="7">G12-D12</f>
        <v>0</v>
      </c>
      <c r="I12" s="14">
        <f t="shared" ref="I12:I16" si="8">SUM(M12:BT12)</f>
        <v>0</v>
      </c>
      <c r="J12" s="30">
        <f t="shared" ref="J12:J16" si="9">SUM(D12,I12)</f>
        <v>0</v>
      </c>
      <c r="K12" s="30">
        <f t="shared" ref="K12:K16" si="10">G12-J12</f>
        <v>0</v>
      </c>
      <c r="L12"/>
      <c r="M12" s="16">
        <v>0</v>
      </c>
      <c r="N12" s="16">
        <v>0</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0</v>
      </c>
      <c r="BN12" s="16">
        <v>0</v>
      </c>
      <c r="BO12" s="16">
        <v>0</v>
      </c>
      <c r="BP12" s="16">
        <v>0</v>
      </c>
      <c r="BQ12" s="16">
        <v>0</v>
      </c>
      <c r="BR12" s="16">
        <v>0</v>
      </c>
      <c r="BS12" s="16">
        <v>0</v>
      </c>
      <c r="BT12" s="16">
        <v>0</v>
      </c>
      <c r="BU12"/>
      <c r="BV12" s="5"/>
    </row>
    <row r="13" spans="1:74">
      <c r="A13"/>
      <c r="B13" s="9" t="s">
        <v>86</v>
      </c>
      <c r="C13" s="16">
        <v>0</v>
      </c>
      <c r="D13" s="16">
        <v>0</v>
      </c>
      <c r="E13" s="30">
        <f t="shared" si="5"/>
        <v>0</v>
      </c>
      <c r="F13" s="16">
        <v>0</v>
      </c>
      <c r="G13" s="30">
        <f t="shared" si="6"/>
        <v>0</v>
      </c>
      <c r="H13" s="30">
        <f t="shared" si="7"/>
        <v>0</v>
      </c>
      <c r="I13" s="14">
        <f t="shared" si="8"/>
        <v>0</v>
      </c>
      <c r="J13" s="30">
        <f t="shared" si="9"/>
        <v>0</v>
      </c>
      <c r="K13" s="30">
        <f t="shared" si="10"/>
        <v>0</v>
      </c>
      <c r="L13"/>
      <c r="M13" s="16">
        <v>0</v>
      </c>
      <c r="N13" s="16">
        <v>0</v>
      </c>
      <c r="O13" s="16">
        <v>0</v>
      </c>
      <c r="P13" s="16">
        <v>0</v>
      </c>
      <c r="Q13" s="16">
        <v>0</v>
      </c>
      <c r="R13" s="16">
        <v>0</v>
      </c>
      <c r="S13" s="16">
        <v>0</v>
      </c>
      <c r="T13" s="16">
        <v>0</v>
      </c>
      <c r="U13" s="16">
        <v>0</v>
      </c>
      <c r="V13" s="16">
        <v>0</v>
      </c>
      <c r="W13" s="16">
        <v>0</v>
      </c>
      <c r="X13" s="16">
        <v>0</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0</v>
      </c>
      <c r="BN13" s="16">
        <v>0</v>
      </c>
      <c r="BO13" s="16">
        <v>0</v>
      </c>
      <c r="BP13" s="16">
        <v>0</v>
      </c>
      <c r="BQ13" s="16">
        <v>0</v>
      </c>
      <c r="BR13" s="16">
        <v>0</v>
      </c>
      <c r="BS13" s="16">
        <v>0</v>
      </c>
      <c r="BT13" s="16">
        <v>0</v>
      </c>
      <c r="BU13"/>
      <c r="BV13" s="5"/>
    </row>
    <row r="14" spans="1:74">
      <c r="A14"/>
      <c r="B14" s="9"/>
      <c r="C14" s="16">
        <v>0</v>
      </c>
      <c r="D14" s="16">
        <v>0</v>
      </c>
      <c r="E14" s="30">
        <f t="shared" si="5"/>
        <v>0</v>
      </c>
      <c r="F14" s="16">
        <v>0</v>
      </c>
      <c r="G14" s="30">
        <f t="shared" si="6"/>
        <v>0</v>
      </c>
      <c r="H14" s="30">
        <f t="shared" si="7"/>
        <v>0</v>
      </c>
      <c r="I14" s="14">
        <f t="shared" si="8"/>
        <v>0</v>
      </c>
      <c r="J14" s="30">
        <f t="shared" si="9"/>
        <v>0</v>
      </c>
      <c r="K14" s="30">
        <f t="shared" si="10"/>
        <v>0</v>
      </c>
      <c r="L14"/>
      <c r="M14" s="16">
        <v>0</v>
      </c>
      <c r="N14" s="16">
        <v>0</v>
      </c>
      <c r="O14" s="16">
        <v>0</v>
      </c>
      <c r="P14" s="16">
        <v>0</v>
      </c>
      <c r="Q14" s="16">
        <v>0</v>
      </c>
      <c r="R14" s="16">
        <v>0</v>
      </c>
      <c r="S14" s="16">
        <v>0</v>
      </c>
      <c r="T14" s="16">
        <v>0</v>
      </c>
      <c r="U14" s="16">
        <v>0</v>
      </c>
      <c r="V14" s="16">
        <v>0</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0</v>
      </c>
      <c r="BK14" s="16">
        <v>0</v>
      </c>
      <c r="BL14" s="16">
        <v>0</v>
      </c>
      <c r="BM14" s="16">
        <v>0</v>
      </c>
      <c r="BN14" s="16">
        <v>0</v>
      </c>
      <c r="BO14" s="16">
        <v>0</v>
      </c>
      <c r="BP14" s="16">
        <v>0</v>
      </c>
      <c r="BQ14" s="16">
        <v>0</v>
      </c>
      <c r="BR14" s="16">
        <v>0</v>
      </c>
      <c r="BS14" s="16">
        <v>0</v>
      </c>
      <c r="BT14" s="16">
        <v>0</v>
      </c>
      <c r="BU14"/>
      <c r="BV14" s="5"/>
    </row>
    <row r="15" spans="1:74">
      <c r="A15"/>
      <c r="B15" s="9"/>
      <c r="C15" s="16">
        <v>0</v>
      </c>
      <c r="D15" s="16">
        <v>0</v>
      </c>
      <c r="E15" s="30">
        <f t="shared" si="5"/>
        <v>0</v>
      </c>
      <c r="F15" s="16">
        <v>0</v>
      </c>
      <c r="G15" s="30">
        <f t="shared" si="6"/>
        <v>0</v>
      </c>
      <c r="H15" s="30">
        <f t="shared" si="7"/>
        <v>0</v>
      </c>
      <c r="I15" s="14">
        <f t="shared" si="8"/>
        <v>0</v>
      </c>
      <c r="J15" s="30">
        <f t="shared" si="9"/>
        <v>0</v>
      </c>
      <c r="K15" s="30">
        <f t="shared" si="10"/>
        <v>0</v>
      </c>
      <c r="L15"/>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0</v>
      </c>
      <c r="BQ15" s="16">
        <v>0</v>
      </c>
      <c r="BR15" s="16">
        <v>0</v>
      </c>
      <c r="BS15" s="16">
        <v>0</v>
      </c>
      <c r="BT15" s="16">
        <v>0</v>
      </c>
      <c r="BU15"/>
      <c r="BV15" s="5"/>
    </row>
    <row r="16" spans="1:74">
      <c r="A16"/>
      <c r="B16" s="9"/>
      <c r="C16" s="16">
        <v>0</v>
      </c>
      <c r="D16" s="16">
        <v>0</v>
      </c>
      <c r="E16" s="30">
        <f t="shared" si="5"/>
        <v>0</v>
      </c>
      <c r="F16" s="16">
        <v>0</v>
      </c>
      <c r="G16" s="30">
        <f t="shared" si="6"/>
        <v>0</v>
      </c>
      <c r="H16" s="30">
        <f t="shared" si="7"/>
        <v>0</v>
      </c>
      <c r="I16" s="14">
        <f t="shared" si="8"/>
        <v>0</v>
      </c>
      <c r="J16" s="30">
        <f t="shared" si="9"/>
        <v>0</v>
      </c>
      <c r="K16" s="30">
        <f t="shared" si="10"/>
        <v>0</v>
      </c>
      <c r="L16"/>
      <c r="M16" s="16">
        <v>0</v>
      </c>
      <c r="N16" s="16">
        <v>0</v>
      </c>
      <c r="O16" s="16">
        <v>0</v>
      </c>
      <c r="P16" s="16">
        <v>0</v>
      </c>
      <c r="Q16" s="16">
        <v>0</v>
      </c>
      <c r="R16" s="16">
        <v>0</v>
      </c>
      <c r="S16" s="16">
        <v>0</v>
      </c>
      <c r="T16" s="16">
        <v>0</v>
      </c>
      <c r="U16" s="16">
        <v>0</v>
      </c>
      <c r="V16" s="16">
        <v>0</v>
      </c>
      <c r="W16" s="16">
        <v>0</v>
      </c>
      <c r="X16" s="16">
        <v>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0</v>
      </c>
      <c r="BN16" s="16">
        <v>0</v>
      </c>
      <c r="BO16" s="16">
        <v>0</v>
      </c>
      <c r="BP16" s="16">
        <v>0</v>
      </c>
      <c r="BQ16" s="16">
        <v>0</v>
      </c>
      <c r="BR16" s="16">
        <v>0</v>
      </c>
      <c r="BS16" s="16">
        <v>0</v>
      </c>
      <c r="BT16" s="16">
        <v>0</v>
      </c>
      <c r="BU16"/>
      <c r="BV16" s="5"/>
    </row>
    <row r="17" spans="1:74">
      <c r="A17"/>
      <c r="B17" s="3" t="s">
        <v>88</v>
      </c>
      <c r="C17" s="13">
        <f>SUM(C11:C16)</f>
        <v>0</v>
      </c>
      <c r="D17" s="13">
        <f>SUM(D11:D16)</f>
        <v>0</v>
      </c>
      <c r="E17" s="13">
        <f t="shared" ref="E17:K17" si="11">SUM(E11:E16)</f>
        <v>0</v>
      </c>
      <c r="F17" s="13">
        <f>SUM(F11:F16)</f>
        <v>0</v>
      </c>
      <c r="G17" s="13">
        <f t="shared" si="11"/>
        <v>0</v>
      </c>
      <c r="H17" s="13">
        <f t="shared" si="11"/>
        <v>0</v>
      </c>
      <c r="I17" s="13">
        <f t="shared" si="11"/>
        <v>0</v>
      </c>
      <c r="J17" s="13">
        <f t="shared" si="11"/>
        <v>0</v>
      </c>
      <c r="K17" s="13">
        <f t="shared" si="11"/>
        <v>0</v>
      </c>
      <c r="L17"/>
      <c r="M17" s="13">
        <f>SUM(M11:M16)</f>
        <v>0</v>
      </c>
      <c r="N17" s="13">
        <f t="shared" ref="N17:BT17" si="12">SUM(N11:N16)</f>
        <v>0</v>
      </c>
      <c r="O17" s="13">
        <f t="shared" si="12"/>
        <v>0</v>
      </c>
      <c r="P17" s="13">
        <f t="shared" si="12"/>
        <v>0</v>
      </c>
      <c r="Q17" s="13">
        <f t="shared" si="12"/>
        <v>0</v>
      </c>
      <c r="R17" s="13">
        <f t="shared" si="12"/>
        <v>0</v>
      </c>
      <c r="S17" s="13">
        <f t="shared" si="12"/>
        <v>0</v>
      </c>
      <c r="T17" s="13">
        <f t="shared" si="12"/>
        <v>0</v>
      </c>
      <c r="U17" s="13">
        <f t="shared" si="12"/>
        <v>0</v>
      </c>
      <c r="V17" s="13">
        <f t="shared" si="12"/>
        <v>0</v>
      </c>
      <c r="W17" s="13">
        <f t="shared" si="12"/>
        <v>0</v>
      </c>
      <c r="X17" s="13">
        <f t="shared" si="12"/>
        <v>0</v>
      </c>
      <c r="Y17" s="13">
        <f t="shared" si="12"/>
        <v>0</v>
      </c>
      <c r="Z17" s="13">
        <f t="shared" si="12"/>
        <v>0</v>
      </c>
      <c r="AA17" s="13">
        <f t="shared" si="12"/>
        <v>0</v>
      </c>
      <c r="AB17" s="13">
        <f t="shared" si="12"/>
        <v>0</v>
      </c>
      <c r="AC17" s="13">
        <f t="shared" si="12"/>
        <v>0</v>
      </c>
      <c r="AD17" s="13">
        <f t="shared" si="12"/>
        <v>0</v>
      </c>
      <c r="AE17" s="13">
        <f t="shared" si="12"/>
        <v>0</v>
      </c>
      <c r="AF17" s="13">
        <f t="shared" si="12"/>
        <v>0</v>
      </c>
      <c r="AG17" s="13">
        <f t="shared" si="12"/>
        <v>0</v>
      </c>
      <c r="AH17" s="13">
        <f t="shared" si="12"/>
        <v>0</v>
      </c>
      <c r="AI17" s="13">
        <f t="shared" si="12"/>
        <v>0</v>
      </c>
      <c r="AJ17" s="13">
        <f t="shared" si="12"/>
        <v>0</v>
      </c>
      <c r="AK17" s="13">
        <f t="shared" si="12"/>
        <v>0</v>
      </c>
      <c r="AL17" s="13">
        <f t="shared" si="12"/>
        <v>0</v>
      </c>
      <c r="AM17" s="13">
        <f t="shared" si="12"/>
        <v>0</v>
      </c>
      <c r="AN17" s="13">
        <f t="shared" si="12"/>
        <v>0</v>
      </c>
      <c r="AO17" s="13">
        <f t="shared" si="12"/>
        <v>0</v>
      </c>
      <c r="AP17" s="13">
        <f t="shared" si="12"/>
        <v>0</v>
      </c>
      <c r="AQ17" s="13">
        <f t="shared" si="12"/>
        <v>0</v>
      </c>
      <c r="AR17" s="13">
        <f t="shared" si="12"/>
        <v>0</v>
      </c>
      <c r="AS17" s="13">
        <f t="shared" si="12"/>
        <v>0</v>
      </c>
      <c r="AT17" s="13">
        <f t="shared" si="12"/>
        <v>0</v>
      </c>
      <c r="AU17" s="13">
        <f t="shared" si="12"/>
        <v>0</v>
      </c>
      <c r="AV17" s="13">
        <f t="shared" si="12"/>
        <v>0</v>
      </c>
      <c r="AW17" s="13">
        <f t="shared" si="12"/>
        <v>0</v>
      </c>
      <c r="AX17" s="13">
        <f t="shared" si="12"/>
        <v>0</v>
      </c>
      <c r="AY17" s="13">
        <f t="shared" si="12"/>
        <v>0</v>
      </c>
      <c r="AZ17" s="13">
        <f t="shared" si="12"/>
        <v>0</v>
      </c>
      <c r="BA17" s="13">
        <f t="shared" si="12"/>
        <v>0</v>
      </c>
      <c r="BB17" s="13">
        <f t="shared" si="12"/>
        <v>0</v>
      </c>
      <c r="BC17" s="13">
        <f t="shared" si="12"/>
        <v>0</v>
      </c>
      <c r="BD17" s="13">
        <f t="shared" si="12"/>
        <v>0</v>
      </c>
      <c r="BE17" s="13">
        <f t="shared" si="12"/>
        <v>0</v>
      </c>
      <c r="BF17" s="13">
        <f t="shared" si="12"/>
        <v>0</v>
      </c>
      <c r="BG17" s="13">
        <f t="shared" si="12"/>
        <v>0</v>
      </c>
      <c r="BH17" s="13">
        <f t="shared" si="12"/>
        <v>0</v>
      </c>
      <c r="BI17" s="13">
        <f t="shared" si="12"/>
        <v>0</v>
      </c>
      <c r="BJ17" s="13">
        <f t="shared" si="12"/>
        <v>0</v>
      </c>
      <c r="BK17" s="13">
        <f t="shared" si="12"/>
        <v>0</v>
      </c>
      <c r="BL17" s="13">
        <f t="shared" si="12"/>
        <v>0</v>
      </c>
      <c r="BM17" s="13">
        <f t="shared" si="12"/>
        <v>0</v>
      </c>
      <c r="BN17" s="13">
        <f t="shared" si="12"/>
        <v>0</v>
      </c>
      <c r="BO17" s="13">
        <f t="shared" si="12"/>
        <v>0</v>
      </c>
      <c r="BP17" s="13">
        <f t="shared" si="12"/>
        <v>0</v>
      </c>
      <c r="BQ17" s="13">
        <f t="shared" si="12"/>
        <v>0</v>
      </c>
      <c r="BR17" s="13">
        <f t="shared" si="12"/>
        <v>0</v>
      </c>
      <c r="BS17" s="13">
        <f t="shared" si="12"/>
        <v>0</v>
      </c>
      <c r="BT17" s="13">
        <f t="shared" si="12"/>
        <v>0</v>
      </c>
      <c r="BU17"/>
      <c r="BV17" s="5"/>
    </row>
    <row r="18" spans="1:74">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s="5"/>
    </row>
    <row r="19" spans="1:74">
      <c r="A19"/>
      <c r="B19" s="55" t="s">
        <v>295</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s="5"/>
    </row>
    <row r="20" spans="1:74">
      <c r="A20"/>
      <c r="B20" s="9" t="s">
        <v>78</v>
      </c>
      <c r="C20" s="16">
        <v>0</v>
      </c>
      <c r="D20" s="16">
        <v>0</v>
      </c>
      <c r="E20" s="30">
        <f t="shared" ref="E20:E78" si="13">+C20-D20</f>
        <v>0</v>
      </c>
      <c r="F20" s="16">
        <v>0</v>
      </c>
      <c r="G20" s="30">
        <f>+SUM(C20,F20)</f>
        <v>0</v>
      </c>
      <c r="H20" s="30">
        <f t="shared" ref="H20:H78" si="14">G20-D20</f>
        <v>0</v>
      </c>
      <c r="I20" s="14">
        <f t="shared" ref="I20:I78" si="15">SUM(M20:BT20)</f>
        <v>0</v>
      </c>
      <c r="J20" s="30">
        <f>SUM(D20,I20)</f>
        <v>0</v>
      </c>
      <c r="K20" s="30">
        <f>G20-J20</f>
        <v>0</v>
      </c>
      <c r="L20"/>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0</v>
      </c>
      <c r="AU20" s="16">
        <v>0</v>
      </c>
      <c r="AV20" s="16">
        <v>0</v>
      </c>
      <c r="AW20" s="16">
        <v>0</v>
      </c>
      <c r="AX20" s="16">
        <v>0</v>
      </c>
      <c r="AY20" s="16">
        <v>0</v>
      </c>
      <c r="AZ20" s="16">
        <v>0</v>
      </c>
      <c r="BA20" s="16">
        <v>0</v>
      </c>
      <c r="BB20" s="16">
        <v>0</v>
      </c>
      <c r="BC20" s="16">
        <v>0</v>
      </c>
      <c r="BD20" s="16">
        <v>0</v>
      </c>
      <c r="BE20" s="16">
        <v>0</v>
      </c>
      <c r="BF20" s="16">
        <v>0</v>
      </c>
      <c r="BG20" s="16">
        <v>0</v>
      </c>
      <c r="BH20" s="16">
        <v>0</v>
      </c>
      <c r="BI20" s="16">
        <v>0</v>
      </c>
      <c r="BJ20" s="16">
        <v>0</v>
      </c>
      <c r="BK20" s="16">
        <v>0</v>
      </c>
      <c r="BL20" s="16">
        <v>0</v>
      </c>
      <c r="BM20" s="16">
        <v>0</v>
      </c>
      <c r="BN20" s="16">
        <v>0</v>
      </c>
      <c r="BO20" s="16">
        <v>0</v>
      </c>
      <c r="BP20" s="16">
        <v>0</v>
      </c>
      <c r="BQ20" s="16">
        <v>0</v>
      </c>
      <c r="BR20" s="16">
        <v>0</v>
      </c>
      <c r="BS20" s="16">
        <v>0</v>
      </c>
      <c r="BT20" s="16">
        <v>0</v>
      </c>
      <c r="BU20"/>
      <c r="BV20" s="5"/>
    </row>
    <row r="21" spans="1:74">
      <c r="A21"/>
      <c r="B21" s="9" t="s">
        <v>83</v>
      </c>
      <c r="C21" s="16">
        <v>0</v>
      </c>
      <c r="D21" s="16">
        <v>0</v>
      </c>
      <c r="E21" s="30">
        <f t="shared" si="13"/>
        <v>0</v>
      </c>
      <c r="F21" s="16">
        <v>0</v>
      </c>
      <c r="G21" s="30">
        <f t="shared" ref="G21:G78" si="16">+SUM(C21,F21)</f>
        <v>0</v>
      </c>
      <c r="H21" s="30">
        <f t="shared" si="14"/>
        <v>0</v>
      </c>
      <c r="I21" s="14">
        <f t="shared" si="15"/>
        <v>0</v>
      </c>
      <c r="J21" s="30">
        <f t="shared" ref="J21:J78" si="17">SUM(D21,I21)</f>
        <v>0</v>
      </c>
      <c r="K21" s="30">
        <f t="shared" ref="K21:K78" si="18">G21-J21</f>
        <v>0</v>
      </c>
      <c r="L21"/>
      <c r="M21" s="16">
        <v>0</v>
      </c>
      <c r="N21" s="16">
        <v>0</v>
      </c>
      <c r="O21" s="16">
        <v>0</v>
      </c>
      <c r="P21" s="16">
        <v>0</v>
      </c>
      <c r="Q21" s="16">
        <v>0</v>
      </c>
      <c r="R21" s="16">
        <v>0</v>
      </c>
      <c r="S21" s="16">
        <v>0</v>
      </c>
      <c r="T21" s="16">
        <v>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0</v>
      </c>
      <c r="AL21" s="16">
        <v>0</v>
      </c>
      <c r="AM21" s="16">
        <v>0</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0</v>
      </c>
      <c r="BN21" s="16">
        <v>0</v>
      </c>
      <c r="BO21" s="16">
        <v>0</v>
      </c>
      <c r="BP21" s="16">
        <v>0</v>
      </c>
      <c r="BQ21" s="16">
        <v>0</v>
      </c>
      <c r="BR21" s="16">
        <v>0</v>
      </c>
      <c r="BS21" s="16">
        <v>0</v>
      </c>
      <c r="BT21" s="16">
        <v>0</v>
      </c>
      <c r="BU21"/>
      <c r="BV21" s="5"/>
    </row>
    <row r="22" spans="1:74">
      <c r="A22"/>
      <c r="B22" s="9" t="s">
        <v>87</v>
      </c>
      <c r="C22" s="16">
        <v>0</v>
      </c>
      <c r="D22" s="16">
        <v>0</v>
      </c>
      <c r="E22" s="30">
        <f t="shared" si="13"/>
        <v>0</v>
      </c>
      <c r="F22" s="16">
        <v>0</v>
      </c>
      <c r="G22" s="30">
        <f t="shared" si="16"/>
        <v>0</v>
      </c>
      <c r="H22" s="30">
        <f t="shared" si="14"/>
        <v>0</v>
      </c>
      <c r="I22" s="14">
        <f t="shared" si="15"/>
        <v>0</v>
      </c>
      <c r="J22" s="30">
        <f t="shared" si="17"/>
        <v>0</v>
      </c>
      <c r="K22" s="30">
        <f t="shared" si="18"/>
        <v>0</v>
      </c>
      <c r="L22"/>
      <c r="M22" s="16">
        <v>0</v>
      </c>
      <c r="N22" s="16">
        <v>0</v>
      </c>
      <c r="O22" s="16">
        <v>0</v>
      </c>
      <c r="P22" s="16">
        <v>0</v>
      </c>
      <c r="Q22" s="16">
        <v>0</v>
      </c>
      <c r="R22" s="16">
        <v>0</v>
      </c>
      <c r="S22" s="16">
        <v>0</v>
      </c>
      <c r="T22" s="16">
        <v>0</v>
      </c>
      <c r="U22" s="16">
        <v>0</v>
      </c>
      <c r="V22" s="16">
        <v>0</v>
      </c>
      <c r="W22" s="16">
        <v>0</v>
      </c>
      <c r="X22" s="16">
        <v>0</v>
      </c>
      <c r="Y22" s="16">
        <v>0</v>
      </c>
      <c r="Z22" s="16">
        <v>0</v>
      </c>
      <c r="AA22" s="16">
        <v>0</v>
      </c>
      <c r="AB22" s="16">
        <v>0</v>
      </c>
      <c r="AC22" s="16">
        <v>0</v>
      </c>
      <c r="AD22" s="16">
        <v>0</v>
      </c>
      <c r="AE22" s="16">
        <v>0</v>
      </c>
      <c r="AF22" s="16">
        <v>0</v>
      </c>
      <c r="AG22" s="16">
        <v>0</v>
      </c>
      <c r="AH22" s="16">
        <v>0</v>
      </c>
      <c r="AI22" s="16">
        <v>0</v>
      </c>
      <c r="AJ22" s="16">
        <v>0</v>
      </c>
      <c r="AK22" s="16">
        <v>0</v>
      </c>
      <c r="AL22" s="16">
        <v>0</v>
      </c>
      <c r="AM22" s="16">
        <v>0</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0</v>
      </c>
      <c r="BN22" s="16">
        <v>0</v>
      </c>
      <c r="BO22" s="16">
        <v>0</v>
      </c>
      <c r="BP22" s="16">
        <v>0</v>
      </c>
      <c r="BQ22" s="16">
        <v>0</v>
      </c>
      <c r="BR22" s="16">
        <v>0</v>
      </c>
      <c r="BS22" s="16">
        <v>0</v>
      </c>
      <c r="BT22" s="16">
        <v>0</v>
      </c>
      <c r="BU22"/>
      <c r="BV22" s="5"/>
    </row>
    <row r="23" spans="1:74">
      <c r="A23"/>
      <c r="B23" s="9" t="s">
        <v>89</v>
      </c>
      <c r="C23" s="16">
        <v>0</v>
      </c>
      <c r="D23" s="16">
        <v>0</v>
      </c>
      <c r="E23" s="30">
        <f t="shared" si="13"/>
        <v>0</v>
      </c>
      <c r="F23" s="16">
        <v>0</v>
      </c>
      <c r="G23" s="30">
        <f t="shared" si="16"/>
        <v>0</v>
      </c>
      <c r="H23" s="30">
        <f t="shared" si="14"/>
        <v>0</v>
      </c>
      <c r="I23" s="14">
        <f t="shared" si="15"/>
        <v>0</v>
      </c>
      <c r="J23" s="30">
        <f t="shared" si="17"/>
        <v>0</v>
      </c>
      <c r="K23" s="30">
        <f t="shared" si="18"/>
        <v>0</v>
      </c>
      <c r="L23"/>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0</v>
      </c>
      <c r="BP23" s="16">
        <v>0</v>
      </c>
      <c r="BQ23" s="16">
        <v>0</v>
      </c>
      <c r="BR23" s="16">
        <v>0</v>
      </c>
      <c r="BS23" s="16">
        <v>0</v>
      </c>
      <c r="BT23" s="16">
        <v>0</v>
      </c>
      <c r="BU23"/>
      <c r="BV23" s="5"/>
    </row>
    <row r="24" spans="1:74">
      <c r="A24"/>
      <c r="B24" s="9" t="s">
        <v>90</v>
      </c>
      <c r="C24" s="16">
        <v>0</v>
      </c>
      <c r="D24" s="16">
        <v>0</v>
      </c>
      <c r="E24" s="30">
        <f t="shared" si="13"/>
        <v>0</v>
      </c>
      <c r="F24" s="16">
        <v>0</v>
      </c>
      <c r="G24" s="30">
        <f t="shared" si="16"/>
        <v>0</v>
      </c>
      <c r="H24" s="30">
        <f t="shared" si="14"/>
        <v>0</v>
      </c>
      <c r="I24" s="14">
        <f t="shared" si="15"/>
        <v>0</v>
      </c>
      <c r="J24" s="30">
        <f t="shared" si="17"/>
        <v>0</v>
      </c>
      <c r="K24" s="30">
        <f t="shared" si="18"/>
        <v>0</v>
      </c>
      <c r="L24"/>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0</v>
      </c>
      <c r="BK24" s="16">
        <v>0</v>
      </c>
      <c r="BL24" s="16">
        <v>0</v>
      </c>
      <c r="BM24" s="16">
        <v>0</v>
      </c>
      <c r="BN24" s="16">
        <v>0</v>
      </c>
      <c r="BO24" s="16">
        <v>0</v>
      </c>
      <c r="BP24" s="16">
        <v>0</v>
      </c>
      <c r="BQ24" s="16">
        <v>0</v>
      </c>
      <c r="BR24" s="16">
        <v>0</v>
      </c>
      <c r="BS24" s="16">
        <v>0</v>
      </c>
      <c r="BT24" s="16">
        <v>0</v>
      </c>
      <c r="BU24"/>
      <c r="BV24" s="5"/>
    </row>
    <row r="25" spans="1:74">
      <c r="A25"/>
      <c r="B25" s="9" t="s">
        <v>93</v>
      </c>
      <c r="C25" s="16">
        <v>0</v>
      </c>
      <c r="D25" s="16">
        <v>0</v>
      </c>
      <c r="E25" s="30">
        <f t="shared" si="13"/>
        <v>0</v>
      </c>
      <c r="F25" s="16">
        <v>0</v>
      </c>
      <c r="G25" s="30">
        <f t="shared" si="16"/>
        <v>0</v>
      </c>
      <c r="H25" s="30">
        <f t="shared" si="14"/>
        <v>0</v>
      </c>
      <c r="I25" s="14">
        <f t="shared" si="15"/>
        <v>0</v>
      </c>
      <c r="J25" s="30">
        <f t="shared" si="17"/>
        <v>0</v>
      </c>
      <c r="K25" s="30">
        <f t="shared" si="18"/>
        <v>0</v>
      </c>
      <c r="L25"/>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0</v>
      </c>
      <c r="BN25" s="16">
        <v>0</v>
      </c>
      <c r="BO25" s="16">
        <v>0</v>
      </c>
      <c r="BP25" s="16">
        <v>0</v>
      </c>
      <c r="BQ25" s="16">
        <v>0</v>
      </c>
      <c r="BR25" s="16">
        <v>0</v>
      </c>
      <c r="BS25" s="16">
        <v>0</v>
      </c>
      <c r="BT25" s="16">
        <v>0</v>
      </c>
      <c r="BU25"/>
      <c r="BV25" s="5"/>
    </row>
    <row r="26" spans="1:74">
      <c r="A26"/>
      <c r="B26" s="9" t="s">
        <v>94</v>
      </c>
      <c r="C26" s="16">
        <v>0</v>
      </c>
      <c r="D26" s="16">
        <v>0</v>
      </c>
      <c r="E26" s="30">
        <f t="shared" si="13"/>
        <v>0</v>
      </c>
      <c r="F26" s="16">
        <v>0</v>
      </c>
      <c r="G26" s="30">
        <f t="shared" si="16"/>
        <v>0</v>
      </c>
      <c r="H26" s="30">
        <f t="shared" si="14"/>
        <v>0</v>
      </c>
      <c r="I26" s="14">
        <f t="shared" si="15"/>
        <v>0</v>
      </c>
      <c r="J26" s="30">
        <f t="shared" si="17"/>
        <v>0</v>
      </c>
      <c r="K26" s="30">
        <f t="shared" si="18"/>
        <v>0</v>
      </c>
      <c r="L26"/>
      <c r="M26" s="16">
        <v>0</v>
      </c>
      <c r="N26" s="16">
        <v>0</v>
      </c>
      <c r="O26" s="16">
        <v>0</v>
      </c>
      <c r="P26" s="16">
        <v>0</v>
      </c>
      <c r="Q26" s="16">
        <v>0</v>
      </c>
      <c r="R26" s="16">
        <v>0</v>
      </c>
      <c r="S26" s="16">
        <v>0</v>
      </c>
      <c r="T26" s="16">
        <v>0</v>
      </c>
      <c r="U26" s="16">
        <v>0</v>
      </c>
      <c r="V26" s="16">
        <v>0</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0</v>
      </c>
      <c r="AZ26" s="16">
        <v>0</v>
      </c>
      <c r="BA26" s="16">
        <v>0</v>
      </c>
      <c r="BB26" s="16">
        <v>0</v>
      </c>
      <c r="BC26" s="16">
        <v>0</v>
      </c>
      <c r="BD26" s="16">
        <v>0</v>
      </c>
      <c r="BE26" s="16">
        <v>0</v>
      </c>
      <c r="BF26" s="16">
        <v>0</v>
      </c>
      <c r="BG26" s="16">
        <v>0</v>
      </c>
      <c r="BH26" s="16">
        <v>0</v>
      </c>
      <c r="BI26" s="16">
        <v>0</v>
      </c>
      <c r="BJ26" s="16">
        <v>0</v>
      </c>
      <c r="BK26" s="16">
        <v>0</v>
      </c>
      <c r="BL26" s="16">
        <v>0</v>
      </c>
      <c r="BM26" s="16">
        <v>0</v>
      </c>
      <c r="BN26" s="16">
        <v>0</v>
      </c>
      <c r="BO26" s="16">
        <v>0</v>
      </c>
      <c r="BP26" s="16">
        <v>0</v>
      </c>
      <c r="BQ26" s="16">
        <v>0</v>
      </c>
      <c r="BR26" s="16">
        <v>0</v>
      </c>
      <c r="BS26" s="16">
        <v>0</v>
      </c>
      <c r="BT26" s="16">
        <v>0</v>
      </c>
      <c r="BU26"/>
      <c r="BV26" s="5"/>
    </row>
    <row r="27" spans="1:74">
      <c r="A27"/>
      <c r="B27" s="9" t="s">
        <v>96</v>
      </c>
      <c r="C27" s="16">
        <v>0</v>
      </c>
      <c r="D27" s="16">
        <v>0</v>
      </c>
      <c r="E27" s="30">
        <f t="shared" si="13"/>
        <v>0</v>
      </c>
      <c r="F27" s="16">
        <v>0</v>
      </c>
      <c r="G27" s="30">
        <f t="shared" si="16"/>
        <v>0</v>
      </c>
      <c r="H27" s="30">
        <f t="shared" si="14"/>
        <v>0</v>
      </c>
      <c r="I27" s="14">
        <f t="shared" si="15"/>
        <v>0</v>
      </c>
      <c r="J27" s="30">
        <f t="shared" si="17"/>
        <v>0</v>
      </c>
      <c r="K27" s="30">
        <f t="shared" si="18"/>
        <v>0</v>
      </c>
      <c r="L27"/>
      <c r="M27" s="16">
        <v>0</v>
      </c>
      <c r="N27" s="16">
        <v>0</v>
      </c>
      <c r="O27" s="16">
        <v>0</v>
      </c>
      <c r="P27" s="16">
        <v>0</v>
      </c>
      <c r="Q27" s="16">
        <v>0</v>
      </c>
      <c r="R27" s="16">
        <v>0</v>
      </c>
      <c r="S27" s="16">
        <v>0</v>
      </c>
      <c r="T27" s="16">
        <v>0</v>
      </c>
      <c r="U27" s="16">
        <v>0</v>
      </c>
      <c r="V27" s="16">
        <v>0</v>
      </c>
      <c r="W27" s="16">
        <v>0</v>
      </c>
      <c r="X27" s="16">
        <v>0</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0</v>
      </c>
      <c r="AX27" s="16">
        <v>0</v>
      </c>
      <c r="AY27" s="16">
        <v>0</v>
      </c>
      <c r="AZ27" s="16">
        <v>0</v>
      </c>
      <c r="BA27" s="16">
        <v>0</v>
      </c>
      <c r="BB27" s="16">
        <v>0</v>
      </c>
      <c r="BC27" s="16">
        <v>0</v>
      </c>
      <c r="BD27" s="16">
        <v>0</v>
      </c>
      <c r="BE27" s="16">
        <v>0</v>
      </c>
      <c r="BF27" s="16">
        <v>0</v>
      </c>
      <c r="BG27" s="16">
        <v>0</v>
      </c>
      <c r="BH27" s="16">
        <v>0</v>
      </c>
      <c r="BI27" s="16">
        <v>0</v>
      </c>
      <c r="BJ27" s="16">
        <v>0</v>
      </c>
      <c r="BK27" s="16">
        <v>0</v>
      </c>
      <c r="BL27" s="16">
        <v>0</v>
      </c>
      <c r="BM27" s="16">
        <v>0</v>
      </c>
      <c r="BN27" s="16">
        <v>0</v>
      </c>
      <c r="BO27" s="16">
        <v>0</v>
      </c>
      <c r="BP27" s="16">
        <v>0</v>
      </c>
      <c r="BQ27" s="16">
        <v>0</v>
      </c>
      <c r="BR27" s="16">
        <v>0</v>
      </c>
      <c r="BS27" s="16">
        <v>0</v>
      </c>
      <c r="BT27" s="16">
        <v>0</v>
      </c>
      <c r="BU27"/>
      <c r="BV27" s="5"/>
    </row>
    <row r="28" spans="1:74">
      <c r="A28"/>
      <c r="B28" s="9" t="s">
        <v>98</v>
      </c>
      <c r="C28" s="16">
        <v>0</v>
      </c>
      <c r="D28" s="16">
        <v>0</v>
      </c>
      <c r="E28" s="30">
        <f t="shared" si="13"/>
        <v>0</v>
      </c>
      <c r="F28" s="16">
        <v>0</v>
      </c>
      <c r="G28" s="30">
        <f t="shared" si="16"/>
        <v>0</v>
      </c>
      <c r="H28" s="30">
        <f t="shared" si="14"/>
        <v>0</v>
      </c>
      <c r="I28" s="14">
        <f t="shared" si="15"/>
        <v>0</v>
      </c>
      <c r="J28" s="30">
        <f t="shared" si="17"/>
        <v>0</v>
      </c>
      <c r="K28" s="30">
        <f t="shared" si="18"/>
        <v>0</v>
      </c>
      <c r="L28"/>
      <c r="M28" s="16">
        <v>0</v>
      </c>
      <c r="N28" s="16">
        <v>0</v>
      </c>
      <c r="O28" s="16">
        <v>0</v>
      </c>
      <c r="P28" s="16">
        <v>0</v>
      </c>
      <c r="Q28" s="16">
        <v>0</v>
      </c>
      <c r="R28" s="16">
        <v>0</v>
      </c>
      <c r="S28" s="16">
        <v>0</v>
      </c>
      <c r="T28" s="16">
        <v>0</v>
      </c>
      <c r="U28" s="16">
        <v>0</v>
      </c>
      <c r="V28" s="16">
        <v>0</v>
      </c>
      <c r="W28" s="16">
        <v>0</v>
      </c>
      <c r="X28" s="16">
        <v>0</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0</v>
      </c>
      <c r="BN28" s="16">
        <v>0</v>
      </c>
      <c r="BO28" s="16">
        <v>0</v>
      </c>
      <c r="BP28" s="16">
        <v>0</v>
      </c>
      <c r="BQ28" s="16">
        <v>0</v>
      </c>
      <c r="BR28" s="16">
        <v>0</v>
      </c>
      <c r="BS28" s="16">
        <v>0</v>
      </c>
      <c r="BT28" s="16">
        <v>0</v>
      </c>
      <c r="BU28"/>
      <c r="BV28" s="5"/>
    </row>
    <row r="29" spans="1:74">
      <c r="A29"/>
      <c r="B29" s="9" t="s">
        <v>100</v>
      </c>
      <c r="C29" s="16">
        <v>0</v>
      </c>
      <c r="D29" s="16">
        <v>0</v>
      </c>
      <c r="E29" s="30">
        <f t="shared" si="13"/>
        <v>0</v>
      </c>
      <c r="F29" s="16">
        <v>0</v>
      </c>
      <c r="G29" s="30">
        <f t="shared" si="16"/>
        <v>0</v>
      </c>
      <c r="H29" s="30">
        <f t="shared" si="14"/>
        <v>0</v>
      </c>
      <c r="I29" s="14">
        <f t="shared" si="15"/>
        <v>0</v>
      </c>
      <c r="J29" s="30">
        <f t="shared" si="17"/>
        <v>0</v>
      </c>
      <c r="K29" s="30">
        <f t="shared" si="18"/>
        <v>0</v>
      </c>
      <c r="L29"/>
      <c r="M29" s="16">
        <v>0</v>
      </c>
      <c r="N29" s="16">
        <v>0</v>
      </c>
      <c r="O29" s="16">
        <v>0</v>
      </c>
      <c r="P29" s="16">
        <v>0</v>
      </c>
      <c r="Q29" s="16">
        <v>0</v>
      </c>
      <c r="R29" s="16">
        <v>0</v>
      </c>
      <c r="S29" s="16">
        <v>0</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0</v>
      </c>
      <c r="AL29" s="16">
        <v>0</v>
      </c>
      <c r="AM29" s="16">
        <v>0</v>
      </c>
      <c r="AN29" s="16">
        <v>0</v>
      </c>
      <c r="AO29" s="16">
        <v>0</v>
      </c>
      <c r="AP29" s="16">
        <v>0</v>
      </c>
      <c r="AQ29" s="16">
        <v>0</v>
      </c>
      <c r="AR29" s="16">
        <v>0</v>
      </c>
      <c r="AS29" s="16">
        <v>0</v>
      </c>
      <c r="AT29" s="16">
        <v>0</v>
      </c>
      <c r="AU29" s="16">
        <v>0</v>
      </c>
      <c r="AV29" s="16">
        <v>0</v>
      </c>
      <c r="AW29" s="16">
        <v>0</v>
      </c>
      <c r="AX29" s="16">
        <v>0</v>
      </c>
      <c r="AY29" s="16">
        <v>0</v>
      </c>
      <c r="AZ29" s="16">
        <v>0</v>
      </c>
      <c r="BA29" s="16">
        <v>0</v>
      </c>
      <c r="BB29" s="16">
        <v>0</v>
      </c>
      <c r="BC29" s="16">
        <v>0</v>
      </c>
      <c r="BD29" s="16">
        <v>0</v>
      </c>
      <c r="BE29" s="16">
        <v>0</v>
      </c>
      <c r="BF29" s="16">
        <v>0</v>
      </c>
      <c r="BG29" s="16">
        <v>0</v>
      </c>
      <c r="BH29" s="16">
        <v>0</v>
      </c>
      <c r="BI29" s="16">
        <v>0</v>
      </c>
      <c r="BJ29" s="16">
        <v>0</v>
      </c>
      <c r="BK29" s="16">
        <v>0</v>
      </c>
      <c r="BL29" s="16">
        <v>0</v>
      </c>
      <c r="BM29" s="16">
        <v>0</v>
      </c>
      <c r="BN29" s="16">
        <v>0</v>
      </c>
      <c r="BO29" s="16">
        <v>0</v>
      </c>
      <c r="BP29" s="16">
        <v>0</v>
      </c>
      <c r="BQ29" s="16">
        <v>0</v>
      </c>
      <c r="BR29" s="16">
        <v>0</v>
      </c>
      <c r="BS29" s="16">
        <v>0</v>
      </c>
      <c r="BT29" s="16">
        <v>0</v>
      </c>
      <c r="BU29"/>
      <c r="BV29" s="5"/>
    </row>
    <row r="30" spans="1:74">
      <c r="A30"/>
      <c r="B30" s="9" t="s">
        <v>101</v>
      </c>
      <c r="C30" s="16">
        <v>0</v>
      </c>
      <c r="D30" s="16">
        <v>0</v>
      </c>
      <c r="E30" s="30">
        <f t="shared" si="13"/>
        <v>0</v>
      </c>
      <c r="F30" s="16">
        <v>0</v>
      </c>
      <c r="G30" s="30">
        <f t="shared" si="16"/>
        <v>0</v>
      </c>
      <c r="H30" s="30">
        <f t="shared" si="14"/>
        <v>0</v>
      </c>
      <c r="I30" s="14">
        <f t="shared" si="15"/>
        <v>0</v>
      </c>
      <c r="J30" s="30">
        <f t="shared" si="17"/>
        <v>0</v>
      </c>
      <c r="K30" s="30">
        <f t="shared" si="18"/>
        <v>0</v>
      </c>
      <c r="L30"/>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s="16">
        <v>0</v>
      </c>
      <c r="BL30" s="16">
        <v>0</v>
      </c>
      <c r="BM30" s="16">
        <v>0</v>
      </c>
      <c r="BN30" s="16">
        <v>0</v>
      </c>
      <c r="BO30" s="16">
        <v>0</v>
      </c>
      <c r="BP30" s="16">
        <v>0</v>
      </c>
      <c r="BQ30" s="16">
        <v>0</v>
      </c>
      <c r="BR30" s="16">
        <v>0</v>
      </c>
      <c r="BS30" s="16">
        <v>0</v>
      </c>
      <c r="BT30" s="16">
        <v>0</v>
      </c>
      <c r="BU30"/>
      <c r="BV30" s="5"/>
    </row>
    <row r="31" spans="1:74">
      <c r="A31"/>
      <c r="B31" s="9" t="s">
        <v>102</v>
      </c>
      <c r="C31" s="16">
        <v>0</v>
      </c>
      <c r="D31" s="16">
        <v>0</v>
      </c>
      <c r="E31" s="30">
        <f t="shared" si="13"/>
        <v>0</v>
      </c>
      <c r="F31" s="16">
        <v>0</v>
      </c>
      <c r="G31" s="30">
        <f t="shared" si="16"/>
        <v>0</v>
      </c>
      <c r="H31" s="30">
        <f t="shared" si="14"/>
        <v>0</v>
      </c>
      <c r="I31" s="14">
        <f t="shared" si="15"/>
        <v>0</v>
      </c>
      <c r="J31" s="30">
        <f t="shared" si="17"/>
        <v>0</v>
      </c>
      <c r="K31" s="30">
        <f t="shared" si="18"/>
        <v>0</v>
      </c>
      <c r="L31"/>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s="16">
        <v>0</v>
      </c>
      <c r="BL31" s="16">
        <v>0</v>
      </c>
      <c r="BM31" s="16">
        <v>0</v>
      </c>
      <c r="BN31" s="16">
        <v>0</v>
      </c>
      <c r="BO31" s="16">
        <v>0</v>
      </c>
      <c r="BP31" s="16">
        <v>0</v>
      </c>
      <c r="BQ31" s="16">
        <v>0</v>
      </c>
      <c r="BR31" s="16">
        <v>0</v>
      </c>
      <c r="BS31" s="16">
        <v>0</v>
      </c>
      <c r="BT31" s="16">
        <v>0</v>
      </c>
      <c r="BU31"/>
      <c r="BV31" s="5"/>
    </row>
    <row r="32" spans="1:74">
      <c r="A32"/>
      <c r="B32" s="9" t="s">
        <v>104</v>
      </c>
      <c r="C32" s="16">
        <v>0</v>
      </c>
      <c r="D32" s="16">
        <v>0</v>
      </c>
      <c r="E32" s="30">
        <f t="shared" si="13"/>
        <v>0</v>
      </c>
      <c r="F32" s="16">
        <v>0</v>
      </c>
      <c r="G32" s="30">
        <f t="shared" si="16"/>
        <v>0</v>
      </c>
      <c r="H32" s="30">
        <f t="shared" si="14"/>
        <v>0</v>
      </c>
      <c r="I32" s="14">
        <f t="shared" si="15"/>
        <v>0</v>
      </c>
      <c r="J32" s="30">
        <f t="shared" si="17"/>
        <v>0</v>
      </c>
      <c r="K32" s="30">
        <f t="shared" si="18"/>
        <v>0</v>
      </c>
      <c r="L32"/>
      <c r="M32" s="16">
        <v>0</v>
      </c>
      <c r="N32" s="16">
        <v>0</v>
      </c>
      <c r="O32" s="16">
        <v>0</v>
      </c>
      <c r="P32" s="16">
        <v>0</v>
      </c>
      <c r="Q32" s="16">
        <v>0</v>
      </c>
      <c r="R32" s="16">
        <v>0</v>
      </c>
      <c r="S32" s="16">
        <v>0</v>
      </c>
      <c r="T32" s="16">
        <v>0</v>
      </c>
      <c r="U32" s="16">
        <v>0</v>
      </c>
      <c r="V32" s="16">
        <v>0</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0</v>
      </c>
      <c r="AZ32" s="16">
        <v>0</v>
      </c>
      <c r="BA32" s="16">
        <v>0</v>
      </c>
      <c r="BB32" s="16">
        <v>0</v>
      </c>
      <c r="BC32" s="16">
        <v>0</v>
      </c>
      <c r="BD32" s="16">
        <v>0</v>
      </c>
      <c r="BE32" s="16">
        <v>0</v>
      </c>
      <c r="BF32" s="16">
        <v>0</v>
      </c>
      <c r="BG32" s="16">
        <v>0</v>
      </c>
      <c r="BH32" s="16">
        <v>0</v>
      </c>
      <c r="BI32" s="16">
        <v>0</v>
      </c>
      <c r="BJ32" s="16">
        <v>0</v>
      </c>
      <c r="BK32" s="16">
        <v>0</v>
      </c>
      <c r="BL32" s="16">
        <v>0</v>
      </c>
      <c r="BM32" s="16">
        <v>0</v>
      </c>
      <c r="BN32" s="16">
        <v>0</v>
      </c>
      <c r="BO32" s="16">
        <v>0</v>
      </c>
      <c r="BP32" s="16">
        <v>0</v>
      </c>
      <c r="BQ32" s="16">
        <v>0</v>
      </c>
      <c r="BR32" s="16">
        <v>0</v>
      </c>
      <c r="BS32" s="16">
        <v>0</v>
      </c>
      <c r="BT32" s="16">
        <v>0</v>
      </c>
      <c r="BU32"/>
      <c r="BV32" s="5"/>
    </row>
    <row r="33" spans="1:74">
      <c r="A33"/>
      <c r="B33" s="9" t="s">
        <v>105</v>
      </c>
      <c r="C33" s="16">
        <v>0</v>
      </c>
      <c r="D33" s="16">
        <v>0</v>
      </c>
      <c r="E33" s="30">
        <f t="shared" si="13"/>
        <v>0</v>
      </c>
      <c r="F33" s="16">
        <v>0</v>
      </c>
      <c r="G33" s="30">
        <f t="shared" si="16"/>
        <v>0</v>
      </c>
      <c r="H33" s="30">
        <f t="shared" si="14"/>
        <v>0</v>
      </c>
      <c r="I33" s="14">
        <f t="shared" si="15"/>
        <v>0</v>
      </c>
      <c r="J33" s="30">
        <f t="shared" si="17"/>
        <v>0</v>
      </c>
      <c r="K33" s="30">
        <f t="shared" si="18"/>
        <v>0</v>
      </c>
      <c r="L33"/>
      <c r="M33" s="16">
        <v>0</v>
      </c>
      <c r="N33" s="16">
        <v>0</v>
      </c>
      <c r="O33" s="16">
        <v>0</v>
      </c>
      <c r="P33" s="16">
        <v>0</v>
      </c>
      <c r="Q33" s="16">
        <v>0</v>
      </c>
      <c r="R33" s="16">
        <v>0</v>
      </c>
      <c r="S33" s="16">
        <v>0</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0</v>
      </c>
      <c r="AS33" s="16">
        <v>0</v>
      </c>
      <c r="AT33" s="16">
        <v>0</v>
      </c>
      <c r="AU33" s="16">
        <v>0</v>
      </c>
      <c r="AV33" s="16">
        <v>0</v>
      </c>
      <c r="AW33" s="16">
        <v>0</v>
      </c>
      <c r="AX33" s="16">
        <v>0</v>
      </c>
      <c r="AY33" s="16">
        <v>0</v>
      </c>
      <c r="AZ33" s="16">
        <v>0</v>
      </c>
      <c r="BA33" s="16">
        <v>0</v>
      </c>
      <c r="BB33" s="16">
        <v>0</v>
      </c>
      <c r="BC33" s="16">
        <v>0</v>
      </c>
      <c r="BD33" s="16">
        <v>0</v>
      </c>
      <c r="BE33" s="16">
        <v>0</v>
      </c>
      <c r="BF33" s="16">
        <v>0</v>
      </c>
      <c r="BG33" s="16">
        <v>0</v>
      </c>
      <c r="BH33" s="16">
        <v>0</v>
      </c>
      <c r="BI33" s="16">
        <v>0</v>
      </c>
      <c r="BJ33" s="16">
        <v>0</v>
      </c>
      <c r="BK33" s="16">
        <v>0</v>
      </c>
      <c r="BL33" s="16">
        <v>0</v>
      </c>
      <c r="BM33" s="16">
        <v>0</v>
      </c>
      <c r="BN33" s="16">
        <v>0</v>
      </c>
      <c r="BO33" s="16">
        <v>0</v>
      </c>
      <c r="BP33" s="16">
        <v>0</v>
      </c>
      <c r="BQ33" s="16">
        <v>0</v>
      </c>
      <c r="BR33" s="16">
        <v>0</v>
      </c>
      <c r="BS33" s="16">
        <v>0</v>
      </c>
      <c r="BT33" s="16">
        <v>0</v>
      </c>
      <c r="BU33"/>
      <c r="BV33" s="5"/>
    </row>
    <row r="34" spans="1:74">
      <c r="A34"/>
      <c r="B34" s="9" t="s">
        <v>110</v>
      </c>
      <c r="C34" s="16">
        <v>0</v>
      </c>
      <c r="D34" s="16">
        <v>0</v>
      </c>
      <c r="E34" s="30">
        <f t="shared" si="13"/>
        <v>0</v>
      </c>
      <c r="F34" s="16">
        <v>0</v>
      </c>
      <c r="G34" s="30">
        <f t="shared" si="16"/>
        <v>0</v>
      </c>
      <c r="H34" s="30">
        <f t="shared" si="14"/>
        <v>0</v>
      </c>
      <c r="I34" s="14">
        <f t="shared" si="15"/>
        <v>0</v>
      </c>
      <c r="J34" s="30">
        <f t="shared" si="17"/>
        <v>0</v>
      </c>
      <c r="K34" s="30">
        <f t="shared" si="18"/>
        <v>0</v>
      </c>
      <c r="L34"/>
      <c r="M34" s="16">
        <v>0</v>
      </c>
      <c r="N34" s="16">
        <v>0</v>
      </c>
      <c r="O34" s="16">
        <v>0</v>
      </c>
      <c r="P34" s="16">
        <v>0</v>
      </c>
      <c r="Q34" s="16">
        <v>0</v>
      </c>
      <c r="R34" s="16">
        <v>0</v>
      </c>
      <c r="S34" s="16">
        <v>0</v>
      </c>
      <c r="T34" s="16">
        <v>0</v>
      </c>
      <c r="U34" s="16">
        <v>0</v>
      </c>
      <c r="V34" s="16">
        <v>0</v>
      </c>
      <c r="W34" s="16">
        <v>0</v>
      </c>
      <c r="X34" s="16">
        <v>0</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0</v>
      </c>
      <c r="AS34" s="16">
        <v>0</v>
      </c>
      <c r="AT34" s="16">
        <v>0</v>
      </c>
      <c r="AU34" s="16">
        <v>0</v>
      </c>
      <c r="AV34" s="16">
        <v>0</v>
      </c>
      <c r="AW34" s="16">
        <v>0</v>
      </c>
      <c r="AX34" s="16">
        <v>0</v>
      </c>
      <c r="AY34" s="16">
        <v>0</v>
      </c>
      <c r="AZ34" s="16">
        <v>0</v>
      </c>
      <c r="BA34" s="16">
        <v>0</v>
      </c>
      <c r="BB34" s="16">
        <v>0</v>
      </c>
      <c r="BC34" s="16">
        <v>0</v>
      </c>
      <c r="BD34" s="16">
        <v>0</v>
      </c>
      <c r="BE34" s="16">
        <v>0</v>
      </c>
      <c r="BF34" s="16">
        <v>0</v>
      </c>
      <c r="BG34" s="16">
        <v>0</v>
      </c>
      <c r="BH34" s="16">
        <v>0</v>
      </c>
      <c r="BI34" s="16">
        <v>0</v>
      </c>
      <c r="BJ34" s="16">
        <v>0</v>
      </c>
      <c r="BK34" s="16">
        <v>0</v>
      </c>
      <c r="BL34" s="16">
        <v>0</v>
      </c>
      <c r="BM34" s="16">
        <v>0</v>
      </c>
      <c r="BN34" s="16">
        <v>0</v>
      </c>
      <c r="BO34" s="16">
        <v>0</v>
      </c>
      <c r="BP34" s="16">
        <v>0</v>
      </c>
      <c r="BQ34" s="16">
        <v>0</v>
      </c>
      <c r="BR34" s="16">
        <v>0</v>
      </c>
      <c r="BS34" s="16">
        <v>0</v>
      </c>
      <c r="BT34" s="16">
        <v>0</v>
      </c>
      <c r="BU34"/>
      <c r="BV34" s="5"/>
    </row>
    <row r="35" spans="1:74">
      <c r="A35"/>
      <c r="B35" s="9" t="s">
        <v>113</v>
      </c>
      <c r="C35" s="16">
        <v>0</v>
      </c>
      <c r="D35" s="16">
        <v>0</v>
      </c>
      <c r="E35" s="30">
        <f t="shared" si="13"/>
        <v>0</v>
      </c>
      <c r="F35" s="16">
        <v>0</v>
      </c>
      <c r="G35" s="30">
        <f t="shared" si="16"/>
        <v>0</v>
      </c>
      <c r="H35" s="30">
        <f t="shared" si="14"/>
        <v>0</v>
      </c>
      <c r="I35" s="14">
        <f t="shared" si="15"/>
        <v>0</v>
      </c>
      <c r="J35" s="30">
        <f t="shared" si="17"/>
        <v>0</v>
      </c>
      <c r="K35" s="30">
        <f t="shared" si="18"/>
        <v>0</v>
      </c>
      <c r="L35"/>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s="16">
        <v>0</v>
      </c>
      <c r="BL35" s="16">
        <v>0</v>
      </c>
      <c r="BM35" s="16">
        <v>0</v>
      </c>
      <c r="BN35" s="16">
        <v>0</v>
      </c>
      <c r="BO35" s="16">
        <v>0</v>
      </c>
      <c r="BP35" s="16">
        <v>0</v>
      </c>
      <c r="BQ35" s="16">
        <v>0</v>
      </c>
      <c r="BR35" s="16">
        <v>0</v>
      </c>
      <c r="BS35" s="16">
        <v>0</v>
      </c>
      <c r="BT35" s="16">
        <v>0</v>
      </c>
      <c r="BU35"/>
      <c r="BV35" s="5"/>
    </row>
    <row r="36" spans="1:74">
      <c r="A36"/>
      <c r="B36" s="9" t="s">
        <v>296</v>
      </c>
      <c r="C36" s="16">
        <v>0</v>
      </c>
      <c r="D36" s="16">
        <v>0</v>
      </c>
      <c r="E36" s="30">
        <f t="shared" si="13"/>
        <v>0</v>
      </c>
      <c r="F36" s="16">
        <v>0</v>
      </c>
      <c r="G36" s="30">
        <f t="shared" si="16"/>
        <v>0</v>
      </c>
      <c r="H36" s="30">
        <f t="shared" si="14"/>
        <v>0</v>
      </c>
      <c r="I36" s="14">
        <f t="shared" si="15"/>
        <v>0</v>
      </c>
      <c r="J36" s="30">
        <f t="shared" si="17"/>
        <v>0</v>
      </c>
      <c r="K36" s="30">
        <f t="shared" si="18"/>
        <v>0</v>
      </c>
      <c r="L36"/>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s="16">
        <v>0</v>
      </c>
      <c r="BL36" s="16">
        <v>0</v>
      </c>
      <c r="BM36" s="16">
        <v>0</v>
      </c>
      <c r="BN36" s="16">
        <v>0</v>
      </c>
      <c r="BO36" s="16">
        <v>0</v>
      </c>
      <c r="BP36" s="16">
        <v>0</v>
      </c>
      <c r="BQ36" s="16">
        <v>0</v>
      </c>
      <c r="BR36" s="16">
        <v>0</v>
      </c>
      <c r="BS36" s="16">
        <v>0</v>
      </c>
      <c r="BT36" s="16">
        <v>0</v>
      </c>
      <c r="BU36"/>
      <c r="BV36" s="5"/>
    </row>
    <row r="37" spans="1:74">
      <c r="A37"/>
      <c r="B37" s="9" t="s">
        <v>122</v>
      </c>
      <c r="C37" s="16">
        <v>0</v>
      </c>
      <c r="D37" s="16">
        <v>0</v>
      </c>
      <c r="E37" s="30">
        <f t="shared" si="13"/>
        <v>0</v>
      </c>
      <c r="F37" s="16">
        <v>0</v>
      </c>
      <c r="G37" s="30">
        <f t="shared" si="16"/>
        <v>0</v>
      </c>
      <c r="H37" s="30">
        <f t="shared" si="14"/>
        <v>0</v>
      </c>
      <c r="I37" s="14">
        <f t="shared" si="15"/>
        <v>0</v>
      </c>
      <c r="J37" s="30">
        <f t="shared" si="17"/>
        <v>0</v>
      </c>
      <c r="K37" s="30">
        <f t="shared" si="18"/>
        <v>0</v>
      </c>
      <c r="L37"/>
      <c r="M37" s="16">
        <v>0</v>
      </c>
      <c r="N37" s="16">
        <v>0</v>
      </c>
      <c r="O37" s="16">
        <v>0</v>
      </c>
      <c r="P37" s="16">
        <v>0</v>
      </c>
      <c r="Q37" s="16">
        <v>0</v>
      </c>
      <c r="R37" s="16">
        <v>0</v>
      </c>
      <c r="S37" s="16">
        <v>0</v>
      </c>
      <c r="T37" s="16">
        <v>0</v>
      </c>
      <c r="U37" s="16">
        <v>0</v>
      </c>
      <c r="V37" s="16">
        <v>0</v>
      </c>
      <c r="W37" s="16">
        <v>0</v>
      </c>
      <c r="X37" s="16">
        <v>0</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0</v>
      </c>
      <c r="BN37" s="16">
        <v>0</v>
      </c>
      <c r="BO37" s="16">
        <v>0</v>
      </c>
      <c r="BP37" s="16">
        <v>0</v>
      </c>
      <c r="BQ37" s="16">
        <v>0</v>
      </c>
      <c r="BR37" s="16">
        <v>0</v>
      </c>
      <c r="BS37" s="16">
        <v>0</v>
      </c>
      <c r="BT37" s="16">
        <v>0</v>
      </c>
      <c r="BU37"/>
      <c r="BV37" s="5"/>
    </row>
    <row r="38" spans="1:74">
      <c r="A38"/>
      <c r="B38" s="9" t="s">
        <v>124</v>
      </c>
      <c r="C38" s="16">
        <v>0</v>
      </c>
      <c r="D38" s="16">
        <v>0</v>
      </c>
      <c r="E38" s="30">
        <f t="shared" si="13"/>
        <v>0</v>
      </c>
      <c r="F38" s="16">
        <v>0</v>
      </c>
      <c r="G38" s="30">
        <f t="shared" si="16"/>
        <v>0</v>
      </c>
      <c r="H38" s="30">
        <f t="shared" si="14"/>
        <v>0</v>
      </c>
      <c r="I38" s="14">
        <f t="shared" si="15"/>
        <v>0</v>
      </c>
      <c r="J38" s="30">
        <f t="shared" si="17"/>
        <v>0</v>
      </c>
      <c r="K38" s="30">
        <f t="shared" si="18"/>
        <v>0</v>
      </c>
      <c r="L38"/>
      <c r="M38" s="16">
        <v>0</v>
      </c>
      <c r="N38" s="16">
        <v>0</v>
      </c>
      <c r="O38" s="16">
        <v>0</v>
      </c>
      <c r="P38" s="16">
        <v>0</v>
      </c>
      <c r="Q38" s="16">
        <v>0</v>
      </c>
      <c r="R38" s="16">
        <v>0</v>
      </c>
      <c r="S38" s="16">
        <v>0</v>
      </c>
      <c r="T38" s="16">
        <v>0</v>
      </c>
      <c r="U38" s="16">
        <v>0</v>
      </c>
      <c r="V38" s="16">
        <v>0</v>
      </c>
      <c r="W38" s="16">
        <v>0</v>
      </c>
      <c r="X38" s="16">
        <v>0</v>
      </c>
      <c r="Y38" s="16">
        <v>0</v>
      </c>
      <c r="Z38" s="16">
        <v>0</v>
      </c>
      <c r="AA38" s="16">
        <v>0</v>
      </c>
      <c r="AB38" s="16">
        <v>0</v>
      </c>
      <c r="AC38" s="16">
        <v>0</v>
      </c>
      <c r="AD38" s="16">
        <v>0</v>
      </c>
      <c r="AE38" s="16">
        <v>0</v>
      </c>
      <c r="AF38" s="16">
        <v>0</v>
      </c>
      <c r="AG38" s="16">
        <v>0</v>
      </c>
      <c r="AH38" s="16">
        <v>0</v>
      </c>
      <c r="AI38" s="16">
        <v>0</v>
      </c>
      <c r="AJ38" s="16">
        <v>0</v>
      </c>
      <c r="AK38" s="16">
        <v>0</v>
      </c>
      <c r="AL38" s="16">
        <v>0</v>
      </c>
      <c r="AM38" s="16">
        <v>0</v>
      </c>
      <c r="AN38" s="16">
        <v>0</v>
      </c>
      <c r="AO38" s="16">
        <v>0</v>
      </c>
      <c r="AP38" s="16">
        <v>0</v>
      </c>
      <c r="AQ38" s="16">
        <v>0</v>
      </c>
      <c r="AR38" s="16">
        <v>0</v>
      </c>
      <c r="AS38" s="16">
        <v>0</v>
      </c>
      <c r="AT38" s="16">
        <v>0</v>
      </c>
      <c r="AU38" s="16">
        <v>0</v>
      </c>
      <c r="AV38" s="16">
        <v>0</v>
      </c>
      <c r="AW38" s="16">
        <v>0</v>
      </c>
      <c r="AX38" s="16">
        <v>0</v>
      </c>
      <c r="AY38" s="16">
        <v>0</v>
      </c>
      <c r="AZ38" s="16">
        <v>0</v>
      </c>
      <c r="BA38" s="16">
        <v>0</v>
      </c>
      <c r="BB38" s="16">
        <v>0</v>
      </c>
      <c r="BC38" s="16">
        <v>0</v>
      </c>
      <c r="BD38" s="16">
        <v>0</v>
      </c>
      <c r="BE38" s="16">
        <v>0</v>
      </c>
      <c r="BF38" s="16">
        <v>0</v>
      </c>
      <c r="BG38" s="16">
        <v>0</v>
      </c>
      <c r="BH38" s="16">
        <v>0</v>
      </c>
      <c r="BI38" s="16">
        <v>0</v>
      </c>
      <c r="BJ38" s="16">
        <v>0</v>
      </c>
      <c r="BK38" s="16">
        <v>0</v>
      </c>
      <c r="BL38" s="16">
        <v>0</v>
      </c>
      <c r="BM38" s="16">
        <v>0</v>
      </c>
      <c r="BN38" s="16">
        <v>0</v>
      </c>
      <c r="BO38" s="16">
        <v>0</v>
      </c>
      <c r="BP38" s="16">
        <v>0</v>
      </c>
      <c r="BQ38" s="16">
        <v>0</v>
      </c>
      <c r="BR38" s="16">
        <v>0</v>
      </c>
      <c r="BS38" s="16">
        <v>0</v>
      </c>
      <c r="BT38" s="16">
        <v>0</v>
      </c>
      <c r="BU38"/>
      <c r="BV38" s="5"/>
    </row>
    <row r="39" spans="1:74">
      <c r="A39"/>
      <c r="B39" s="9" t="s">
        <v>297</v>
      </c>
      <c r="C39" s="16">
        <v>0</v>
      </c>
      <c r="D39" s="16">
        <v>0</v>
      </c>
      <c r="E39" s="30">
        <f t="shared" si="13"/>
        <v>0</v>
      </c>
      <c r="F39" s="16">
        <v>0</v>
      </c>
      <c r="G39" s="30">
        <f t="shared" si="16"/>
        <v>0</v>
      </c>
      <c r="H39" s="30">
        <f t="shared" si="14"/>
        <v>0</v>
      </c>
      <c r="I39" s="14">
        <f t="shared" si="15"/>
        <v>0</v>
      </c>
      <c r="J39" s="30">
        <f t="shared" si="17"/>
        <v>0</v>
      </c>
      <c r="K39" s="30">
        <f t="shared" si="18"/>
        <v>0</v>
      </c>
      <c r="L39"/>
      <c r="M39" s="16">
        <v>0</v>
      </c>
      <c r="N39" s="16">
        <v>0</v>
      </c>
      <c r="O39" s="16">
        <v>0</v>
      </c>
      <c r="P39" s="16">
        <v>0</v>
      </c>
      <c r="Q39" s="16">
        <v>0</v>
      </c>
      <c r="R39" s="16">
        <v>0</v>
      </c>
      <c r="S39" s="16">
        <v>0</v>
      </c>
      <c r="T39" s="16">
        <v>0</v>
      </c>
      <c r="U39" s="16">
        <v>0</v>
      </c>
      <c r="V39" s="16">
        <v>0</v>
      </c>
      <c r="W39" s="16">
        <v>0</v>
      </c>
      <c r="X39" s="16">
        <v>0</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0</v>
      </c>
      <c r="AR39" s="16">
        <v>0</v>
      </c>
      <c r="AS39" s="16">
        <v>0</v>
      </c>
      <c r="AT39" s="16">
        <v>0</v>
      </c>
      <c r="AU39" s="16">
        <v>0</v>
      </c>
      <c r="AV39" s="16">
        <v>0</v>
      </c>
      <c r="AW39" s="16">
        <v>0</v>
      </c>
      <c r="AX39" s="16">
        <v>0</v>
      </c>
      <c r="AY39" s="16">
        <v>0</v>
      </c>
      <c r="AZ39" s="16">
        <v>0</v>
      </c>
      <c r="BA39" s="16">
        <v>0</v>
      </c>
      <c r="BB39" s="16">
        <v>0</v>
      </c>
      <c r="BC39" s="16">
        <v>0</v>
      </c>
      <c r="BD39" s="16">
        <v>0</v>
      </c>
      <c r="BE39" s="16">
        <v>0</v>
      </c>
      <c r="BF39" s="16">
        <v>0</v>
      </c>
      <c r="BG39" s="16">
        <v>0</v>
      </c>
      <c r="BH39" s="16">
        <v>0</v>
      </c>
      <c r="BI39" s="16">
        <v>0</v>
      </c>
      <c r="BJ39" s="16">
        <v>0</v>
      </c>
      <c r="BK39" s="16">
        <v>0</v>
      </c>
      <c r="BL39" s="16">
        <v>0</v>
      </c>
      <c r="BM39" s="16">
        <v>0</v>
      </c>
      <c r="BN39" s="16">
        <v>0</v>
      </c>
      <c r="BO39" s="16">
        <v>0</v>
      </c>
      <c r="BP39" s="16">
        <v>0</v>
      </c>
      <c r="BQ39" s="16">
        <v>0</v>
      </c>
      <c r="BR39" s="16">
        <v>0</v>
      </c>
      <c r="BS39" s="16">
        <v>0</v>
      </c>
      <c r="BT39" s="16">
        <v>0</v>
      </c>
      <c r="BU39"/>
      <c r="BV39" s="5"/>
    </row>
    <row r="40" spans="1:74">
      <c r="A40"/>
      <c r="B40" s="9" t="s">
        <v>128</v>
      </c>
      <c r="C40" s="16">
        <v>0</v>
      </c>
      <c r="D40" s="16">
        <v>0</v>
      </c>
      <c r="E40" s="30">
        <f t="shared" si="13"/>
        <v>0</v>
      </c>
      <c r="F40" s="16">
        <v>0</v>
      </c>
      <c r="G40" s="30">
        <f t="shared" si="16"/>
        <v>0</v>
      </c>
      <c r="H40" s="30">
        <f t="shared" si="14"/>
        <v>0</v>
      </c>
      <c r="I40" s="14">
        <f t="shared" si="15"/>
        <v>0</v>
      </c>
      <c r="J40" s="30">
        <f t="shared" si="17"/>
        <v>0</v>
      </c>
      <c r="K40" s="30">
        <f t="shared" si="18"/>
        <v>0</v>
      </c>
      <c r="L40"/>
      <c r="M40" s="16">
        <v>0</v>
      </c>
      <c r="N40" s="16">
        <v>0</v>
      </c>
      <c r="O40" s="16">
        <v>0</v>
      </c>
      <c r="P40" s="16">
        <v>0</v>
      </c>
      <c r="Q40" s="16">
        <v>0</v>
      </c>
      <c r="R40" s="16">
        <v>0</v>
      </c>
      <c r="S40" s="16">
        <v>0</v>
      </c>
      <c r="T40" s="16">
        <v>0</v>
      </c>
      <c r="U40" s="16">
        <v>0</v>
      </c>
      <c r="V40" s="16">
        <v>0</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0</v>
      </c>
      <c r="BN40" s="16">
        <v>0</v>
      </c>
      <c r="BO40" s="16">
        <v>0</v>
      </c>
      <c r="BP40" s="16">
        <v>0</v>
      </c>
      <c r="BQ40" s="16">
        <v>0</v>
      </c>
      <c r="BR40" s="16">
        <v>0</v>
      </c>
      <c r="BS40" s="16">
        <v>0</v>
      </c>
      <c r="BT40" s="16">
        <v>0</v>
      </c>
      <c r="BU40"/>
      <c r="BV40" s="5"/>
    </row>
    <row r="41" spans="1:74">
      <c r="A41"/>
      <c r="B41" s="9" t="s">
        <v>129</v>
      </c>
      <c r="C41" s="16">
        <v>0</v>
      </c>
      <c r="D41" s="16">
        <v>0</v>
      </c>
      <c r="E41" s="30">
        <f t="shared" si="13"/>
        <v>0</v>
      </c>
      <c r="F41" s="16">
        <v>0</v>
      </c>
      <c r="G41" s="30">
        <f t="shared" si="16"/>
        <v>0</v>
      </c>
      <c r="H41" s="30">
        <f t="shared" si="14"/>
        <v>0</v>
      </c>
      <c r="I41" s="14">
        <f t="shared" si="15"/>
        <v>0</v>
      </c>
      <c r="J41" s="30">
        <f t="shared" si="17"/>
        <v>0</v>
      </c>
      <c r="K41" s="30">
        <f t="shared" si="18"/>
        <v>0</v>
      </c>
      <c r="L41"/>
      <c r="M41" s="16">
        <v>0</v>
      </c>
      <c r="N41" s="16">
        <v>0</v>
      </c>
      <c r="O41" s="16">
        <v>0</v>
      </c>
      <c r="P41" s="16">
        <v>0</v>
      </c>
      <c r="Q41" s="16">
        <v>0</v>
      </c>
      <c r="R41" s="16">
        <v>0</v>
      </c>
      <c r="S41" s="16">
        <v>0</v>
      </c>
      <c r="T41" s="16">
        <v>0</v>
      </c>
      <c r="U41" s="16">
        <v>0</v>
      </c>
      <c r="V41" s="16">
        <v>0</v>
      </c>
      <c r="W41" s="16">
        <v>0</v>
      </c>
      <c r="X41" s="16">
        <v>0</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0</v>
      </c>
      <c r="BJ41" s="16">
        <v>0</v>
      </c>
      <c r="BK41" s="16">
        <v>0</v>
      </c>
      <c r="BL41" s="16">
        <v>0</v>
      </c>
      <c r="BM41" s="16">
        <v>0</v>
      </c>
      <c r="BN41" s="16">
        <v>0</v>
      </c>
      <c r="BO41" s="16">
        <v>0</v>
      </c>
      <c r="BP41" s="16">
        <v>0</v>
      </c>
      <c r="BQ41" s="16">
        <v>0</v>
      </c>
      <c r="BR41" s="16">
        <v>0</v>
      </c>
      <c r="BS41" s="16">
        <v>0</v>
      </c>
      <c r="BT41" s="16">
        <v>0</v>
      </c>
      <c r="BU41"/>
      <c r="BV41" s="5"/>
    </row>
    <row r="42" spans="1:74">
      <c r="A42"/>
      <c r="B42" s="9" t="s">
        <v>132</v>
      </c>
      <c r="C42" s="16">
        <v>0</v>
      </c>
      <c r="D42" s="16">
        <v>0</v>
      </c>
      <c r="E42" s="30">
        <f t="shared" si="13"/>
        <v>0</v>
      </c>
      <c r="F42" s="16">
        <v>0</v>
      </c>
      <c r="G42" s="30">
        <f t="shared" si="16"/>
        <v>0</v>
      </c>
      <c r="H42" s="30">
        <f t="shared" si="14"/>
        <v>0</v>
      </c>
      <c r="I42" s="14">
        <f t="shared" si="15"/>
        <v>0</v>
      </c>
      <c r="J42" s="30">
        <f t="shared" si="17"/>
        <v>0</v>
      </c>
      <c r="K42" s="30">
        <f t="shared" si="18"/>
        <v>0</v>
      </c>
      <c r="L42"/>
      <c r="M42" s="16">
        <v>0</v>
      </c>
      <c r="N42" s="16">
        <v>0</v>
      </c>
      <c r="O42" s="16">
        <v>0</v>
      </c>
      <c r="P42" s="16">
        <v>0</v>
      </c>
      <c r="Q42" s="16">
        <v>0</v>
      </c>
      <c r="R42" s="16">
        <v>0</v>
      </c>
      <c r="S42" s="16">
        <v>0</v>
      </c>
      <c r="T42" s="16">
        <v>0</v>
      </c>
      <c r="U42" s="16">
        <v>0</v>
      </c>
      <c r="V42" s="16">
        <v>0</v>
      </c>
      <c r="W42" s="16">
        <v>0</v>
      </c>
      <c r="X42" s="16">
        <v>0</v>
      </c>
      <c r="Y42" s="16">
        <v>0</v>
      </c>
      <c r="Z42" s="16">
        <v>0</v>
      </c>
      <c r="AA42" s="16">
        <v>0</v>
      </c>
      <c r="AB42" s="16">
        <v>0</v>
      </c>
      <c r="AC42" s="16">
        <v>0</v>
      </c>
      <c r="AD42" s="16">
        <v>0</v>
      </c>
      <c r="AE42" s="16">
        <v>0</v>
      </c>
      <c r="AF42" s="16">
        <v>0</v>
      </c>
      <c r="AG42" s="16">
        <v>0</v>
      </c>
      <c r="AH42" s="16">
        <v>0</v>
      </c>
      <c r="AI42" s="16">
        <v>0</v>
      </c>
      <c r="AJ42" s="16">
        <v>0</v>
      </c>
      <c r="AK42" s="16">
        <v>0</v>
      </c>
      <c r="AL42" s="16">
        <v>0</v>
      </c>
      <c r="AM42" s="16">
        <v>0</v>
      </c>
      <c r="AN42" s="16">
        <v>0</v>
      </c>
      <c r="AO42" s="16">
        <v>0</v>
      </c>
      <c r="AP42" s="16">
        <v>0</v>
      </c>
      <c r="AQ42" s="16">
        <v>0</v>
      </c>
      <c r="AR42" s="16">
        <v>0</v>
      </c>
      <c r="AS42" s="16">
        <v>0</v>
      </c>
      <c r="AT42" s="16">
        <v>0</v>
      </c>
      <c r="AU42" s="16">
        <v>0</v>
      </c>
      <c r="AV42" s="16">
        <v>0</v>
      </c>
      <c r="AW42" s="16">
        <v>0</v>
      </c>
      <c r="AX42" s="16">
        <v>0</v>
      </c>
      <c r="AY42" s="16">
        <v>0</v>
      </c>
      <c r="AZ42" s="16">
        <v>0</v>
      </c>
      <c r="BA42" s="16">
        <v>0</v>
      </c>
      <c r="BB42" s="16">
        <v>0</v>
      </c>
      <c r="BC42" s="16">
        <v>0</v>
      </c>
      <c r="BD42" s="16">
        <v>0</v>
      </c>
      <c r="BE42" s="16">
        <v>0</v>
      </c>
      <c r="BF42" s="16">
        <v>0</v>
      </c>
      <c r="BG42" s="16">
        <v>0</v>
      </c>
      <c r="BH42" s="16">
        <v>0</v>
      </c>
      <c r="BI42" s="16">
        <v>0</v>
      </c>
      <c r="BJ42" s="16">
        <v>0</v>
      </c>
      <c r="BK42" s="16">
        <v>0</v>
      </c>
      <c r="BL42" s="16">
        <v>0</v>
      </c>
      <c r="BM42" s="16">
        <v>0</v>
      </c>
      <c r="BN42" s="16">
        <v>0</v>
      </c>
      <c r="BO42" s="16">
        <v>0</v>
      </c>
      <c r="BP42" s="16">
        <v>0</v>
      </c>
      <c r="BQ42" s="16">
        <v>0</v>
      </c>
      <c r="BR42" s="16">
        <v>0</v>
      </c>
      <c r="BS42" s="16">
        <v>0</v>
      </c>
      <c r="BT42" s="16">
        <v>0</v>
      </c>
      <c r="BU42"/>
      <c r="BV42" s="5"/>
    </row>
    <row r="43" spans="1:74">
      <c r="A43"/>
      <c r="B43" s="9" t="s">
        <v>137</v>
      </c>
      <c r="C43" s="16">
        <v>0</v>
      </c>
      <c r="D43" s="16">
        <v>0</v>
      </c>
      <c r="E43" s="30">
        <f t="shared" si="13"/>
        <v>0</v>
      </c>
      <c r="F43" s="16">
        <v>0</v>
      </c>
      <c r="G43" s="30">
        <f t="shared" si="16"/>
        <v>0</v>
      </c>
      <c r="H43" s="30">
        <f t="shared" si="14"/>
        <v>0</v>
      </c>
      <c r="I43" s="14">
        <f t="shared" si="15"/>
        <v>0</v>
      </c>
      <c r="J43" s="30">
        <f t="shared" si="17"/>
        <v>0</v>
      </c>
      <c r="K43" s="30">
        <f t="shared" si="18"/>
        <v>0</v>
      </c>
      <c r="L43"/>
      <c r="M43" s="16">
        <v>0</v>
      </c>
      <c r="N43" s="16">
        <v>0</v>
      </c>
      <c r="O43" s="16">
        <v>0</v>
      </c>
      <c r="P43" s="16">
        <v>0</v>
      </c>
      <c r="Q43" s="16">
        <v>0</v>
      </c>
      <c r="R43" s="16">
        <v>0</v>
      </c>
      <c r="S43" s="16">
        <v>0</v>
      </c>
      <c r="T43" s="16">
        <v>0</v>
      </c>
      <c r="U43" s="16">
        <v>0</v>
      </c>
      <c r="V43" s="16">
        <v>0</v>
      </c>
      <c r="W43" s="16">
        <v>0</v>
      </c>
      <c r="X43" s="16">
        <v>0</v>
      </c>
      <c r="Y43" s="16">
        <v>0</v>
      </c>
      <c r="Z43" s="16">
        <v>0</v>
      </c>
      <c r="AA43" s="16">
        <v>0</v>
      </c>
      <c r="AB43" s="16">
        <v>0</v>
      </c>
      <c r="AC43" s="16">
        <v>0</v>
      </c>
      <c r="AD43" s="16">
        <v>0</v>
      </c>
      <c r="AE43" s="16">
        <v>0</v>
      </c>
      <c r="AF43" s="16">
        <v>0</v>
      </c>
      <c r="AG43" s="16">
        <v>0</v>
      </c>
      <c r="AH43" s="16">
        <v>0</v>
      </c>
      <c r="AI43" s="16">
        <v>0</v>
      </c>
      <c r="AJ43" s="16">
        <v>0</v>
      </c>
      <c r="AK43" s="16">
        <v>0</v>
      </c>
      <c r="AL43" s="16">
        <v>0</v>
      </c>
      <c r="AM43" s="16">
        <v>0</v>
      </c>
      <c r="AN43" s="16">
        <v>0</v>
      </c>
      <c r="AO43" s="16">
        <v>0</v>
      </c>
      <c r="AP43" s="16">
        <v>0</v>
      </c>
      <c r="AQ43" s="16">
        <v>0</v>
      </c>
      <c r="AR43" s="16">
        <v>0</v>
      </c>
      <c r="AS43" s="16">
        <v>0</v>
      </c>
      <c r="AT43" s="16">
        <v>0</v>
      </c>
      <c r="AU43" s="16">
        <v>0</v>
      </c>
      <c r="AV43" s="16">
        <v>0</v>
      </c>
      <c r="AW43" s="16">
        <v>0</v>
      </c>
      <c r="AX43" s="16">
        <v>0</v>
      </c>
      <c r="AY43" s="16">
        <v>0</v>
      </c>
      <c r="AZ43" s="16">
        <v>0</v>
      </c>
      <c r="BA43" s="16">
        <v>0</v>
      </c>
      <c r="BB43" s="16">
        <v>0</v>
      </c>
      <c r="BC43" s="16">
        <v>0</v>
      </c>
      <c r="BD43" s="16">
        <v>0</v>
      </c>
      <c r="BE43" s="16">
        <v>0</v>
      </c>
      <c r="BF43" s="16">
        <v>0</v>
      </c>
      <c r="BG43" s="16">
        <v>0</v>
      </c>
      <c r="BH43" s="16">
        <v>0</v>
      </c>
      <c r="BI43" s="16">
        <v>0</v>
      </c>
      <c r="BJ43" s="16">
        <v>0</v>
      </c>
      <c r="BK43" s="16">
        <v>0</v>
      </c>
      <c r="BL43" s="16">
        <v>0</v>
      </c>
      <c r="BM43" s="16">
        <v>0</v>
      </c>
      <c r="BN43" s="16">
        <v>0</v>
      </c>
      <c r="BO43" s="16">
        <v>0</v>
      </c>
      <c r="BP43" s="16">
        <v>0</v>
      </c>
      <c r="BQ43" s="16">
        <v>0</v>
      </c>
      <c r="BR43" s="16">
        <v>0</v>
      </c>
      <c r="BS43" s="16">
        <v>0</v>
      </c>
      <c r="BT43" s="16">
        <v>0</v>
      </c>
      <c r="BU43"/>
      <c r="BV43" s="5"/>
    </row>
    <row r="44" spans="1:74">
      <c r="A44"/>
      <c r="B44" s="9" t="s">
        <v>138</v>
      </c>
      <c r="C44" s="16">
        <v>0</v>
      </c>
      <c r="D44" s="16">
        <v>0</v>
      </c>
      <c r="E44" s="30">
        <f t="shared" si="13"/>
        <v>0</v>
      </c>
      <c r="F44" s="16">
        <v>0</v>
      </c>
      <c r="G44" s="30">
        <f t="shared" si="16"/>
        <v>0</v>
      </c>
      <c r="H44" s="30">
        <f t="shared" si="14"/>
        <v>0</v>
      </c>
      <c r="I44" s="14">
        <f t="shared" si="15"/>
        <v>0</v>
      </c>
      <c r="J44" s="30">
        <f t="shared" si="17"/>
        <v>0</v>
      </c>
      <c r="K44" s="30">
        <f t="shared" si="18"/>
        <v>0</v>
      </c>
      <c r="L44"/>
      <c r="M44" s="16">
        <v>0</v>
      </c>
      <c r="N44" s="16">
        <v>0</v>
      </c>
      <c r="O44" s="16">
        <v>0</v>
      </c>
      <c r="P44" s="16">
        <v>0</v>
      </c>
      <c r="Q44" s="16">
        <v>0</v>
      </c>
      <c r="R44" s="16">
        <v>0</v>
      </c>
      <c r="S44" s="16">
        <v>0</v>
      </c>
      <c r="T44" s="16">
        <v>0</v>
      </c>
      <c r="U44" s="16">
        <v>0</v>
      </c>
      <c r="V44" s="16">
        <v>0</v>
      </c>
      <c r="W44" s="16">
        <v>0</v>
      </c>
      <c r="X44" s="16">
        <v>0</v>
      </c>
      <c r="Y44" s="16">
        <v>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0</v>
      </c>
      <c r="AY44" s="16">
        <v>0</v>
      </c>
      <c r="AZ44" s="16">
        <v>0</v>
      </c>
      <c r="BA44" s="16">
        <v>0</v>
      </c>
      <c r="BB44" s="16">
        <v>0</v>
      </c>
      <c r="BC44" s="16">
        <v>0</v>
      </c>
      <c r="BD44" s="16">
        <v>0</v>
      </c>
      <c r="BE44" s="16">
        <v>0</v>
      </c>
      <c r="BF44" s="16">
        <v>0</v>
      </c>
      <c r="BG44" s="16">
        <v>0</v>
      </c>
      <c r="BH44" s="16">
        <v>0</v>
      </c>
      <c r="BI44" s="16">
        <v>0</v>
      </c>
      <c r="BJ44" s="16">
        <v>0</v>
      </c>
      <c r="BK44" s="16">
        <v>0</v>
      </c>
      <c r="BL44" s="16">
        <v>0</v>
      </c>
      <c r="BM44" s="16">
        <v>0</v>
      </c>
      <c r="BN44" s="16">
        <v>0</v>
      </c>
      <c r="BO44" s="16">
        <v>0</v>
      </c>
      <c r="BP44" s="16">
        <v>0</v>
      </c>
      <c r="BQ44" s="16">
        <v>0</v>
      </c>
      <c r="BR44" s="16">
        <v>0</v>
      </c>
      <c r="BS44" s="16">
        <v>0</v>
      </c>
      <c r="BT44" s="16">
        <v>0</v>
      </c>
      <c r="BU44"/>
      <c r="BV44" s="5"/>
    </row>
    <row r="45" spans="1:74">
      <c r="A45"/>
      <c r="B45" s="9" t="s">
        <v>140</v>
      </c>
      <c r="C45" s="16">
        <v>0</v>
      </c>
      <c r="D45" s="16">
        <v>0</v>
      </c>
      <c r="E45" s="30">
        <f t="shared" si="13"/>
        <v>0</v>
      </c>
      <c r="F45" s="16">
        <v>0</v>
      </c>
      <c r="G45" s="30">
        <f t="shared" si="16"/>
        <v>0</v>
      </c>
      <c r="H45" s="30">
        <f t="shared" si="14"/>
        <v>0</v>
      </c>
      <c r="I45" s="14">
        <f t="shared" si="15"/>
        <v>0</v>
      </c>
      <c r="J45" s="30">
        <f t="shared" si="17"/>
        <v>0</v>
      </c>
      <c r="K45" s="30">
        <f t="shared" si="18"/>
        <v>0</v>
      </c>
      <c r="L45"/>
      <c r="M45" s="16">
        <v>0</v>
      </c>
      <c r="N45" s="16">
        <v>0</v>
      </c>
      <c r="O45" s="16">
        <v>0</v>
      </c>
      <c r="P45" s="16">
        <v>0</v>
      </c>
      <c r="Q45" s="16">
        <v>0</v>
      </c>
      <c r="R45" s="16">
        <v>0</v>
      </c>
      <c r="S45" s="16">
        <v>0</v>
      </c>
      <c r="T45" s="16">
        <v>0</v>
      </c>
      <c r="U45" s="16">
        <v>0</v>
      </c>
      <c r="V45" s="16">
        <v>0</v>
      </c>
      <c r="W45" s="16">
        <v>0</v>
      </c>
      <c r="X45" s="16">
        <v>0</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0</v>
      </c>
      <c r="AZ45" s="16">
        <v>0</v>
      </c>
      <c r="BA45" s="16">
        <v>0</v>
      </c>
      <c r="BB45" s="16">
        <v>0</v>
      </c>
      <c r="BC45" s="16">
        <v>0</v>
      </c>
      <c r="BD45" s="16">
        <v>0</v>
      </c>
      <c r="BE45" s="16">
        <v>0</v>
      </c>
      <c r="BF45" s="16">
        <v>0</v>
      </c>
      <c r="BG45" s="16">
        <v>0</v>
      </c>
      <c r="BH45" s="16">
        <v>0</v>
      </c>
      <c r="BI45" s="16">
        <v>0</v>
      </c>
      <c r="BJ45" s="16">
        <v>0</v>
      </c>
      <c r="BK45" s="16">
        <v>0</v>
      </c>
      <c r="BL45" s="16">
        <v>0</v>
      </c>
      <c r="BM45" s="16">
        <v>0</v>
      </c>
      <c r="BN45" s="16">
        <v>0</v>
      </c>
      <c r="BO45" s="16">
        <v>0</v>
      </c>
      <c r="BP45" s="16">
        <v>0</v>
      </c>
      <c r="BQ45" s="16">
        <v>0</v>
      </c>
      <c r="BR45" s="16">
        <v>0</v>
      </c>
      <c r="BS45" s="16">
        <v>0</v>
      </c>
      <c r="BT45" s="16">
        <v>0</v>
      </c>
      <c r="BU45"/>
      <c r="BV45" s="5"/>
    </row>
    <row r="46" spans="1:74">
      <c r="A46"/>
      <c r="B46" s="9" t="s">
        <v>148</v>
      </c>
      <c r="C46" s="16">
        <v>0</v>
      </c>
      <c r="D46" s="16">
        <v>0</v>
      </c>
      <c r="E46" s="30">
        <f t="shared" si="13"/>
        <v>0</v>
      </c>
      <c r="F46" s="16">
        <v>0</v>
      </c>
      <c r="G46" s="30">
        <f t="shared" si="16"/>
        <v>0</v>
      </c>
      <c r="H46" s="30">
        <f t="shared" si="14"/>
        <v>0</v>
      </c>
      <c r="I46" s="14">
        <f t="shared" si="15"/>
        <v>0</v>
      </c>
      <c r="J46" s="30">
        <f t="shared" si="17"/>
        <v>0</v>
      </c>
      <c r="K46" s="30">
        <f t="shared" si="18"/>
        <v>0</v>
      </c>
      <c r="L46"/>
      <c r="M46" s="16">
        <v>0</v>
      </c>
      <c r="N46" s="16">
        <v>0</v>
      </c>
      <c r="O46" s="16">
        <v>0</v>
      </c>
      <c r="P46" s="16">
        <v>0</v>
      </c>
      <c r="Q46" s="16">
        <v>0</v>
      </c>
      <c r="R46" s="16">
        <v>0</v>
      </c>
      <c r="S46" s="16">
        <v>0</v>
      </c>
      <c r="T46" s="16">
        <v>0</v>
      </c>
      <c r="U46" s="16">
        <v>0</v>
      </c>
      <c r="V46" s="16">
        <v>0</v>
      </c>
      <c r="W46" s="16">
        <v>0</v>
      </c>
      <c r="X46" s="16">
        <v>0</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0</v>
      </c>
      <c r="BJ46" s="16">
        <v>0</v>
      </c>
      <c r="BK46" s="16">
        <v>0</v>
      </c>
      <c r="BL46" s="16">
        <v>0</v>
      </c>
      <c r="BM46" s="16">
        <v>0</v>
      </c>
      <c r="BN46" s="16">
        <v>0</v>
      </c>
      <c r="BO46" s="16">
        <v>0</v>
      </c>
      <c r="BP46" s="16">
        <v>0</v>
      </c>
      <c r="BQ46" s="16">
        <v>0</v>
      </c>
      <c r="BR46" s="16">
        <v>0</v>
      </c>
      <c r="BS46" s="16">
        <v>0</v>
      </c>
      <c r="BT46" s="16">
        <v>0</v>
      </c>
      <c r="BU46"/>
      <c r="BV46" s="5"/>
    </row>
    <row r="47" spans="1:74">
      <c r="A47"/>
      <c r="B47" s="9" t="s">
        <v>151</v>
      </c>
      <c r="C47" s="16">
        <v>0</v>
      </c>
      <c r="D47" s="16">
        <v>0</v>
      </c>
      <c r="E47" s="30">
        <f t="shared" si="13"/>
        <v>0</v>
      </c>
      <c r="F47" s="16">
        <v>0</v>
      </c>
      <c r="G47" s="30">
        <f t="shared" si="16"/>
        <v>0</v>
      </c>
      <c r="H47" s="30">
        <f t="shared" si="14"/>
        <v>0</v>
      </c>
      <c r="I47" s="14">
        <f t="shared" si="15"/>
        <v>0</v>
      </c>
      <c r="J47" s="30">
        <f t="shared" si="17"/>
        <v>0</v>
      </c>
      <c r="K47" s="30">
        <f t="shared" si="18"/>
        <v>0</v>
      </c>
      <c r="L47"/>
      <c r="M47" s="16">
        <v>0</v>
      </c>
      <c r="N47" s="16">
        <v>0</v>
      </c>
      <c r="O47" s="16">
        <v>0</v>
      </c>
      <c r="P47" s="16">
        <v>0</v>
      </c>
      <c r="Q47" s="16">
        <v>0</v>
      </c>
      <c r="R47" s="16">
        <v>0</v>
      </c>
      <c r="S47" s="16">
        <v>0</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0</v>
      </c>
      <c r="AK47" s="16">
        <v>0</v>
      </c>
      <c r="AL47" s="16">
        <v>0</v>
      </c>
      <c r="AM47" s="16">
        <v>0</v>
      </c>
      <c r="AN47" s="16">
        <v>0</v>
      </c>
      <c r="AO47" s="16">
        <v>0</v>
      </c>
      <c r="AP47" s="16">
        <v>0</v>
      </c>
      <c r="AQ47" s="16">
        <v>0</v>
      </c>
      <c r="AR47" s="16">
        <v>0</v>
      </c>
      <c r="AS47" s="16">
        <v>0</v>
      </c>
      <c r="AT47" s="16">
        <v>0</v>
      </c>
      <c r="AU47" s="16">
        <v>0</v>
      </c>
      <c r="AV47" s="16">
        <v>0</v>
      </c>
      <c r="AW47" s="16">
        <v>0</v>
      </c>
      <c r="AX47" s="16">
        <v>0</v>
      </c>
      <c r="AY47" s="16">
        <v>0</v>
      </c>
      <c r="AZ47" s="16">
        <v>0</v>
      </c>
      <c r="BA47" s="16">
        <v>0</v>
      </c>
      <c r="BB47" s="16">
        <v>0</v>
      </c>
      <c r="BC47" s="16">
        <v>0</v>
      </c>
      <c r="BD47" s="16">
        <v>0</v>
      </c>
      <c r="BE47" s="16">
        <v>0</v>
      </c>
      <c r="BF47" s="16">
        <v>0</v>
      </c>
      <c r="BG47" s="16">
        <v>0</v>
      </c>
      <c r="BH47" s="16">
        <v>0</v>
      </c>
      <c r="BI47" s="16">
        <v>0</v>
      </c>
      <c r="BJ47" s="16">
        <v>0</v>
      </c>
      <c r="BK47" s="16">
        <v>0</v>
      </c>
      <c r="BL47" s="16">
        <v>0</v>
      </c>
      <c r="BM47" s="16">
        <v>0</v>
      </c>
      <c r="BN47" s="16">
        <v>0</v>
      </c>
      <c r="BO47" s="16">
        <v>0</v>
      </c>
      <c r="BP47" s="16">
        <v>0</v>
      </c>
      <c r="BQ47" s="16">
        <v>0</v>
      </c>
      <c r="BR47" s="16">
        <v>0</v>
      </c>
      <c r="BS47" s="16">
        <v>0</v>
      </c>
      <c r="BT47" s="16">
        <v>0</v>
      </c>
      <c r="BU47"/>
      <c r="BV47" s="5"/>
    </row>
    <row r="48" spans="1:74">
      <c r="A48"/>
      <c r="B48" s="9" t="s">
        <v>150</v>
      </c>
      <c r="C48" s="16">
        <v>0</v>
      </c>
      <c r="D48" s="16">
        <v>0</v>
      </c>
      <c r="E48" s="30">
        <f t="shared" si="13"/>
        <v>0</v>
      </c>
      <c r="F48" s="16">
        <v>0</v>
      </c>
      <c r="G48" s="30">
        <f t="shared" si="16"/>
        <v>0</v>
      </c>
      <c r="H48" s="30">
        <f t="shared" si="14"/>
        <v>0</v>
      </c>
      <c r="I48" s="14">
        <f t="shared" si="15"/>
        <v>0</v>
      </c>
      <c r="J48" s="30">
        <f t="shared" si="17"/>
        <v>0</v>
      </c>
      <c r="K48" s="30">
        <f t="shared" si="18"/>
        <v>0</v>
      </c>
      <c r="L48"/>
      <c r="M48" s="16">
        <v>0</v>
      </c>
      <c r="N48" s="16">
        <v>0</v>
      </c>
      <c r="O48" s="16">
        <v>0</v>
      </c>
      <c r="P48" s="16">
        <v>0</v>
      </c>
      <c r="Q48" s="16">
        <v>0</v>
      </c>
      <c r="R48" s="16">
        <v>0</v>
      </c>
      <c r="S48" s="16">
        <v>0</v>
      </c>
      <c r="T48" s="16">
        <v>0</v>
      </c>
      <c r="U48" s="16">
        <v>0</v>
      </c>
      <c r="V48" s="16">
        <v>0</v>
      </c>
      <c r="W48" s="16">
        <v>0</v>
      </c>
      <c r="X48" s="16">
        <v>0</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0</v>
      </c>
      <c r="AS48" s="16">
        <v>0</v>
      </c>
      <c r="AT48" s="16">
        <v>0</v>
      </c>
      <c r="AU48" s="16">
        <v>0</v>
      </c>
      <c r="AV48" s="16">
        <v>0</v>
      </c>
      <c r="AW48" s="16">
        <v>0</v>
      </c>
      <c r="AX48" s="16">
        <v>0</v>
      </c>
      <c r="AY48" s="16">
        <v>0</v>
      </c>
      <c r="AZ48" s="16">
        <v>0</v>
      </c>
      <c r="BA48" s="16">
        <v>0</v>
      </c>
      <c r="BB48" s="16">
        <v>0</v>
      </c>
      <c r="BC48" s="16">
        <v>0</v>
      </c>
      <c r="BD48" s="16">
        <v>0</v>
      </c>
      <c r="BE48" s="16">
        <v>0</v>
      </c>
      <c r="BF48" s="16">
        <v>0</v>
      </c>
      <c r="BG48" s="16">
        <v>0</v>
      </c>
      <c r="BH48" s="16">
        <v>0</v>
      </c>
      <c r="BI48" s="16">
        <v>0</v>
      </c>
      <c r="BJ48" s="16">
        <v>0</v>
      </c>
      <c r="BK48" s="16">
        <v>0</v>
      </c>
      <c r="BL48" s="16">
        <v>0</v>
      </c>
      <c r="BM48" s="16">
        <v>0</v>
      </c>
      <c r="BN48" s="16">
        <v>0</v>
      </c>
      <c r="BO48" s="16">
        <v>0</v>
      </c>
      <c r="BP48" s="16">
        <v>0</v>
      </c>
      <c r="BQ48" s="16">
        <v>0</v>
      </c>
      <c r="BR48" s="16">
        <v>0</v>
      </c>
      <c r="BS48" s="16">
        <v>0</v>
      </c>
      <c r="BT48" s="16">
        <v>0</v>
      </c>
      <c r="BU48"/>
      <c r="BV48" s="5"/>
    </row>
    <row r="49" spans="1:74">
      <c r="A49"/>
      <c r="B49" s="9" t="s">
        <v>149</v>
      </c>
      <c r="C49" s="16">
        <v>0</v>
      </c>
      <c r="D49" s="16">
        <v>0</v>
      </c>
      <c r="E49" s="30">
        <f t="shared" si="13"/>
        <v>0</v>
      </c>
      <c r="F49" s="16">
        <v>0</v>
      </c>
      <c r="G49" s="30">
        <f t="shared" si="16"/>
        <v>0</v>
      </c>
      <c r="H49" s="30">
        <f t="shared" si="14"/>
        <v>0</v>
      </c>
      <c r="I49" s="14">
        <f t="shared" si="15"/>
        <v>0</v>
      </c>
      <c r="J49" s="30">
        <f t="shared" si="17"/>
        <v>0</v>
      </c>
      <c r="K49" s="30">
        <f t="shared" si="18"/>
        <v>0</v>
      </c>
      <c r="L49"/>
      <c r="M49" s="16">
        <v>0</v>
      </c>
      <c r="N49" s="16">
        <v>0</v>
      </c>
      <c r="O49" s="16">
        <v>0</v>
      </c>
      <c r="P49" s="16">
        <v>0</v>
      </c>
      <c r="Q49" s="16">
        <v>0</v>
      </c>
      <c r="R49" s="16">
        <v>0</v>
      </c>
      <c r="S49" s="16">
        <v>0</v>
      </c>
      <c r="T49" s="16">
        <v>0</v>
      </c>
      <c r="U49" s="16">
        <v>0</v>
      </c>
      <c r="V49" s="16">
        <v>0</v>
      </c>
      <c r="W49" s="16">
        <v>0</v>
      </c>
      <c r="X49" s="16">
        <v>0</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0</v>
      </c>
      <c r="BQ49" s="16">
        <v>0</v>
      </c>
      <c r="BR49" s="16">
        <v>0</v>
      </c>
      <c r="BS49" s="16">
        <v>0</v>
      </c>
      <c r="BT49" s="16">
        <v>0</v>
      </c>
      <c r="BU49"/>
      <c r="BV49" s="5"/>
    </row>
    <row r="50" spans="1:74">
      <c r="A50"/>
      <c r="B50" s="9" t="s">
        <v>152</v>
      </c>
      <c r="C50" s="16">
        <v>0</v>
      </c>
      <c r="D50" s="16">
        <v>0</v>
      </c>
      <c r="E50" s="30">
        <f t="shared" si="13"/>
        <v>0</v>
      </c>
      <c r="F50" s="16">
        <v>0</v>
      </c>
      <c r="G50" s="30">
        <f t="shared" si="16"/>
        <v>0</v>
      </c>
      <c r="H50" s="30">
        <f t="shared" si="14"/>
        <v>0</v>
      </c>
      <c r="I50" s="14">
        <f t="shared" si="15"/>
        <v>0</v>
      </c>
      <c r="J50" s="30">
        <f t="shared" si="17"/>
        <v>0</v>
      </c>
      <c r="K50" s="30">
        <f t="shared" si="18"/>
        <v>0</v>
      </c>
      <c r="L50"/>
      <c r="M50" s="16">
        <v>0</v>
      </c>
      <c r="N50" s="16">
        <v>0</v>
      </c>
      <c r="O50" s="16">
        <v>0</v>
      </c>
      <c r="P50" s="16">
        <v>0</v>
      </c>
      <c r="Q50" s="16">
        <v>0</v>
      </c>
      <c r="R50" s="16">
        <v>0</v>
      </c>
      <c r="S50" s="16">
        <v>0</v>
      </c>
      <c r="T50" s="16">
        <v>0</v>
      </c>
      <c r="U50" s="16">
        <v>0</v>
      </c>
      <c r="V50" s="16">
        <v>0</v>
      </c>
      <c r="W50" s="16">
        <v>0</v>
      </c>
      <c r="X50" s="16">
        <v>0</v>
      </c>
      <c r="Y50" s="16">
        <v>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c r="AQ50" s="16">
        <v>0</v>
      </c>
      <c r="AR50" s="16">
        <v>0</v>
      </c>
      <c r="AS50" s="16">
        <v>0</v>
      </c>
      <c r="AT50" s="16">
        <v>0</v>
      </c>
      <c r="AU50" s="16">
        <v>0</v>
      </c>
      <c r="AV50" s="16">
        <v>0</v>
      </c>
      <c r="AW50" s="16">
        <v>0</v>
      </c>
      <c r="AX50" s="16">
        <v>0</v>
      </c>
      <c r="AY50" s="16">
        <v>0</v>
      </c>
      <c r="AZ50" s="16">
        <v>0</v>
      </c>
      <c r="BA50" s="16">
        <v>0</v>
      </c>
      <c r="BB50" s="16">
        <v>0</v>
      </c>
      <c r="BC50" s="16">
        <v>0</v>
      </c>
      <c r="BD50" s="16">
        <v>0</v>
      </c>
      <c r="BE50" s="16">
        <v>0</v>
      </c>
      <c r="BF50" s="16">
        <v>0</v>
      </c>
      <c r="BG50" s="16">
        <v>0</v>
      </c>
      <c r="BH50" s="16">
        <v>0</v>
      </c>
      <c r="BI50" s="16">
        <v>0</v>
      </c>
      <c r="BJ50" s="16">
        <v>0</v>
      </c>
      <c r="BK50" s="16">
        <v>0</v>
      </c>
      <c r="BL50" s="16">
        <v>0</v>
      </c>
      <c r="BM50" s="16">
        <v>0</v>
      </c>
      <c r="BN50" s="16">
        <v>0</v>
      </c>
      <c r="BO50" s="16">
        <v>0</v>
      </c>
      <c r="BP50" s="16">
        <v>0</v>
      </c>
      <c r="BQ50" s="16">
        <v>0</v>
      </c>
      <c r="BR50" s="16">
        <v>0</v>
      </c>
      <c r="BS50" s="16">
        <v>0</v>
      </c>
      <c r="BT50" s="16">
        <v>0</v>
      </c>
      <c r="BU50"/>
      <c r="BV50" s="5"/>
    </row>
    <row r="51" spans="1:74">
      <c r="A51"/>
      <c r="B51" s="9" t="s">
        <v>153</v>
      </c>
      <c r="C51" s="16">
        <v>0</v>
      </c>
      <c r="D51" s="16">
        <v>0</v>
      </c>
      <c r="E51" s="30">
        <f t="shared" si="13"/>
        <v>0</v>
      </c>
      <c r="F51" s="16">
        <v>0</v>
      </c>
      <c r="G51" s="30">
        <f t="shared" si="16"/>
        <v>0</v>
      </c>
      <c r="H51" s="30">
        <f t="shared" si="14"/>
        <v>0</v>
      </c>
      <c r="I51" s="14">
        <f t="shared" si="15"/>
        <v>0</v>
      </c>
      <c r="J51" s="30">
        <f t="shared" si="17"/>
        <v>0</v>
      </c>
      <c r="K51" s="30">
        <f t="shared" si="18"/>
        <v>0</v>
      </c>
      <c r="L51"/>
      <c r="M51" s="16">
        <v>0</v>
      </c>
      <c r="N51" s="16">
        <v>0</v>
      </c>
      <c r="O51" s="16">
        <v>0</v>
      </c>
      <c r="P51" s="16">
        <v>0</v>
      </c>
      <c r="Q51" s="16">
        <v>0</v>
      </c>
      <c r="R51" s="16">
        <v>0</v>
      </c>
      <c r="S51" s="16">
        <v>0</v>
      </c>
      <c r="T51" s="16">
        <v>0</v>
      </c>
      <c r="U51" s="16">
        <v>0</v>
      </c>
      <c r="V51" s="16">
        <v>0</v>
      </c>
      <c r="W51" s="16">
        <v>0</v>
      </c>
      <c r="X51" s="16">
        <v>0</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0</v>
      </c>
      <c r="AS51" s="16">
        <v>0</v>
      </c>
      <c r="AT51" s="16">
        <v>0</v>
      </c>
      <c r="AU51" s="16">
        <v>0</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0</v>
      </c>
      <c r="BM51" s="16">
        <v>0</v>
      </c>
      <c r="BN51" s="16">
        <v>0</v>
      </c>
      <c r="BO51" s="16">
        <v>0</v>
      </c>
      <c r="BP51" s="16">
        <v>0</v>
      </c>
      <c r="BQ51" s="16">
        <v>0</v>
      </c>
      <c r="BR51" s="16">
        <v>0</v>
      </c>
      <c r="BS51" s="16">
        <v>0</v>
      </c>
      <c r="BT51" s="16">
        <v>0</v>
      </c>
      <c r="BU51"/>
      <c r="BV51" s="5"/>
    </row>
    <row r="52" spans="1:74">
      <c r="A52"/>
      <c r="B52" s="9" t="s">
        <v>154</v>
      </c>
      <c r="C52" s="16">
        <v>0</v>
      </c>
      <c r="D52" s="16">
        <v>0</v>
      </c>
      <c r="E52" s="30">
        <f t="shared" si="13"/>
        <v>0</v>
      </c>
      <c r="F52" s="16">
        <v>0</v>
      </c>
      <c r="G52" s="30">
        <f t="shared" si="16"/>
        <v>0</v>
      </c>
      <c r="H52" s="30">
        <f t="shared" si="14"/>
        <v>0</v>
      </c>
      <c r="I52" s="14">
        <f t="shared" si="15"/>
        <v>0</v>
      </c>
      <c r="J52" s="30">
        <f t="shared" si="17"/>
        <v>0</v>
      </c>
      <c r="K52" s="30">
        <f t="shared" si="18"/>
        <v>0</v>
      </c>
      <c r="L52"/>
      <c r="M52" s="16">
        <v>0</v>
      </c>
      <c r="N52" s="16">
        <v>0</v>
      </c>
      <c r="O52" s="16">
        <v>0</v>
      </c>
      <c r="P52" s="16">
        <v>0</v>
      </c>
      <c r="Q52" s="16">
        <v>0</v>
      </c>
      <c r="R52" s="16">
        <v>0</v>
      </c>
      <c r="S52" s="16">
        <v>0</v>
      </c>
      <c r="T52" s="16">
        <v>0</v>
      </c>
      <c r="U52" s="16">
        <v>0</v>
      </c>
      <c r="V52" s="16">
        <v>0</v>
      </c>
      <c r="W52" s="16">
        <v>0</v>
      </c>
      <c r="X52" s="16">
        <v>0</v>
      </c>
      <c r="Y52" s="16">
        <v>0</v>
      </c>
      <c r="Z52" s="16">
        <v>0</v>
      </c>
      <c r="AA52" s="16">
        <v>0</v>
      </c>
      <c r="AB52" s="16">
        <v>0</v>
      </c>
      <c r="AC52" s="16">
        <v>0</v>
      </c>
      <c r="AD52" s="16">
        <v>0</v>
      </c>
      <c r="AE52" s="16">
        <v>0</v>
      </c>
      <c r="AF52" s="16">
        <v>0</v>
      </c>
      <c r="AG52" s="16">
        <v>0</v>
      </c>
      <c r="AH52" s="16">
        <v>0</v>
      </c>
      <c r="AI52" s="16">
        <v>0</v>
      </c>
      <c r="AJ52" s="16">
        <v>0</v>
      </c>
      <c r="AK52" s="16">
        <v>0</v>
      </c>
      <c r="AL52" s="16">
        <v>0</v>
      </c>
      <c r="AM52" s="16">
        <v>0</v>
      </c>
      <c r="AN52" s="16">
        <v>0</v>
      </c>
      <c r="AO52" s="16">
        <v>0</v>
      </c>
      <c r="AP52" s="16">
        <v>0</v>
      </c>
      <c r="AQ52" s="16">
        <v>0</v>
      </c>
      <c r="AR52" s="16">
        <v>0</v>
      </c>
      <c r="AS52" s="16">
        <v>0</v>
      </c>
      <c r="AT52" s="16">
        <v>0</v>
      </c>
      <c r="AU52" s="16">
        <v>0</v>
      </c>
      <c r="AV52" s="16">
        <v>0</v>
      </c>
      <c r="AW52" s="16">
        <v>0</v>
      </c>
      <c r="AX52" s="16">
        <v>0</v>
      </c>
      <c r="AY52" s="16">
        <v>0</v>
      </c>
      <c r="AZ52" s="16">
        <v>0</v>
      </c>
      <c r="BA52" s="16">
        <v>0</v>
      </c>
      <c r="BB52" s="16">
        <v>0</v>
      </c>
      <c r="BC52" s="16">
        <v>0</v>
      </c>
      <c r="BD52" s="16">
        <v>0</v>
      </c>
      <c r="BE52" s="16">
        <v>0</v>
      </c>
      <c r="BF52" s="16">
        <v>0</v>
      </c>
      <c r="BG52" s="16">
        <v>0</v>
      </c>
      <c r="BH52" s="16">
        <v>0</v>
      </c>
      <c r="BI52" s="16">
        <v>0</v>
      </c>
      <c r="BJ52" s="16">
        <v>0</v>
      </c>
      <c r="BK52" s="16">
        <v>0</v>
      </c>
      <c r="BL52" s="16">
        <v>0</v>
      </c>
      <c r="BM52" s="16">
        <v>0</v>
      </c>
      <c r="BN52" s="16">
        <v>0</v>
      </c>
      <c r="BO52" s="16">
        <v>0</v>
      </c>
      <c r="BP52" s="16">
        <v>0</v>
      </c>
      <c r="BQ52" s="16">
        <v>0</v>
      </c>
      <c r="BR52" s="16">
        <v>0</v>
      </c>
      <c r="BS52" s="16">
        <v>0</v>
      </c>
      <c r="BT52" s="16">
        <v>0</v>
      </c>
      <c r="BU52"/>
      <c r="BV52" s="5"/>
    </row>
    <row r="53" spans="1:74">
      <c r="A53"/>
      <c r="B53" s="9" t="s">
        <v>155</v>
      </c>
      <c r="C53" s="16">
        <v>0</v>
      </c>
      <c r="D53" s="16">
        <v>0</v>
      </c>
      <c r="E53" s="30">
        <f t="shared" si="13"/>
        <v>0</v>
      </c>
      <c r="F53" s="16">
        <v>0</v>
      </c>
      <c r="G53" s="30">
        <f t="shared" si="16"/>
        <v>0</v>
      </c>
      <c r="H53" s="30">
        <f t="shared" si="14"/>
        <v>0</v>
      </c>
      <c r="I53" s="14">
        <f t="shared" si="15"/>
        <v>0</v>
      </c>
      <c r="J53" s="30">
        <f t="shared" si="17"/>
        <v>0</v>
      </c>
      <c r="K53" s="30">
        <f t="shared" si="18"/>
        <v>0</v>
      </c>
      <c r="L53"/>
      <c r="M53" s="16">
        <v>0</v>
      </c>
      <c r="N53" s="16">
        <v>0</v>
      </c>
      <c r="O53" s="16">
        <v>0</v>
      </c>
      <c r="P53" s="16">
        <v>0</v>
      </c>
      <c r="Q53" s="16">
        <v>0</v>
      </c>
      <c r="R53" s="16">
        <v>0</v>
      </c>
      <c r="S53" s="16">
        <v>0</v>
      </c>
      <c r="T53" s="16">
        <v>0</v>
      </c>
      <c r="U53" s="16">
        <v>0</v>
      </c>
      <c r="V53" s="16">
        <v>0</v>
      </c>
      <c r="W53" s="16">
        <v>0</v>
      </c>
      <c r="X53" s="16">
        <v>0</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v>
      </c>
      <c r="BK53" s="16">
        <v>0</v>
      </c>
      <c r="BL53" s="16">
        <v>0</v>
      </c>
      <c r="BM53" s="16">
        <v>0</v>
      </c>
      <c r="BN53" s="16">
        <v>0</v>
      </c>
      <c r="BO53" s="16">
        <v>0</v>
      </c>
      <c r="BP53" s="16">
        <v>0</v>
      </c>
      <c r="BQ53" s="16">
        <v>0</v>
      </c>
      <c r="BR53" s="16">
        <v>0</v>
      </c>
      <c r="BS53" s="16">
        <v>0</v>
      </c>
      <c r="BT53" s="16">
        <v>0</v>
      </c>
      <c r="BU53"/>
      <c r="BV53" s="5"/>
    </row>
    <row r="54" spans="1:74">
      <c r="A54"/>
      <c r="B54" s="9" t="s">
        <v>156</v>
      </c>
      <c r="C54" s="16">
        <v>0</v>
      </c>
      <c r="D54" s="16">
        <v>0</v>
      </c>
      <c r="E54" s="30">
        <f t="shared" si="13"/>
        <v>0</v>
      </c>
      <c r="F54" s="16">
        <v>0</v>
      </c>
      <c r="G54" s="30">
        <f t="shared" si="16"/>
        <v>0</v>
      </c>
      <c r="H54" s="30">
        <f t="shared" si="14"/>
        <v>0</v>
      </c>
      <c r="I54" s="14">
        <f t="shared" si="15"/>
        <v>0</v>
      </c>
      <c r="J54" s="30">
        <f t="shared" si="17"/>
        <v>0</v>
      </c>
      <c r="K54" s="30">
        <f t="shared" si="18"/>
        <v>0</v>
      </c>
      <c r="L54"/>
      <c r="M54" s="16">
        <v>0</v>
      </c>
      <c r="N54" s="16">
        <v>0</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0</v>
      </c>
      <c r="BM54" s="16">
        <v>0</v>
      </c>
      <c r="BN54" s="16">
        <v>0</v>
      </c>
      <c r="BO54" s="16">
        <v>0</v>
      </c>
      <c r="BP54" s="16">
        <v>0</v>
      </c>
      <c r="BQ54" s="16">
        <v>0</v>
      </c>
      <c r="BR54" s="16">
        <v>0</v>
      </c>
      <c r="BS54" s="16">
        <v>0</v>
      </c>
      <c r="BT54" s="16">
        <v>0</v>
      </c>
      <c r="BU54"/>
      <c r="BV54" s="5"/>
    </row>
    <row r="55" spans="1:74">
      <c r="A55"/>
      <c r="B55" s="9" t="s">
        <v>157</v>
      </c>
      <c r="C55" s="16">
        <v>0</v>
      </c>
      <c r="D55" s="16">
        <v>0</v>
      </c>
      <c r="E55" s="30">
        <f t="shared" si="13"/>
        <v>0</v>
      </c>
      <c r="F55" s="16">
        <v>0</v>
      </c>
      <c r="G55" s="30">
        <f t="shared" si="16"/>
        <v>0</v>
      </c>
      <c r="H55" s="30">
        <f t="shared" si="14"/>
        <v>0</v>
      </c>
      <c r="I55" s="14">
        <f t="shared" si="15"/>
        <v>0</v>
      </c>
      <c r="J55" s="30">
        <f t="shared" si="17"/>
        <v>0</v>
      </c>
      <c r="K55" s="30">
        <f t="shared" si="18"/>
        <v>0</v>
      </c>
      <c r="L55"/>
      <c r="M55" s="16">
        <v>0</v>
      </c>
      <c r="N55" s="16">
        <v>0</v>
      </c>
      <c r="O55" s="16">
        <v>0</v>
      </c>
      <c r="P55" s="16">
        <v>0</v>
      </c>
      <c r="Q55" s="16">
        <v>0</v>
      </c>
      <c r="R55" s="16">
        <v>0</v>
      </c>
      <c r="S55" s="16">
        <v>0</v>
      </c>
      <c r="T55" s="16">
        <v>0</v>
      </c>
      <c r="U55" s="16">
        <v>0</v>
      </c>
      <c r="V55" s="16">
        <v>0</v>
      </c>
      <c r="W55" s="16">
        <v>0</v>
      </c>
      <c r="X55" s="16">
        <v>0</v>
      </c>
      <c r="Y55" s="16">
        <v>0</v>
      </c>
      <c r="Z55" s="16">
        <v>0</v>
      </c>
      <c r="AA55" s="16">
        <v>0</v>
      </c>
      <c r="AB55" s="16">
        <v>0</v>
      </c>
      <c r="AC55" s="16">
        <v>0</v>
      </c>
      <c r="AD55" s="16">
        <v>0</v>
      </c>
      <c r="AE55" s="16">
        <v>0</v>
      </c>
      <c r="AF55" s="16">
        <v>0</v>
      </c>
      <c r="AG55" s="16">
        <v>0</v>
      </c>
      <c r="AH55" s="16">
        <v>0</v>
      </c>
      <c r="AI55" s="16">
        <v>0</v>
      </c>
      <c r="AJ55" s="16">
        <v>0</v>
      </c>
      <c r="AK55" s="16">
        <v>0</v>
      </c>
      <c r="AL55" s="16">
        <v>0</v>
      </c>
      <c r="AM55" s="16">
        <v>0</v>
      </c>
      <c r="AN55" s="16">
        <v>0</v>
      </c>
      <c r="AO55" s="16">
        <v>0</v>
      </c>
      <c r="AP55" s="16">
        <v>0</v>
      </c>
      <c r="AQ55" s="16">
        <v>0</v>
      </c>
      <c r="AR55" s="16">
        <v>0</v>
      </c>
      <c r="AS55" s="16">
        <v>0</v>
      </c>
      <c r="AT55" s="16">
        <v>0</v>
      </c>
      <c r="AU55" s="16">
        <v>0</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0</v>
      </c>
      <c r="BO55" s="16">
        <v>0</v>
      </c>
      <c r="BP55" s="16">
        <v>0</v>
      </c>
      <c r="BQ55" s="16">
        <v>0</v>
      </c>
      <c r="BR55" s="16">
        <v>0</v>
      </c>
      <c r="BS55" s="16">
        <v>0</v>
      </c>
      <c r="BT55" s="16">
        <v>0</v>
      </c>
      <c r="BU55"/>
      <c r="BV55" s="5"/>
    </row>
    <row r="56" spans="1:74">
      <c r="A56"/>
      <c r="B56" s="9" t="s">
        <v>158</v>
      </c>
      <c r="C56" s="16">
        <v>0</v>
      </c>
      <c r="D56" s="16">
        <v>0</v>
      </c>
      <c r="E56" s="30">
        <f t="shared" si="13"/>
        <v>0</v>
      </c>
      <c r="F56" s="16">
        <v>0</v>
      </c>
      <c r="G56" s="30">
        <f t="shared" si="16"/>
        <v>0</v>
      </c>
      <c r="H56" s="30">
        <f t="shared" si="14"/>
        <v>0</v>
      </c>
      <c r="I56" s="14">
        <f t="shared" si="15"/>
        <v>0</v>
      </c>
      <c r="J56" s="30">
        <f t="shared" si="17"/>
        <v>0</v>
      </c>
      <c r="K56" s="30">
        <f t="shared" si="18"/>
        <v>0</v>
      </c>
      <c r="L56"/>
      <c r="M56" s="16">
        <v>0</v>
      </c>
      <c r="N56" s="16">
        <v>0</v>
      </c>
      <c r="O56" s="16">
        <v>0</v>
      </c>
      <c r="P56" s="16">
        <v>0</v>
      </c>
      <c r="Q56" s="16">
        <v>0</v>
      </c>
      <c r="R56" s="16">
        <v>0</v>
      </c>
      <c r="S56" s="16">
        <v>0</v>
      </c>
      <c r="T56" s="16">
        <v>0</v>
      </c>
      <c r="U56" s="16">
        <v>0</v>
      </c>
      <c r="V56" s="16">
        <v>0</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0</v>
      </c>
      <c r="BI56" s="16">
        <v>0</v>
      </c>
      <c r="BJ56" s="16">
        <v>0</v>
      </c>
      <c r="BK56" s="16">
        <v>0</v>
      </c>
      <c r="BL56" s="16">
        <v>0</v>
      </c>
      <c r="BM56" s="16">
        <v>0</v>
      </c>
      <c r="BN56" s="16">
        <v>0</v>
      </c>
      <c r="BO56" s="16">
        <v>0</v>
      </c>
      <c r="BP56" s="16">
        <v>0</v>
      </c>
      <c r="BQ56" s="16">
        <v>0</v>
      </c>
      <c r="BR56" s="16">
        <v>0</v>
      </c>
      <c r="BS56" s="16">
        <v>0</v>
      </c>
      <c r="BT56" s="16">
        <v>0</v>
      </c>
      <c r="BU56"/>
      <c r="BV56" s="5"/>
    </row>
    <row r="57" spans="1:74">
      <c r="A57"/>
      <c r="B57" s="9" t="s">
        <v>159</v>
      </c>
      <c r="C57" s="16">
        <v>0</v>
      </c>
      <c r="D57" s="16">
        <v>0</v>
      </c>
      <c r="E57" s="30">
        <f t="shared" si="13"/>
        <v>0</v>
      </c>
      <c r="F57" s="16">
        <v>0</v>
      </c>
      <c r="G57" s="30">
        <f t="shared" si="16"/>
        <v>0</v>
      </c>
      <c r="H57" s="30">
        <f t="shared" si="14"/>
        <v>0</v>
      </c>
      <c r="I57" s="14">
        <f t="shared" si="15"/>
        <v>0</v>
      </c>
      <c r="J57" s="30">
        <f t="shared" si="17"/>
        <v>0</v>
      </c>
      <c r="K57" s="30">
        <f t="shared" si="18"/>
        <v>0</v>
      </c>
      <c r="L57"/>
      <c r="M57" s="16">
        <v>0</v>
      </c>
      <c r="N57" s="16">
        <v>0</v>
      </c>
      <c r="O57" s="16">
        <v>0</v>
      </c>
      <c r="P57" s="16">
        <v>0</v>
      </c>
      <c r="Q57" s="16">
        <v>0</v>
      </c>
      <c r="R57" s="16">
        <v>0</v>
      </c>
      <c r="S57" s="16">
        <v>0</v>
      </c>
      <c r="T57" s="16">
        <v>0</v>
      </c>
      <c r="U57" s="16">
        <v>0</v>
      </c>
      <c r="V57" s="16">
        <v>0</v>
      </c>
      <c r="W57" s="16">
        <v>0</v>
      </c>
      <c r="X57" s="16">
        <v>0</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0</v>
      </c>
      <c r="AS57" s="16">
        <v>0</v>
      </c>
      <c r="AT57" s="16">
        <v>0</v>
      </c>
      <c r="AU57" s="16">
        <v>0</v>
      </c>
      <c r="AV57" s="16">
        <v>0</v>
      </c>
      <c r="AW57" s="16">
        <v>0</v>
      </c>
      <c r="AX57" s="16">
        <v>0</v>
      </c>
      <c r="AY57" s="16">
        <v>0</v>
      </c>
      <c r="AZ57" s="16">
        <v>0</v>
      </c>
      <c r="BA57" s="16">
        <v>0</v>
      </c>
      <c r="BB57" s="16">
        <v>0</v>
      </c>
      <c r="BC57" s="16">
        <v>0</v>
      </c>
      <c r="BD57" s="16">
        <v>0</v>
      </c>
      <c r="BE57" s="16">
        <v>0</v>
      </c>
      <c r="BF57" s="16">
        <v>0</v>
      </c>
      <c r="BG57" s="16">
        <v>0</v>
      </c>
      <c r="BH57" s="16">
        <v>0</v>
      </c>
      <c r="BI57" s="16">
        <v>0</v>
      </c>
      <c r="BJ57" s="16">
        <v>0</v>
      </c>
      <c r="BK57" s="16">
        <v>0</v>
      </c>
      <c r="BL57" s="16">
        <v>0</v>
      </c>
      <c r="BM57" s="16">
        <v>0</v>
      </c>
      <c r="BN57" s="16">
        <v>0</v>
      </c>
      <c r="BO57" s="16">
        <v>0</v>
      </c>
      <c r="BP57" s="16">
        <v>0</v>
      </c>
      <c r="BQ57" s="16">
        <v>0</v>
      </c>
      <c r="BR57" s="16">
        <v>0</v>
      </c>
      <c r="BS57" s="16">
        <v>0</v>
      </c>
      <c r="BT57" s="16">
        <v>0</v>
      </c>
      <c r="BU57"/>
      <c r="BV57" s="5"/>
    </row>
    <row r="58" spans="1:74">
      <c r="A58"/>
      <c r="B58" s="9" t="s">
        <v>160</v>
      </c>
      <c r="C58" s="16">
        <v>0</v>
      </c>
      <c r="D58" s="16">
        <v>0</v>
      </c>
      <c r="E58" s="30">
        <f t="shared" si="13"/>
        <v>0</v>
      </c>
      <c r="F58" s="16">
        <v>0</v>
      </c>
      <c r="G58" s="30">
        <f t="shared" si="16"/>
        <v>0</v>
      </c>
      <c r="H58" s="30">
        <f t="shared" si="14"/>
        <v>0</v>
      </c>
      <c r="I58" s="14">
        <f t="shared" si="15"/>
        <v>0</v>
      </c>
      <c r="J58" s="30">
        <f t="shared" si="17"/>
        <v>0</v>
      </c>
      <c r="K58" s="30">
        <f t="shared" si="18"/>
        <v>0</v>
      </c>
      <c r="L58"/>
      <c r="M58" s="16">
        <v>0</v>
      </c>
      <c r="N58" s="16">
        <v>0</v>
      </c>
      <c r="O58" s="16">
        <v>0</v>
      </c>
      <c r="P58" s="16">
        <v>0</v>
      </c>
      <c r="Q58" s="16">
        <v>0</v>
      </c>
      <c r="R58" s="16">
        <v>0</v>
      </c>
      <c r="S58" s="16">
        <v>0</v>
      </c>
      <c r="T58" s="16">
        <v>0</v>
      </c>
      <c r="U58" s="16">
        <v>0</v>
      </c>
      <c r="V58" s="16">
        <v>0</v>
      </c>
      <c r="W58" s="16">
        <v>0</v>
      </c>
      <c r="X58" s="16">
        <v>0</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v>
      </c>
      <c r="BS58" s="16">
        <v>0</v>
      </c>
      <c r="BT58" s="16">
        <v>0</v>
      </c>
      <c r="BU58"/>
      <c r="BV58" s="5"/>
    </row>
    <row r="59" spans="1:74">
      <c r="A59"/>
      <c r="B59" s="9" t="s">
        <v>161</v>
      </c>
      <c r="C59" s="16">
        <v>0</v>
      </c>
      <c r="D59" s="16">
        <v>0</v>
      </c>
      <c r="E59" s="30">
        <f t="shared" si="13"/>
        <v>0</v>
      </c>
      <c r="F59" s="16">
        <v>0</v>
      </c>
      <c r="G59" s="30">
        <f t="shared" si="16"/>
        <v>0</v>
      </c>
      <c r="H59" s="30">
        <f t="shared" si="14"/>
        <v>0</v>
      </c>
      <c r="I59" s="14">
        <f t="shared" si="15"/>
        <v>0</v>
      </c>
      <c r="J59" s="30">
        <f t="shared" si="17"/>
        <v>0</v>
      </c>
      <c r="K59" s="30">
        <f t="shared" si="18"/>
        <v>0</v>
      </c>
      <c r="L59"/>
      <c r="M59" s="16">
        <v>0</v>
      </c>
      <c r="N59" s="16">
        <v>0</v>
      </c>
      <c r="O59" s="16">
        <v>0</v>
      </c>
      <c r="P59" s="16">
        <v>0</v>
      </c>
      <c r="Q59" s="16">
        <v>0</v>
      </c>
      <c r="R59" s="16">
        <v>0</v>
      </c>
      <c r="S59" s="16">
        <v>0</v>
      </c>
      <c r="T59" s="16">
        <v>0</v>
      </c>
      <c r="U59" s="16">
        <v>0</v>
      </c>
      <c r="V59" s="16">
        <v>0</v>
      </c>
      <c r="W59" s="16">
        <v>0</v>
      </c>
      <c r="X59" s="16">
        <v>0</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0</v>
      </c>
      <c r="AZ59" s="16">
        <v>0</v>
      </c>
      <c r="BA59" s="16">
        <v>0</v>
      </c>
      <c r="BB59" s="16">
        <v>0</v>
      </c>
      <c r="BC59" s="16">
        <v>0</v>
      </c>
      <c r="BD59" s="16">
        <v>0</v>
      </c>
      <c r="BE59" s="16">
        <v>0</v>
      </c>
      <c r="BF59" s="16">
        <v>0</v>
      </c>
      <c r="BG59" s="16">
        <v>0</v>
      </c>
      <c r="BH59" s="16">
        <v>0</v>
      </c>
      <c r="BI59" s="16">
        <v>0</v>
      </c>
      <c r="BJ59" s="16">
        <v>0</v>
      </c>
      <c r="BK59" s="16">
        <v>0</v>
      </c>
      <c r="BL59" s="16">
        <v>0</v>
      </c>
      <c r="BM59" s="16">
        <v>0</v>
      </c>
      <c r="BN59" s="16">
        <v>0</v>
      </c>
      <c r="BO59" s="16">
        <v>0</v>
      </c>
      <c r="BP59" s="16">
        <v>0</v>
      </c>
      <c r="BQ59" s="16">
        <v>0</v>
      </c>
      <c r="BR59" s="16">
        <v>0</v>
      </c>
      <c r="BS59" s="16">
        <v>0</v>
      </c>
      <c r="BT59" s="16">
        <v>0</v>
      </c>
      <c r="BU59"/>
      <c r="BV59" s="5"/>
    </row>
    <row r="60" spans="1:74">
      <c r="A60"/>
      <c r="B60" s="9" t="s">
        <v>162</v>
      </c>
      <c r="C60" s="16">
        <v>0</v>
      </c>
      <c r="D60" s="16">
        <v>0</v>
      </c>
      <c r="E60" s="30">
        <f t="shared" si="13"/>
        <v>0</v>
      </c>
      <c r="F60" s="16">
        <v>0</v>
      </c>
      <c r="G60" s="30">
        <f t="shared" si="16"/>
        <v>0</v>
      </c>
      <c r="H60" s="30">
        <f t="shared" si="14"/>
        <v>0</v>
      </c>
      <c r="I60" s="14">
        <f t="shared" si="15"/>
        <v>0</v>
      </c>
      <c r="J60" s="30">
        <f t="shared" si="17"/>
        <v>0</v>
      </c>
      <c r="K60" s="30">
        <f t="shared" si="18"/>
        <v>0</v>
      </c>
      <c r="L60"/>
      <c r="M60" s="16">
        <v>0</v>
      </c>
      <c r="N60" s="16">
        <v>0</v>
      </c>
      <c r="O60" s="16">
        <v>0</v>
      </c>
      <c r="P60" s="16">
        <v>0</v>
      </c>
      <c r="Q60" s="16">
        <v>0</v>
      </c>
      <c r="R60" s="16">
        <v>0</v>
      </c>
      <c r="S60" s="16">
        <v>0</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0</v>
      </c>
      <c r="AZ60" s="16">
        <v>0</v>
      </c>
      <c r="BA60" s="16">
        <v>0</v>
      </c>
      <c r="BB60" s="16">
        <v>0</v>
      </c>
      <c r="BC60" s="16">
        <v>0</v>
      </c>
      <c r="BD60" s="16">
        <v>0</v>
      </c>
      <c r="BE60" s="16">
        <v>0</v>
      </c>
      <c r="BF60" s="16">
        <v>0</v>
      </c>
      <c r="BG60" s="16">
        <v>0</v>
      </c>
      <c r="BH60" s="16">
        <v>0</v>
      </c>
      <c r="BI60" s="16">
        <v>0</v>
      </c>
      <c r="BJ60" s="16">
        <v>0</v>
      </c>
      <c r="BK60" s="16">
        <v>0</v>
      </c>
      <c r="BL60" s="16">
        <v>0</v>
      </c>
      <c r="BM60" s="16">
        <v>0</v>
      </c>
      <c r="BN60" s="16">
        <v>0</v>
      </c>
      <c r="BO60" s="16">
        <v>0</v>
      </c>
      <c r="BP60" s="16">
        <v>0</v>
      </c>
      <c r="BQ60" s="16">
        <v>0</v>
      </c>
      <c r="BR60" s="16">
        <v>0</v>
      </c>
      <c r="BS60" s="16">
        <v>0</v>
      </c>
      <c r="BT60" s="16">
        <v>0</v>
      </c>
      <c r="BU60"/>
      <c r="BV60" s="5"/>
    </row>
    <row r="61" spans="1:74">
      <c r="A61"/>
      <c r="B61" s="9" t="s">
        <v>163</v>
      </c>
      <c r="C61" s="16">
        <v>0</v>
      </c>
      <c r="D61" s="16">
        <v>0</v>
      </c>
      <c r="E61" s="30">
        <f t="shared" si="13"/>
        <v>0</v>
      </c>
      <c r="F61" s="16">
        <v>0</v>
      </c>
      <c r="G61" s="30">
        <f t="shared" si="16"/>
        <v>0</v>
      </c>
      <c r="H61" s="30">
        <f t="shared" si="14"/>
        <v>0</v>
      </c>
      <c r="I61" s="14">
        <f t="shared" si="15"/>
        <v>0</v>
      </c>
      <c r="J61" s="30">
        <f t="shared" si="17"/>
        <v>0</v>
      </c>
      <c r="K61" s="30">
        <f t="shared" si="18"/>
        <v>0</v>
      </c>
      <c r="L61"/>
      <c r="M61" s="16">
        <v>0</v>
      </c>
      <c r="N61" s="16">
        <v>0</v>
      </c>
      <c r="O61" s="16">
        <v>0</v>
      </c>
      <c r="P61" s="16">
        <v>0</v>
      </c>
      <c r="Q61" s="16">
        <v>0</v>
      </c>
      <c r="R61" s="16">
        <v>0</v>
      </c>
      <c r="S61" s="16">
        <v>0</v>
      </c>
      <c r="T61" s="16">
        <v>0</v>
      </c>
      <c r="U61" s="16">
        <v>0</v>
      </c>
      <c r="V61" s="16">
        <v>0</v>
      </c>
      <c r="W61" s="16">
        <v>0</v>
      </c>
      <c r="X61" s="16">
        <v>0</v>
      </c>
      <c r="Y61" s="16">
        <v>0</v>
      </c>
      <c r="Z61" s="16">
        <v>0</v>
      </c>
      <c r="AA61" s="16">
        <v>0</v>
      </c>
      <c r="AB61" s="16">
        <v>0</v>
      </c>
      <c r="AC61" s="16">
        <v>0</v>
      </c>
      <c r="AD61" s="16">
        <v>0</v>
      </c>
      <c r="AE61" s="16">
        <v>0</v>
      </c>
      <c r="AF61" s="16">
        <v>0</v>
      </c>
      <c r="AG61" s="16">
        <v>0</v>
      </c>
      <c r="AH61" s="16">
        <v>0</v>
      </c>
      <c r="AI61" s="16">
        <v>0</v>
      </c>
      <c r="AJ61" s="16">
        <v>0</v>
      </c>
      <c r="AK61" s="16">
        <v>0</v>
      </c>
      <c r="AL61" s="16">
        <v>0</v>
      </c>
      <c r="AM61" s="16">
        <v>0</v>
      </c>
      <c r="AN61" s="16">
        <v>0</v>
      </c>
      <c r="AO61" s="16">
        <v>0</v>
      </c>
      <c r="AP61" s="16">
        <v>0</v>
      </c>
      <c r="AQ61" s="16">
        <v>0</v>
      </c>
      <c r="AR61" s="16">
        <v>0</v>
      </c>
      <c r="AS61" s="16">
        <v>0</v>
      </c>
      <c r="AT61" s="16">
        <v>0</v>
      </c>
      <c r="AU61" s="16">
        <v>0</v>
      </c>
      <c r="AV61" s="16">
        <v>0</v>
      </c>
      <c r="AW61" s="16">
        <v>0</v>
      </c>
      <c r="AX61" s="16">
        <v>0</v>
      </c>
      <c r="AY61" s="16">
        <v>0</v>
      </c>
      <c r="AZ61" s="16">
        <v>0</v>
      </c>
      <c r="BA61" s="16">
        <v>0</v>
      </c>
      <c r="BB61" s="16">
        <v>0</v>
      </c>
      <c r="BC61" s="16">
        <v>0</v>
      </c>
      <c r="BD61" s="16">
        <v>0</v>
      </c>
      <c r="BE61" s="16">
        <v>0</v>
      </c>
      <c r="BF61" s="16">
        <v>0</v>
      </c>
      <c r="BG61" s="16">
        <v>0</v>
      </c>
      <c r="BH61" s="16">
        <v>0</v>
      </c>
      <c r="BI61" s="16">
        <v>0</v>
      </c>
      <c r="BJ61" s="16">
        <v>0</v>
      </c>
      <c r="BK61" s="16">
        <v>0</v>
      </c>
      <c r="BL61" s="16">
        <v>0</v>
      </c>
      <c r="BM61" s="16">
        <v>0</v>
      </c>
      <c r="BN61" s="16">
        <v>0</v>
      </c>
      <c r="BO61" s="16">
        <v>0</v>
      </c>
      <c r="BP61" s="16">
        <v>0</v>
      </c>
      <c r="BQ61" s="16">
        <v>0</v>
      </c>
      <c r="BR61" s="16">
        <v>0</v>
      </c>
      <c r="BS61" s="16">
        <v>0</v>
      </c>
      <c r="BT61" s="16">
        <v>0</v>
      </c>
      <c r="BU61"/>
      <c r="BV61" s="5"/>
    </row>
    <row r="62" spans="1:74">
      <c r="A62"/>
      <c r="B62" s="9" t="s">
        <v>164</v>
      </c>
      <c r="C62" s="16">
        <v>0</v>
      </c>
      <c r="D62" s="16">
        <v>0</v>
      </c>
      <c r="E62" s="30">
        <f t="shared" si="13"/>
        <v>0</v>
      </c>
      <c r="F62" s="16">
        <v>0</v>
      </c>
      <c r="G62" s="30">
        <f t="shared" si="16"/>
        <v>0</v>
      </c>
      <c r="H62" s="30">
        <f t="shared" si="14"/>
        <v>0</v>
      </c>
      <c r="I62" s="14">
        <f t="shared" si="15"/>
        <v>0</v>
      </c>
      <c r="J62" s="30">
        <f t="shared" si="17"/>
        <v>0</v>
      </c>
      <c r="K62" s="30">
        <f t="shared" si="18"/>
        <v>0</v>
      </c>
      <c r="L62"/>
      <c r="M62" s="16">
        <v>0</v>
      </c>
      <c r="N62" s="16">
        <v>0</v>
      </c>
      <c r="O62" s="16">
        <v>0</v>
      </c>
      <c r="P62" s="16">
        <v>0</v>
      </c>
      <c r="Q62" s="16">
        <v>0</v>
      </c>
      <c r="R62" s="16">
        <v>0</v>
      </c>
      <c r="S62" s="16">
        <v>0</v>
      </c>
      <c r="T62" s="16">
        <v>0</v>
      </c>
      <c r="U62" s="16">
        <v>0</v>
      </c>
      <c r="V62" s="16">
        <v>0</v>
      </c>
      <c r="W62" s="16">
        <v>0</v>
      </c>
      <c r="X62" s="16">
        <v>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0</v>
      </c>
      <c r="BK62" s="16">
        <v>0</v>
      </c>
      <c r="BL62" s="16">
        <v>0</v>
      </c>
      <c r="BM62" s="16">
        <v>0</v>
      </c>
      <c r="BN62" s="16">
        <v>0</v>
      </c>
      <c r="BO62" s="16">
        <v>0</v>
      </c>
      <c r="BP62" s="16">
        <v>0</v>
      </c>
      <c r="BQ62" s="16">
        <v>0</v>
      </c>
      <c r="BR62" s="16">
        <v>0</v>
      </c>
      <c r="BS62" s="16">
        <v>0</v>
      </c>
      <c r="BT62" s="16">
        <v>0</v>
      </c>
      <c r="BU62"/>
      <c r="BV62" s="5"/>
    </row>
    <row r="63" spans="1:74">
      <c r="A63"/>
      <c r="B63" s="9" t="s">
        <v>298</v>
      </c>
      <c r="C63" s="16">
        <v>0</v>
      </c>
      <c r="D63" s="16">
        <v>0</v>
      </c>
      <c r="E63" s="30">
        <f t="shared" si="13"/>
        <v>0</v>
      </c>
      <c r="F63" s="16">
        <v>0</v>
      </c>
      <c r="G63" s="30">
        <f t="shared" si="16"/>
        <v>0</v>
      </c>
      <c r="H63" s="30">
        <f t="shared" si="14"/>
        <v>0</v>
      </c>
      <c r="I63" s="14">
        <f t="shared" si="15"/>
        <v>0</v>
      </c>
      <c r="J63" s="30">
        <f t="shared" si="17"/>
        <v>0</v>
      </c>
      <c r="K63" s="30">
        <f t="shared" si="18"/>
        <v>0</v>
      </c>
      <c r="L63"/>
      <c r="M63" s="16">
        <v>0</v>
      </c>
      <c r="N63" s="16">
        <v>0</v>
      </c>
      <c r="O63" s="16">
        <v>0</v>
      </c>
      <c r="P63" s="16">
        <v>0</v>
      </c>
      <c r="Q63" s="16">
        <v>0</v>
      </c>
      <c r="R63" s="16">
        <v>0</v>
      </c>
      <c r="S63" s="16">
        <v>0</v>
      </c>
      <c r="T63" s="16">
        <v>0</v>
      </c>
      <c r="U63" s="16">
        <v>0</v>
      </c>
      <c r="V63" s="16">
        <v>0</v>
      </c>
      <c r="W63" s="16">
        <v>0</v>
      </c>
      <c r="X63" s="16">
        <v>0</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0</v>
      </c>
      <c r="BK63" s="16">
        <v>0</v>
      </c>
      <c r="BL63" s="16">
        <v>0</v>
      </c>
      <c r="BM63" s="16">
        <v>0</v>
      </c>
      <c r="BN63" s="16">
        <v>0</v>
      </c>
      <c r="BO63" s="16">
        <v>0</v>
      </c>
      <c r="BP63" s="16">
        <v>0</v>
      </c>
      <c r="BQ63" s="16">
        <v>0</v>
      </c>
      <c r="BR63" s="16">
        <v>0</v>
      </c>
      <c r="BS63" s="16">
        <v>0</v>
      </c>
      <c r="BT63" s="16">
        <v>0</v>
      </c>
      <c r="BU63"/>
      <c r="BV63" s="5"/>
    </row>
    <row r="64" spans="1:74">
      <c r="A64"/>
      <c r="B64" s="9" t="s">
        <v>167</v>
      </c>
      <c r="C64" s="16">
        <v>0</v>
      </c>
      <c r="D64" s="16">
        <v>0</v>
      </c>
      <c r="E64" s="30">
        <f t="shared" si="13"/>
        <v>0</v>
      </c>
      <c r="F64" s="16">
        <v>0</v>
      </c>
      <c r="G64" s="30">
        <f t="shared" si="16"/>
        <v>0</v>
      </c>
      <c r="H64" s="30">
        <f t="shared" si="14"/>
        <v>0</v>
      </c>
      <c r="I64" s="14">
        <f t="shared" si="15"/>
        <v>0</v>
      </c>
      <c r="J64" s="30">
        <f t="shared" si="17"/>
        <v>0</v>
      </c>
      <c r="K64" s="30">
        <f t="shared" si="18"/>
        <v>0</v>
      </c>
      <c r="L64"/>
      <c r="M64" s="16">
        <v>0</v>
      </c>
      <c r="N64" s="16">
        <v>0</v>
      </c>
      <c r="O64" s="16">
        <v>0</v>
      </c>
      <c r="P64" s="16">
        <v>0</v>
      </c>
      <c r="Q64" s="16">
        <v>0</v>
      </c>
      <c r="R64" s="16">
        <v>0</v>
      </c>
      <c r="S64" s="16">
        <v>0</v>
      </c>
      <c r="T64" s="16">
        <v>0</v>
      </c>
      <c r="U64" s="16">
        <v>0</v>
      </c>
      <c r="V64" s="16">
        <v>0</v>
      </c>
      <c r="W64" s="16">
        <v>0</v>
      </c>
      <c r="X64" s="16">
        <v>0</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0</v>
      </c>
      <c r="BO64" s="16">
        <v>0</v>
      </c>
      <c r="BP64" s="16">
        <v>0</v>
      </c>
      <c r="BQ64" s="16">
        <v>0</v>
      </c>
      <c r="BR64" s="16">
        <v>0</v>
      </c>
      <c r="BS64" s="16">
        <v>0</v>
      </c>
      <c r="BT64" s="16">
        <v>0</v>
      </c>
      <c r="BU64"/>
      <c r="BV64" s="5"/>
    </row>
    <row r="65" spans="1:74">
      <c r="A65"/>
      <c r="B65" s="9" t="s">
        <v>168</v>
      </c>
      <c r="C65" s="16">
        <v>0</v>
      </c>
      <c r="D65" s="16">
        <v>0</v>
      </c>
      <c r="E65" s="30">
        <f t="shared" si="13"/>
        <v>0</v>
      </c>
      <c r="F65" s="16">
        <v>0</v>
      </c>
      <c r="G65" s="30">
        <f t="shared" si="16"/>
        <v>0</v>
      </c>
      <c r="H65" s="30">
        <f t="shared" si="14"/>
        <v>0</v>
      </c>
      <c r="I65" s="14">
        <f t="shared" si="15"/>
        <v>0</v>
      </c>
      <c r="J65" s="30">
        <f t="shared" si="17"/>
        <v>0</v>
      </c>
      <c r="K65" s="30">
        <f t="shared" si="18"/>
        <v>0</v>
      </c>
      <c r="L65"/>
      <c r="M65" s="16">
        <v>0</v>
      </c>
      <c r="N65" s="16">
        <v>0</v>
      </c>
      <c r="O65" s="16">
        <v>0</v>
      </c>
      <c r="P65" s="16">
        <v>0</v>
      </c>
      <c r="Q65" s="16">
        <v>0</v>
      </c>
      <c r="R65" s="16">
        <v>0</v>
      </c>
      <c r="S65" s="16">
        <v>0</v>
      </c>
      <c r="T65" s="16">
        <v>0</v>
      </c>
      <c r="U65" s="16">
        <v>0</v>
      </c>
      <c r="V65" s="16">
        <v>0</v>
      </c>
      <c r="W65" s="16">
        <v>0</v>
      </c>
      <c r="X65" s="16">
        <v>0</v>
      </c>
      <c r="Y65" s="16">
        <v>0</v>
      </c>
      <c r="Z65" s="16">
        <v>0</v>
      </c>
      <c r="AA65" s="16">
        <v>0</v>
      </c>
      <c r="AB65" s="16">
        <v>0</v>
      </c>
      <c r="AC65" s="16">
        <v>0</v>
      </c>
      <c r="AD65" s="16">
        <v>0</v>
      </c>
      <c r="AE65" s="16">
        <v>0</v>
      </c>
      <c r="AF65" s="16">
        <v>0</v>
      </c>
      <c r="AG65" s="16">
        <v>0</v>
      </c>
      <c r="AH65" s="16">
        <v>0</v>
      </c>
      <c r="AI65" s="16">
        <v>0</v>
      </c>
      <c r="AJ65" s="16">
        <v>0</v>
      </c>
      <c r="AK65" s="16">
        <v>0</v>
      </c>
      <c r="AL65" s="16">
        <v>0</v>
      </c>
      <c r="AM65" s="16">
        <v>0</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0</v>
      </c>
      <c r="BI65" s="16">
        <v>0</v>
      </c>
      <c r="BJ65" s="16">
        <v>0</v>
      </c>
      <c r="BK65" s="16">
        <v>0</v>
      </c>
      <c r="BL65" s="16">
        <v>0</v>
      </c>
      <c r="BM65" s="16">
        <v>0</v>
      </c>
      <c r="BN65" s="16">
        <v>0</v>
      </c>
      <c r="BO65" s="16">
        <v>0</v>
      </c>
      <c r="BP65" s="16">
        <v>0</v>
      </c>
      <c r="BQ65" s="16">
        <v>0</v>
      </c>
      <c r="BR65" s="16">
        <v>0</v>
      </c>
      <c r="BS65" s="16">
        <v>0</v>
      </c>
      <c r="BT65" s="16">
        <v>0</v>
      </c>
      <c r="BU65"/>
      <c r="BV65" s="5"/>
    </row>
    <row r="66" spans="1:74">
      <c r="A66"/>
      <c r="B66" s="9" t="s">
        <v>169</v>
      </c>
      <c r="C66" s="16">
        <v>0</v>
      </c>
      <c r="D66" s="16">
        <v>0</v>
      </c>
      <c r="E66" s="30">
        <f t="shared" si="13"/>
        <v>0</v>
      </c>
      <c r="F66" s="16">
        <v>0</v>
      </c>
      <c r="G66" s="30">
        <f t="shared" si="16"/>
        <v>0</v>
      </c>
      <c r="H66" s="30">
        <f t="shared" si="14"/>
        <v>0</v>
      </c>
      <c r="I66" s="14">
        <f t="shared" si="15"/>
        <v>0</v>
      </c>
      <c r="J66" s="30">
        <f t="shared" si="17"/>
        <v>0</v>
      </c>
      <c r="K66" s="30">
        <f t="shared" si="18"/>
        <v>0</v>
      </c>
      <c r="L66"/>
      <c r="M66" s="16">
        <v>0</v>
      </c>
      <c r="N66" s="16">
        <v>0</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0</v>
      </c>
      <c r="BN66" s="16">
        <v>0</v>
      </c>
      <c r="BO66" s="16">
        <v>0</v>
      </c>
      <c r="BP66" s="16">
        <v>0</v>
      </c>
      <c r="BQ66" s="16">
        <v>0</v>
      </c>
      <c r="BR66" s="16">
        <v>0</v>
      </c>
      <c r="BS66" s="16">
        <v>0</v>
      </c>
      <c r="BT66" s="16">
        <v>0</v>
      </c>
      <c r="BU66"/>
      <c r="BV66" s="5"/>
    </row>
    <row r="67" spans="1:74">
      <c r="A67"/>
      <c r="B67" s="9" t="s">
        <v>299</v>
      </c>
      <c r="C67" s="16">
        <v>0</v>
      </c>
      <c r="D67" s="16">
        <v>0</v>
      </c>
      <c r="E67" s="30">
        <f t="shared" si="13"/>
        <v>0</v>
      </c>
      <c r="F67" s="16">
        <v>0</v>
      </c>
      <c r="G67" s="30">
        <f t="shared" si="16"/>
        <v>0</v>
      </c>
      <c r="H67" s="30">
        <f t="shared" si="14"/>
        <v>0</v>
      </c>
      <c r="I67" s="14">
        <f t="shared" si="15"/>
        <v>0</v>
      </c>
      <c r="J67" s="30">
        <f t="shared" si="17"/>
        <v>0</v>
      </c>
      <c r="K67" s="30">
        <f t="shared" si="18"/>
        <v>0</v>
      </c>
      <c r="L67"/>
      <c r="M67" s="16">
        <v>0</v>
      </c>
      <c r="N67" s="16">
        <v>0</v>
      </c>
      <c r="O67" s="16">
        <v>0</v>
      </c>
      <c r="P67" s="16">
        <v>0</v>
      </c>
      <c r="Q67" s="16">
        <v>0</v>
      </c>
      <c r="R67" s="16">
        <v>0</v>
      </c>
      <c r="S67" s="16">
        <v>0</v>
      </c>
      <c r="T67" s="16">
        <v>0</v>
      </c>
      <c r="U67" s="16">
        <v>0</v>
      </c>
      <c r="V67" s="16">
        <v>0</v>
      </c>
      <c r="W67" s="16">
        <v>0</v>
      </c>
      <c r="X67" s="16">
        <v>0</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0</v>
      </c>
      <c r="BN67" s="16">
        <v>0</v>
      </c>
      <c r="BO67" s="16">
        <v>0</v>
      </c>
      <c r="BP67" s="16">
        <v>0</v>
      </c>
      <c r="BQ67" s="16">
        <v>0</v>
      </c>
      <c r="BR67" s="16">
        <v>0</v>
      </c>
      <c r="BS67" s="16">
        <v>0</v>
      </c>
      <c r="BT67" s="16">
        <v>0</v>
      </c>
      <c r="BU67"/>
      <c r="BV67" s="5"/>
    </row>
    <row r="68" spans="1:74">
      <c r="A68"/>
      <c r="B68" s="9" t="s">
        <v>300</v>
      </c>
      <c r="C68" s="16">
        <v>0</v>
      </c>
      <c r="D68" s="16">
        <v>0</v>
      </c>
      <c r="E68" s="30">
        <f t="shared" si="13"/>
        <v>0</v>
      </c>
      <c r="F68" s="16">
        <v>0</v>
      </c>
      <c r="G68" s="30">
        <f t="shared" si="16"/>
        <v>0</v>
      </c>
      <c r="H68" s="30">
        <f t="shared" si="14"/>
        <v>0</v>
      </c>
      <c r="I68" s="14">
        <f t="shared" si="15"/>
        <v>0</v>
      </c>
      <c r="J68" s="30">
        <f t="shared" si="17"/>
        <v>0</v>
      </c>
      <c r="K68" s="30">
        <f t="shared" si="18"/>
        <v>0</v>
      </c>
      <c r="L68"/>
      <c r="M68" s="16">
        <v>0</v>
      </c>
      <c r="N68" s="16">
        <v>0</v>
      </c>
      <c r="O68" s="16">
        <v>0</v>
      </c>
      <c r="P68" s="16">
        <v>0</v>
      </c>
      <c r="Q68" s="16">
        <v>0</v>
      </c>
      <c r="R68" s="16">
        <v>0</v>
      </c>
      <c r="S68" s="16">
        <v>0</v>
      </c>
      <c r="T68" s="16">
        <v>0</v>
      </c>
      <c r="U68" s="16">
        <v>0</v>
      </c>
      <c r="V68" s="16">
        <v>0</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6">
        <v>0</v>
      </c>
      <c r="BQ68" s="16">
        <v>0</v>
      </c>
      <c r="BR68" s="16">
        <v>0</v>
      </c>
      <c r="BS68" s="16">
        <v>0</v>
      </c>
      <c r="BT68" s="16">
        <v>0</v>
      </c>
      <c r="BU68"/>
      <c r="BV68" s="5"/>
    </row>
    <row r="69" spans="1:74">
      <c r="A69"/>
      <c r="B69" s="9" t="s">
        <v>174</v>
      </c>
      <c r="C69" s="16">
        <v>0</v>
      </c>
      <c r="D69" s="16">
        <v>0</v>
      </c>
      <c r="E69" s="30">
        <f t="shared" si="13"/>
        <v>0</v>
      </c>
      <c r="F69" s="16">
        <v>0</v>
      </c>
      <c r="G69" s="30">
        <f t="shared" si="16"/>
        <v>0</v>
      </c>
      <c r="H69" s="30">
        <f t="shared" si="14"/>
        <v>0</v>
      </c>
      <c r="I69" s="14">
        <f t="shared" si="15"/>
        <v>0</v>
      </c>
      <c r="J69" s="30">
        <f t="shared" si="17"/>
        <v>0</v>
      </c>
      <c r="K69" s="30">
        <f t="shared" si="18"/>
        <v>0</v>
      </c>
      <c r="L69"/>
      <c r="M69" s="16">
        <v>0</v>
      </c>
      <c r="N69" s="16">
        <v>0</v>
      </c>
      <c r="O69" s="16">
        <v>0</v>
      </c>
      <c r="P69" s="16">
        <v>0</v>
      </c>
      <c r="Q69" s="16">
        <v>0</v>
      </c>
      <c r="R69" s="16">
        <v>0</v>
      </c>
      <c r="S69" s="16">
        <v>0</v>
      </c>
      <c r="T69" s="16">
        <v>0</v>
      </c>
      <c r="U69" s="16">
        <v>0</v>
      </c>
      <c r="V69" s="16">
        <v>0</v>
      </c>
      <c r="W69" s="16">
        <v>0</v>
      </c>
      <c r="X69" s="16">
        <v>0</v>
      </c>
      <c r="Y69" s="16">
        <v>0</v>
      </c>
      <c r="Z69" s="16">
        <v>0</v>
      </c>
      <c r="AA69" s="16">
        <v>0</v>
      </c>
      <c r="AB69" s="16">
        <v>0</v>
      </c>
      <c r="AC69" s="16">
        <v>0</v>
      </c>
      <c r="AD69" s="16">
        <v>0</v>
      </c>
      <c r="AE69" s="16">
        <v>0</v>
      </c>
      <c r="AF69" s="16">
        <v>0</v>
      </c>
      <c r="AG69" s="16">
        <v>0</v>
      </c>
      <c r="AH69" s="16">
        <v>0</v>
      </c>
      <c r="AI69" s="16">
        <v>0</v>
      </c>
      <c r="AJ69" s="16">
        <v>0</v>
      </c>
      <c r="AK69" s="16">
        <v>0</v>
      </c>
      <c r="AL69" s="16">
        <v>0</v>
      </c>
      <c r="AM69" s="16">
        <v>0</v>
      </c>
      <c r="AN69" s="16">
        <v>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0</v>
      </c>
      <c r="BI69" s="16">
        <v>0</v>
      </c>
      <c r="BJ69" s="16">
        <v>0</v>
      </c>
      <c r="BK69" s="16">
        <v>0</v>
      </c>
      <c r="BL69" s="16">
        <v>0</v>
      </c>
      <c r="BM69" s="16">
        <v>0</v>
      </c>
      <c r="BN69" s="16">
        <v>0</v>
      </c>
      <c r="BO69" s="16">
        <v>0</v>
      </c>
      <c r="BP69" s="16">
        <v>0</v>
      </c>
      <c r="BQ69" s="16">
        <v>0</v>
      </c>
      <c r="BR69" s="16">
        <v>0</v>
      </c>
      <c r="BS69" s="16">
        <v>0</v>
      </c>
      <c r="BT69" s="16">
        <v>0</v>
      </c>
      <c r="BU69"/>
      <c r="BV69" s="5"/>
    </row>
    <row r="70" spans="1:74">
      <c r="A70"/>
      <c r="B70" s="9" t="s">
        <v>175</v>
      </c>
      <c r="C70" s="16">
        <v>0</v>
      </c>
      <c r="D70" s="16">
        <v>0</v>
      </c>
      <c r="E70" s="30">
        <f t="shared" si="13"/>
        <v>0</v>
      </c>
      <c r="F70" s="16">
        <v>0</v>
      </c>
      <c r="G70" s="30">
        <f t="shared" si="16"/>
        <v>0</v>
      </c>
      <c r="H70" s="30">
        <f t="shared" si="14"/>
        <v>0</v>
      </c>
      <c r="I70" s="14">
        <f t="shared" si="15"/>
        <v>0</v>
      </c>
      <c r="J70" s="30">
        <f t="shared" si="17"/>
        <v>0</v>
      </c>
      <c r="K70" s="30">
        <f t="shared" si="18"/>
        <v>0</v>
      </c>
      <c r="L70"/>
      <c r="M70" s="16">
        <v>0</v>
      </c>
      <c r="N70" s="16">
        <v>0</v>
      </c>
      <c r="O70" s="16">
        <v>0</v>
      </c>
      <c r="P70" s="16">
        <v>0</v>
      </c>
      <c r="Q70" s="16">
        <v>0</v>
      </c>
      <c r="R70" s="16">
        <v>0</v>
      </c>
      <c r="S70" s="16">
        <v>0</v>
      </c>
      <c r="T70" s="16">
        <v>0</v>
      </c>
      <c r="U70" s="16">
        <v>0</v>
      </c>
      <c r="V70" s="16">
        <v>0</v>
      </c>
      <c r="W70" s="16">
        <v>0</v>
      </c>
      <c r="X70" s="16">
        <v>0</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0</v>
      </c>
      <c r="BI70" s="16">
        <v>0</v>
      </c>
      <c r="BJ70" s="16">
        <v>0</v>
      </c>
      <c r="BK70" s="16">
        <v>0</v>
      </c>
      <c r="BL70" s="16">
        <v>0</v>
      </c>
      <c r="BM70" s="16">
        <v>0</v>
      </c>
      <c r="BN70" s="16">
        <v>0</v>
      </c>
      <c r="BO70" s="16">
        <v>0</v>
      </c>
      <c r="BP70" s="16">
        <v>0</v>
      </c>
      <c r="BQ70" s="16">
        <v>0</v>
      </c>
      <c r="BR70" s="16">
        <v>0</v>
      </c>
      <c r="BS70" s="16">
        <v>0</v>
      </c>
      <c r="BT70" s="16">
        <v>0</v>
      </c>
      <c r="BU70"/>
      <c r="BV70" s="5"/>
    </row>
    <row r="71" spans="1:74">
      <c r="A71"/>
      <c r="B71" s="9" t="s">
        <v>176</v>
      </c>
      <c r="C71" s="16">
        <v>0</v>
      </c>
      <c r="D71" s="16">
        <v>0</v>
      </c>
      <c r="E71" s="30">
        <f t="shared" si="13"/>
        <v>0</v>
      </c>
      <c r="F71" s="16">
        <v>0</v>
      </c>
      <c r="G71" s="30">
        <f t="shared" si="16"/>
        <v>0</v>
      </c>
      <c r="H71" s="30">
        <f t="shared" si="14"/>
        <v>0</v>
      </c>
      <c r="I71" s="14">
        <f t="shared" si="15"/>
        <v>0</v>
      </c>
      <c r="J71" s="30">
        <f t="shared" si="17"/>
        <v>0</v>
      </c>
      <c r="K71" s="30">
        <f t="shared" si="18"/>
        <v>0</v>
      </c>
      <c r="L71"/>
      <c r="M71" s="16">
        <v>0</v>
      </c>
      <c r="N71" s="16">
        <v>0</v>
      </c>
      <c r="O71" s="16">
        <v>0</v>
      </c>
      <c r="P71" s="16">
        <v>0</v>
      </c>
      <c r="Q71" s="16">
        <v>0</v>
      </c>
      <c r="R71" s="16">
        <v>0</v>
      </c>
      <c r="S71" s="16">
        <v>0</v>
      </c>
      <c r="T71" s="16">
        <v>0</v>
      </c>
      <c r="U71" s="16">
        <v>0</v>
      </c>
      <c r="V71" s="16">
        <v>0</v>
      </c>
      <c r="W71" s="16">
        <v>0</v>
      </c>
      <c r="X71" s="16">
        <v>0</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0</v>
      </c>
      <c r="AS71" s="16">
        <v>0</v>
      </c>
      <c r="AT71" s="16">
        <v>0</v>
      </c>
      <c r="AU71" s="16">
        <v>0</v>
      </c>
      <c r="AV71" s="16">
        <v>0</v>
      </c>
      <c r="AW71" s="16">
        <v>0</v>
      </c>
      <c r="AX71" s="16">
        <v>0</v>
      </c>
      <c r="AY71" s="16">
        <v>0</v>
      </c>
      <c r="AZ71" s="16">
        <v>0</v>
      </c>
      <c r="BA71" s="16">
        <v>0</v>
      </c>
      <c r="BB71" s="16">
        <v>0</v>
      </c>
      <c r="BC71" s="16">
        <v>0</v>
      </c>
      <c r="BD71" s="16">
        <v>0</v>
      </c>
      <c r="BE71" s="16">
        <v>0</v>
      </c>
      <c r="BF71" s="16">
        <v>0</v>
      </c>
      <c r="BG71" s="16">
        <v>0</v>
      </c>
      <c r="BH71" s="16">
        <v>0</v>
      </c>
      <c r="BI71" s="16">
        <v>0</v>
      </c>
      <c r="BJ71" s="16">
        <v>0</v>
      </c>
      <c r="BK71" s="16">
        <v>0</v>
      </c>
      <c r="BL71" s="16">
        <v>0</v>
      </c>
      <c r="BM71" s="16">
        <v>0</v>
      </c>
      <c r="BN71" s="16">
        <v>0</v>
      </c>
      <c r="BO71" s="16">
        <v>0</v>
      </c>
      <c r="BP71" s="16">
        <v>0</v>
      </c>
      <c r="BQ71" s="16">
        <v>0</v>
      </c>
      <c r="BR71" s="16">
        <v>0</v>
      </c>
      <c r="BS71" s="16">
        <v>0</v>
      </c>
      <c r="BT71" s="16">
        <v>0</v>
      </c>
      <c r="BU71"/>
      <c r="BV71" s="5"/>
    </row>
    <row r="72" spans="1:74">
      <c r="A72"/>
      <c r="B72" s="9" t="s">
        <v>179</v>
      </c>
      <c r="C72" s="16">
        <v>0</v>
      </c>
      <c r="D72" s="16">
        <v>0</v>
      </c>
      <c r="E72" s="30">
        <f t="shared" si="13"/>
        <v>0</v>
      </c>
      <c r="F72" s="16">
        <v>0</v>
      </c>
      <c r="G72" s="30">
        <f t="shared" si="16"/>
        <v>0</v>
      </c>
      <c r="H72" s="30">
        <f t="shared" si="14"/>
        <v>0</v>
      </c>
      <c r="I72" s="14">
        <f t="shared" si="15"/>
        <v>0</v>
      </c>
      <c r="J72" s="30">
        <f t="shared" si="17"/>
        <v>0</v>
      </c>
      <c r="K72" s="30">
        <f t="shared" si="18"/>
        <v>0</v>
      </c>
      <c r="L72"/>
      <c r="M72" s="16">
        <v>0</v>
      </c>
      <c r="N72" s="16">
        <v>0</v>
      </c>
      <c r="O72" s="16">
        <v>0</v>
      </c>
      <c r="P72" s="16">
        <v>0</v>
      </c>
      <c r="Q72" s="16">
        <v>0</v>
      </c>
      <c r="R72" s="16">
        <v>0</v>
      </c>
      <c r="S72" s="16">
        <v>0</v>
      </c>
      <c r="T72" s="16">
        <v>0</v>
      </c>
      <c r="U72" s="16">
        <v>0</v>
      </c>
      <c r="V72" s="16">
        <v>0</v>
      </c>
      <c r="W72" s="16">
        <v>0</v>
      </c>
      <c r="X72" s="16">
        <v>0</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0</v>
      </c>
      <c r="BN72" s="16">
        <v>0</v>
      </c>
      <c r="BO72" s="16">
        <v>0</v>
      </c>
      <c r="BP72" s="16">
        <v>0</v>
      </c>
      <c r="BQ72" s="16">
        <v>0</v>
      </c>
      <c r="BR72" s="16">
        <v>0</v>
      </c>
      <c r="BS72" s="16">
        <v>0</v>
      </c>
      <c r="BT72" s="16">
        <v>0</v>
      </c>
      <c r="BU72"/>
      <c r="BV72" s="5"/>
    </row>
    <row r="73" spans="1:74">
      <c r="A73"/>
      <c r="B73" s="9" t="s">
        <v>181</v>
      </c>
      <c r="C73" s="16">
        <v>0</v>
      </c>
      <c r="D73" s="16">
        <v>0</v>
      </c>
      <c r="E73" s="30">
        <f t="shared" si="13"/>
        <v>0</v>
      </c>
      <c r="F73" s="16">
        <v>0</v>
      </c>
      <c r="G73" s="30">
        <f t="shared" si="16"/>
        <v>0</v>
      </c>
      <c r="H73" s="30">
        <f t="shared" si="14"/>
        <v>0</v>
      </c>
      <c r="I73" s="14">
        <f t="shared" si="15"/>
        <v>0</v>
      </c>
      <c r="J73" s="30">
        <f t="shared" si="17"/>
        <v>0</v>
      </c>
      <c r="K73" s="30">
        <f t="shared" si="18"/>
        <v>0</v>
      </c>
      <c r="L73"/>
      <c r="M73" s="16">
        <v>0</v>
      </c>
      <c r="N73" s="16">
        <v>0</v>
      </c>
      <c r="O73" s="16">
        <v>0</v>
      </c>
      <c r="P73" s="16">
        <v>0</v>
      </c>
      <c r="Q73" s="16">
        <v>0</v>
      </c>
      <c r="R73" s="16">
        <v>0</v>
      </c>
      <c r="S73" s="16">
        <v>0</v>
      </c>
      <c r="T73" s="16">
        <v>0</v>
      </c>
      <c r="U73" s="16">
        <v>0</v>
      </c>
      <c r="V73" s="16">
        <v>0</v>
      </c>
      <c r="W73" s="16">
        <v>0</v>
      </c>
      <c r="X73" s="16">
        <v>0</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0</v>
      </c>
      <c r="BN73" s="16">
        <v>0</v>
      </c>
      <c r="BO73" s="16">
        <v>0</v>
      </c>
      <c r="BP73" s="16">
        <v>0</v>
      </c>
      <c r="BQ73" s="16">
        <v>0</v>
      </c>
      <c r="BR73" s="16">
        <v>0</v>
      </c>
      <c r="BS73" s="16">
        <v>0</v>
      </c>
      <c r="BT73" s="16">
        <v>0</v>
      </c>
      <c r="BU73"/>
      <c r="BV73" s="5"/>
    </row>
    <row r="74" spans="1:74">
      <c r="A74"/>
      <c r="B74" s="9" t="s">
        <v>183</v>
      </c>
      <c r="C74" s="16">
        <v>0</v>
      </c>
      <c r="D74" s="16">
        <v>0</v>
      </c>
      <c r="E74" s="30">
        <f t="shared" si="13"/>
        <v>0</v>
      </c>
      <c r="F74" s="16">
        <v>0</v>
      </c>
      <c r="G74" s="30">
        <f t="shared" si="16"/>
        <v>0</v>
      </c>
      <c r="H74" s="30">
        <f t="shared" si="14"/>
        <v>0</v>
      </c>
      <c r="I74" s="14">
        <f t="shared" si="15"/>
        <v>0</v>
      </c>
      <c r="J74" s="30">
        <f t="shared" si="17"/>
        <v>0</v>
      </c>
      <c r="K74" s="30">
        <f t="shared" si="18"/>
        <v>0</v>
      </c>
      <c r="L74"/>
      <c r="M74" s="16">
        <v>0</v>
      </c>
      <c r="N74" s="16">
        <v>0</v>
      </c>
      <c r="O74" s="16">
        <v>0</v>
      </c>
      <c r="P74" s="16">
        <v>0</v>
      </c>
      <c r="Q74" s="16">
        <v>0</v>
      </c>
      <c r="R74" s="16">
        <v>0</v>
      </c>
      <c r="S74" s="16">
        <v>0</v>
      </c>
      <c r="T74" s="16">
        <v>0</v>
      </c>
      <c r="U74" s="16">
        <v>0</v>
      </c>
      <c r="V74" s="16">
        <v>0</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0</v>
      </c>
      <c r="AZ74" s="16">
        <v>0</v>
      </c>
      <c r="BA74" s="16">
        <v>0</v>
      </c>
      <c r="BB74" s="16">
        <v>0</v>
      </c>
      <c r="BC74" s="16">
        <v>0</v>
      </c>
      <c r="BD74" s="16">
        <v>0</v>
      </c>
      <c r="BE74" s="16">
        <v>0</v>
      </c>
      <c r="BF74" s="16">
        <v>0</v>
      </c>
      <c r="BG74" s="16">
        <v>0</v>
      </c>
      <c r="BH74" s="16">
        <v>0</v>
      </c>
      <c r="BI74" s="16">
        <v>0</v>
      </c>
      <c r="BJ74" s="16">
        <v>0</v>
      </c>
      <c r="BK74" s="16">
        <v>0</v>
      </c>
      <c r="BL74" s="16">
        <v>0</v>
      </c>
      <c r="BM74" s="16">
        <v>0</v>
      </c>
      <c r="BN74" s="16">
        <v>0</v>
      </c>
      <c r="BO74" s="16">
        <v>0</v>
      </c>
      <c r="BP74" s="16">
        <v>0</v>
      </c>
      <c r="BQ74" s="16">
        <v>0</v>
      </c>
      <c r="BR74" s="16">
        <v>0</v>
      </c>
      <c r="BS74" s="16">
        <v>0</v>
      </c>
      <c r="BT74" s="16">
        <v>0</v>
      </c>
      <c r="BU74"/>
      <c r="BV74" s="5"/>
    </row>
    <row r="75" spans="1:74">
      <c r="A75"/>
      <c r="B75" s="9"/>
      <c r="C75" s="16">
        <v>0</v>
      </c>
      <c r="D75" s="16">
        <v>0</v>
      </c>
      <c r="E75" s="30">
        <f t="shared" si="13"/>
        <v>0</v>
      </c>
      <c r="F75" s="16">
        <v>0</v>
      </c>
      <c r="G75" s="30">
        <f t="shared" si="16"/>
        <v>0</v>
      </c>
      <c r="H75" s="30">
        <f t="shared" si="14"/>
        <v>0</v>
      </c>
      <c r="I75" s="14">
        <f t="shared" si="15"/>
        <v>0</v>
      </c>
      <c r="J75" s="30">
        <f t="shared" si="17"/>
        <v>0</v>
      </c>
      <c r="K75" s="30">
        <f t="shared" si="18"/>
        <v>0</v>
      </c>
      <c r="L75"/>
      <c r="M75" s="16">
        <v>0</v>
      </c>
      <c r="N75" s="16">
        <v>0</v>
      </c>
      <c r="O75" s="16">
        <v>0</v>
      </c>
      <c r="P75" s="16">
        <v>0</v>
      </c>
      <c r="Q75" s="16">
        <v>0</v>
      </c>
      <c r="R75" s="16">
        <v>0</v>
      </c>
      <c r="S75" s="16">
        <v>0</v>
      </c>
      <c r="T75" s="16">
        <v>0</v>
      </c>
      <c r="U75" s="16">
        <v>0</v>
      </c>
      <c r="V75" s="16">
        <v>0</v>
      </c>
      <c r="W75" s="16">
        <v>0</v>
      </c>
      <c r="X75" s="16">
        <v>0</v>
      </c>
      <c r="Y75" s="16">
        <v>0</v>
      </c>
      <c r="Z75" s="16">
        <v>0</v>
      </c>
      <c r="AA75" s="16">
        <v>0</v>
      </c>
      <c r="AB75" s="16">
        <v>0</v>
      </c>
      <c r="AC75" s="16">
        <v>0</v>
      </c>
      <c r="AD75" s="16">
        <v>0</v>
      </c>
      <c r="AE75" s="16">
        <v>0</v>
      </c>
      <c r="AF75" s="16">
        <v>0</v>
      </c>
      <c r="AG75" s="16">
        <v>0</v>
      </c>
      <c r="AH75" s="16">
        <v>0</v>
      </c>
      <c r="AI75" s="16">
        <v>0</v>
      </c>
      <c r="AJ75" s="16">
        <v>0</v>
      </c>
      <c r="AK75" s="16">
        <v>0</v>
      </c>
      <c r="AL75" s="16">
        <v>0</v>
      </c>
      <c r="AM75" s="16">
        <v>0</v>
      </c>
      <c r="AN75" s="16">
        <v>0</v>
      </c>
      <c r="AO75" s="16">
        <v>0</v>
      </c>
      <c r="AP75" s="16">
        <v>0</v>
      </c>
      <c r="AQ75" s="16">
        <v>0</v>
      </c>
      <c r="AR75" s="16">
        <v>0</v>
      </c>
      <c r="AS75" s="16">
        <v>0</v>
      </c>
      <c r="AT75" s="16">
        <v>0</v>
      </c>
      <c r="AU75" s="16">
        <v>0</v>
      </c>
      <c r="AV75" s="16">
        <v>0</v>
      </c>
      <c r="AW75" s="16">
        <v>0</v>
      </c>
      <c r="AX75" s="16">
        <v>0</v>
      </c>
      <c r="AY75" s="16">
        <v>0</v>
      </c>
      <c r="AZ75" s="16">
        <v>0</v>
      </c>
      <c r="BA75" s="16">
        <v>0</v>
      </c>
      <c r="BB75" s="16">
        <v>0</v>
      </c>
      <c r="BC75" s="16">
        <v>0</v>
      </c>
      <c r="BD75" s="16">
        <v>0</v>
      </c>
      <c r="BE75" s="16">
        <v>0</v>
      </c>
      <c r="BF75" s="16">
        <v>0</v>
      </c>
      <c r="BG75" s="16">
        <v>0</v>
      </c>
      <c r="BH75" s="16">
        <v>0</v>
      </c>
      <c r="BI75" s="16">
        <v>0</v>
      </c>
      <c r="BJ75" s="16">
        <v>0</v>
      </c>
      <c r="BK75" s="16">
        <v>0</v>
      </c>
      <c r="BL75" s="16">
        <v>0</v>
      </c>
      <c r="BM75" s="16">
        <v>0</v>
      </c>
      <c r="BN75" s="16">
        <v>0</v>
      </c>
      <c r="BO75" s="16">
        <v>0</v>
      </c>
      <c r="BP75" s="16">
        <v>0</v>
      </c>
      <c r="BQ75" s="16">
        <v>0</v>
      </c>
      <c r="BR75" s="16">
        <v>0</v>
      </c>
      <c r="BS75" s="16">
        <v>0</v>
      </c>
      <c r="BT75" s="16">
        <v>0</v>
      </c>
      <c r="BU75"/>
      <c r="BV75" s="5"/>
    </row>
    <row r="76" spans="1:74">
      <c r="A76"/>
      <c r="B76" s="9"/>
      <c r="C76" s="16">
        <v>0</v>
      </c>
      <c r="D76" s="16">
        <v>0</v>
      </c>
      <c r="E76" s="30">
        <f t="shared" si="13"/>
        <v>0</v>
      </c>
      <c r="F76" s="16">
        <v>0</v>
      </c>
      <c r="G76" s="30">
        <f t="shared" si="16"/>
        <v>0</v>
      </c>
      <c r="H76" s="30">
        <f t="shared" si="14"/>
        <v>0</v>
      </c>
      <c r="I76" s="14">
        <f t="shared" si="15"/>
        <v>0</v>
      </c>
      <c r="J76" s="30">
        <f t="shared" si="17"/>
        <v>0</v>
      </c>
      <c r="K76" s="30">
        <f t="shared" si="18"/>
        <v>0</v>
      </c>
      <c r="L76"/>
      <c r="M76" s="16">
        <v>0</v>
      </c>
      <c r="N76" s="16">
        <v>0</v>
      </c>
      <c r="O76" s="16">
        <v>0</v>
      </c>
      <c r="P76" s="16">
        <v>0</v>
      </c>
      <c r="Q76" s="16">
        <v>0</v>
      </c>
      <c r="R76" s="16">
        <v>0</v>
      </c>
      <c r="S76" s="16">
        <v>0</v>
      </c>
      <c r="T76" s="16">
        <v>0</v>
      </c>
      <c r="U76" s="16">
        <v>0</v>
      </c>
      <c r="V76" s="16">
        <v>0</v>
      </c>
      <c r="W76" s="16">
        <v>0</v>
      </c>
      <c r="X76" s="16">
        <v>0</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0</v>
      </c>
      <c r="BN76" s="16">
        <v>0</v>
      </c>
      <c r="BO76" s="16">
        <v>0</v>
      </c>
      <c r="BP76" s="16">
        <v>0</v>
      </c>
      <c r="BQ76" s="16">
        <v>0</v>
      </c>
      <c r="BR76" s="16">
        <v>0</v>
      </c>
      <c r="BS76" s="16">
        <v>0</v>
      </c>
      <c r="BT76" s="16">
        <v>0</v>
      </c>
      <c r="BU76"/>
      <c r="BV76" s="5"/>
    </row>
    <row r="77" spans="1:74">
      <c r="A77"/>
      <c r="B77" s="9"/>
      <c r="C77" s="16">
        <v>0</v>
      </c>
      <c r="D77" s="16">
        <v>0</v>
      </c>
      <c r="E77" s="30">
        <f t="shared" si="13"/>
        <v>0</v>
      </c>
      <c r="F77" s="16">
        <v>0</v>
      </c>
      <c r="G77" s="30">
        <f t="shared" si="16"/>
        <v>0</v>
      </c>
      <c r="H77" s="30">
        <f t="shared" si="14"/>
        <v>0</v>
      </c>
      <c r="I77" s="14">
        <f t="shared" si="15"/>
        <v>0</v>
      </c>
      <c r="J77" s="30">
        <f t="shared" si="17"/>
        <v>0</v>
      </c>
      <c r="K77" s="30">
        <f t="shared" si="18"/>
        <v>0</v>
      </c>
      <c r="L77"/>
      <c r="M77" s="16">
        <v>0</v>
      </c>
      <c r="N77" s="16">
        <v>0</v>
      </c>
      <c r="O77" s="16">
        <v>0</v>
      </c>
      <c r="P77" s="16">
        <v>0</v>
      </c>
      <c r="Q77" s="16">
        <v>0</v>
      </c>
      <c r="R77" s="16">
        <v>0</v>
      </c>
      <c r="S77" s="16">
        <v>0</v>
      </c>
      <c r="T77" s="16">
        <v>0</v>
      </c>
      <c r="U77" s="16">
        <v>0</v>
      </c>
      <c r="V77" s="16">
        <v>0</v>
      </c>
      <c r="W77" s="16">
        <v>0</v>
      </c>
      <c r="X77" s="16">
        <v>0</v>
      </c>
      <c r="Y77" s="16">
        <v>0</v>
      </c>
      <c r="Z77" s="16">
        <v>0</v>
      </c>
      <c r="AA77" s="16">
        <v>0</v>
      </c>
      <c r="AB77" s="16">
        <v>0</v>
      </c>
      <c r="AC77" s="16">
        <v>0</v>
      </c>
      <c r="AD77" s="16">
        <v>0</v>
      </c>
      <c r="AE77" s="16">
        <v>0</v>
      </c>
      <c r="AF77" s="16">
        <v>0</v>
      </c>
      <c r="AG77" s="16">
        <v>0</v>
      </c>
      <c r="AH77" s="16">
        <v>0</v>
      </c>
      <c r="AI77" s="16">
        <v>0</v>
      </c>
      <c r="AJ77" s="16">
        <v>0</v>
      </c>
      <c r="AK77" s="16">
        <v>0</v>
      </c>
      <c r="AL77" s="16">
        <v>0</v>
      </c>
      <c r="AM77" s="16">
        <v>0</v>
      </c>
      <c r="AN77" s="16">
        <v>0</v>
      </c>
      <c r="AO77" s="16">
        <v>0</v>
      </c>
      <c r="AP77" s="16">
        <v>0</v>
      </c>
      <c r="AQ77" s="16">
        <v>0</v>
      </c>
      <c r="AR77" s="16">
        <v>0</v>
      </c>
      <c r="AS77" s="16">
        <v>0</v>
      </c>
      <c r="AT77" s="16">
        <v>0</v>
      </c>
      <c r="AU77" s="16">
        <v>0</v>
      </c>
      <c r="AV77" s="16">
        <v>0</v>
      </c>
      <c r="AW77" s="16">
        <v>0</v>
      </c>
      <c r="AX77" s="16">
        <v>0</v>
      </c>
      <c r="AY77" s="16">
        <v>0</v>
      </c>
      <c r="AZ77" s="16">
        <v>0</v>
      </c>
      <c r="BA77" s="16">
        <v>0</v>
      </c>
      <c r="BB77" s="16">
        <v>0</v>
      </c>
      <c r="BC77" s="16">
        <v>0</v>
      </c>
      <c r="BD77" s="16">
        <v>0</v>
      </c>
      <c r="BE77" s="16">
        <v>0</v>
      </c>
      <c r="BF77" s="16">
        <v>0</v>
      </c>
      <c r="BG77" s="16">
        <v>0</v>
      </c>
      <c r="BH77" s="16">
        <v>0</v>
      </c>
      <c r="BI77" s="16">
        <v>0</v>
      </c>
      <c r="BJ77" s="16">
        <v>0</v>
      </c>
      <c r="BK77" s="16">
        <v>0</v>
      </c>
      <c r="BL77" s="16">
        <v>0</v>
      </c>
      <c r="BM77" s="16">
        <v>0</v>
      </c>
      <c r="BN77" s="16">
        <v>0</v>
      </c>
      <c r="BO77" s="16">
        <v>0</v>
      </c>
      <c r="BP77" s="16">
        <v>0</v>
      </c>
      <c r="BQ77" s="16">
        <v>0</v>
      </c>
      <c r="BR77" s="16">
        <v>0</v>
      </c>
      <c r="BS77" s="16">
        <v>0</v>
      </c>
      <c r="BT77" s="16">
        <v>0</v>
      </c>
      <c r="BU77"/>
      <c r="BV77" s="5"/>
    </row>
    <row r="78" spans="1:74">
      <c r="A78"/>
      <c r="B78" s="9"/>
      <c r="C78" s="16">
        <v>0</v>
      </c>
      <c r="D78" s="16">
        <v>0</v>
      </c>
      <c r="E78" s="30">
        <f t="shared" si="13"/>
        <v>0</v>
      </c>
      <c r="F78" s="16">
        <v>0</v>
      </c>
      <c r="G78" s="30">
        <f t="shared" si="16"/>
        <v>0</v>
      </c>
      <c r="H78" s="30">
        <f t="shared" si="14"/>
        <v>0</v>
      </c>
      <c r="I78" s="14">
        <f t="shared" si="15"/>
        <v>0</v>
      </c>
      <c r="J78" s="30">
        <f t="shared" si="17"/>
        <v>0</v>
      </c>
      <c r="K78" s="30">
        <f t="shared" si="18"/>
        <v>0</v>
      </c>
      <c r="L78"/>
      <c r="M78" s="16">
        <v>0</v>
      </c>
      <c r="N78" s="16">
        <v>0</v>
      </c>
      <c r="O78" s="16">
        <v>0</v>
      </c>
      <c r="P78" s="16">
        <v>0</v>
      </c>
      <c r="Q78" s="16">
        <v>0</v>
      </c>
      <c r="R78" s="16">
        <v>0</v>
      </c>
      <c r="S78" s="16">
        <v>0</v>
      </c>
      <c r="T78" s="16">
        <v>0</v>
      </c>
      <c r="U78" s="16">
        <v>0</v>
      </c>
      <c r="V78" s="16">
        <v>0</v>
      </c>
      <c r="W78" s="16">
        <v>0</v>
      </c>
      <c r="X78" s="16">
        <v>0</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0</v>
      </c>
      <c r="AZ78" s="16">
        <v>0</v>
      </c>
      <c r="BA78" s="16">
        <v>0</v>
      </c>
      <c r="BB78" s="16">
        <v>0</v>
      </c>
      <c r="BC78" s="16">
        <v>0</v>
      </c>
      <c r="BD78" s="16">
        <v>0</v>
      </c>
      <c r="BE78" s="16">
        <v>0</v>
      </c>
      <c r="BF78" s="16">
        <v>0</v>
      </c>
      <c r="BG78" s="16">
        <v>0</v>
      </c>
      <c r="BH78" s="16">
        <v>0</v>
      </c>
      <c r="BI78" s="16">
        <v>0</v>
      </c>
      <c r="BJ78" s="16">
        <v>0</v>
      </c>
      <c r="BK78" s="16">
        <v>0</v>
      </c>
      <c r="BL78" s="16">
        <v>0</v>
      </c>
      <c r="BM78" s="16">
        <v>0</v>
      </c>
      <c r="BN78" s="16">
        <v>0</v>
      </c>
      <c r="BO78" s="16">
        <v>0</v>
      </c>
      <c r="BP78" s="16">
        <v>0</v>
      </c>
      <c r="BQ78" s="16">
        <v>0</v>
      </c>
      <c r="BR78" s="16">
        <v>0</v>
      </c>
      <c r="BS78" s="16">
        <v>0</v>
      </c>
      <c r="BT78" s="16">
        <v>0</v>
      </c>
      <c r="BU78"/>
      <c r="BV78" s="5"/>
    </row>
    <row r="79" spans="1:74">
      <c r="A79"/>
      <c r="B79" s="3" t="s">
        <v>99</v>
      </c>
      <c r="C79" s="13">
        <f>SUM(C20:C78)</f>
        <v>0</v>
      </c>
      <c r="D79" s="13">
        <f t="shared" ref="D79:K79" si="19">SUM(D20:D78)</f>
        <v>0</v>
      </c>
      <c r="E79" s="13">
        <f t="shared" si="19"/>
        <v>0</v>
      </c>
      <c r="F79" s="13">
        <f t="shared" si="19"/>
        <v>0</v>
      </c>
      <c r="G79" s="13">
        <f t="shared" si="19"/>
        <v>0</v>
      </c>
      <c r="H79" s="13">
        <f t="shared" si="19"/>
        <v>0</v>
      </c>
      <c r="I79" s="13">
        <f t="shared" si="19"/>
        <v>0</v>
      </c>
      <c r="J79" s="13">
        <f t="shared" si="19"/>
        <v>0</v>
      </c>
      <c r="K79" s="13">
        <f t="shared" si="19"/>
        <v>0</v>
      </c>
      <c r="L79"/>
      <c r="M79" s="13">
        <f>SUM(M20:M78)</f>
        <v>0</v>
      </c>
      <c r="N79" s="13">
        <f t="shared" ref="N79:BT79" si="20">SUM(N20:N78)</f>
        <v>0</v>
      </c>
      <c r="O79" s="13">
        <f t="shared" si="20"/>
        <v>0</v>
      </c>
      <c r="P79" s="13">
        <f t="shared" si="20"/>
        <v>0</v>
      </c>
      <c r="Q79" s="13">
        <f t="shared" si="20"/>
        <v>0</v>
      </c>
      <c r="R79" s="13">
        <f t="shared" si="20"/>
        <v>0</v>
      </c>
      <c r="S79" s="13">
        <f t="shared" si="20"/>
        <v>0</v>
      </c>
      <c r="T79" s="13">
        <f t="shared" si="20"/>
        <v>0</v>
      </c>
      <c r="U79" s="13">
        <f t="shared" si="20"/>
        <v>0</v>
      </c>
      <c r="V79" s="13">
        <f t="shared" si="20"/>
        <v>0</v>
      </c>
      <c r="W79" s="13">
        <f t="shared" si="20"/>
        <v>0</v>
      </c>
      <c r="X79" s="13">
        <f t="shared" si="20"/>
        <v>0</v>
      </c>
      <c r="Y79" s="13">
        <f t="shared" si="20"/>
        <v>0</v>
      </c>
      <c r="Z79" s="13">
        <f t="shared" si="20"/>
        <v>0</v>
      </c>
      <c r="AA79" s="13">
        <f t="shared" si="20"/>
        <v>0</v>
      </c>
      <c r="AB79" s="13">
        <f t="shared" si="20"/>
        <v>0</v>
      </c>
      <c r="AC79" s="13">
        <f t="shared" si="20"/>
        <v>0</v>
      </c>
      <c r="AD79" s="13">
        <f t="shared" si="20"/>
        <v>0</v>
      </c>
      <c r="AE79" s="13">
        <f t="shared" si="20"/>
        <v>0</v>
      </c>
      <c r="AF79" s="13">
        <f t="shared" si="20"/>
        <v>0</v>
      </c>
      <c r="AG79" s="13">
        <f t="shared" si="20"/>
        <v>0</v>
      </c>
      <c r="AH79" s="13">
        <f t="shared" si="20"/>
        <v>0</v>
      </c>
      <c r="AI79" s="13">
        <f t="shared" si="20"/>
        <v>0</v>
      </c>
      <c r="AJ79" s="13">
        <f t="shared" si="20"/>
        <v>0</v>
      </c>
      <c r="AK79" s="13">
        <f t="shared" si="20"/>
        <v>0</v>
      </c>
      <c r="AL79" s="13">
        <f t="shared" si="20"/>
        <v>0</v>
      </c>
      <c r="AM79" s="13">
        <f t="shared" si="20"/>
        <v>0</v>
      </c>
      <c r="AN79" s="13">
        <f t="shared" si="20"/>
        <v>0</v>
      </c>
      <c r="AO79" s="13">
        <f t="shared" si="20"/>
        <v>0</v>
      </c>
      <c r="AP79" s="13">
        <f t="shared" si="20"/>
        <v>0</v>
      </c>
      <c r="AQ79" s="13">
        <f t="shared" si="20"/>
        <v>0</v>
      </c>
      <c r="AR79" s="13">
        <f t="shared" si="20"/>
        <v>0</v>
      </c>
      <c r="AS79" s="13">
        <f t="shared" si="20"/>
        <v>0</v>
      </c>
      <c r="AT79" s="13">
        <f t="shared" si="20"/>
        <v>0</v>
      </c>
      <c r="AU79" s="13">
        <f t="shared" si="20"/>
        <v>0</v>
      </c>
      <c r="AV79" s="13">
        <f t="shared" si="20"/>
        <v>0</v>
      </c>
      <c r="AW79" s="13">
        <f t="shared" si="20"/>
        <v>0</v>
      </c>
      <c r="AX79" s="13">
        <f t="shared" si="20"/>
        <v>0</v>
      </c>
      <c r="AY79" s="13">
        <f t="shared" si="20"/>
        <v>0</v>
      </c>
      <c r="AZ79" s="13">
        <f t="shared" si="20"/>
        <v>0</v>
      </c>
      <c r="BA79" s="13">
        <f t="shared" si="20"/>
        <v>0</v>
      </c>
      <c r="BB79" s="13">
        <f t="shared" si="20"/>
        <v>0</v>
      </c>
      <c r="BC79" s="13">
        <f t="shared" si="20"/>
        <v>0</v>
      </c>
      <c r="BD79" s="13">
        <f t="shared" si="20"/>
        <v>0</v>
      </c>
      <c r="BE79" s="13">
        <f t="shared" si="20"/>
        <v>0</v>
      </c>
      <c r="BF79" s="13">
        <f t="shared" si="20"/>
        <v>0</v>
      </c>
      <c r="BG79" s="13">
        <f t="shared" si="20"/>
        <v>0</v>
      </c>
      <c r="BH79" s="13">
        <f t="shared" si="20"/>
        <v>0</v>
      </c>
      <c r="BI79" s="13">
        <f t="shared" si="20"/>
        <v>0</v>
      </c>
      <c r="BJ79" s="13">
        <f t="shared" si="20"/>
        <v>0</v>
      </c>
      <c r="BK79" s="13">
        <f t="shared" si="20"/>
        <v>0</v>
      </c>
      <c r="BL79" s="13">
        <f t="shared" si="20"/>
        <v>0</v>
      </c>
      <c r="BM79" s="13">
        <f t="shared" si="20"/>
        <v>0</v>
      </c>
      <c r="BN79" s="13">
        <f t="shared" si="20"/>
        <v>0</v>
      </c>
      <c r="BO79" s="13">
        <f t="shared" si="20"/>
        <v>0</v>
      </c>
      <c r="BP79" s="13">
        <f t="shared" si="20"/>
        <v>0</v>
      </c>
      <c r="BQ79" s="13">
        <f t="shared" si="20"/>
        <v>0</v>
      </c>
      <c r="BR79" s="13">
        <f t="shared" si="20"/>
        <v>0</v>
      </c>
      <c r="BS79" s="13">
        <f t="shared" si="20"/>
        <v>0</v>
      </c>
      <c r="BT79" s="13">
        <f t="shared" si="20"/>
        <v>0</v>
      </c>
      <c r="BU79"/>
      <c r="BV79" s="5"/>
    </row>
    <row r="80" spans="1:74">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s="5"/>
    </row>
    <row r="81" spans="1:74">
      <c r="A81"/>
      <c r="B81" t="s">
        <v>301</v>
      </c>
      <c r="C81" s="30">
        <f>+C17-C79</f>
        <v>0</v>
      </c>
      <c r="D81" s="30">
        <f t="shared" ref="D81:BO81" si="21">+D17-D79</f>
        <v>0</v>
      </c>
      <c r="E81" s="30">
        <f t="shared" si="21"/>
        <v>0</v>
      </c>
      <c r="F81" s="30">
        <f t="shared" si="21"/>
        <v>0</v>
      </c>
      <c r="G81" s="30">
        <f t="shared" si="21"/>
        <v>0</v>
      </c>
      <c r="H81" s="30">
        <f t="shared" si="21"/>
        <v>0</v>
      </c>
      <c r="I81" s="30">
        <f t="shared" si="21"/>
        <v>0</v>
      </c>
      <c r="J81" s="30">
        <f t="shared" si="21"/>
        <v>0</v>
      </c>
      <c r="K81" s="30">
        <f t="shared" si="21"/>
        <v>0</v>
      </c>
      <c r="L81"/>
      <c r="M81" s="30">
        <f t="shared" si="21"/>
        <v>0</v>
      </c>
      <c r="N81" s="30">
        <f t="shared" si="21"/>
        <v>0</v>
      </c>
      <c r="O81" s="30">
        <f t="shared" si="21"/>
        <v>0</v>
      </c>
      <c r="P81" s="30">
        <f t="shared" si="21"/>
        <v>0</v>
      </c>
      <c r="Q81" s="30">
        <f t="shared" si="21"/>
        <v>0</v>
      </c>
      <c r="R81" s="30">
        <f t="shared" si="21"/>
        <v>0</v>
      </c>
      <c r="S81" s="30">
        <f t="shared" si="21"/>
        <v>0</v>
      </c>
      <c r="T81" s="30">
        <f t="shared" si="21"/>
        <v>0</v>
      </c>
      <c r="U81" s="30">
        <f t="shared" si="21"/>
        <v>0</v>
      </c>
      <c r="V81" s="30">
        <f t="shared" si="21"/>
        <v>0</v>
      </c>
      <c r="W81" s="30">
        <f t="shared" si="21"/>
        <v>0</v>
      </c>
      <c r="X81" s="30">
        <f t="shared" si="21"/>
        <v>0</v>
      </c>
      <c r="Y81" s="30">
        <f t="shared" si="21"/>
        <v>0</v>
      </c>
      <c r="Z81" s="30">
        <f t="shared" si="21"/>
        <v>0</v>
      </c>
      <c r="AA81" s="30">
        <f t="shared" si="21"/>
        <v>0</v>
      </c>
      <c r="AB81" s="30">
        <f t="shared" si="21"/>
        <v>0</v>
      </c>
      <c r="AC81" s="30">
        <f t="shared" si="21"/>
        <v>0</v>
      </c>
      <c r="AD81" s="30">
        <f t="shared" si="21"/>
        <v>0</v>
      </c>
      <c r="AE81" s="30">
        <f t="shared" si="21"/>
        <v>0</v>
      </c>
      <c r="AF81" s="30">
        <f t="shared" si="21"/>
        <v>0</v>
      </c>
      <c r="AG81" s="30">
        <f t="shared" si="21"/>
        <v>0</v>
      </c>
      <c r="AH81" s="30">
        <f t="shared" si="21"/>
        <v>0</v>
      </c>
      <c r="AI81" s="30">
        <f t="shared" si="21"/>
        <v>0</v>
      </c>
      <c r="AJ81" s="30">
        <f t="shared" si="21"/>
        <v>0</v>
      </c>
      <c r="AK81" s="30">
        <f t="shared" si="21"/>
        <v>0</v>
      </c>
      <c r="AL81" s="30">
        <f t="shared" si="21"/>
        <v>0</v>
      </c>
      <c r="AM81" s="30">
        <f t="shared" si="21"/>
        <v>0</v>
      </c>
      <c r="AN81" s="30">
        <f t="shared" si="21"/>
        <v>0</v>
      </c>
      <c r="AO81" s="30">
        <f t="shared" si="21"/>
        <v>0</v>
      </c>
      <c r="AP81" s="30">
        <f t="shared" si="21"/>
        <v>0</v>
      </c>
      <c r="AQ81" s="30">
        <f t="shared" si="21"/>
        <v>0</v>
      </c>
      <c r="AR81" s="30">
        <f t="shared" si="21"/>
        <v>0</v>
      </c>
      <c r="AS81" s="30">
        <f t="shared" si="21"/>
        <v>0</v>
      </c>
      <c r="AT81" s="30">
        <f t="shared" si="21"/>
        <v>0</v>
      </c>
      <c r="AU81" s="30">
        <f t="shared" si="21"/>
        <v>0</v>
      </c>
      <c r="AV81" s="30">
        <f t="shared" si="21"/>
        <v>0</v>
      </c>
      <c r="AW81" s="30">
        <f t="shared" si="21"/>
        <v>0</v>
      </c>
      <c r="AX81" s="30">
        <f t="shared" si="21"/>
        <v>0</v>
      </c>
      <c r="AY81" s="30">
        <f t="shared" si="21"/>
        <v>0</v>
      </c>
      <c r="AZ81" s="30">
        <f t="shared" si="21"/>
        <v>0</v>
      </c>
      <c r="BA81" s="30">
        <f t="shared" si="21"/>
        <v>0</v>
      </c>
      <c r="BB81" s="30">
        <f t="shared" si="21"/>
        <v>0</v>
      </c>
      <c r="BC81" s="30">
        <f t="shared" si="21"/>
        <v>0</v>
      </c>
      <c r="BD81" s="30">
        <f t="shared" si="21"/>
        <v>0</v>
      </c>
      <c r="BE81" s="30">
        <f t="shared" si="21"/>
        <v>0</v>
      </c>
      <c r="BF81" s="30">
        <f t="shared" si="21"/>
        <v>0</v>
      </c>
      <c r="BG81" s="30">
        <f t="shared" si="21"/>
        <v>0</v>
      </c>
      <c r="BH81" s="30">
        <f t="shared" si="21"/>
        <v>0</v>
      </c>
      <c r="BI81" s="30">
        <f t="shared" si="21"/>
        <v>0</v>
      </c>
      <c r="BJ81" s="30">
        <f t="shared" si="21"/>
        <v>0</v>
      </c>
      <c r="BK81" s="30">
        <f t="shared" si="21"/>
        <v>0</v>
      </c>
      <c r="BL81" s="30">
        <f t="shared" si="21"/>
        <v>0</v>
      </c>
      <c r="BM81" s="30">
        <f t="shared" si="21"/>
        <v>0</v>
      </c>
      <c r="BN81" s="30">
        <f t="shared" si="21"/>
        <v>0</v>
      </c>
      <c r="BO81" s="30">
        <f t="shared" si="21"/>
        <v>0</v>
      </c>
      <c r="BP81" s="30">
        <f t="shared" ref="BP81:BT81" si="22">+BP17-BP79</f>
        <v>0</v>
      </c>
      <c r="BQ81" s="30">
        <f t="shared" si="22"/>
        <v>0</v>
      </c>
      <c r="BR81" s="30">
        <f t="shared" si="22"/>
        <v>0</v>
      </c>
      <c r="BS81" s="30">
        <f t="shared" si="22"/>
        <v>0</v>
      </c>
      <c r="BT81" s="30">
        <f t="shared" si="22"/>
        <v>0</v>
      </c>
      <c r="BU81"/>
      <c r="BV81" s="5"/>
    </row>
    <row r="82" spans="1:7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s="5"/>
    </row>
    <row r="83" spans="1:7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row>
  </sheetData>
  <conditionalFormatting sqref="C81:K81">
    <cfRule type="cellIs" dxfId="9" priority="4" operator="between">
      <formula>0.5</formula>
      <formula>-0.5</formula>
    </cfRule>
    <cfRule type="cellIs" dxfId="8" priority="5" operator="lessThan">
      <formula>-0.5</formula>
    </cfRule>
    <cfRule type="cellIs" dxfId="7" priority="6" operator="greaterThan">
      <formula>0.5</formula>
    </cfRule>
  </conditionalFormatting>
  <conditionalFormatting sqref="M81:BT81">
    <cfRule type="cellIs" dxfId="6" priority="1" operator="between">
      <formula>0.5</formula>
      <formula>-0.5</formula>
    </cfRule>
    <cfRule type="cellIs" dxfId="5" priority="2" operator="lessThan">
      <formula>-0.5</formula>
    </cfRule>
    <cfRule type="cellIs" dxfId="4" priority="3" operator="greaterThan">
      <formula>0.5</formula>
    </cfRule>
  </conditionalFormatting>
  <dataValidations count="1">
    <dataValidation type="list" allowBlank="1" showInputMessage="1" showErrorMessage="1" sqref="M8:BT8" xr:uid="{B13745CB-6A22-4DD0-83E6-F408CD64C6D4}">
      <formula1>"Actual,Projected"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CC52-C69D-48B7-AD7C-247C51F93A44}">
  <sheetPr>
    <tabColor theme="3" tint="0.89999084444715716"/>
  </sheetPr>
  <dimension ref="A1:BL284"/>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607 Cedar St</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302</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90" t="s">
        <v>303</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c r="A7"/>
      <c r="B7" s="91" t="s">
        <v>304</v>
      </c>
      <c r="C7" s="102" t="str">
        <f>IF(ISBLANK(C6),"",0)</f>
        <v/>
      </c>
      <c r="D7" s="102" t="str">
        <f>IF(ISBLANK(D6),"",D6-C6)</f>
        <v/>
      </c>
      <c r="E7" s="102" t="str">
        <f t="shared" ref="E7:F7" si="0">IF(ISBLANK(E6),"",E6-D6)</f>
        <v/>
      </c>
      <c r="F7" s="102" t="str">
        <f t="shared" si="0"/>
        <v/>
      </c>
      <c r="G7" s="102" t="str">
        <f t="shared" ref="G7" si="1">IF(ISBLANK(G6),"",G6-F6)</f>
        <v/>
      </c>
      <c r="H7" s="102" t="str">
        <f t="shared" ref="H7" si="2">IF(ISBLANK(H6),"",H6-G6)</f>
        <v/>
      </c>
      <c r="I7" s="102" t="str">
        <f t="shared" ref="I7" si="3">IF(ISBLANK(I6),"",I6-H6)</f>
        <v/>
      </c>
      <c r="J7" s="102" t="str">
        <f t="shared" ref="J7" si="4">IF(ISBLANK(J6),"",J6-I6)</f>
        <v/>
      </c>
      <c r="K7" s="102" t="str">
        <f t="shared" ref="K7" si="5">IF(ISBLANK(K6),"",K6-J6)</f>
        <v/>
      </c>
      <c r="L7" s="102" t="str">
        <f t="shared" ref="L7" si="6">IF(ISBLANK(L6),"",L6-K6)</f>
        <v/>
      </c>
      <c r="M7" s="102" t="str">
        <f t="shared" ref="M7" si="7">IF(ISBLANK(M6),"",M6-L6)</f>
        <v/>
      </c>
      <c r="N7" s="102" t="str">
        <f t="shared" ref="N7" si="8">IF(ISBLANK(N6),"",N6-M6)</f>
        <v/>
      </c>
      <c r="O7" s="102" t="str">
        <f t="shared" ref="O7" si="9">IF(ISBLANK(O6),"",O6-N6)</f>
        <v/>
      </c>
      <c r="P7" s="102" t="str">
        <f t="shared" ref="P7" si="10">IF(ISBLANK(P6),"",P6-O6)</f>
        <v/>
      </c>
      <c r="Q7" s="102" t="str">
        <f t="shared" ref="Q7" si="11">IF(ISBLANK(Q6),"",Q6-P6)</f>
        <v/>
      </c>
      <c r="R7" s="102" t="str">
        <f t="shared" ref="R7" si="12">IF(ISBLANK(R6),"",R6-Q6)</f>
        <v/>
      </c>
      <c r="S7" s="102" t="str">
        <f t="shared" ref="S7" si="13">IF(ISBLANK(S6),"",S6-R6)</f>
        <v/>
      </c>
      <c r="T7" s="102" t="str">
        <f t="shared" ref="T7" si="14">IF(ISBLANK(T6),"",T6-S6)</f>
        <v/>
      </c>
      <c r="U7" s="102" t="str">
        <f t="shared" ref="U7" si="15">IF(ISBLANK(U6),"",U6-T6)</f>
        <v/>
      </c>
      <c r="V7" s="102" t="str">
        <f t="shared" ref="V7" si="16">IF(ISBLANK(V6),"",V6-U6)</f>
        <v/>
      </c>
      <c r="W7" s="102" t="str">
        <f t="shared" ref="W7" si="17">IF(ISBLANK(W6),"",W6-V6)</f>
        <v/>
      </c>
      <c r="X7" s="102" t="str">
        <f t="shared" ref="X7" si="18">IF(ISBLANK(X6),"",X6-W6)</f>
        <v/>
      </c>
      <c r="Y7" s="102" t="str">
        <f t="shared" ref="Y7" si="19">IF(ISBLANK(Y6),"",Y6-X6)</f>
        <v/>
      </c>
      <c r="Z7" s="102" t="str">
        <f t="shared" ref="Z7" si="20">IF(ISBLANK(Z6),"",Z6-Y6)</f>
        <v/>
      </c>
      <c r="AA7" s="102" t="str">
        <f t="shared" ref="AA7" si="21">IF(ISBLANK(AA6),"",AA6-Z6)</f>
        <v/>
      </c>
      <c r="AB7" s="102" t="str">
        <f t="shared" ref="AB7" si="22">IF(ISBLANK(AB6),"",AB6-AA6)</f>
        <v/>
      </c>
      <c r="AC7" s="102" t="str">
        <f t="shared" ref="AC7" si="23">IF(ISBLANK(AC6),"",AC6-AB6)</f>
        <v/>
      </c>
      <c r="AD7" s="102" t="str">
        <f t="shared" ref="AD7" si="24">IF(ISBLANK(AD6),"",AD6-AC6)</f>
        <v/>
      </c>
      <c r="AE7" s="102" t="str">
        <f t="shared" ref="AE7" si="25">IF(ISBLANK(AE6),"",AE6-AD6)</f>
        <v/>
      </c>
      <c r="AF7" s="102" t="str">
        <f t="shared" ref="AF7" si="26">IF(ISBLANK(AF6),"",AF6-AE6)</f>
        <v/>
      </c>
      <c r="AG7" s="102" t="str">
        <f t="shared" ref="AG7" si="27">IF(ISBLANK(AG6),"",AG6-AF6)</f>
        <v/>
      </c>
      <c r="AH7" s="102" t="str">
        <f t="shared" ref="AH7" si="28">IF(ISBLANK(AH6),"",AH6-AG6)</f>
        <v/>
      </c>
      <c r="AI7" s="102" t="str">
        <f t="shared" ref="AI7" si="29">IF(ISBLANK(AI6),"",AI6-AH6)</f>
        <v/>
      </c>
      <c r="AJ7" s="102" t="str">
        <f t="shared" ref="AJ7" si="30">IF(ISBLANK(AJ6),"",AJ6-AI6)</f>
        <v/>
      </c>
      <c r="AK7" s="102" t="str">
        <f t="shared" ref="AK7" si="31">IF(ISBLANK(AK6),"",AK6-AJ6)</f>
        <v/>
      </c>
      <c r="AL7" s="102" t="str">
        <f t="shared" ref="AL7" si="32">IF(ISBLANK(AL6),"",AL6-AK6)</f>
        <v/>
      </c>
      <c r="AM7" s="102" t="str">
        <f t="shared" ref="AM7" si="33">IF(ISBLANK(AM6),"",AM6-AL6)</f>
        <v/>
      </c>
      <c r="AN7" s="102" t="str">
        <f t="shared" ref="AN7" si="34">IF(ISBLANK(AN6),"",AN6-AM6)</f>
        <v/>
      </c>
      <c r="AO7" s="102" t="str">
        <f t="shared" ref="AO7" si="35">IF(ISBLANK(AO6),"",AO6-AN6)</f>
        <v/>
      </c>
      <c r="AP7" s="102" t="str">
        <f t="shared" ref="AP7" si="36">IF(ISBLANK(AP6),"",AP6-AO6)</f>
        <v/>
      </c>
      <c r="AQ7" s="102" t="str">
        <f t="shared" ref="AQ7" si="37">IF(ISBLANK(AQ6),"",AQ6-AP6)</f>
        <v/>
      </c>
      <c r="AR7" s="102" t="str">
        <f t="shared" ref="AR7" si="38">IF(ISBLANK(AR6),"",AR6-AQ6)</f>
        <v/>
      </c>
      <c r="AS7" s="102" t="str">
        <f t="shared" ref="AS7" si="39">IF(ISBLANK(AS6),"",AS6-AR6)</f>
        <v/>
      </c>
      <c r="AT7" s="102" t="str">
        <f t="shared" ref="AT7" si="40">IF(ISBLANK(AT6),"",AT6-AS6)</f>
        <v/>
      </c>
      <c r="AU7" s="102" t="str">
        <f t="shared" ref="AU7" si="41">IF(ISBLANK(AU6),"",AU6-AT6)</f>
        <v/>
      </c>
      <c r="AV7" s="102" t="str">
        <f t="shared" ref="AV7" si="42">IF(ISBLANK(AV6),"",AV6-AU6)</f>
        <v/>
      </c>
      <c r="AW7" s="102" t="str">
        <f t="shared" ref="AW7" si="43">IF(ISBLANK(AW6),"",AW6-AV6)</f>
        <v/>
      </c>
      <c r="AX7" s="102" t="str">
        <f t="shared" ref="AX7" si="44">IF(ISBLANK(AX6),"",AX6-AW6)</f>
        <v/>
      </c>
      <c r="AY7" s="102" t="str">
        <f t="shared" ref="AY7" si="45">IF(ISBLANK(AY6),"",AY6-AX6)</f>
        <v/>
      </c>
      <c r="AZ7" s="102" t="str">
        <f t="shared" ref="AZ7" si="46">IF(ISBLANK(AZ6),"",AZ6-AY6)</f>
        <v/>
      </c>
      <c r="BA7" s="102" t="str">
        <f t="shared" ref="BA7" si="47">IF(ISBLANK(BA6),"",BA6-AZ6)</f>
        <v/>
      </c>
      <c r="BB7" s="102" t="str">
        <f t="shared" ref="BB7" si="48">IF(ISBLANK(BB6),"",BB6-BA6)</f>
        <v/>
      </c>
      <c r="BC7" s="102" t="str">
        <f t="shared" ref="BC7" si="49">IF(ISBLANK(BC6),"",BC6-BB6)</f>
        <v/>
      </c>
      <c r="BD7" s="102" t="str">
        <f t="shared" ref="BD7" si="50">IF(ISBLANK(BD6),"",BD6-BC6)</f>
        <v/>
      </c>
      <c r="BE7" s="102" t="str">
        <f t="shared" ref="BE7" si="51">IF(ISBLANK(BE6),"",BE6-BD6)</f>
        <v/>
      </c>
      <c r="BF7" s="102" t="str">
        <f t="shared" ref="BF7" si="52">IF(ISBLANK(BF6),"",BF6-BE6)</f>
        <v/>
      </c>
      <c r="BG7" s="102" t="str">
        <f t="shared" ref="BG7" si="53">IF(ISBLANK(BG6),"",BG6-BF6)</f>
        <v/>
      </c>
      <c r="BH7" s="102" t="str">
        <f t="shared" ref="BH7" si="54">IF(ISBLANK(BH6),"",BH6-BG6)</f>
        <v/>
      </c>
      <c r="BI7" s="102" t="str">
        <f t="shared" ref="BI7" si="55">IF(ISBLANK(BI6),"",BI6-BH6)</f>
        <v/>
      </c>
      <c r="BJ7" s="103" t="str">
        <f t="shared" ref="BJ7" si="56">IF(ISBLANK(BJ6),"",BJ6-BI6)</f>
        <v/>
      </c>
      <c r="BK7"/>
      <c r="BL7" s="5"/>
    </row>
    <row r="8" spans="1:64">
      <c r="A8"/>
      <c r="B8" s="91" t="s">
        <v>305</v>
      </c>
      <c r="C8" s="101" t="str">
        <f t="shared" ref="C8:AH8" si="57">IFERROR(C7/365,"")</f>
        <v/>
      </c>
      <c r="D8" s="101" t="str">
        <f t="shared" si="57"/>
        <v/>
      </c>
      <c r="E8" s="101" t="str">
        <f t="shared" si="57"/>
        <v/>
      </c>
      <c r="F8" s="101" t="str">
        <f t="shared" si="57"/>
        <v/>
      </c>
      <c r="G8" s="101" t="str">
        <f t="shared" si="57"/>
        <v/>
      </c>
      <c r="H8" s="101" t="str">
        <f t="shared" si="57"/>
        <v/>
      </c>
      <c r="I8" s="101" t="str">
        <f t="shared" si="57"/>
        <v/>
      </c>
      <c r="J8" s="101" t="str">
        <f t="shared" si="57"/>
        <v/>
      </c>
      <c r="K8" s="101" t="str">
        <f t="shared" si="57"/>
        <v/>
      </c>
      <c r="L8" s="101" t="str">
        <f t="shared" si="57"/>
        <v/>
      </c>
      <c r="M8" s="101" t="str">
        <f t="shared" si="57"/>
        <v/>
      </c>
      <c r="N8" s="101" t="str">
        <f t="shared" si="57"/>
        <v/>
      </c>
      <c r="O8" s="101" t="str">
        <f t="shared" si="57"/>
        <v/>
      </c>
      <c r="P8" s="101" t="str">
        <f t="shared" si="57"/>
        <v/>
      </c>
      <c r="Q8" s="101" t="str">
        <f t="shared" si="57"/>
        <v/>
      </c>
      <c r="R8" s="101" t="str">
        <f t="shared" si="57"/>
        <v/>
      </c>
      <c r="S8" s="101" t="str">
        <f t="shared" si="57"/>
        <v/>
      </c>
      <c r="T8" s="101" t="str">
        <f t="shared" si="57"/>
        <v/>
      </c>
      <c r="U8" s="101" t="str">
        <f t="shared" si="57"/>
        <v/>
      </c>
      <c r="V8" s="101" t="str">
        <f t="shared" si="57"/>
        <v/>
      </c>
      <c r="W8" s="101" t="str">
        <f t="shared" si="57"/>
        <v/>
      </c>
      <c r="X8" s="101" t="str">
        <f t="shared" si="57"/>
        <v/>
      </c>
      <c r="Y8" s="101" t="str">
        <f t="shared" si="57"/>
        <v/>
      </c>
      <c r="Z8" s="101" t="str">
        <f t="shared" si="57"/>
        <v/>
      </c>
      <c r="AA8" s="101" t="str">
        <f t="shared" si="57"/>
        <v/>
      </c>
      <c r="AB8" s="101" t="str">
        <f t="shared" si="57"/>
        <v/>
      </c>
      <c r="AC8" s="101" t="str">
        <f t="shared" si="57"/>
        <v/>
      </c>
      <c r="AD8" s="101" t="str">
        <f t="shared" si="57"/>
        <v/>
      </c>
      <c r="AE8" s="101" t="str">
        <f t="shared" si="57"/>
        <v/>
      </c>
      <c r="AF8" s="101" t="str">
        <f t="shared" si="57"/>
        <v/>
      </c>
      <c r="AG8" s="101" t="str">
        <f t="shared" si="57"/>
        <v/>
      </c>
      <c r="AH8" s="101" t="str">
        <f t="shared" si="57"/>
        <v/>
      </c>
      <c r="AI8" s="101" t="str">
        <f t="shared" ref="AI8:BJ8" si="58">IFERROR(AI7/365,"")</f>
        <v/>
      </c>
      <c r="AJ8" s="101" t="str">
        <f t="shared" si="58"/>
        <v/>
      </c>
      <c r="AK8" s="101" t="str">
        <f t="shared" si="58"/>
        <v/>
      </c>
      <c r="AL8" s="101" t="str">
        <f t="shared" si="58"/>
        <v/>
      </c>
      <c r="AM8" s="101" t="str">
        <f t="shared" si="58"/>
        <v/>
      </c>
      <c r="AN8" s="101" t="str">
        <f t="shared" si="58"/>
        <v/>
      </c>
      <c r="AO8" s="101" t="str">
        <f t="shared" si="58"/>
        <v/>
      </c>
      <c r="AP8" s="101" t="str">
        <f t="shared" si="58"/>
        <v/>
      </c>
      <c r="AQ8" s="101" t="str">
        <f t="shared" si="58"/>
        <v/>
      </c>
      <c r="AR8" s="101" t="str">
        <f t="shared" si="58"/>
        <v/>
      </c>
      <c r="AS8" s="101" t="str">
        <f t="shared" si="58"/>
        <v/>
      </c>
      <c r="AT8" s="101" t="str">
        <f t="shared" si="58"/>
        <v/>
      </c>
      <c r="AU8" s="101" t="str">
        <f t="shared" si="58"/>
        <v/>
      </c>
      <c r="AV8" s="101" t="str">
        <f t="shared" si="58"/>
        <v/>
      </c>
      <c r="AW8" s="101" t="str">
        <f t="shared" si="58"/>
        <v/>
      </c>
      <c r="AX8" s="101" t="str">
        <f t="shared" si="58"/>
        <v/>
      </c>
      <c r="AY8" s="101" t="str">
        <f t="shared" si="58"/>
        <v/>
      </c>
      <c r="AZ8" s="101" t="str">
        <f t="shared" si="58"/>
        <v/>
      </c>
      <c r="BA8" s="101" t="str">
        <f t="shared" si="58"/>
        <v/>
      </c>
      <c r="BB8" s="101" t="str">
        <f t="shared" si="58"/>
        <v/>
      </c>
      <c r="BC8" s="101" t="str">
        <f t="shared" si="58"/>
        <v/>
      </c>
      <c r="BD8" s="101" t="str">
        <f t="shared" si="58"/>
        <v/>
      </c>
      <c r="BE8" s="101" t="str">
        <f t="shared" si="58"/>
        <v/>
      </c>
      <c r="BF8" s="101" t="str">
        <f t="shared" si="58"/>
        <v/>
      </c>
      <c r="BG8" s="101" t="str">
        <f t="shared" si="58"/>
        <v/>
      </c>
      <c r="BH8" s="101" t="str">
        <f t="shared" si="58"/>
        <v/>
      </c>
      <c r="BI8" s="101" t="str">
        <f t="shared" si="58"/>
        <v/>
      </c>
      <c r="BJ8" s="104" t="str">
        <f t="shared" si="58"/>
        <v/>
      </c>
      <c r="BK8"/>
      <c r="BL8" s="5"/>
    </row>
    <row r="9" spans="1:64">
      <c r="A9"/>
      <c r="B9" s="92" t="s">
        <v>290</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81" t="s">
        <v>306</v>
      </c>
      <c r="C11" s="96" t="s">
        <v>307</v>
      </c>
      <c r="D11" s="96" t="s">
        <v>308</v>
      </c>
      <c r="E11" s="96" t="s">
        <v>80</v>
      </c>
      <c r="F11" s="96" t="s">
        <v>309</v>
      </c>
      <c r="G11" s="96" t="s">
        <v>310</v>
      </c>
      <c r="H11" s="97" t="s">
        <v>311</v>
      </c>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312</v>
      </c>
      <c r="C12" s="49">
        <f>IFERROR(XIRR(C66:BJ66,C6:BJ6,0),0)</f>
        <v>0</v>
      </c>
      <c r="D12" s="49">
        <f>IFERROR(XIRR(C112:BJ112,C6:BJ6,0),0)</f>
        <v>0</v>
      </c>
      <c r="E12" s="49">
        <f>IFERROR(XIRR(C122:BJ122,C6:BJ6,0),0)</f>
        <v>0</v>
      </c>
      <c r="F12" s="49">
        <f>IFERROR(XIRR(C256:BJ256,C6:BJ6,0),0)</f>
        <v>0</v>
      </c>
      <c r="G12" s="49">
        <f>IFERROR(XIRR(C247:BJ247,C6:BJ6,0),0)</f>
        <v>0</v>
      </c>
      <c r="H12" s="49" t="s">
        <v>313</v>
      </c>
      <c r="I12"/>
      <c r="J12" s="113" t="s">
        <v>314</v>
      </c>
      <c r="K12" s="23" t="e">
        <f>IF(ABS(SUM(C282:BJ282))&lt;0.5,"Yes","No")</f>
        <v>#REF!</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315</v>
      </c>
      <c r="C13" s="98">
        <f>IFERROR(C15/C14,0)</f>
        <v>0</v>
      </c>
      <c r="D13" s="98">
        <f t="shared" ref="D13:G13" si="59">IFERROR(D15/D14,0)</f>
        <v>0</v>
      </c>
      <c r="E13" s="98">
        <f t="shared" si="59"/>
        <v>0</v>
      </c>
      <c r="F13" s="98">
        <f t="shared" si="59"/>
        <v>0</v>
      </c>
      <c r="G13" s="98">
        <f t="shared" si="59"/>
        <v>0</v>
      </c>
      <c r="H13" s="98" t="s">
        <v>313</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316</v>
      </c>
      <c r="C14" s="36" t="e">
        <f>-SUM(C58:BJ58)</f>
        <v>#REF!</v>
      </c>
      <c r="D14" s="36" t="e">
        <f>-SUM(C108:BJ108)</f>
        <v>#REF!</v>
      </c>
      <c r="E14" s="36">
        <f>-SUM(C118:BJ118)</f>
        <v>0</v>
      </c>
      <c r="F14" s="36">
        <f>-SUM(C250:BJ250)</f>
        <v>0</v>
      </c>
      <c r="G14" s="36">
        <f>-SUM(C241:BJ241)</f>
        <v>0</v>
      </c>
      <c r="H14" s="36" t="s">
        <v>313</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317</v>
      </c>
      <c r="C15" s="36">
        <f>+SUM(C64:BJ64)</f>
        <v>0</v>
      </c>
      <c r="D15" s="36" t="e">
        <f>SUM(C109:BJ111)</f>
        <v>#REF!</v>
      </c>
      <c r="E15" s="36" t="e">
        <f>SUM(C120:BJ120)</f>
        <v>#REF!</v>
      </c>
      <c r="F15" s="36" t="e">
        <f>SUM(C251:BJ255)</f>
        <v>#REF!</v>
      </c>
      <c r="G15" s="36" t="e">
        <f>SUM(C242:BJ246)</f>
        <v>#REF!</v>
      </c>
      <c r="H15" s="36" t="e">
        <f>SUM(C271:BJ271)</f>
        <v>#REF!</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318</v>
      </c>
      <c r="C16" s="36" t="e">
        <f>+C15-C14</f>
        <v>#REF!</v>
      </c>
      <c r="D16" s="36" t="e">
        <f t="shared" ref="D16:G16" si="60">+D15-D14</f>
        <v>#REF!</v>
      </c>
      <c r="E16" s="36" t="e">
        <f t="shared" si="60"/>
        <v>#REF!</v>
      </c>
      <c r="F16" s="36" t="e">
        <f t="shared" si="60"/>
        <v>#REF!</v>
      </c>
      <c r="G16" s="36" t="e">
        <f t="shared" si="60"/>
        <v>#REF!</v>
      </c>
      <c r="H16" s="36" t="s">
        <v>313</v>
      </c>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5" t="s">
        <v>319</v>
      </c>
      <c r="C18" s="74" t="s">
        <v>320</v>
      </c>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321</v>
      </c>
      <c r="C19" s="44">
        <v>0.14000000000000001</v>
      </c>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322</v>
      </c>
      <c r="C20" s="23" t="s">
        <v>323</v>
      </c>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t="s">
        <v>324</v>
      </c>
      <c r="C21" s="50">
        <v>1</v>
      </c>
      <c r="D21" s="24" t="s">
        <v>325</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5" t="s">
        <v>326</v>
      </c>
      <c r="C23" s="74" t="e">
        <f>+TEXT(#REF!,"")</f>
        <v>#REF!</v>
      </c>
      <c r="D23" s="74" t="e">
        <f>+TEXT(#REF!,"")</f>
        <v>#REF!</v>
      </c>
      <c r="E23" s="74" t="e">
        <f>+TEXT(#REF!,"")</f>
        <v>#REF!</v>
      </c>
      <c r="F23" s="74" t="e">
        <f>+TEXT(#REF!,"")</f>
        <v>#REF!</v>
      </c>
      <c r="G23" s="74" t="e">
        <f>+TEXT(#REF!,"")</f>
        <v>#REF!</v>
      </c>
      <c r="H23" s="74"/>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c r="D24" s="88" t="e">
        <f>+#REF!</f>
        <v>#REF!</v>
      </c>
      <c r="E24" s="88" t="e">
        <f>+#REF!</f>
        <v>#REF!</v>
      </c>
      <c r="F24" s="88" t="e">
        <f>+#REF!</f>
        <v>#REF!</v>
      </c>
      <c r="G24" s="43" t="e">
        <f>1-F24</f>
        <v>#REF!</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c r="D25" s="88" t="e">
        <f>+#REF!</f>
        <v>#REF!</v>
      </c>
      <c r="E25" s="88" t="e">
        <f>+#REF!</f>
        <v>#REF!</v>
      </c>
      <c r="F25" s="88" t="e">
        <f>+#REF!</f>
        <v>#REF!</v>
      </c>
      <c r="G25" s="43" t="e">
        <f t="shared" ref="G25:G28" si="61">1-F25</f>
        <v>#REF!</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24" t="s">
        <v>327</v>
      </c>
      <c r="D26" s="88" t="e">
        <f>+#REF!</f>
        <v>#REF!</v>
      </c>
      <c r="E26" s="88" t="e">
        <f>+#REF!</f>
        <v>#REF!</v>
      </c>
      <c r="F26" s="88" t="e">
        <f>+#REF!</f>
        <v>#REF!</v>
      </c>
      <c r="G26" s="43" t="e">
        <f t="shared" si="61"/>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t="e">
        <f>TEXT(#REF!,"")</f>
        <v>#REF!</v>
      </c>
      <c r="C27" s="24" t="s">
        <v>327</v>
      </c>
      <c r="D27" s="88" t="e">
        <f>+#REF!</f>
        <v>#REF!</v>
      </c>
      <c r="E27" s="88" t="e">
        <f>+#REF!</f>
        <v>#REF!</v>
      </c>
      <c r="F27" s="88" t="e">
        <f>+#REF!</f>
        <v>#REF!</v>
      </c>
      <c r="G27" s="43" t="e">
        <f t="shared" si="61"/>
        <v>#REF!</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t="e">
        <f>TEXT(#REF!,"")</f>
        <v>#REF!</v>
      </c>
      <c r="C28"/>
      <c r="D28" s="88" t="e">
        <f>+#REF!</f>
        <v>#REF!</v>
      </c>
      <c r="E28" s="88" t="e">
        <f>+#REF!</f>
        <v>#REF!</v>
      </c>
      <c r="F28" s="88" t="e">
        <f>+#REF!</f>
        <v>#REF!</v>
      </c>
      <c r="G28" s="43" t="e">
        <f t="shared" si="61"/>
        <v>#REF!</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s="55" t="s">
        <v>328</v>
      </c>
      <c r="C30" s="74" t="s">
        <v>72</v>
      </c>
      <c r="D30" s="74" t="s">
        <v>39</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s="5"/>
    </row>
    <row r="31" spans="1:64">
      <c r="A31"/>
      <c r="B31" t="s">
        <v>310</v>
      </c>
      <c r="C31" s="34">
        <v>0</v>
      </c>
      <c r="D31" s="33">
        <f>IFERROR(C31/$C$33,0)</f>
        <v>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s="5"/>
    </row>
    <row r="32" spans="1:64">
      <c r="A32"/>
      <c r="B32" t="s">
        <v>309</v>
      </c>
      <c r="C32" s="34">
        <v>0</v>
      </c>
      <c r="D32" s="33">
        <f>IFERROR(C32/$C$33,0)</f>
        <v>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s="5"/>
    </row>
    <row r="33" spans="1:64">
      <c r="A33"/>
      <c r="B33" s="3" t="s">
        <v>64</v>
      </c>
      <c r="C33" s="35">
        <f>SUM(C31:C32)</f>
        <v>0</v>
      </c>
      <c r="D33" s="99">
        <f>SUM(D31:D32)</f>
        <v>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s="55" t="s">
        <v>329</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s="5"/>
    </row>
    <row r="36" spans="1:64">
      <c r="A36"/>
      <c r="B36" t="s">
        <v>330</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s="5"/>
    </row>
    <row r="37" spans="1:64">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s="5"/>
    </row>
    <row r="38" spans="1:64">
      <c r="A38"/>
      <c r="B38" s="41" t="s">
        <v>331</v>
      </c>
      <c r="C38" s="74" t="s">
        <v>72</v>
      </c>
      <c r="D38" s="74" t="s">
        <v>73</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332</v>
      </c>
      <c r="C39" s="16">
        <f>286*400000</f>
        <v>114400000</v>
      </c>
      <c r="D39" s="14">
        <f>IFERROR(C39/$C$51,0)</f>
        <v>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s="5"/>
    </row>
    <row r="40" spans="1:64">
      <c r="A40"/>
      <c r="B40" t="s">
        <v>333</v>
      </c>
      <c r="C40" s="14">
        <f>-E40*C39</f>
        <v>-572000</v>
      </c>
      <c r="D40" s="14">
        <f t="shared" ref="D40:D48" si="62">IFERROR(C40/$C$51,0)</f>
        <v>0</v>
      </c>
      <c r="E40" s="48">
        <v>5.0000000000000001E-3</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t="s">
        <v>124</v>
      </c>
      <c r="C41" s="16">
        <v>-100000</v>
      </c>
      <c r="D41" s="14">
        <f t="shared" si="62"/>
        <v>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t="s">
        <v>334</v>
      </c>
      <c r="C42" s="14">
        <f>-E42*C39</f>
        <v>-228800</v>
      </c>
      <c r="D42" s="14">
        <f t="shared" si="62"/>
        <v>0</v>
      </c>
      <c r="E42" s="48">
        <v>2E-3</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335</v>
      </c>
      <c r="C43" s="16">
        <v>-50000</v>
      </c>
      <c r="D43" s="14">
        <f t="shared" si="62"/>
        <v>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s="5"/>
    </row>
    <row r="44" spans="1:64">
      <c r="A44"/>
      <c r="B44" t="s">
        <v>275</v>
      </c>
      <c r="C44" s="16">
        <v>-25000</v>
      </c>
      <c r="D44" s="14">
        <f t="shared" si="62"/>
        <v>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336</v>
      </c>
      <c r="C45" s="16">
        <v>-25000</v>
      </c>
      <c r="D45" s="14">
        <f t="shared" si="62"/>
        <v>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s="5"/>
    </row>
    <row r="46" spans="1:64">
      <c r="A46"/>
      <c r="B46" t="s">
        <v>337</v>
      </c>
      <c r="C46" s="16">
        <v>0</v>
      </c>
      <c r="D46" s="14">
        <f t="shared" si="62"/>
        <v>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s="5"/>
    </row>
    <row r="47" spans="1:64">
      <c r="A47"/>
      <c r="B47" t="s">
        <v>338</v>
      </c>
      <c r="C47" s="16">
        <v>-250000</v>
      </c>
      <c r="D47" s="14">
        <f t="shared" si="62"/>
        <v>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s="5"/>
    </row>
    <row r="48" spans="1:64">
      <c r="A48"/>
      <c r="B48" t="s">
        <v>339</v>
      </c>
      <c r="C48" s="16" t="e">
        <f>-#REF!</f>
        <v>#REF!</v>
      </c>
      <c r="D48" s="14">
        <f t="shared" si="62"/>
        <v>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s="5"/>
    </row>
    <row r="49" spans="1:64">
      <c r="A49"/>
      <c r="B49" s="3" t="s">
        <v>340</v>
      </c>
      <c r="C49" s="29" t="e">
        <f>SUM(C39:C48)</f>
        <v>#REF!</v>
      </c>
      <c r="D49" s="29">
        <f>SUM(D39:D48)</f>
        <v>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s="5"/>
    </row>
    <row r="50" spans="1:64">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s="5"/>
    </row>
    <row r="51" spans="1:64">
      <c r="A51"/>
      <c r="B51" t="s">
        <v>191</v>
      </c>
      <c r="C51" s="100" t="e">
        <f>+#REF!</f>
        <v>#REF!</v>
      </c>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s="5"/>
    </row>
    <row r="52" spans="1:64">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s="5"/>
    </row>
    <row r="53" spans="1:64">
      <c r="A53"/>
      <c r="B53" s="55" t="s">
        <v>341</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s="5"/>
    </row>
    <row r="54" spans="1:64">
      <c r="A54"/>
      <c r="B54" s="41" t="s">
        <v>342</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s="5"/>
    </row>
    <row r="55" spans="1:64">
      <c r="A55"/>
      <c r="B55" t="s">
        <v>310</v>
      </c>
      <c r="C55" s="100">
        <v>0</v>
      </c>
      <c r="D55" s="100">
        <v>0</v>
      </c>
      <c r="E55" s="100">
        <v>0</v>
      </c>
      <c r="F55" s="100">
        <v>0</v>
      </c>
      <c r="G55" s="100">
        <v>0</v>
      </c>
      <c r="H55" s="100">
        <v>0</v>
      </c>
      <c r="I55" s="100">
        <v>0</v>
      </c>
      <c r="J55" s="100">
        <v>0</v>
      </c>
      <c r="K55" s="100">
        <v>0</v>
      </c>
      <c r="L55" s="100">
        <v>0</v>
      </c>
      <c r="M55" s="100">
        <v>0</v>
      </c>
      <c r="N55" s="100">
        <v>0</v>
      </c>
      <c r="O55" s="100">
        <v>0</v>
      </c>
      <c r="P55" s="100">
        <v>0</v>
      </c>
      <c r="Q55" s="100">
        <v>0</v>
      </c>
      <c r="R55" s="100">
        <v>0</v>
      </c>
      <c r="S55" s="100">
        <v>0</v>
      </c>
      <c r="T55" s="100">
        <v>0</v>
      </c>
      <c r="U55" s="100">
        <v>0</v>
      </c>
      <c r="V55" s="100">
        <v>0</v>
      </c>
      <c r="W55" s="100">
        <v>0</v>
      </c>
      <c r="X55" s="100">
        <v>0</v>
      </c>
      <c r="Y55" s="100">
        <v>0</v>
      </c>
      <c r="Z55" s="100">
        <v>0</v>
      </c>
      <c r="AA55" s="100">
        <v>0</v>
      </c>
      <c r="AB55" s="100">
        <v>0</v>
      </c>
      <c r="AC55" s="100">
        <v>0</v>
      </c>
      <c r="AD55" s="100">
        <v>0</v>
      </c>
      <c r="AE55" s="100">
        <v>0</v>
      </c>
      <c r="AF55" s="100">
        <v>0</v>
      </c>
      <c r="AG55" s="100">
        <v>0</v>
      </c>
      <c r="AH55" s="100">
        <v>0</v>
      </c>
      <c r="AI55" s="100">
        <v>0</v>
      </c>
      <c r="AJ55" s="100">
        <v>0</v>
      </c>
      <c r="AK55" s="100">
        <v>0</v>
      </c>
      <c r="AL55" s="100">
        <v>0</v>
      </c>
      <c r="AM55" s="100">
        <v>0</v>
      </c>
      <c r="AN55" s="100">
        <v>0</v>
      </c>
      <c r="AO55" s="100">
        <v>0</v>
      </c>
      <c r="AP55" s="100">
        <v>0</v>
      </c>
      <c r="AQ55" s="100">
        <v>0</v>
      </c>
      <c r="AR55" s="100">
        <v>0</v>
      </c>
      <c r="AS55" s="100">
        <v>0</v>
      </c>
      <c r="AT55" s="100">
        <v>0</v>
      </c>
      <c r="AU55" s="100">
        <v>0</v>
      </c>
      <c r="AV55" s="100">
        <v>0</v>
      </c>
      <c r="AW55" s="100">
        <v>0</v>
      </c>
      <c r="AX55" s="100">
        <v>0</v>
      </c>
      <c r="AY55" s="100">
        <v>0</v>
      </c>
      <c r="AZ55" s="100">
        <v>0</v>
      </c>
      <c r="BA55" s="100">
        <v>0</v>
      </c>
      <c r="BB55" s="100">
        <v>0</v>
      </c>
      <c r="BC55" s="100">
        <v>0</v>
      </c>
      <c r="BD55" s="100">
        <v>0</v>
      </c>
      <c r="BE55" s="100">
        <v>0</v>
      </c>
      <c r="BF55" s="100">
        <v>0</v>
      </c>
      <c r="BG55" s="100">
        <v>0</v>
      </c>
      <c r="BH55" s="100">
        <v>0</v>
      </c>
      <c r="BI55" s="100">
        <v>0</v>
      </c>
      <c r="BJ55" s="100">
        <v>0</v>
      </c>
      <c r="BK55"/>
      <c r="BL55" s="5"/>
    </row>
    <row r="56" spans="1:64">
      <c r="A56"/>
      <c r="B56" t="s">
        <v>309</v>
      </c>
      <c r="C56" s="100">
        <v>0</v>
      </c>
      <c r="D56" s="100">
        <v>0</v>
      </c>
      <c r="E56" s="100">
        <v>0</v>
      </c>
      <c r="F56" s="100">
        <v>0</v>
      </c>
      <c r="G56" s="100">
        <v>0</v>
      </c>
      <c r="H56" s="100">
        <v>0</v>
      </c>
      <c r="I56" s="100">
        <v>0</v>
      </c>
      <c r="J56" s="100">
        <v>0</v>
      </c>
      <c r="K56" s="100">
        <v>0</v>
      </c>
      <c r="L56" s="100">
        <v>0</v>
      </c>
      <c r="M56" s="100">
        <v>0</v>
      </c>
      <c r="N56" s="100">
        <v>0</v>
      </c>
      <c r="O56" s="100">
        <v>0</v>
      </c>
      <c r="P56" s="100">
        <v>0</v>
      </c>
      <c r="Q56" s="100">
        <v>0</v>
      </c>
      <c r="R56" s="100">
        <v>0</v>
      </c>
      <c r="S56" s="100">
        <v>0</v>
      </c>
      <c r="T56" s="100">
        <v>0</v>
      </c>
      <c r="U56" s="100">
        <v>0</v>
      </c>
      <c r="V56" s="100">
        <v>0</v>
      </c>
      <c r="W56" s="100">
        <v>0</v>
      </c>
      <c r="X56" s="100">
        <v>0</v>
      </c>
      <c r="Y56" s="100">
        <v>0</v>
      </c>
      <c r="Z56" s="100">
        <v>0</v>
      </c>
      <c r="AA56" s="100">
        <v>0</v>
      </c>
      <c r="AB56" s="100">
        <v>0</v>
      </c>
      <c r="AC56" s="100">
        <v>0</v>
      </c>
      <c r="AD56" s="100">
        <v>0</v>
      </c>
      <c r="AE56" s="100">
        <v>0</v>
      </c>
      <c r="AF56" s="100">
        <v>0</v>
      </c>
      <c r="AG56" s="100">
        <v>0</v>
      </c>
      <c r="AH56" s="100">
        <v>0</v>
      </c>
      <c r="AI56" s="100">
        <v>0</v>
      </c>
      <c r="AJ56" s="100">
        <v>0</v>
      </c>
      <c r="AK56" s="100">
        <v>0</v>
      </c>
      <c r="AL56" s="100">
        <v>0</v>
      </c>
      <c r="AM56" s="100">
        <v>0</v>
      </c>
      <c r="AN56" s="100">
        <v>0</v>
      </c>
      <c r="AO56" s="100">
        <v>0</v>
      </c>
      <c r="AP56" s="100">
        <v>0</v>
      </c>
      <c r="AQ56" s="100">
        <v>0</v>
      </c>
      <c r="AR56" s="100">
        <v>0</v>
      </c>
      <c r="AS56" s="100">
        <v>0</v>
      </c>
      <c r="AT56" s="100">
        <v>0</v>
      </c>
      <c r="AU56" s="100">
        <v>0</v>
      </c>
      <c r="AV56" s="100">
        <v>0</v>
      </c>
      <c r="AW56" s="100">
        <v>0</v>
      </c>
      <c r="AX56" s="100">
        <v>0</v>
      </c>
      <c r="AY56" s="100">
        <v>0</v>
      </c>
      <c r="AZ56" s="100">
        <v>0</v>
      </c>
      <c r="BA56" s="100">
        <v>0</v>
      </c>
      <c r="BB56" s="100">
        <v>0</v>
      </c>
      <c r="BC56" s="100">
        <v>0</v>
      </c>
      <c r="BD56" s="100">
        <v>0</v>
      </c>
      <c r="BE56" s="100">
        <v>0</v>
      </c>
      <c r="BF56" s="100">
        <v>0</v>
      </c>
      <c r="BG56" s="100">
        <v>0</v>
      </c>
      <c r="BH56" s="100">
        <v>0</v>
      </c>
      <c r="BI56" s="100">
        <v>0</v>
      </c>
      <c r="BJ56" s="100">
        <v>0</v>
      </c>
      <c r="BK56"/>
      <c r="BL56" s="5"/>
    </row>
    <row r="57" spans="1:64">
      <c r="A57"/>
      <c r="B57" t="s">
        <v>82</v>
      </c>
      <c r="C57" s="100" t="e">
        <f>-#REF!</f>
        <v>#REF!</v>
      </c>
      <c r="D57" s="100">
        <v>0</v>
      </c>
      <c r="E57" s="100">
        <v>0</v>
      </c>
      <c r="F57" s="100">
        <v>0</v>
      </c>
      <c r="G57" s="100">
        <v>0</v>
      </c>
      <c r="H57" s="100">
        <v>0</v>
      </c>
      <c r="I57" s="100">
        <v>0</v>
      </c>
      <c r="J57" s="100">
        <v>0</v>
      </c>
      <c r="K57" s="100">
        <v>0</v>
      </c>
      <c r="L57" s="100">
        <v>0</v>
      </c>
      <c r="M57" s="100">
        <v>0</v>
      </c>
      <c r="N57" s="100">
        <v>0</v>
      </c>
      <c r="O57" s="100">
        <v>0</v>
      </c>
      <c r="P57" s="100">
        <v>0</v>
      </c>
      <c r="Q57" s="100">
        <v>0</v>
      </c>
      <c r="R57" s="100">
        <v>0</v>
      </c>
      <c r="S57" s="100">
        <v>0</v>
      </c>
      <c r="T57" s="100">
        <v>0</v>
      </c>
      <c r="U57" s="100">
        <v>0</v>
      </c>
      <c r="V57" s="100">
        <v>0</v>
      </c>
      <c r="W57" s="100">
        <v>0</v>
      </c>
      <c r="X57" s="100">
        <v>0</v>
      </c>
      <c r="Y57" s="100">
        <v>0</v>
      </c>
      <c r="Z57" s="100">
        <v>0</v>
      </c>
      <c r="AA57" s="100">
        <v>0</v>
      </c>
      <c r="AB57" s="100">
        <v>0</v>
      </c>
      <c r="AC57" s="100">
        <v>0</v>
      </c>
      <c r="AD57" s="100">
        <v>0</v>
      </c>
      <c r="AE57" s="100">
        <v>0</v>
      </c>
      <c r="AF57" s="100">
        <v>0</v>
      </c>
      <c r="AG57" s="100">
        <v>0</v>
      </c>
      <c r="AH57" s="100">
        <v>0</v>
      </c>
      <c r="AI57" s="100">
        <v>0</v>
      </c>
      <c r="AJ57" s="100">
        <v>0</v>
      </c>
      <c r="AK57" s="100">
        <v>0</v>
      </c>
      <c r="AL57" s="100">
        <v>0</v>
      </c>
      <c r="AM57" s="100">
        <v>0</v>
      </c>
      <c r="AN57" s="100">
        <v>0</v>
      </c>
      <c r="AO57" s="100">
        <v>0</v>
      </c>
      <c r="AP57" s="100">
        <v>0</v>
      </c>
      <c r="AQ57" s="100">
        <v>0</v>
      </c>
      <c r="AR57" s="100">
        <v>0</v>
      </c>
      <c r="AS57" s="100">
        <v>0</v>
      </c>
      <c r="AT57" s="100">
        <v>0</v>
      </c>
      <c r="AU57" s="100">
        <v>0</v>
      </c>
      <c r="AV57" s="100">
        <v>0</v>
      </c>
      <c r="AW57" s="100">
        <v>0</v>
      </c>
      <c r="AX57" s="100">
        <v>0</v>
      </c>
      <c r="AY57" s="100">
        <v>0</v>
      </c>
      <c r="AZ57" s="100">
        <v>0</v>
      </c>
      <c r="BA57" s="100">
        <v>0</v>
      </c>
      <c r="BB57" s="100">
        <v>0</v>
      </c>
      <c r="BC57" s="100">
        <v>0</v>
      </c>
      <c r="BD57" s="100">
        <v>0</v>
      </c>
      <c r="BE57" s="100">
        <v>0</v>
      </c>
      <c r="BF57" s="100">
        <v>0</v>
      </c>
      <c r="BG57" s="100">
        <v>0</v>
      </c>
      <c r="BH57" s="100">
        <v>0</v>
      </c>
      <c r="BI57" s="100">
        <v>0</v>
      </c>
      <c r="BJ57" s="100">
        <v>0</v>
      </c>
      <c r="BK57"/>
      <c r="BL57" s="5"/>
    </row>
    <row r="58" spans="1:64">
      <c r="A58"/>
      <c r="B58" s="3" t="s">
        <v>343</v>
      </c>
      <c r="C58" s="29" t="e">
        <f>SUM(C55:C57)</f>
        <v>#REF!</v>
      </c>
      <c r="D58" s="29">
        <f t="shared" ref="D58:BJ58" si="63">SUM(D55:D57)</f>
        <v>0</v>
      </c>
      <c r="E58" s="29">
        <f t="shared" si="63"/>
        <v>0</v>
      </c>
      <c r="F58" s="29">
        <f t="shared" si="63"/>
        <v>0</v>
      </c>
      <c r="G58" s="29">
        <f t="shared" si="63"/>
        <v>0</v>
      </c>
      <c r="H58" s="29">
        <f t="shared" si="63"/>
        <v>0</v>
      </c>
      <c r="I58" s="29">
        <f t="shared" si="63"/>
        <v>0</v>
      </c>
      <c r="J58" s="29">
        <f t="shared" si="63"/>
        <v>0</v>
      </c>
      <c r="K58" s="29">
        <f t="shared" si="63"/>
        <v>0</v>
      </c>
      <c r="L58" s="29">
        <f t="shared" si="63"/>
        <v>0</v>
      </c>
      <c r="M58" s="29">
        <f t="shared" si="63"/>
        <v>0</v>
      </c>
      <c r="N58" s="29">
        <f t="shared" si="63"/>
        <v>0</v>
      </c>
      <c r="O58" s="29">
        <f t="shared" si="63"/>
        <v>0</v>
      </c>
      <c r="P58" s="29">
        <f t="shared" si="63"/>
        <v>0</v>
      </c>
      <c r="Q58" s="29">
        <f t="shared" si="63"/>
        <v>0</v>
      </c>
      <c r="R58" s="29">
        <f t="shared" si="63"/>
        <v>0</v>
      </c>
      <c r="S58" s="29">
        <f t="shared" si="63"/>
        <v>0</v>
      </c>
      <c r="T58" s="29">
        <f t="shared" si="63"/>
        <v>0</v>
      </c>
      <c r="U58" s="29">
        <f t="shared" si="63"/>
        <v>0</v>
      </c>
      <c r="V58" s="29">
        <f t="shared" si="63"/>
        <v>0</v>
      </c>
      <c r="W58" s="29">
        <f t="shared" si="63"/>
        <v>0</v>
      </c>
      <c r="X58" s="29">
        <f t="shared" si="63"/>
        <v>0</v>
      </c>
      <c r="Y58" s="29">
        <f t="shared" si="63"/>
        <v>0</v>
      </c>
      <c r="Z58" s="29">
        <f t="shared" si="63"/>
        <v>0</v>
      </c>
      <c r="AA58" s="29">
        <f t="shared" si="63"/>
        <v>0</v>
      </c>
      <c r="AB58" s="29">
        <f t="shared" si="63"/>
        <v>0</v>
      </c>
      <c r="AC58" s="29">
        <f t="shared" si="63"/>
        <v>0</v>
      </c>
      <c r="AD58" s="29">
        <f t="shared" si="63"/>
        <v>0</v>
      </c>
      <c r="AE58" s="29">
        <f t="shared" si="63"/>
        <v>0</v>
      </c>
      <c r="AF58" s="29">
        <f t="shared" si="63"/>
        <v>0</v>
      </c>
      <c r="AG58" s="29">
        <f t="shared" si="63"/>
        <v>0</v>
      </c>
      <c r="AH58" s="29">
        <f t="shared" si="63"/>
        <v>0</v>
      </c>
      <c r="AI58" s="29">
        <f t="shared" si="63"/>
        <v>0</v>
      </c>
      <c r="AJ58" s="29">
        <f t="shared" si="63"/>
        <v>0</v>
      </c>
      <c r="AK58" s="29">
        <f t="shared" si="63"/>
        <v>0</v>
      </c>
      <c r="AL58" s="29">
        <f t="shared" si="63"/>
        <v>0</v>
      </c>
      <c r="AM58" s="29">
        <f t="shared" si="63"/>
        <v>0</v>
      </c>
      <c r="AN58" s="29">
        <f t="shared" si="63"/>
        <v>0</v>
      </c>
      <c r="AO58" s="29">
        <f t="shared" si="63"/>
        <v>0</v>
      </c>
      <c r="AP58" s="29">
        <f t="shared" si="63"/>
        <v>0</v>
      </c>
      <c r="AQ58" s="29">
        <f t="shared" si="63"/>
        <v>0</v>
      </c>
      <c r="AR58" s="29">
        <f t="shared" si="63"/>
        <v>0</v>
      </c>
      <c r="AS58" s="29">
        <f t="shared" si="63"/>
        <v>0</v>
      </c>
      <c r="AT58" s="29">
        <f t="shared" si="63"/>
        <v>0</v>
      </c>
      <c r="AU58" s="29">
        <f t="shared" si="63"/>
        <v>0</v>
      </c>
      <c r="AV58" s="29">
        <f t="shared" si="63"/>
        <v>0</v>
      </c>
      <c r="AW58" s="29">
        <f t="shared" si="63"/>
        <v>0</v>
      </c>
      <c r="AX58" s="29">
        <f t="shared" si="63"/>
        <v>0</v>
      </c>
      <c r="AY58" s="29">
        <f t="shared" si="63"/>
        <v>0</v>
      </c>
      <c r="AZ58" s="29">
        <f t="shared" si="63"/>
        <v>0</v>
      </c>
      <c r="BA58" s="29">
        <f t="shared" si="63"/>
        <v>0</v>
      </c>
      <c r="BB58" s="29">
        <f t="shared" si="63"/>
        <v>0</v>
      </c>
      <c r="BC58" s="29">
        <f t="shared" si="63"/>
        <v>0</v>
      </c>
      <c r="BD58" s="29">
        <f t="shared" si="63"/>
        <v>0</v>
      </c>
      <c r="BE58" s="29">
        <f t="shared" si="63"/>
        <v>0</v>
      </c>
      <c r="BF58" s="29">
        <f t="shared" si="63"/>
        <v>0</v>
      </c>
      <c r="BG58" s="29">
        <f t="shared" si="63"/>
        <v>0</v>
      </c>
      <c r="BH58" s="29">
        <f t="shared" si="63"/>
        <v>0</v>
      </c>
      <c r="BI58" s="29">
        <f t="shared" si="63"/>
        <v>0</v>
      </c>
      <c r="BJ58" s="29">
        <f t="shared" si="63"/>
        <v>0</v>
      </c>
      <c r="BK58"/>
      <c r="BL58" s="5"/>
    </row>
    <row r="59" spans="1:64">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s="41" t="s">
        <v>344</v>
      </c>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s="5"/>
    </row>
    <row r="61" spans="1:64">
      <c r="A61"/>
      <c r="B61" t="s">
        <v>340</v>
      </c>
      <c r="C61" s="100">
        <v>0</v>
      </c>
      <c r="D61" s="100">
        <v>0</v>
      </c>
      <c r="E61" s="100">
        <v>0</v>
      </c>
      <c r="F61" s="100">
        <v>0</v>
      </c>
      <c r="G61" s="100">
        <v>0</v>
      </c>
      <c r="H61" s="100">
        <v>0</v>
      </c>
      <c r="I61" s="100">
        <v>0</v>
      </c>
      <c r="J61" s="100">
        <v>0</v>
      </c>
      <c r="K61" s="100">
        <v>0</v>
      </c>
      <c r="L61" s="100">
        <v>0</v>
      </c>
      <c r="M61" s="100">
        <v>0</v>
      </c>
      <c r="N61" s="100">
        <v>0</v>
      </c>
      <c r="O61" s="100">
        <v>0</v>
      </c>
      <c r="P61" s="100">
        <v>0</v>
      </c>
      <c r="Q61" s="100">
        <v>0</v>
      </c>
      <c r="R61" s="100">
        <v>0</v>
      </c>
      <c r="S61" s="100">
        <v>0</v>
      </c>
      <c r="T61" s="100">
        <v>0</v>
      </c>
      <c r="U61" s="100">
        <v>0</v>
      </c>
      <c r="V61" s="100">
        <v>0</v>
      </c>
      <c r="W61" s="100">
        <v>0</v>
      </c>
      <c r="X61" s="100">
        <v>0</v>
      </c>
      <c r="Y61" s="100">
        <v>0</v>
      </c>
      <c r="Z61" s="100">
        <v>0</v>
      </c>
      <c r="AA61" s="100">
        <v>0</v>
      </c>
      <c r="AB61" s="100">
        <v>0</v>
      </c>
      <c r="AC61" s="100">
        <v>0</v>
      </c>
      <c r="AD61" s="100">
        <v>0</v>
      </c>
      <c r="AE61" s="100">
        <v>0</v>
      </c>
      <c r="AF61" s="100">
        <v>0</v>
      </c>
      <c r="AG61" s="100">
        <v>0</v>
      </c>
      <c r="AH61" s="100">
        <v>0</v>
      </c>
      <c r="AI61" s="100">
        <v>0</v>
      </c>
      <c r="AJ61" s="100">
        <v>0</v>
      </c>
      <c r="AK61" s="100">
        <v>0</v>
      </c>
      <c r="AL61" s="100">
        <v>0</v>
      </c>
      <c r="AM61" s="100">
        <v>0</v>
      </c>
      <c r="AN61" s="100">
        <v>0</v>
      </c>
      <c r="AO61" s="100">
        <v>0</v>
      </c>
      <c r="AP61" s="100">
        <v>0</v>
      </c>
      <c r="AQ61" s="100">
        <v>0</v>
      </c>
      <c r="AR61" s="100">
        <v>0</v>
      </c>
      <c r="AS61" s="100">
        <v>0</v>
      </c>
      <c r="AT61" s="100">
        <v>0</v>
      </c>
      <c r="AU61" s="100">
        <v>0</v>
      </c>
      <c r="AV61" s="100">
        <v>0</v>
      </c>
      <c r="AW61" s="100">
        <v>0</v>
      </c>
      <c r="AX61" s="100">
        <v>0</v>
      </c>
      <c r="AY61" s="100">
        <v>0</v>
      </c>
      <c r="AZ61" s="100">
        <v>0</v>
      </c>
      <c r="BA61" s="100">
        <v>0</v>
      </c>
      <c r="BB61" s="100">
        <v>0</v>
      </c>
      <c r="BC61" s="100">
        <v>0</v>
      </c>
      <c r="BD61" s="100">
        <v>0</v>
      </c>
      <c r="BE61" s="100">
        <v>0</v>
      </c>
      <c r="BF61" s="100">
        <v>0</v>
      </c>
      <c r="BG61" s="100">
        <v>0</v>
      </c>
      <c r="BH61" s="100">
        <v>0</v>
      </c>
      <c r="BI61" s="100">
        <v>0</v>
      </c>
      <c r="BJ61" s="100">
        <v>0</v>
      </c>
      <c r="BK61"/>
      <c r="BL61" s="5"/>
    </row>
    <row r="62" spans="1:64">
      <c r="A62"/>
      <c r="B62" t="s">
        <v>345</v>
      </c>
      <c r="C62" s="100">
        <v>0</v>
      </c>
      <c r="D62" s="100">
        <v>0</v>
      </c>
      <c r="E62" s="100">
        <v>0</v>
      </c>
      <c r="F62" s="100">
        <v>0</v>
      </c>
      <c r="G62" s="100">
        <v>0</v>
      </c>
      <c r="H62" s="100">
        <v>0</v>
      </c>
      <c r="I62" s="100">
        <v>0</v>
      </c>
      <c r="J62" s="100">
        <v>0</v>
      </c>
      <c r="K62" s="100">
        <v>0</v>
      </c>
      <c r="L62" s="100">
        <v>0</v>
      </c>
      <c r="M62" s="100">
        <v>0</v>
      </c>
      <c r="N62" s="100">
        <v>0</v>
      </c>
      <c r="O62" s="100">
        <v>0</v>
      </c>
      <c r="P62" s="100">
        <v>0</v>
      </c>
      <c r="Q62" s="100">
        <v>0</v>
      </c>
      <c r="R62" s="100">
        <v>0</v>
      </c>
      <c r="S62" s="100">
        <v>0</v>
      </c>
      <c r="T62" s="100">
        <v>0</v>
      </c>
      <c r="U62" s="100">
        <v>0</v>
      </c>
      <c r="V62" s="100">
        <v>0</v>
      </c>
      <c r="W62" s="100">
        <v>0</v>
      </c>
      <c r="X62" s="100">
        <v>0</v>
      </c>
      <c r="Y62" s="100">
        <v>0</v>
      </c>
      <c r="Z62" s="100">
        <v>0</v>
      </c>
      <c r="AA62" s="100">
        <v>0</v>
      </c>
      <c r="AB62" s="100">
        <v>0</v>
      </c>
      <c r="AC62" s="100">
        <v>0</v>
      </c>
      <c r="AD62" s="100">
        <v>0</v>
      </c>
      <c r="AE62" s="100">
        <v>0</v>
      </c>
      <c r="AF62" s="100">
        <v>0</v>
      </c>
      <c r="AG62" s="100">
        <v>0</v>
      </c>
      <c r="AH62" s="100">
        <v>0</v>
      </c>
      <c r="AI62" s="100">
        <v>0</v>
      </c>
      <c r="AJ62" s="100">
        <v>0</v>
      </c>
      <c r="AK62" s="100">
        <v>0</v>
      </c>
      <c r="AL62" s="100">
        <v>0</v>
      </c>
      <c r="AM62" s="100">
        <v>0</v>
      </c>
      <c r="AN62" s="100">
        <v>0</v>
      </c>
      <c r="AO62" s="100">
        <v>0</v>
      </c>
      <c r="AP62" s="100">
        <v>0</v>
      </c>
      <c r="AQ62" s="100">
        <v>0</v>
      </c>
      <c r="AR62" s="100">
        <v>0</v>
      </c>
      <c r="AS62" s="100">
        <v>0</v>
      </c>
      <c r="AT62" s="100">
        <v>0</v>
      </c>
      <c r="AU62" s="100">
        <v>0</v>
      </c>
      <c r="AV62" s="100">
        <v>0</v>
      </c>
      <c r="AW62" s="100">
        <v>0</v>
      </c>
      <c r="AX62" s="100">
        <v>0</v>
      </c>
      <c r="AY62" s="100">
        <v>0</v>
      </c>
      <c r="AZ62" s="100">
        <v>0</v>
      </c>
      <c r="BA62" s="100">
        <v>0</v>
      </c>
      <c r="BB62" s="100">
        <v>0</v>
      </c>
      <c r="BC62" s="100">
        <v>0</v>
      </c>
      <c r="BD62" s="100">
        <v>0</v>
      </c>
      <c r="BE62" s="100">
        <v>0</v>
      </c>
      <c r="BF62" s="100">
        <v>0</v>
      </c>
      <c r="BG62" s="100">
        <v>0</v>
      </c>
      <c r="BH62" s="100">
        <v>0</v>
      </c>
      <c r="BI62" s="100">
        <v>0</v>
      </c>
      <c r="BJ62" s="100">
        <v>0</v>
      </c>
      <c r="BK62"/>
      <c r="BL62" s="5"/>
    </row>
    <row r="63" spans="1:64">
      <c r="A63"/>
      <c r="B63" t="s">
        <v>346</v>
      </c>
      <c r="C63" s="100">
        <v>0</v>
      </c>
      <c r="D63" s="100">
        <v>0</v>
      </c>
      <c r="E63" s="100">
        <v>0</v>
      </c>
      <c r="F63" s="100">
        <v>0</v>
      </c>
      <c r="G63" s="100">
        <v>0</v>
      </c>
      <c r="H63" s="100">
        <v>0</v>
      </c>
      <c r="I63" s="100">
        <v>0</v>
      </c>
      <c r="J63" s="100">
        <v>0</v>
      </c>
      <c r="K63" s="100">
        <v>0</v>
      </c>
      <c r="L63" s="100">
        <v>0</v>
      </c>
      <c r="M63" s="100">
        <v>0</v>
      </c>
      <c r="N63" s="100">
        <v>0</v>
      </c>
      <c r="O63" s="100">
        <v>0</v>
      </c>
      <c r="P63" s="100">
        <v>0</v>
      </c>
      <c r="Q63" s="100">
        <v>0</v>
      </c>
      <c r="R63" s="100">
        <v>0</v>
      </c>
      <c r="S63" s="100">
        <v>0</v>
      </c>
      <c r="T63" s="100">
        <v>0</v>
      </c>
      <c r="U63" s="100">
        <v>0</v>
      </c>
      <c r="V63" s="100">
        <v>0</v>
      </c>
      <c r="W63" s="100">
        <v>0</v>
      </c>
      <c r="X63" s="100">
        <v>0</v>
      </c>
      <c r="Y63" s="100">
        <v>0</v>
      </c>
      <c r="Z63" s="100">
        <v>0</v>
      </c>
      <c r="AA63" s="100">
        <v>0</v>
      </c>
      <c r="AB63" s="100">
        <v>0</v>
      </c>
      <c r="AC63" s="100">
        <v>0</v>
      </c>
      <c r="AD63" s="100">
        <v>0</v>
      </c>
      <c r="AE63" s="100">
        <v>0</v>
      </c>
      <c r="AF63" s="100">
        <v>0</v>
      </c>
      <c r="AG63" s="100">
        <v>0</v>
      </c>
      <c r="AH63" s="100">
        <v>0</v>
      </c>
      <c r="AI63" s="100">
        <v>0</v>
      </c>
      <c r="AJ63" s="100">
        <v>0</v>
      </c>
      <c r="AK63" s="100">
        <v>0</v>
      </c>
      <c r="AL63" s="100">
        <v>0</v>
      </c>
      <c r="AM63" s="100">
        <v>0</v>
      </c>
      <c r="AN63" s="100">
        <v>0</v>
      </c>
      <c r="AO63" s="100">
        <v>0</v>
      </c>
      <c r="AP63" s="100">
        <v>0</v>
      </c>
      <c r="AQ63" s="100">
        <v>0</v>
      </c>
      <c r="AR63" s="100">
        <v>0</v>
      </c>
      <c r="AS63" s="100">
        <v>0</v>
      </c>
      <c r="AT63" s="100">
        <v>0</v>
      </c>
      <c r="AU63" s="100">
        <v>0</v>
      </c>
      <c r="AV63" s="100">
        <v>0</v>
      </c>
      <c r="AW63" s="100">
        <v>0</v>
      </c>
      <c r="AX63" s="100">
        <v>0</v>
      </c>
      <c r="AY63" s="100">
        <v>0</v>
      </c>
      <c r="AZ63" s="100">
        <v>0</v>
      </c>
      <c r="BA63" s="100">
        <v>0</v>
      </c>
      <c r="BB63" s="100">
        <v>0</v>
      </c>
      <c r="BC63" s="100">
        <v>0</v>
      </c>
      <c r="BD63" s="100">
        <v>0</v>
      </c>
      <c r="BE63" s="100">
        <v>0</v>
      </c>
      <c r="BF63" s="100">
        <v>0</v>
      </c>
      <c r="BG63" s="100">
        <v>0</v>
      </c>
      <c r="BH63" s="100">
        <v>0</v>
      </c>
      <c r="BI63" s="100">
        <v>0</v>
      </c>
      <c r="BJ63" s="100">
        <v>0</v>
      </c>
      <c r="BK63"/>
      <c r="BL63" s="5"/>
    </row>
    <row r="64" spans="1:64">
      <c r="A64"/>
      <c r="B64" s="3" t="s">
        <v>347</v>
      </c>
      <c r="C64" s="29">
        <f>SUM(C61:C63)</f>
        <v>0</v>
      </c>
      <c r="D64" s="29">
        <f t="shared" ref="D64:BJ64" si="64">SUM(D61:D63)</f>
        <v>0</v>
      </c>
      <c r="E64" s="29">
        <f t="shared" si="64"/>
        <v>0</v>
      </c>
      <c r="F64" s="29">
        <f t="shared" si="64"/>
        <v>0</v>
      </c>
      <c r="G64" s="29">
        <f t="shared" si="64"/>
        <v>0</v>
      </c>
      <c r="H64" s="29">
        <f t="shared" si="64"/>
        <v>0</v>
      </c>
      <c r="I64" s="29">
        <f t="shared" si="64"/>
        <v>0</v>
      </c>
      <c r="J64" s="29">
        <f t="shared" si="64"/>
        <v>0</v>
      </c>
      <c r="K64" s="29">
        <f t="shared" si="64"/>
        <v>0</v>
      </c>
      <c r="L64" s="29">
        <f t="shared" si="64"/>
        <v>0</v>
      </c>
      <c r="M64" s="29">
        <f t="shared" si="64"/>
        <v>0</v>
      </c>
      <c r="N64" s="29">
        <f t="shared" si="64"/>
        <v>0</v>
      </c>
      <c r="O64" s="29">
        <f t="shared" si="64"/>
        <v>0</v>
      </c>
      <c r="P64" s="29">
        <f t="shared" si="64"/>
        <v>0</v>
      </c>
      <c r="Q64" s="29">
        <f t="shared" si="64"/>
        <v>0</v>
      </c>
      <c r="R64" s="29">
        <f t="shared" si="64"/>
        <v>0</v>
      </c>
      <c r="S64" s="29">
        <f t="shared" si="64"/>
        <v>0</v>
      </c>
      <c r="T64" s="29">
        <f t="shared" si="64"/>
        <v>0</v>
      </c>
      <c r="U64" s="29">
        <f t="shared" si="64"/>
        <v>0</v>
      </c>
      <c r="V64" s="29">
        <f t="shared" si="64"/>
        <v>0</v>
      </c>
      <c r="W64" s="29">
        <f t="shared" si="64"/>
        <v>0</v>
      </c>
      <c r="X64" s="29">
        <f t="shared" si="64"/>
        <v>0</v>
      </c>
      <c r="Y64" s="29">
        <f t="shared" si="64"/>
        <v>0</v>
      </c>
      <c r="Z64" s="29">
        <f t="shared" si="64"/>
        <v>0</v>
      </c>
      <c r="AA64" s="29">
        <f t="shared" si="64"/>
        <v>0</v>
      </c>
      <c r="AB64" s="29">
        <f t="shared" si="64"/>
        <v>0</v>
      </c>
      <c r="AC64" s="29">
        <f t="shared" si="64"/>
        <v>0</v>
      </c>
      <c r="AD64" s="29">
        <f t="shared" si="64"/>
        <v>0</v>
      </c>
      <c r="AE64" s="29">
        <f t="shared" si="64"/>
        <v>0</v>
      </c>
      <c r="AF64" s="29">
        <f t="shared" si="64"/>
        <v>0</v>
      </c>
      <c r="AG64" s="29">
        <f t="shared" si="64"/>
        <v>0</v>
      </c>
      <c r="AH64" s="29">
        <f t="shared" si="64"/>
        <v>0</v>
      </c>
      <c r="AI64" s="29">
        <f t="shared" si="64"/>
        <v>0</v>
      </c>
      <c r="AJ64" s="29">
        <f t="shared" si="64"/>
        <v>0</v>
      </c>
      <c r="AK64" s="29">
        <f t="shared" si="64"/>
        <v>0</v>
      </c>
      <c r="AL64" s="29">
        <f t="shared" si="64"/>
        <v>0</v>
      </c>
      <c r="AM64" s="29">
        <f t="shared" si="64"/>
        <v>0</v>
      </c>
      <c r="AN64" s="29">
        <f t="shared" si="64"/>
        <v>0</v>
      </c>
      <c r="AO64" s="29">
        <f t="shared" si="64"/>
        <v>0</v>
      </c>
      <c r="AP64" s="29">
        <f t="shared" si="64"/>
        <v>0</v>
      </c>
      <c r="AQ64" s="29">
        <f t="shared" si="64"/>
        <v>0</v>
      </c>
      <c r="AR64" s="29">
        <f t="shared" si="64"/>
        <v>0</v>
      </c>
      <c r="AS64" s="29">
        <f t="shared" si="64"/>
        <v>0</v>
      </c>
      <c r="AT64" s="29">
        <f t="shared" si="64"/>
        <v>0</v>
      </c>
      <c r="AU64" s="29">
        <f t="shared" si="64"/>
        <v>0</v>
      </c>
      <c r="AV64" s="29">
        <f t="shared" si="64"/>
        <v>0</v>
      </c>
      <c r="AW64" s="29">
        <f t="shared" si="64"/>
        <v>0</v>
      </c>
      <c r="AX64" s="29">
        <f t="shared" si="64"/>
        <v>0</v>
      </c>
      <c r="AY64" s="29">
        <f t="shared" si="64"/>
        <v>0</v>
      </c>
      <c r="AZ64" s="29">
        <f t="shared" si="64"/>
        <v>0</v>
      </c>
      <c r="BA64" s="29">
        <f t="shared" si="64"/>
        <v>0</v>
      </c>
      <c r="BB64" s="29">
        <f t="shared" si="64"/>
        <v>0</v>
      </c>
      <c r="BC64" s="29">
        <f t="shared" si="64"/>
        <v>0</v>
      </c>
      <c r="BD64" s="29">
        <f t="shared" si="64"/>
        <v>0</v>
      </c>
      <c r="BE64" s="29">
        <f t="shared" si="64"/>
        <v>0</v>
      </c>
      <c r="BF64" s="29">
        <f t="shared" si="64"/>
        <v>0</v>
      </c>
      <c r="BG64" s="29">
        <f t="shared" si="64"/>
        <v>0</v>
      </c>
      <c r="BH64" s="29">
        <f t="shared" si="64"/>
        <v>0</v>
      </c>
      <c r="BI64" s="29">
        <f t="shared" si="64"/>
        <v>0</v>
      </c>
      <c r="BJ64" s="29">
        <f t="shared" si="64"/>
        <v>0</v>
      </c>
      <c r="BK64"/>
      <c r="BL64" s="5"/>
    </row>
    <row r="65" spans="1:64">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s="5"/>
    </row>
    <row r="66" spans="1:64">
      <c r="A66"/>
      <c r="B66" t="s">
        <v>341</v>
      </c>
      <c r="C66" s="30" t="e">
        <f>SUM(C58,C64)</f>
        <v>#REF!</v>
      </c>
      <c r="D66" s="30">
        <f t="shared" ref="D66:BJ66" si="65">SUM(D58,D64)</f>
        <v>0</v>
      </c>
      <c r="E66" s="30">
        <f t="shared" si="65"/>
        <v>0</v>
      </c>
      <c r="F66" s="30">
        <f t="shared" si="65"/>
        <v>0</v>
      </c>
      <c r="G66" s="30">
        <f t="shared" si="65"/>
        <v>0</v>
      </c>
      <c r="H66" s="30">
        <f t="shared" si="65"/>
        <v>0</v>
      </c>
      <c r="I66" s="30">
        <f t="shared" si="65"/>
        <v>0</v>
      </c>
      <c r="J66" s="30">
        <f t="shared" si="65"/>
        <v>0</v>
      </c>
      <c r="K66" s="30">
        <f t="shared" si="65"/>
        <v>0</v>
      </c>
      <c r="L66" s="30">
        <f t="shared" si="65"/>
        <v>0</v>
      </c>
      <c r="M66" s="30">
        <f t="shared" si="65"/>
        <v>0</v>
      </c>
      <c r="N66" s="30">
        <f t="shared" si="65"/>
        <v>0</v>
      </c>
      <c r="O66" s="30">
        <f t="shared" si="65"/>
        <v>0</v>
      </c>
      <c r="P66" s="30">
        <f t="shared" si="65"/>
        <v>0</v>
      </c>
      <c r="Q66" s="30">
        <f t="shared" si="65"/>
        <v>0</v>
      </c>
      <c r="R66" s="30">
        <f t="shared" si="65"/>
        <v>0</v>
      </c>
      <c r="S66" s="30">
        <f t="shared" si="65"/>
        <v>0</v>
      </c>
      <c r="T66" s="30">
        <f t="shared" si="65"/>
        <v>0</v>
      </c>
      <c r="U66" s="30">
        <f t="shared" si="65"/>
        <v>0</v>
      </c>
      <c r="V66" s="30">
        <f t="shared" si="65"/>
        <v>0</v>
      </c>
      <c r="W66" s="30">
        <f t="shared" si="65"/>
        <v>0</v>
      </c>
      <c r="X66" s="30">
        <f t="shared" si="65"/>
        <v>0</v>
      </c>
      <c r="Y66" s="30">
        <f t="shared" si="65"/>
        <v>0</v>
      </c>
      <c r="Z66" s="30">
        <f t="shared" si="65"/>
        <v>0</v>
      </c>
      <c r="AA66" s="30">
        <f t="shared" si="65"/>
        <v>0</v>
      </c>
      <c r="AB66" s="30">
        <f t="shared" si="65"/>
        <v>0</v>
      </c>
      <c r="AC66" s="30">
        <f t="shared" si="65"/>
        <v>0</v>
      </c>
      <c r="AD66" s="30">
        <f t="shared" si="65"/>
        <v>0</v>
      </c>
      <c r="AE66" s="30">
        <f t="shared" si="65"/>
        <v>0</v>
      </c>
      <c r="AF66" s="30">
        <f t="shared" si="65"/>
        <v>0</v>
      </c>
      <c r="AG66" s="30">
        <f t="shared" si="65"/>
        <v>0</v>
      </c>
      <c r="AH66" s="30">
        <f t="shared" si="65"/>
        <v>0</v>
      </c>
      <c r="AI66" s="30">
        <f t="shared" si="65"/>
        <v>0</v>
      </c>
      <c r="AJ66" s="30">
        <f t="shared" si="65"/>
        <v>0</v>
      </c>
      <c r="AK66" s="30">
        <f t="shared" si="65"/>
        <v>0</v>
      </c>
      <c r="AL66" s="30">
        <f t="shared" si="65"/>
        <v>0</v>
      </c>
      <c r="AM66" s="30">
        <f t="shared" si="65"/>
        <v>0</v>
      </c>
      <c r="AN66" s="30">
        <f t="shared" si="65"/>
        <v>0</v>
      </c>
      <c r="AO66" s="30">
        <f t="shared" si="65"/>
        <v>0</v>
      </c>
      <c r="AP66" s="30">
        <f t="shared" si="65"/>
        <v>0</v>
      </c>
      <c r="AQ66" s="30">
        <f t="shared" si="65"/>
        <v>0</v>
      </c>
      <c r="AR66" s="30">
        <f t="shared" si="65"/>
        <v>0</v>
      </c>
      <c r="AS66" s="30">
        <f t="shared" si="65"/>
        <v>0</v>
      </c>
      <c r="AT66" s="30">
        <f t="shared" si="65"/>
        <v>0</v>
      </c>
      <c r="AU66" s="30">
        <f t="shared" si="65"/>
        <v>0</v>
      </c>
      <c r="AV66" s="30">
        <f t="shared" si="65"/>
        <v>0</v>
      </c>
      <c r="AW66" s="30">
        <f t="shared" si="65"/>
        <v>0</v>
      </c>
      <c r="AX66" s="30">
        <f t="shared" si="65"/>
        <v>0</v>
      </c>
      <c r="AY66" s="30">
        <f t="shared" si="65"/>
        <v>0</v>
      </c>
      <c r="AZ66" s="30">
        <f t="shared" si="65"/>
        <v>0</v>
      </c>
      <c r="BA66" s="30">
        <f t="shared" si="65"/>
        <v>0</v>
      </c>
      <c r="BB66" s="30">
        <f t="shared" si="65"/>
        <v>0</v>
      </c>
      <c r="BC66" s="30">
        <f t="shared" si="65"/>
        <v>0</v>
      </c>
      <c r="BD66" s="30">
        <f t="shared" si="65"/>
        <v>0</v>
      </c>
      <c r="BE66" s="30">
        <f t="shared" si="65"/>
        <v>0</v>
      </c>
      <c r="BF66" s="30">
        <f t="shared" si="65"/>
        <v>0</v>
      </c>
      <c r="BG66" s="30">
        <f t="shared" si="65"/>
        <v>0</v>
      </c>
      <c r="BH66" s="30">
        <f t="shared" si="65"/>
        <v>0</v>
      </c>
      <c r="BI66" s="30">
        <f t="shared" si="65"/>
        <v>0</v>
      </c>
      <c r="BJ66" s="30">
        <f t="shared" si="65"/>
        <v>0</v>
      </c>
      <c r="BK66"/>
      <c r="BL66" s="5"/>
    </row>
    <row r="67" spans="1:64">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s="5"/>
    </row>
    <row r="68" spans="1:64">
      <c r="A68"/>
      <c r="B68" s="55" t="s">
        <v>82</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s">
        <v>348</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349</v>
      </c>
      <c r="C70" s="30">
        <f>+C64</f>
        <v>0</v>
      </c>
      <c r="D70" s="30">
        <f>+D64</f>
        <v>0</v>
      </c>
      <c r="E70" s="30">
        <f t="shared" ref="E70:BJ70" si="66">+E64</f>
        <v>0</v>
      </c>
      <c r="F70" s="30">
        <f t="shared" si="66"/>
        <v>0</v>
      </c>
      <c r="G70" s="30">
        <f t="shared" si="66"/>
        <v>0</v>
      </c>
      <c r="H70" s="30">
        <f t="shared" si="66"/>
        <v>0</v>
      </c>
      <c r="I70" s="30">
        <f t="shared" si="66"/>
        <v>0</v>
      </c>
      <c r="J70" s="30">
        <f t="shared" si="66"/>
        <v>0</v>
      </c>
      <c r="K70" s="30">
        <f t="shared" si="66"/>
        <v>0</v>
      </c>
      <c r="L70" s="30">
        <f t="shared" si="66"/>
        <v>0</v>
      </c>
      <c r="M70" s="30">
        <f t="shared" si="66"/>
        <v>0</v>
      </c>
      <c r="N70" s="30">
        <f t="shared" si="66"/>
        <v>0</v>
      </c>
      <c r="O70" s="30">
        <f t="shared" si="66"/>
        <v>0</v>
      </c>
      <c r="P70" s="30">
        <f t="shared" si="66"/>
        <v>0</v>
      </c>
      <c r="Q70" s="30">
        <f t="shared" si="66"/>
        <v>0</v>
      </c>
      <c r="R70" s="30">
        <f t="shared" si="66"/>
        <v>0</v>
      </c>
      <c r="S70" s="30">
        <f t="shared" si="66"/>
        <v>0</v>
      </c>
      <c r="T70" s="30">
        <f t="shared" si="66"/>
        <v>0</v>
      </c>
      <c r="U70" s="30">
        <f t="shared" si="66"/>
        <v>0</v>
      </c>
      <c r="V70" s="30">
        <f t="shared" si="66"/>
        <v>0</v>
      </c>
      <c r="W70" s="30">
        <f t="shared" si="66"/>
        <v>0</v>
      </c>
      <c r="X70" s="30">
        <f t="shared" si="66"/>
        <v>0</v>
      </c>
      <c r="Y70" s="30">
        <f t="shared" si="66"/>
        <v>0</v>
      </c>
      <c r="Z70" s="30">
        <f t="shared" si="66"/>
        <v>0</v>
      </c>
      <c r="AA70" s="30">
        <f t="shared" si="66"/>
        <v>0</v>
      </c>
      <c r="AB70" s="30">
        <f t="shared" si="66"/>
        <v>0</v>
      </c>
      <c r="AC70" s="30">
        <f t="shared" si="66"/>
        <v>0</v>
      </c>
      <c r="AD70" s="30">
        <f t="shared" si="66"/>
        <v>0</v>
      </c>
      <c r="AE70" s="30">
        <f t="shared" si="66"/>
        <v>0</v>
      </c>
      <c r="AF70" s="30">
        <f t="shared" si="66"/>
        <v>0</v>
      </c>
      <c r="AG70" s="30">
        <f t="shared" si="66"/>
        <v>0</v>
      </c>
      <c r="AH70" s="30">
        <f t="shared" si="66"/>
        <v>0</v>
      </c>
      <c r="AI70" s="30">
        <f t="shared" si="66"/>
        <v>0</v>
      </c>
      <c r="AJ70" s="30">
        <f t="shared" si="66"/>
        <v>0</v>
      </c>
      <c r="AK70" s="30">
        <f t="shared" si="66"/>
        <v>0</v>
      </c>
      <c r="AL70" s="30">
        <f t="shared" si="66"/>
        <v>0</v>
      </c>
      <c r="AM70" s="30">
        <f t="shared" si="66"/>
        <v>0</v>
      </c>
      <c r="AN70" s="30">
        <f t="shared" si="66"/>
        <v>0</v>
      </c>
      <c r="AO70" s="30">
        <f t="shared" si="66"/>
        <v>0</v>
      </c>
      <c r="AP70" s="30">
        <f t="shared" si="66"/>
        <v>0</v>
      </c>
      <c r="AQ70" s="30">
        <f t="shared" si="66"/>
        <v>0</v>
      </c>
      <c r="AR70" s="30">
        <f t="shared" si="66"/>
        <v>0</v>
      </c>
      <c r="AS70" s="30">
        <f t="shared" si="66"/>
        <v>0</v>
      </c>
      <c r="AT70" s="30">
        <f t="shared" si="66"/>
        <v>0</v>
      </c>
      <c r="AU70" s="30">
        <f t="shared" si="66"/>
        <v>0</v>
      </c>
      <c r="AV70" s="30">
        <f t="shared" si="66"/>
        <v>0</v>
      </c>
      <c r="AW70" s="30">
        <f t="shared" si="66"/>
        <v>0</v>
      </c>
      <c r="AX70" s="30">
        <f t="shared" si="66"/>
        <v>0</v>
      </c>
      <c r="AY70" s="30">
        <f t="shared" si="66"/>
        <v>0</v>
      </c>
      <c r="AZ70" s="30">
        <f t="shared" si="66"/>
        <v>0</v>
      </c>
      <c r="BA70" s="30">
        <f t="shared" si="66"/>
        <v>0</v>
      </c>
      <c r="BB70" s="30">
        <f t="shared" si="66"/>
        <v>0</v>
      </c>
      <c r="BC70" s="30">
        <f t="shared" si="66"/>
        <v>0</v>
      </c>
      <c r="BD70" s="30">
        <f t="shared" si="66"/>
        <v>0</v>
      </c>
      <c r="BE70" s="30">
        <f t="shared" si="66"/>
        <v>0</v>
      </c>
      <c r="BF70" s="30">
        <f t="shared" si="66"/>
        <v>0</v>
      </c>
      <c r="BG70" s="30">
        <f t="shared" si="66"/>
        <v>0</v>
      </c>
      <c r="BH70" s="30">
        <f t="shared" si="66"/>
        <v>0</v>
      </c>
      <c r="BI70" s="30">
        <f t="shared" si="66"/>
        <v>0</v>
      </c>
      <c r="BJ70" s="30">
        <f t="shared" si="66"/>
        <v>0</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350</v>
      </c>
      <c r="C72" s="14">
        <v>0</v>
      </c>
      <c r="D72" s="30">
        <f>+C75</f>
        <v>0</v>
      </c>
      <c r="E72" s="30">
        <f t="shared" ref="E72:L72" si="67">+D75</f>
        <v>0</v>
      </c>
      <c r="F72" s="30">
        <f t="shared" si="67"/>
        <v>0</v>
      </c>
      <c r="G72" s="30">
        <f t="shared" si="67"/>
        <v>0</v>
      </c>
      <c r="H72" s="30">
        <f t="shared" si="67"/>
        <v>0</v>
      </c>
      <c r="I72" s="30">
        <f t="shared" si="67"/>
        <v>0</v>
      </c>
      <c r="J72" s="30">
        <f t="shared" si="67"/>
        <v>0</v>
      </c>
      <c r="K72" s="30">
        <f t="shared" si="67"/>
        <v>0</v>
      </c>
      <c r="L72" s="30">
        <f t="shared" si="67"/>
        <v>0</v>
      </c>
      <c r="M72" s="30">
        <f t="shared" ref="M72:BJ72" si="68">+L75</f>
        <v>0</v>
      </c>
      <c r="N72" s="30">
        <f t="shared" si="68"/>
        <v>0</v>
      </c>
      <c r="O72" s="30">
        <f t="shared" si="68"/>
        <v>0</v>
      </c>
      <c r="P72" s="30">
        <f t="shared" si="68"/>
        <v>0</v>
      </c>
      <c r="Q72" s="30">
        <f t="shared" si="68"/>
        <v>0</v>
      </c>
      <c r="R72" s="30">
        <f t="shared" si="68"/>
        <v>0</v>
      </c>
      <c r="S72" s="30">
        <f t="shared" si="68"/>
        <v>0</v>
      </c>
      <c r="T72" s="30">
        <f t="shared" si="68"/>
        <v>0</v>
      </c>
      <c r="U72" s="30">
        <f t="shared" si="68"/>
        <v>0</v>
      </c>
      <c r="V72" s="30">
        <f t="shared" si="68"/>
        <v>0</v>
      </c>
      <c r="W72" s="30">
        <f t="shared" si="68"/>
        <v>0</v>
      </c>
      <c r="X72" s="30">
        <f t="shared" si="68"/>
        <v>0</v>
      </c>
      <c r="Y72" s="30">
        <f t="shared" si="68"/>
        <v>0</v>
      </c>
      <c r="Z72" s="30">
        <f t="shared" si="68"/>
        <v>0</v>
      </c>
      <c r="AA72" s="30">
        <f t="shared" si="68"/>
        <v>0</v>
      </c>
      <c r="AB72" s="30">
        <f t="shared" si="68"/>
        <v>0</v>
      </c>
      <c r="AC72" s="30">
        <f t="shared" si="68"/>
        <v>0</v>
      </c>
      <c r="AD72" s="30">
        <f t="shared" si="68"/>
        <v>0</v>
      </c>
      <c r="AE72" s="30">
        <f t="shared" si="68"/>
        <v>0</v>
      </c>
      <c r="AF72" s="30">
        <f t="shared" si="68"/>
        <v>0</v>
      </c>
      <c r="AG72" s="30">
        <f t="shared" si="68"/>
        <v>0</v>
      </c>
      <c r="AH72" s="30">
        <f t="shared" si="68"/>
        <v>0</v>
      </c>
      <c r="AI72" s="30">
        <f t="shared" si="68"/>
        <v>0</v>
      </c>
      <c r="AJ72" s="30">
        <f t="shared" si="68"/>
        <v>0</v>
      </c>
      <c r="AK72" s="30">
        <f t="shared" si="68"/>
        <v>0</v>
      </c>
      <c r="AL72" s="30">
        <f t="shared" si="68"/>
        <v>0</v>
      </c>
      <c r="AM72" s="30">
        <f t="shared" si="68"/>
        <v>0</v>
      </c>
      <c r="AN72" s="30">
        <f t="shared" si="68"/>
        <v>0</v>
      </c>
      <c r="AO72" s="30">
        <f t="shared" si="68"/>
        <v>0</v>
      </c>
      <c r="AP72" s="30">
        <f t="shared" si="68"/>
        <v>0</v>
      </c>
      <c r="AQ72" s="30">
        <f t="shared" si="68"/>
        <v>0</v>
      </c>
      <c r="AR72" s="30">
        <f t="shared" si="68"/>
        <v>0</v>
      </c>
      <c r="AS72" s="30">
        <f t="shared" si="68"/>
        <v>0</v>
      </c>
      <c r="AT72" s="30">
        <f t="shared" si="68"/>
        <v>0</v>
      </c>
      <c r="AU72" s="30">
        <f t="shared" si="68"/>
        <v>0</v>
      </c>
      <c r="AV72" s="30">
        <f t="shared" si="68"/>
        <v>0</v>
      </c>
      <c r="AW72" s="30">
        <f t="shared" si="68"/>
        <v>0</v>
      </c>
      <c r="AX72" s="30">
        <f t="shared" si="68"/>
        <v>0</v>
      </c>
      <c r="AY72" s="30">
        <f t="shared" si="68"/>
        <v>0</v>
      </c>
      <c r="AZ72" s="30">
        <f t="shared" si="68"/>
        <v>0</v>
      </c>
      <c r="BA72" s="30">
        <f t="shared" si="68"/>
        <v>0</v>
      </c>
      <c r="BB72" s="30">
        <f t="shared" si="68"/>
        <v>0</v>
      </c>
      <c r="BC72" s="30">
        <f t="shared" si="68"/>
        <v>0</v>
      </c>
      <c r="BD72" s="30">
        <f t="shared" si="68"/>
        <v>0</v>
      </c>
      <c r="BE72" s="30">
        <f t="shared" si="68"/>
        <v>0</v>
      </c>
      <c r="BF72" s="30">
        <f t="shared" si="68"/>
        <v>0</v>
      </c>
      <c r="BG72" s="30">
        <f t="shared" si="68"/>
        <v>0</v>
      </c>
      <c r="BH72" s="30">
        <f t="shared" si="68"/>
        <v>0</v>
      </c>
      <c r="BI72" s="30">
        <f t="shared" si="68"/>
        <v>0</v>
      </c>
      <c r="BJ72" s="30">
        <f t="shared" si="68"/>
        <v>0</v>
      </c>
      <c r="BK72"/>
      <c r="BL72" s="5"/>
    </row>
    <row r="73" spans="1:64">
      <c r="A73"/>
      <c r="B73" t="s">
        <v>351</v>
      </c>
      <c r="C73" s="14">
        <f>IFERROR(((1+$C$19)^(C$8)-1)*C77,0)</f>
        <v>0</v>
      </c>
      <c r="D73" s="14">
        <f t="shared" ref="D73:BJ73" si="69">IFERROR(((1+$C$19)^(D$8)-1)*D77,0)</f>
        <v>0</v>
      </c>
      <c r="E73" s="14">
        <f t="shared" si="69"/>
        <v>0</v>
      </c>
      <c r="F73" s="14">
        <f t="shared" si="69"/>
        <v>0</v>
      </c>
      <c r="G73" s="14">
        <f t="shared" si="69"/>
        <v>0</v>
      </c>
      <c r="H73" s="14">
        <f t="shared" si="69"/>
        <v>0</v>
      </c>
      <c r="I73" s="14">
        <f t="shared" si="69"/>
        <v>0</v>
      </c>
      <c r="J73" s="14">
        <f t="shared" si="69"/>
        <v>0</v>
      </c>
      <c r="K73" s="14">
        <f t="shared" si="69"/>
        <v>0</v>
      </c>
      <c r="L73" s="14">
        <f t="shared" si="69"/>
        <v>0</v>
      </c>
      <c r="M73" s="14">
        <f t="shared" si="69"/>
        <v>0</v>
      </c>
      <c r="N73" s="14">
        <f t="shared" si="69"/>
        <v>0</v>
      </c>
      <c r="O73" s="14">
        <f t="shared" si="69"/>
        <v>0</v>
      </c>
      <c r="P73" s="14">
        <f t="shared" si="69"/>
        <v>0</v>
      </c>
      <c r="Q73" s="14">
        <f t="shared" si="69"/>
        <v>0</v>
      </c>
      <c r="R73" s="14">
        <f t="shared" si="69"/>
        <v>0</v>
      </c>
      <c r="S73" s="14">
        <f t="shared" si="69"/>
        <v>0</v>
      </c>
      <c r="T73" s="14">
        <f t="shared" si="69"/>
        <v>0</v>
      </c>
      <c r="U73" s="14">
        <f t="shared" si="69"/>
        <v>0</v>
      </c>
      <c r="V73" s="14">
        <f t="shared" si="69"/>
        <v>0</v>
      </c>
      <c r="W73" s="14">
        <f t="shared" si="69"/>
        <v>0</v>
      </c>
      <c r="X73" s="14">
        <f t="shared" si="69"/>
        <v>0</v>
      </c>
      <c r="Y73" s="14">
        <f t="shared" si="69"/>
        <v>0</v>
      </c>
      <c r="Z73" s="14">
        <f t="shared" si="69"/>
        <v>0</v>
      </c>
      <c r="AA73" s="14">
        <f t="shared" si="69"/>
        <v>0</v>
      </c>
      <c r="AB73" s="14">
        <f t="shared" si="69"/>
        <v>0</v>
      </c>
      <c r="AC73" s="14">
        <f t="shared" si="69"/>
        <v>0</v>
      </c>
      <c r="AD73" s="14">
        <f t="shared" si="69"/>
        <v>0</v>
      </c>
      <c r="AE73" s="14">
        <f t="shared" si="69"/>
        <v>0</v>
      </c>
      <c r="AF73" s="14">
        <f t="shared" si="69"/>
        <v>0</v>
      </c>
      <c r="AG73" s="14">
        <f t="shared" si="69"/>
        <v>0</v>
      </c>
      <c r="AH73" s="14">
        <f t="shared" si="69"/>
        <v>0</v>
      </c>
      <c r="AI73" s="14">
        <f t="shared" si="69"/>
        <v>0</v>
      </c>
      <c r="AJ73" s="14">
        <f t="shared" si="69"/>
        <v>0</v>
      </c>
      <c r="AK73" s="14">
        <f t="shared" si="69"/>
        <v>0</v>
      </c>
      <c r="AL73" s="14">
        <f t="shared" si="69"/>
        <v>0</v>
      </c>
      <c r="AM73" s="14">
        <f t="shared" si="69"/>
        <v>0</v>
      </c>
      <c r="AN73" s="14">
        <f t="shared" si="69"/>
        <v>0</v>
      </c>
      <c r="AO73" s="14">
        <f t="shared" si="69"/>
        <v>0</v>
      </c>
      <c r="AP73" s="14">
        <f t="shared" si="69"/>
        <v>0</v>
      </c>
      <c r="AQ73" s="14">
        <f t="shared" si="69"/>
        <v>0</v>
      </c>
      <c r="AR73" s="14">
        <f t="shared" si="69"/>
        <v>0</v>
      </c>
      <c r="AS73" s="14">
        <f t="shared" si="69"/>
        <v>0</v>
      </c>
      <c r="AT73" s="14">
        <f t="shared" si="69"/>
        <v>0</v>
      </c>
      <c r="AU73" s="14">
        <f t="shared" si="69"/>
        <v>0</v>
      </c>
      <c r="AV73" s="14">
        <f t="shared" si="69"/>
        <v>0</v>
      </c>
      <c r="AW73" s="14">
        <f t="shared" si="69"/>
        <v>0</v>
      </c>
      <c r="AX73" s="14">
        <f t="shared" si="69"/>
        <v>0</v>
      </c>
      <c r="AY73" s="14">
        <f t="shared" si="69"/>
        <v>0</v>
      </c>
      <c r="AZ73" s="14">
        <f t="shared" si="69"/>
        <v>0</v>
      </c>
      <c r="BA73" s="14">
        <f t="shared" si="69"/>
        <v>0</v>
      </c>
      <c r="BB73" s="14">
        <f t="shared" si="69"/>
        <v>0</v>
      </c>
      <c r="BC73" s="14">
        <f t="shared" si="69"/>
        <v>0</v>
      </c>
      <c r="BD73" s="14">
        <f t="shared" si="69"/>
        <v>0</v>
      </c>
      <c r="BE73" s="14">
        <f t="shared" si="69"/>
        <v>0</v>
      </c>
      <c r="BF73" s="14">
        <f t="shared" si="69"/>
        <v>0</v>
      </c>
      <c r="BG73" s="14">
        <f t="shared" si="69"/>
        <v>0</v>
      </c>
      <c r="BH73" s="14">
        <f t="shared" si="69"/>
        <v>0</v>
      </c>
      <c r="BI73" s="14">
        <f t="shared" si="69"/>
        <v>0</v>
      </c>
      <c r="BJ73" s="14">
        <f t="shared" si="69"/>
        <v>0</v>
      </c>
      <c r="BK73"/>
      <c r="BL73" s="5"/>
    </row>
    <row r="74" spans="1:64">
      <c r="A74"/>
      <c r="B74" t="s">
        <v>352</v>
      </c>
      <c r="C74" s="14">
        <f t="shared" ref="C74:AH74" si="70">-MAX(0,MIN(SUM(C72:C73),C70))</f>
        <v>0</v>
      </c>
      <c r="D74" s="14">
        <f t="shared" si="70"/>
        <v>0</v>
      </c>
      <c r="E74" s="14">
        <f t="shared" si="70"/>
        <v>0</v>
      </c>
      <c r="F74" s="14">
        <f t="shared" si="70"/>
        <v>0</v>
      </c>
      <c r="G74" s="14">
        <f t="shared" si="70"/>
        <v>0</v>
      </c>
      <c r="H74" s="14">
        <f t="shared" si="70"/>
        <v>0</v>
      </c>
      <c r="I74" s="14">
        <f t="shared" si="70"/>
        <v>0</v>
      </c>
      <c r="J74" s="14">
        <f t="shared" si="70"/>
        <v>0</v>
      </c>
      <c r="K74" s="14">
        <f t="shared" si="70"/>
        <v>0</v>
      </c>
      <c r="L74" s="14">
        <f t="shared" si="70"/>
        <v>0</v>
      </c>
      <c r="M74" s="14">
        <f t="shared" si="70"/>
        <v>0</v>
      </c>
      <c r="N74" s="14">
        <f t="shared" si="70"/>
        <v>0</v>
      </c>
      <c r="O74" s="14">
        <f t="shared" si="70"/>
        <v>0</v>
      </c>
      <c r="P74" s="14">
        <f t="shared" si="70"/>
        <v>0</v>
      </c>
      <c r="Q74" s="14">
        <f t="shared" si="70"/>
        <v>0</v>
      </c>
      <c r="R74" s="14">
        <f t="shared" si="70"/>
        <v>0</v>
      </c>
      <c r="S74" s="14">
        <f t="shared" si="70"/>
        <v>0</v>
      </c>
      <c r="T74" s="14">
        <f t="shared" si="70"/>
        <v>0</v>
      </c>
      <c r="U74" s="14">
        <f t="shared" si="70"/>
        <v>0</v>
      </c>
      <c r="V74" s="14">
        <f t="shared" si="70"/>
        <v>0</v>
      </c>
      <c r="W74" s="14">
        <f t="shared" si="70"/>
        <v>0</v>
      </c>
      <c r="X74" s="14">
        <f t="shared" si="70"/>
        <v>0</v>
      </c>
      <c r="Y74" s="14">
        <f t="shared" si="70"/>
        <v>0</v>
      </c>
      <c r="Z74" s="14">
        <f t="shared" si="70"/>
        <v>0</v>
      </c>
      <c r="AA74" s="14">
        <f t="shared" si="70"/>
        <v>0</v>
      </c>
      <c r="AB74" s="14">
        <f t="shared" si="70"/>
        <v>0</v>
      </c>
      <c r="AC74" s="14">
        <f t="shared" si="70"/>
        <v>0</v>
      </c>
      <c r="AD74" s="14">
        <f t="shared" si="70"/>
        <v>0</v>
      </c>
      <c r="AE74" s="14">
        <f t="shared" si="70"/>
        <v>0</v>
      </c>
      <c r="AF74" s="14">
        <f t="shared" si="70"/>
        <v>0</v>
      </c>
      <c r="AG74" s="14">
        <f t="shared" si="70"/>
        <v>0</v>
      </c>
      <c r="AH74" s="14">
        <f t="shared" si="70"/>
        <v>0</v>
      </c>
      <c r="AI74" s="14">
        <f t="shared" ref="AI74:BJ74" si="71">-MAX(0,MIN(SUM(AI72:AI73),AI70))</f>
        <v>0</v>
      </c>
      <c r="AJ74" s="14">
        <f t="shared" si="71"/>
        <v>0</v>
      </c>
      <c r="AK74" s="14">
        <f t="shared" si="71"/>
        <v>0</v>
      </c>
      <c r="AL74" s="14">
        <f t="shared" si="71"/>
        <v>0</v>
      </c>
      <c r="AM74" s="14">
        <f t="shared" si="71"/>
        <v>0</v>
      </c>
      <c r="AN74" s="14">
        <f t="shared" si="71"/>
        <v>0</v>
      </c>
      <c r="AO74" s="14">
        <f t="shared" si="71"/>
        <v>0</v>
      </c>
      <c r="AP74" s="14">
        <f t="shared" si="71"/>
        <v>0</v>
      </c>
      <c r="AQ74" s="14">
        <f t="shared" si="71"/>
        <v>0</v>
      </c>
      <c r="AR74" s="14">
        <f t="shared" si="71"/>
        <v>0</v>
      </c>
      <c r="AS74" s="14">
        <f t="shared" si="71"/>
        <v>0</v>
      </c>
      <c r="AT74" s="14">
        <f t="shared" si="71"/>
        <v>0</v>
      </c>
      <c r="AU74" s="14">
        <f t="shared" si="71"/>
        <v>0</v>
      </c>
      <c r="AV74" s="14">
        <f t="shared" si="71"/>
        <v>0</v>
      </c>
      <c r="AW74" s="14">
        <f t="shared" si="71"/>
        <v>0</v>
      </c>
      <c r="AX74" s="14">
        <f t="shared" si="71"/>
        <v>0</v>
      </c>
      <c r="AY74" s="14">
        <f t="shared" si="71"/>
        <v>0</v>
      </c>
      <c r="AZ74" s="14">
        <f t="shared" si="71"/>
        <v>0</v>
      </c>
      <c r="BA74" s="14">
        <f t="shared" si="71"/>
        <v>0</v>
      </c>
      <c r="BB74" s="14">
        <f t="shared" si="71"/>
        <v>0</v>
      </c>
      <c r="BC74" s="14">
        <f t="shared" si="71"/>
        <v>0</v>
      </c>
      <c r="BD74" s="14">
        <f t="shared" si="71"/>
        <v>0</v>
      </c>
      <c r="BE74" s="14">
        <f t="shared" si="71"/>
        <v>0</v>
      </c>
      <c r="BF74" s="14">
        <f t="shared" si="71"/>
        <v>0</v>
      </c>
      <c r="BG74" s="14">
        <f t="shared" si="71"/>
        <v>0</v>
      </c>
      <c r="BH74" s="14">
        <f t="shared" si="71"/>
        <v>0</v>
      </c>
      <c r="BI74" s="14">
        <f t="shared" si="71"/>
        <v>0</v>
      </c>
      <c r="BJ74" s="14">
        <f t="shared" si="71"/>
        <v>0</v>
      </c>
      <c r="BK74"/>
      <c r="BL74" s="5"/>
    </row>
    <row r="75" spans="1:64">
      <c r="A75"/>
      <c r="B75" s="3" t="s">
        <v>353</v>
      </c>
      <c r="C75" s="13">
        <f>SUM(C72:C74)</f>
        <v>0</v>
      </c>
      <c r="D75" s="13">
        <f>SUM(D72:D74)</f>
        <v>0</v>
      </c>
      <c r="E75" s="13">
        <f t="shared" ref="E75:BJ75" si="72">SUM(E72:E74)</f>
        <v>0</v>
      </c>
      <c r="F75" s="13">
        <f t="shared" si="72"/>
        <v>0</v>
      </c>
      <c r="G75" s="13">
        <f t="shared" si="72"/>
        <v>0</v>
      </c>
      <c r="H75" s="13">
        <f t="shared" si="72"/>
        <v>0</v>
      </c>
      <c r="I75" s="13">
        <f t="shared" si="72"/>
        <v>0</v>
      </c>
      <c r="J75" s="13">
        <f t="shared" si="72"/>
        <v>0</v>
      </c>
      <c r="K75" s="13">
        <f t="shared" si="72"/>
        <v>0</v>
      </c>
      <c r="L75" s="13">
        <f t="shared" si="72"/>
        <v>0</v>
      </c>
      <c r="M75" s="13">
        <f t="shared" si="72"/>
        <v>0</v>
      </c>
      <c r="N75" s="13">
        <f t="shared" si="72"/>
        <v>0</v>
      </c>
      <c r="O75" s="13">
        <f t="shared" si="72"/>
        <v>0</v>
      </c>
      <c r="P75" s="13">
        <f t="shared" si="72"/>
        <v>0</v>
      </c>
      <c r="Q75" s="13">
        <f t="shared" si="72"/>
        <v>0</v>
      </c>
      <c r="R75" s="13">
        <f t="shared" si="72"/>
        <v>0</v>
      </c>
      <c r="S75" s="13">
        <f t="shared" si="72"/>
        <v>0</v>
      </c>
      <c r="T75" s="13">
        <f t="shared" si="72"/>
        <v>0</v>
      </c>
      <c r="U75" s="13">
        <f t="shared" si="72"/>
        <v>0</v>
      </c>
      <c r="V75" s="13">
        <f t="shared" si="72"/>
        <v>0</v>
      </c>
      <c r="W75" s="13">
        <f t="shared" si="72"/>
        <v>0</v>
      </c>
      <c r="X75" s="13">
        <f t="shared" si="72"/>
        <v>0</v>
      </c>
      <c r="Y75" s="13">
        <f t="shared" si="72"/>
        <v>0</v>
      </c>
      <c r="Z75" s="13">
        <f t="shared" si="72"/>
        <v>0</v>
      </c>
      <c r="AA75" s="13">
        <f t="shared" si="72"/>
        <v>0</v>
      </c>
      <c r="AB75" s="13">
        <f t="shared" si="72"/>
        <v>0</v>
      </c>
      <c r="AC75" s="13">
        <f t="shared" si="72"/>
        <v>0</v>
      </c>
      <c r="AD75" s="13">
        <f t="shared" si="72"/>
        <v>0</v>
      </c>
      <c r="AE75" s="13">
        <f t="shared" si="72"/>
        <v>0</v>
      </c>
      <c r="AF75" s="13">
        <f t="shared" si="72"/>
        <v>0</v>
      </c>
      <c r="AG75" s="13">
        <f t="shared" si="72"/>
        <v>0</v>
      </c>
      <c r="AH75" s="13">
        <f t="shared" si="72"/>
        <v>0</v>
      </c>
      <c r="AI75" s="13">
        <f t="shared" si="72"/>
        <v>0</v>
      </c>
      <c r="AJ75" s="13">
        <f t="shared" si="72"/>
        <v>0</v>
      </c>
      <c r="AK75" s="13">
        <f t="shared" si="72"/>
        <v>0</v>
      </c>
      <c r="AL75" s="13">
        <f t="shared" si="72"/>
        <v>0</v>
      </c>
      <c r="AM75" s="13">
        <f t="shared" si="72"/>
        <v>0</v>
      </c>
      <c r="AN75" s="13">
        <f t="shared" si="72"/>
        <v>0</v>
      </c>
      <c r="AO75" s="13">
        <f t="shared" si="72"/>
        <v>0</v>
      </c>
      <c r="AP75" s="13">
        <f t="shared" si="72"/>
        <v>0</v>
      </c>
      <c r="AQ75" s="13">
        <f t="shared" si="72"/>
        <v>0</v>
      </c>
      <c r="AR75" s="13">
        <f t="shared" si="72"/>
        <v>0</v>
      </c>
      <c r="AS75" s="13">
        <f t="shared" si="72"/>
        <v>0</v>
      </c>
      <c r="AT75" s="13">
        <f t="shared" si="72"/>
        <v>0</v>
      </c>
      <c r="AU75" s="13">
        <f t="shared" si="72"/>
        <v>0</v>
      </c>
      <c r="AV75" s="13">
        <f t="shared" si="72"/>
        <v>0</v>
      </c>
      <c r="AW75" s="13">
        <f t="shared" si="72"/>
        <v>0</v>
      </c>
      <c r="AX75" s="13">
        <f t="shared" si="72"/>
        <v>0</v>
      </c>
      <c r="AY75" s="13">
        <f t="shared" si="72"/>
        <v>0</v>
      </c>
      <c r="AZ75" s="13">
        <f t="shared" si="72"/>
        <v>0</v>
      </c>
      <c r="BA75" s="13">
        <f t="shared" si="72"/>
        <v>0</v>
      </c>
      <c r="BB75" s="13">
        <f t="shared" si="72"/>
        <v>0</v>
      </c>
      <c r="BC75" s="13">
        <f t="shared" si="72"/>
        <v>0</v>
      </c>
      <c r="BD75" s="13">
        <f t="shared" si="72"/>
        <v>0</v>
      </c>
      <c r="BE75" s="13">
        <f t="shared" si="72"/>
        <v>0</v>
      </c>
      <c r="BF75" s="13">
        <f t="shared" si="72"/>
        <v>0</v>
      </c>
      <c r="BG75" s="13">
        <f t="shared" si="72"/>
        <v>0</v>
      </c>
      <c r="BH75" s="13">
        <f t="shared" si="72"/>
        <v>0</v>
      </c>
      <c r="BI75" s="13">
        <f t="shared" si="72"/>
        <v>0</v>
      </c>
      <c r="BJ75" s="13">
        <f t="shared" si="72"/>
        <v>0</v>
      </c>
      <c r="BK75"/>
      <c r="BL75" s="5"/>
    </row>
    <row r="76" spans="1:64">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s="5"/>
    </row>
    <row r="77" spans="1:64">
      <c r="A77"/>
      <c r="B77" t="s">
        <v>354</v>
      </c>
      <c r="C77" s="14">
        <v>0</v>
      </c>
      <c r="D77" s="30" t="e">
        <f>+C82</f>
        <v>#REF!</v>
      </c>
      <c r="E77" s="30" t="e">
        <f t="shared" ref="E77:BJ77" si="73">+D82</f>
        <v>#REF!</v>
      </c>
      <c r="F77" s="30" t="e">
        <f t="shared" si="73"/>
        <v>#REF!</v>
      </c>
      <c r="G77" s="30" t="e">
        <f t="shared" si="73"/>
        <v>#REF!</v>
      </c>
      <c r="H77" s="30" t="e">
        <f t="shared" si="73"/>
        <v>#REF!</v>
      </c>
      <c r="I77" s="30" t="e">
        <f t="shared" si="73"/>
        <v>#REF!</v>
      </c>
      <c r="J77" s="30" t="e">
        <f t="shared" si="73"/>
        <v>#REF!</v>
      </c>
      <c r="K77" s="30" t="e">
        <f t="shared" si="73"/>
        <v>#REF!</v>
      </c>
      <c r="L77" s="30" t="e">
        <f t="shared" si="73"/>
        <v>#REF!</v>
      </c>
      <c r="M77" s="30" t="e">
        <f t="shared" si="73"/>
        <v>#REF!</v>
      </c>
      <c r="N77" s="30" t="e">
        <f t="shared" si="73"/>
        <v>#REF!</v>
      </c>
      <c r="O77" s="30" t="e">
        <f t="shared" si="73"/>
        <v>#REF!</v>
      </c>
      <c r="P77" s="30" t="e">
        <f t="shared" si="73"/>
        <v>#REF!</v>
      </c>
      <c r="Q77" s="30" t="e">
        <f t="shared" si="73"/>
        <v>#REF!</v>
      </c>
      <c r="R77" s="30" t="e">
        <f t="shared" si="73"/>
        <v>#REF!</v>
      </c>
      <c r="S77" s="30" t="e">
        <f t="shared" si="73"/>
        <v>#REF!</v>
      </c>
      <c r="T77" s="30" t="e">
        <f t="shared" si="73"/>
        <v>#REF!</v>
      </c>
      <c r="U77" s="30" t="e">
        <f t="shared" si="73"/>
        <v>#REF!</v>
      </c>
      <c r="V77" s="30" t="e">
        <f t="shared" si="73"/>
        <v>#REF!</v>
      </c>
      <c r="W77" s="30" t="e">
        <f t="shared" si="73"/>
        <v>#REF!</v>
      </c>
      <c r="X77" s="30" t="e">
        <f t="shared" si="73"/>
        <v>#REF!</v>
      </c>
      <c r="Y77" s="30" t="e">
        <f t="shared" si="73"/>
        <v>#REF!</v>
      </c>
      <c r="Z77" s="30" t="e">
        <f t="shared" si="73"/>
        <v>#REF!</v>
      </c>
      <c r="AA77" s="30" t="e">
        <f t="shared" si="73"/>
        <v>#REF!</v>
      </c>
      <c r="AB77" s="30" t="e">
        <f t="shared" si="73"/>
        <v>#REF!</v>
      </c>
      <c r="AC77" s="30" t="e">
        <f t="shared" si="73"/>
        <v>#REF!</v>
      </c>
      <c r="AD77" s="30" t="e">
        <f t="shared" si="73"/>
        <v>#REF!</v>
      </c>
      <c r="AE77" s="30" t="e">
        <f t="shared" si="73"/>
        <v>#REF!</v>
      </c>
      <c r="AF77" s="30" t="e">
        <f t="shared" si="73"/>
        <v>#REF!</v>
      </c>
      <c r="AG77" s="30" t="e">
        <f t="shared" si="73"/>
        <v>#REF!</v>
      </c>
      <c r="AH77" s="30" t="e">
        <f t="shared" si="73"/>
        <v>#REF!</v>
      </c>
      <c r="AI77" s="30" t="e">
        <f t="shared" si="73"/>
        <v>#REF!</v>
      </c>
      <c r="AJ77" s="30" t="e">
        <f t="shared" si="73"/>
        <v>#REF!</v>
      </c>
      <c r="AK77" s="30" t="e">
        <f t="shared" si="73"/>
        <v>#REF!</v>
      </c>
      <c r="AL77" s="30" t="e">
        <f t="shared" si="73"/>
        <v>#REF!</v>
      </c>
      <c r="AM77" s="30" t="e">
        <f t="shared" si="73"/>
        <v>#REF!</v>
      </c>
      <c r="AN77" s="30" t="e">
        <f t="shared" si="73"/>
        <v>#REF!</v>
      </c>
      <c r="AO77" s="30" t="e">
        <f t="shared" si="73"/>
        <v>#REF!</v>
      </c>
      <c r="AP77" s="30" t="e">
        <f t="shared" si="73"/>
        <v>#REF!</v>
      </c>
      <c r="AQ77" s="30" t="e">
        <f t="shared" si="73"/>
        <v>#REF!</v>
      </c>
      <c r="AR77" s="30" t="e">
        <f t="shared" si="73"/>
        <v>#REF!</v>
      </c>
      <c r="AS77" s="30" t="e">
        <f t="shared" si="73"/>
        <v>#REF!</v>
      </c>
      <c r="AT77" s="30" t="e">
        <f t="shared" si="73"/>
        <v>#REF!</v>
      </c>
      <c r="AU77" s="30" t="e">
        <f t="shared" si="73"/>
        <v>#REF!</v>
      </c>
      <c r="AV77" s="30" t="e">
        <f t="shared" si="73"/>
        <v>#REF!</v>
      </c>
      <c r="AW77" s="30" t="e">
        <f t="shared" si="73"/>
        <v>#REF!</v>
      </c>
      <c r="AX77" s="30" t="e">
        <f t="shared" si="73"/>
        <v>#REF!</v>
      </c>
      <c r="AY77" s="30" t="e">
        <f t="shared" si="73"/>
        <v>#REF!</v>
      </c>
      <c r="AZ77" s="30" t="e">
        <f t="shared" si="73"/>
        <v>#REF!</v>
      </c>
      <c r="BA77" s="30" t="e">
        <f t="shared" si="73"/>
        <v>#REF!</v>
      </c>
      <c r="BB77" s="30" t="e">
        <f t="shared" si="73"/>
        <v>#REF!</v>
      </c>
      <c r="BC77" s="30" t="e">
        <f t="shared" si="73"/>
        <v>#REF!</v>
      </c>
      <c r="BD77" s="30" t="e">
        <f t="shared" si="73"/>
        <v>#REF!</v>
      </c>
      <c r="BE77" s="30" t="e">
        <f t="shared" si="73"/>
        <v>#REF!</v>
      </c>
      <c r="BF77" s="30" t="e">
        <f t="shared" si="73"/>
        <v>#REF!</v>
      </c>
      <c r="BG77" s="30" t="e">
        <f t="shared" si="73"/>
        <v>#REF!</v>
      </c>
      <c r="BH77" s="30" t="e">
        <f t="shared" si="73"/>
        <v>#REF!</v>
      </c>
      <c r="BI77" s="30" t="e">
        <f t="shared" si="73"/>
        <v>#REF!</v>
      </c>
      <c r="BJ77" s="30" t="e">
        <f t="shared" si="73"/>
        <v>#REF!</v>
      </c>
      <c r="BK77"/>
      <c r="BL77" s="5"/>
    </row>
    <row r="78" spans="1:64">
      <c r="A78"/>
      <c r="B78" t="s">
        <v>351</v>
      </c>
      <c r="C78" s="14">
        <f>+C73</f>
        <v>0</v>
      </c>
      <c r="D78" s="14">
        <f t="shared" ref="D78:BJ78" si="74">+D73</f>
        <v>0</v>
      </c>
      <c r="E78" s="14">
        <f t="shared" si="74"/>
        <v>0</v>
      </c>
      <c r="F78" s="14">
        <f t="shared" si="74"/>
        <v>0</v>
      </c>
      <c r="G78" s="14">
        <f t="shared" si="74"/>
        <v>0</v>
      </c>
      <c r="H78" s="14">
        <f t="shared" si="74"/>
        <v>0</v>
      </c>
      <c r="I78" s="14">
        <f t="shared" si="74"/>
        <v>0</v>
      </c>
      <c r="J78" s="14">
        <f t="shared" si="74"/>
        <v>0</v>
      </c>
      <c r="K78" s="14">
        <f t="shared" si="74"/>
        <v>0</v>
      </c>
      <c r="L78" s="14">
        <f t="shared" si="74"/>
        <v>0</v>
      </c>
      <c r="M78" s="14">
        <f t="shared" si="74"/>
        <v>0</v>
      </c>
      <c r="N78" s="14">
        <f t="shared" si="74"/>
        <v>0</v>
      </c>
      <c r="O78" s="14">
        <f t="shared" si="74"/>
        <v>0</v>
      </c>
      <c r="P78" s="14">
        <f t="shared" si="74"/>
        <v>0</v>
      </c>
      <c r="Q78" s="14">
        <f t="shared" si="74"/>
        <v>0</v>
      </c>
      <c r="R78" s="14">
        <f t="shared" si="74"/>
        <v>0</v>
      </c>
      <c r="S78" s="14">
        <f t="shared" si="74"/>
        <v>0</v>
      </c>
      <c r="T78" s="14">
        <f t="shared" si="74"/>
        <v>0</v>
      </c>
      <c r="U78" s="14">
        <f t="shared" si="74"/>
        <v>0</v>
      </c>
      <c r="V78" s="14">
        <f t="shared" si="74"/>
        <v>0</v>
      </c>
      <c r="W78" s="14">
        <f t="shared" si="74"/>
        <v>0</v>
      </c>
      <c r="X78" s="14">
        <f t="shared" si="74"/>
        <v>0</v>
      </c>
      <c r="Y78" s="14">
        <f t="shared" si="74"/>
        <v>0</v>
      </c>
      <c r="Z78" s="14">
        <f t="shared" si="74"/>
        <v>0</v>
      </c>
      <c r="AA78" s="14">
        <f t="shared" si="74"/>
        <v>0</v>
      </c>
      <c r="AB78" s="14">
        <f t="shared" si="74"/>
        <v>0</v>
      </c>
      <c r="AC78" s="14">
        <f t="shared" si="74"/>
        <v>0</v>
      </c>
      <c r="AD78" s="14">
        <f t="shared" si="74"/>
        <v>0</v>
      </c>
      <c r="AE78" s="14">
        <f t="shared" si="74"/>
        <v>0</v>
      </c>
      <c r="AF78" s="14">
        <f t="shared" si="74"/>
        <v>0</v>
      </c>
      <c r="AG78" s="14">
        <f t="shared" si="74"/>
        <v>0</v>
      </c>
      <c r="AH78" s="14">
        <f t="shared" si="74"/>
        <v>0</v>
      </c>
      <c r="AI78" s="14">
        <f t="shared" si="74"/>
        <v>0</v>
      </c>
      <c r="AJ78" s="14">
        <f t="shared" si="74"/>
        <v>0</v>
      </c>
      <c r="AK78" s="14">
        <f t="shared" si="74"/>
        <v>0</v>
      </c>
      <c r="AL78" s="14">
        <f t="shared" si="74"/>
        <v>0</v>
      </c>
      <c r="AM78" s="14">
        <f t="shared" si="74"/>
        <v>0</v>
      </c>
      <c r="AN78" s="14">
        <f t="shared" si="74"/>
        <v>0</v>
      </c>
      <c r="AO78" s="14">
        <f t="shared" si="74"/>
        <v>0</v>
      </c>
      <c r="AP78" s="14">
        <f t="shared" si="74"/>
        <v>0</v>
      </c>
      <c r="AQ78" s="14">
        <f t="shared" si="74"/>
        <v>0</v>
      </c>
      <c r="AR78" s="14">
        <f t="shared" si="74"/>
        <v>0</v>
      </c>
      <c r="AS78" s="14">
        <f t="shared" si="74"/>
        <v>0</v>
      </c>
      <c r="AT78" s="14">
        <f t="shared" si="74"/>
        <v>0</v>
      </c>
      <c r="AU78" s="14">
        <f t="shared" si="74"/>
        <v>0</v>
      </c>
      <c r="AV78" s="14">
        <f t="shared" si="74"/>
        <v>0</v>
      </c>
      <c r="AW78" s="14">
        <f t="shared" si="74"/>
        <v>0</v>
      </c>
      <c r="AX78" s="14">
        <f t="shared" si="74"/>
        <v>0</v>
      </c>
      <c r="AY78" s="14">
        <f t="shared" si="74"/>
        <v>0</v>
      </c>
      <c r="AZ78" s="14">
        <f t="shared" si="74"/>
        <v>0</v>
      </c>
      <c r="BA78" s="14">
        <f t="shared" si="74"/>
        <v>0</v>
      </c>
      <c r="BB78" s="14">
        <f t="shared" si="74"/>
        <v>0</v>
      </c>
      <c r="BC78" s="14">
        <f t="shared" si="74"/>
        <v>0</v>
      </c>
      <c r="BD78" s="14">
        <f t="shared" si="74"/>
        <v>0</v>
      </c>
      <c r="BE78" s="14">
        <f t="shared" si="74"/>
        <v>0</v>
      </c>
      <c r="BF78" s="14">
        <f t="shared" si="74"/>
        <v>0</v>
      </c>
      <c r="BG78" s="14">
        <f t="shared" si="74"/>
        <v>0</v>
      </c>
      <c r="BH78" s="14">
        <f t="shared" si="74"/>
        <v>0</v>
      </c>
      <c r="BI78" s="14">
        <f t="shared" si="74"/>
        <v>0</v>
      </c>
      <c r="BJ78" s="14">
        <f t="shared" si="74"/>
        <v>0</v>
      </c>
      <c r="BK78"/>
      <c r="BL78" s="5"/>
    </row>
    <row r="79" spans="1:64">
      <c r="A79"/>
      <c r="B79" t="s">
        <v>355</v>
      </c>
      <c r="C79" s="14" t="e">
        <f>+C90</f>
        <v>#REF!</v>
      </c>
      <c r="D79" s="14">
        <f t="shared" ref="D79:BJ79" si="75">+D90</f>
        <v>0</v>
      </c>
      <c r="E79" s="14">
        <f t="shared" si="75"/>
        <v>0</v>
      </c>
      <c r="F79" s="14">
        <f t="shared" si="75"/>
        <v>0</v>
      </c>
      <c r="G79" s="14">
        <f t="shared" si="75"/>
        <v>0</v>
      </c>
      <c r="H79" s="14">
        <f t="shared" si="75"/>
        <v>0</v>
      </c>
      <c r="I79" s="14">
        <f t="shared" si="75"/>
        <v>0</v>
      </c>
      <c r="J79" s="14">
        <f t="shared" si="75"/>
        <v>0</v>
      </c>
      <c r="K79" s="14">
        <f t="shared" si="75"/>
        <v>0</v>
      </c>
      <c r="L79" s="14">
        <f t="shared" si="75"/>
        <v>0</v>
      </c>
      <c r="M79" s="14">
        <f t="shared" si="75"/>
        <v>0</v>
      </c>
      <c r="N79" s="14">
        <f t="shared" si="75"/>
        <v>0</v>
      </c>
      <c r="O79" s="14">
        <f t="shared" si="75"/>
        <v>0</v>
      </c>
      <c r="P79" s="14">
        <f t="shared" si="75"/>
        <v>0</v>
      </c>
      <c r="Q79" s="14">
        <f t="shared" si="75"/>
        <v>0</v>
      </c>
      <c r="R79" s="14">
        <f t="shared" si="75"/>
        <v>0</v>
      </c>
      <c r="S79" s="14">
        <f t="shared" si="75"/>
        <v>0</v>
      </c>
      <c r="T79" s="14">
        <f t="shared" si="75"/>
        <v>0</v>
      </c>
      <c r="U79" s="14">
        <f t="shared" si="75"/>
        <v>0</v>
      </c>
      <c r="V79" s="14">
        <f t="shared" si="75"/>
        <v>0</v>
      </c>
      <c r="W79" s="14">
        <f t="shared" si="75"/>
        <v>0</v>
      </c>
      <c r="X79" s="14">
        <f t="shared" si="75"/>
        <v>0</v>
      </c>
      <c r="Y79" s="14">
        <f t="shared" si="75"/>
        <v>0</v>
      </c>
      <c r="Z79" s="14">
        <f t="shared" si="75"/>
        <v>0</v>
      </c>
      <c r="AA79" s="14">
        <f t="shared" si="75"/>
        <v>0</v>
      </c>
      <c r="AB79" s="14">
        <f t="shared" si="75"/>
        <v>0</v>
      </c>
      <c r="AC79" s="14">
        <f t="shared" si="75"/>
        <v>0</v>
      </c>
      <c r="AD79" s="14">
        <f t="shared" si="75"/>
        <v>0</v>
      </c>
      <c r="AE79" s="14">
        <f t="shared" si="75"/>
        <v>0</v>
      </c>
      <c r="AF79" s="14">
        <f t="shared" si="75"/>
        <v>0</v>
      </c>
      <c r="AG79" s="14">
        <f t="shared" si="75"/>
        <v>0</v>
      </c>
      <c r="AH79" s="14">
        <f t="shared" si="75"/>
        <v>0</v>
      </c>
      <c r="AI79" s="14">
        <f t="shared" si="75"/>
        <v>0</v>
      </c>
      <c r="AJ79" s="14">
        <f t="shared" si="75"/>
        <v>0</v>
      </c>
      <c r="AK79" s="14">
        <f t="shared" si="75"/>
        <v>0</v>
      </c>
      <c r="AL79" s="14">
        <f t="shared" si="75"/>
        <v>0</v>
      </c>
      <c r="AM79" s="14">
        <f t="shared" si="75"/>
        <v>0</v>
      </c>
      <c r="AN79" s="14">
        <f t="shared" si="75"/>
        <v>0</v>
      </c>
      <c r="AO79" s="14">
        <f t="shared" si="75"/>
        <v>0</v>
      </c>
      <c r="AP79" s="14">
        <f t="shared" si="75"/>
        <v>0</v>
      </c>
      <c r="AQ79" s="14">
        <f t="shared" si="75"/>
        <v>0</v>
      </c>
      <c r="AR79" s="14">
        <f t="shared" si="75"/>
        <v>0</v>
      </c>
      <c r="AS79" s="14">
        <f t="shared" si="75"/>
        <v>0</v>
      </c>
      <c r="AT79" s="14">
        <f t="shared" si="75"/>
        <v>0</v>
      </c>
      <c r="AU79" s="14">
        <f t="shared" si="75"/>
        <v>0</v>
      </c>
      <c r="AV79" s="14">
        <f t="shared" si="75"/>
        <v>0</v>
      </c>
      <c r="AW79" s="14">
        <f t="shared" si="75"/>
        <v>0</v>
      </c>
      <c r="AX79" s="14">
        <f t="shared" si="75"/>
        <v>0</v>
      </c>
      <c r="AY79" s="14">
        <f t="shared" si="75"/>
        <v>0</v>
      </c>
      <c r="AZ79" s="14">
        <f t="shared" si="75"/>
        <v>0</v>
      </c>
      <c r="BA79" s="14">
        <f t="shared" si="75"/>
        <v>0</v>
      </c>
      <c r="BB79" s="14">
        <f t="shared" si="75"/>
        <v>0</v>
      </c>
      <c r="BC79" s="14">
        <f t="shared" si="75"/>
        <v>0</v>
      </c>
      <c r="BD79" s="14">
        <f t="shared" si="75"/>
        <v>0</v>
      </c>
      <c r="BE79" s="14">
        <f t="shared" si="75"/>
        <v>0</v>
      </c>
      <c r="BF79" s="14">
        <f t="shared" si="75"/>
        <v>0</v>
      </c>
      <c r="BG79" s="14">
        <f t="shared" si="75"/>
        <v>0</v>
      </c>
      <c r="BH79" s="14">
        <f t="shared" si="75"/>
        <v>0</v>
      </c>
      <c r="BI79" s="14">
        <f t="shared" si="75"/>
        <v>0</v>
      </c>
      <c r="BJ79" s="14">
        <f t="shared" si="75"/>
        <v>0</v>
      </c>
      <c r="BK79"/>
      <c r="BL79" s="5"/>
    </row>
    <row r="80" spans="1:64">
      <c r="A80"/>
      <c r="B80" t="s">
        <v>352</v>
      </c>
      <c r="C80" s="14">
        <f>+C74</f>
        <v>0</v>
      </c>
      <c r="D80" s="14">
        <f t="shared" ref="D80:BJ80" si="76">+D74</f>
        <v>0</v>
      </c>
      <c r="E80" s="14">
        <f t="shared" si="76"/>
        <v>0</v>
      </c>
      <c r="F80" s="14">
        <f t="shared" si="76"/>
        <v>0</v>
      </c>
      <c r="G80" s="14">
        <f t="shared" si="76"/>
        <v>0</v>
      </c>
      <c r="H80" s="14">
        <f t="shared" si="76"/>
        <v>0</v>
      </c>
      <c r="I80" s="14">
        <f t="shared" si="76"/>
        <v>0</v>
      </c>
      <c r="J80" s="14">
        <f t="shared" si="76"/>
        <v>0</v>
      </c>
      <c r="K80" s="14">
        <f t="shared" si="76"/>
        <v>0</v>
      </c>
      <c r="L80" s="14">
        <f t="shared" si="76"/>
        <v>0</v>
      </c>
      <c r="M80" s="14">
        <f t="shared" si="76"/>
        <v>0</v>
      </c>
      <c r="N80" s="14">
        <f t="shared" si="76"/>
        <v>0</v>
      </c>
      <c r="O80" s="14">
        <f t="shared" si="76"/>
        <v>0</v>
      </c>
      <c r="P80" s="14">
        <f t="shared" si="76"/>
        <v>0</v>
      </c>
      <c r="Q80" s="14">
        <f t="shared" si="76"/>
        <v>0</v>
      </c>
      <c r="R80" s="14">
        <f t="shared" si="76"/>
        <v>0</v>
      </c>
      <c r="S80" s="14">
        <f t="shared" si="76"/>
        <v>0</v>
      </c>
      <c r="T80" s="14">
        <f t="shared" si="76"/>
        <v>0</v>
      </c>
      <c r="U80" s="14">
        <f t="shared" si="76"/>
        <v>0</v>
      </c>
      <c r="V80" s="14">
        <f t="shared" si="76"/>
        <v>0</v>
      </c>
      <c r="W80" s="14">
        <f t="shared" si="76"/>
        <v>0</v>
      </c>
      <c r="X80" s="14">
        <f t="shared" si="76"/>
        <v>0</v>
      </c>
      <c r="Y80" s="14">
        <f t="shared" si="76"/>
        <v>0</v>
      </c>
      <c r="Z80" s="14">
        <f t="shared" si="76"/>
        <v>0</v>
      </c>
      <c r="AA80" s="14">
        <f t="shared" si="76"/>
        <v>0</v>
      </c>
      <c r="AB80" s="14">
        <f t="shared" si="76"/>
        <v>0</v>
      </c>
      <c r="AC80" s="14">
        <f t="shared" si="76"/>
        <v>0</v>
      </c>
      <c r="AD80" s="14">
        <f t="shared" si="76"/>
        <v>0</v>
      </c>
      <c r="AE80" s="14">
        <f t="shared" si="76"/>
        <v>0</v>
      </c>
      <c r="AF80" s="14">
        <f t="shared" si="76"/>
        <v>0</v>
      </c>
      <c r="AG80" s="14">
        <f t="shared" si="76"/>
        <v>0</v>
      </c>
      <c r="AH80" s="14">
        <f t="shared" si="76"/>
        <v>0</v>
      </c>
      <c r="AI80" s="14">
        <f t="shared" si="76"/>
        <v>0</v>
      </c>
      <c r="AJ80" s="14">
        <f t="shared" si="76"/>
        <v>0</v>
      </c>
      <c r="AK80" s="14">
        <f t="shared" si="76"/>
        <v>0</v>
      </c>
      <c r="AL80" s="14">
        <f t="shared" si="76"/>
        <v>0</v>
      </c>
      <c r="AM80" s="14">
        <f t="shared" si="76"/>
        <v>0</v>
      </c>
      <c r="AN80" s="14">
        <f t="shared" si="76"/>
        <v>0</v>
      </c>
      <c r="AO80" s="14">
        <f t="shared" si="76"/>
        <v>0</v>
      </c>
      <c r="AP80" s="14">
        <f t="shared" si="76"/>
        <v>0</v>
      </c>
      <c r="AQ80" s="14">
        <f t="shared" si="76"/>
        <v>0</v>
      </c>
      <c r="AR80" s="14">
        <f t="shared" si="76"/>
        <v>0</v>
      </c>
      <c r="AS80" s="14">
        <f t="shared" si="76"/>
        <v>0</v>
      </c>
      <c r="AT80" s="14">
        <f t="shared" si="76"/>
        <v>0</v>
      </c>
      <c r="AU80" s="14">
        <f t="shared" si="76"/>
        <v>0</v>
      </c>
      <c r="AV80" s="14">
        <f t="shared" si="76"/>
        <v>0</v>
      </c>
      <c r="AW80" s="14">
        <f t="shared" si="76"/>
        <v>0</v>
      </c>
      <c r="AX80" s="14">
        <f t="shared" si="76"/>
        <v>0</v>
      </c>
      <c r="AY80" s="14">
        <f t="shared" si="76"/>
        <v>0</v>
      </c>
      <c r="AZ80" s="14">
        <f t="shared" si="76"/>
        <v>0</v>
      </c>
      <c r="BA80" s="14">
        <f t="shared" si="76"/>
        <v>0</v>
      </c>
      <c r="BB80" s="14">
        <f t="shared" si="76"/>
        <v>0</v>
      </c>
      <c r="BC80" s="14">
        <f t="shared" si="76"/>
        <v>0</v>
      </c>
      <c r="BD80" s="14">
        <f t="shared" si="76"/>
        <v>0</v>
      </c>
      <c r="BE80" s="14">
        <f t="shared" si="76"/>
        <v>0</v>
      </c>
      <c r="BF80" s="14">
        <f t="shared" si="76"/>
        <v>0</v>
      </c>
      <c r="BG80" s="14">
        <f t="shared" si="76"/>
        <v>0</v>
      </c>
      <c r="BH80" s="14">
        <f t="shared" si="76"/>
        <v>0</v>
      </c>
      <c r="BI80" s="14">
        <f t="shared" si="76"/>
        <v>0</v>
      </c>
      <c r="BJ80" s="14">
        <f t="shared" si="76"/>
        <v>0</v>
      </c>
      <c r="BK80"/>
      <c r="BL80" s="5"/>
    </row>
    <row r="81" spans="1:64">
      <c r="A81"/>
      <c r="B81" t="s">
        <v>356</v>
      </c>
      <c r="C81" s="14" t="e">
        <f>+C91</f>
        <v>#REF!</v>
      </c>
      <c r="D81" s="14" t="e">
        <f t="shared" ref="D81:BJ81" si="77">+D91</f>
        <v>#REF!</v>
      </c>
      <c r="E81" s="14" t="e">
        <f t="shared" si="77"/>
        <v>#REF!</v>
      </c>
      <c r="F81" s="14" t="e">
        <f t="shared" si="77"/>
        <v>#REF!</v>
      </c>
      <c r="G81" s="14" t="e">
        <f t="shared" si="77"/>
        <v>#REF!</v>
      </c>
      <c r="H81" s="14" t="e">
        <f t="shared" si="77"/>
        <v>#REF!</v>
      </c>
      <c r="I81" s="14" t="e">
        <f t="shared" si="77"/>
        <v>#REF!</v>
      </c>
      <c r="J81" s="14" t="e">
        <f t="shared" si="77"/>
        <v>#REF!</v>
      </c>
      <c r="K81" s="14" t="e">
        <f t="shared" si="77"/>
        <v>#REF!</v>
      </c>
      <c r="L81" s="14" t="e">
        <f t="shared" si="77"/>
        <v>#REF!</v>
      </c>
      <c r="M81" s="14" t="e">
        <f t="shared" si="77"/>
        <v>#REF!</v>
      </c>
      <c r="N81" s="14" t="e">
        <f t="shared" si="77"/>
        <v>#REF!</v>
      </c>
      <c r="O81" s="14" t="e">
        <f t="shared" si="77"/>
        <v>#REF!</v>
      </c>
      <c r="P81" s="14" t="e">
        <f t="shared" si="77"/>
        <v>#REF!</v>
      </c>
      <c r="Q81" s="14" t="e">
        <f t="shared" si="77"/>
        <v>#REF!</v>
      </c>
      <c r="R81" s="14" t="e">
        <f t="shared" si="77"/>
        <v>#REF!</v>
      </c>
      <c r="S81" s="14" t="e">
        <f t="shared" si="77"/>
        <v>#REF!</v>
      </c>
      <c r="T81" s="14" t="e">
        <f t="shared" si="77"/>
        <v>#REF!</v>
      </c>
      <c r="U81" s="14" t="e">
        <f t="shared" si="77"/>
        <v>#REF!</v>
      </c>
      <c r="V81" s="14" t="e">
        <f t="shared" si="77"/>
        <v>#REF!</v>
      </c>
      <c r="W81" s="14" t="e">
        <f t="shared" si="77"/>
        <v>#REF!</v>
      </c>
      <c r="X81" s="14" t="e">
        <f t="shared" si="77"/>
        <v>#REF!</v>
      </c>
      <c r="Y81" s="14" t="e">
        <f t="shared" si="77"/>
        <v>#REF!</v>
      </c>
      <c r="Z81" s="14" t="e">
        <f t="shared" si="77"/>
        <v>#REF!</v>
      </c>
      <c r="AA81" s="14" t="e">
        <f t="shared" si="77"/>
        <v>#REF!</v>
      </c>
      <c r="AB81" s="14" t="e">
        <f t="shared" si="77"/>
        <v>#REF!</v>
      </c>
      <c r="AC81" s="14" t="e">
        <f t="shared" si="77"/>
        <v>#REF!</v>
      </c>
      <c r="AD81" s="14" t="e">
        <f t="shared" si="77"/>
        <v>#REF!</v>
      </c>
      <c r="AE81" s="14" t="e">
        <f t="shared" si="77"/>
        <v>#REF!</v>
      </c>
      <c r="AF81" s="14" t="e">
        <f t="shared" si="77"/>
        <v>#REF!</v>
      </c>
      <c r="AG81" s="14" t="e">
        <f t="shared" si="77"/>
        <v>#REF!</v>
      </c>
      <c r="AH81" s="14" t="e">
        <f t="shared" si="77"/>
        <v>#REF!</v>
      </c>
      <c r="AI81" s="14" t="e">
        <f t="shared" si="77"/>
        <v>#REF!</v>
      </c>
      <c r="AJ81" s="14" t="e">
        <f t="shared" si="77"/>
        <v>#REF!</v>
      </c>
      <c r="AK81" s="14" t="e">
        <f t="shared" si="77"/>
        <v>#REF!</v>
      </c>
      <c r="AL81" s="14" t="e">
        <f t="shared" si="77"/>
        <v>#REF!</v>
      </c>
      <c r="AM81" s="14" t="e">
        <f t="shared" si="77"/>
        <v>#REF!</v>
      </c>
      <c r="AN81" s="14" t="e">
        <f t="shared" si="77"/>
        <v>#REF!</v>
      </c>
      <c r="AO81" s="14" t="e">
        <f t="shared" si="77"/>
        <v>#REF!</v>
      </c>
      <c r="AP81" s="14" t="e">
        <f t="shared" si="77"/>
        <v>#REF!</v>
      </c>
      <c r="AQ81" s="14" t="e">
        <f t="shared" si="77"/>
        <v>#REF!</v>
      </c>
      <c r="AR81" s="14" t="e">
        <f t="shared" si="77"/>
        <v>#REF!</v>
      </c>
      <c r="AS81" s="14" t="e">
        <f t="shared" si="77"/>
        <v>#REF!</v>
      </c>
      <c r="AT81" s="14" t="e">
        <f t="shared" si="77"/>
        <v>#REF!</v>
      </c>
      <c r="AU81" s="14" t="e">
        <f t="shared" si="77"/>
        <v>#REF!</v>
      </c>
      <c r="AV81" s="14" t="e">
        <f t="shared" si="77"/>
        <v>#REF!</v>
      </c>
      <c r="AW81" s="14" t="e">
        <f t="shared" si="77"/>
        <v>#REF!</v>
      </c>
      <c r="AX81" s="14" t="e">
        <f t="shared" si="77"/>
        <v>#REF!</v>
      </c>
      <c r="AY81" s="14" t="e">
        <f t="shared" si="77"/>
        <v>#REF!</v>
      </c>
      <c r="AZ81" s="14" t="e">
        <f t="shared" si="77"/>
        <v>#REF!</v>
      </c>
      <c r="BA81" s="14" t="e">
        <f t="shared" si="77"/>
        <v>#REF!</v>
      </c>
      <c r="BB81" s="14" t="e">
        <f t="shared" si="77"/>
        <v>#REF!</v>
      </c>
      <c r="BC81" s="14" t="e">
        <f t="shared" si="77"/>
        <v>#REF!</v>
      </c>
      <c r="BD81" s="14" t="e">
        <f t="shared" si="77"/>
        <v>#REF!</v>
      </c>
      <c r="BE81" s="14" t="e">
        <f t="shared" si="77"/>
        <v>#REF!</v>
      </c>
      <c r="BF81" s="14" t="e">
        <f t="shared" si="77"/>
        <v>#REF!</v>
      </c>
      <c r="BG81" s="14" t="e">
        <f t="shared" si="77"/>
        <v>#REF!</v>
      </c>
      <c r="BH81" s="14" t="e">
        <f t="shared" si="77"/>
        <v>#REF!</v>
      </c>
      <c r="BI81" s="14" t="e">
        <f t="shared" si="77"/>
        <v>#REF!</v>
      </c>
      <c r="BJ81" s="14" t="e">
        <f t="shared" si="77"/>
        <v>#REF!</v>
      </c>
      <c r="BK81"/>
      <c r="BL81" s="5"/>
    </row>
    <row r="82" spans="1:64">
      <c r="A82"/>
      <c r="B82" s="3" t="s">
        <v>357</v>
      </c>
      <c r="C82" s="13" t="e">
        <f>SUM(C77:C81)</f>
        <v>#REF!</v>
      </c>
      <c r="D82" s="13" t="e">
        <f t="shared" ref="D82:BJ82" si="78">SUM(D77:D81)</f>
        <v>#REF!</v>
      </c>
      <c r="E82" s="13" t="e">
        <f t="shared" si="78"/>
        <v>#REF!</v>
      </c>
      <c r="F82" s="13" t="e">
        <f t="shared" si="78"/>
        <v>#REF!</v>
      </c>
      <c r="G82" s="13" t="e">
        <f t="shared" si="78"/>
        <v>#REF!</v>
      </c>
      <c r="H82" s="13" t="e">
        <f t="shared" si="78"/>
        <v>#REF!</v>
      </c>
      <c r="I82" s="13" t="e">
        <f t="shared" si="78"/>
        <v>#REF!</v>
      </c>
      <c r="J82" s="13" t="e">
        <f t="shared" si="78"/>
        <v>#REF!</v>
      </c>
      <c r="K82" s="13" t="e">
        <f t="shared" si="78"/>
        <v>#REF!</v>
      </c>
      <c r="L82" s="13" t="e">
        <f t="shared" si="78"/>
        <v>#REF!</v>
      </c>
      <c r="M82" s="13" t="e">
        <f t="shared" si="78"/>
        <v>#REF!</v>
      </c>
      <c r="N82" s="13" t="e">
        <f t="shared" si="78"/>
        <v>#REF!</v>
      </c>
      <c r="O82" s="13" t="e">
        <f t="shared" si="78"/>
        <v>#REF!</v>
      </c>
      <c r="P82" s="13" t="e">
        <f t="shared" si="78"/>
        <v>#REF!</v>
      </c>
      <c r="Q82" s="13" t="e">
        <f t="shared" si="78"/>
        <v>#REF!</v>
      </c>
      <c r="R82" s="13" t="e">
        <f t="shared" si="78"/>
        <v>#REF!</v>
      </c>
      <c r="S82" s="13" t="e">
        <f t="shared" si="78"/>
        <v>#REF!</v>
      </c>
      <c r="T82" s="13" t="e">
        <f t="shared" si="78"/>
        <v>#REF!</v>
      </c>
      <c r="U82" s="13" t="e">
        <f t="shared" si="78"/>
        <v>#REF!</v>
      </c>
      <c r="V82" s="13" t="e">
        <f t="shared" si="78"/>
        <v>#REF!</v>
      </c>
      <c r="W82" s="13" t="e">
        <f t="shared" si="78"/>
        <v>#REF!</v>
      </c>
      <c r="X82" s="13" t="e">
        <f t="shared" si="78"/>
        <v>#REF!</v>
      </c>
      <c r="Y82" s="13" t="e">
        <f t="shared" si="78"/>
        <v>#REF!</v>
      </c>
      <c r="Z82" s="13" t="e">
        <f t="shared" si="78"/>
        <v>#REF!</v>
      </c>
      <c r="AA82" s="13" t="e">
        <f t="shared" si="78"/>
        <v>#REF!</v>
      </c>
      <c r="AB82" s="13" t="e">
        <f t="shared" si="78"/>
        <v>#REF!</v>
      </c>
      <c r="AC82" s="13" t="e">
        <f t="shared" si="78"/>
        <v>#REF!</v>
      </c>
      <c r="AD82" s="13" t="e">
        <f t="shared" si="78"/>
        <v>#REF!</v>
      </c>
      <c r="AE82" s="13" t="e">
        <f t="shared" si="78"/>
        <v>#REF!</v>
      </c>
      <c r="AF82" s="13" t="e">
        <f t="shared" si="78"/>
        <v>#REF!</v>
      </c>
      <c r="AG82" s="13" t="e">
        <f t="shared" si="78"/>
        <v>#REF!</v>
      </c>
      <c r="AH82" s="13" t="e">
        <f t="shared" si="78"/>
        <v>#REF!</v>
      </c>
      <c r="AI82" s="13" t="e">
        <f t="shared" si="78"/>
        <v>#REF!</v>
      </c>
      <c r="AJ82" s="13" t="e">
        <f t="shared" si="78"/>
        <v>#REF!</v>
      </c>
      <c r="AK82" s="13" t="e">
        <f t="shared" si="78"/>
        <v>#REF!</v>
      </c>
      <c r="AL82" s="13" t="e">
        <f t="shared" si="78"/>
        <v>#REF!</v>
      </c>
      <c r="AM82" s="13" t="e">
        <f t="shared" si="78"/>
        <v>#REF!</v>
      </c>
      <c r="AN82" s="13" t="e">
        <f t="shared" si="78"/>
        <v>#REF!</v>
      </c>
      <c r="AO82" s="13" t="e">
        <f t="shared" si="78"/>
        <v>#REF!</v>
      </c>
      <c r="AP82" s="13" t="e">
        <f t="shared" si="78"/>
        <v>#REF!</v>
      </c>
      <c r="AQ82" s="13" t="e">
        <f t="shared" si="78"/>
        <v>#REF!</v>
      </c>
      <c r="AR82" s="13" t="e">
        <f t="shared" si="78"/>
        <v>#REF!</v>
      </c>
      <c r="AS82" s="13" t="e">
        <f t="shared" si="78"/>
        <v>#REF!</v>
      </c>
      <c r="AT82" s="13" t="e">
        <f t="shared" si="78"/>
        <v>#REF!</v>
      </c>
      <c r="AU82" s="13" t="e">
        <f t="shared" si="78"/>
        <v>#REF!</v>
      </c>
      <c r="AV82" s="13" t="e">
        <f t="shared" si="78"/>
        <v>#REF!</v>
      </c>
      <c r="AW82" s="13" t="e">
        <f t="shared" si="78"/>
        <v>#REF!</v>
      </c>
      <c r="AX82" s="13" t="e">
        <f t="shared" si="78"/>
        <v>#REF!</v>
      </c>
      <c r="AY82" s="13" t="e">
        <f t="shared" si="78"/>
        <v>#REF!</v>
      </c>
      <c r="AZ82" s="13" t="e">
        <f t="shared" si="78"/>
        <v>#REF!</v>
      </c>
      <c r="BA82" s="13" t="e">
        <f t="shared" si="78"/>
        <v>#REF!</v>
      </c>
      <c r="BB82" s="13" t="e">
        <f t="shared" si="78"/>
        <v>#REF!</v>
      </c>
      <c r="BC82" s="13" t="e">
        <f t="shared" si="78"/>
        <v>#REF!</v>
      </c>
      <c r="BD82" s="13" t="e">
        <f t="shared" si="78"/>
        <v>#REF!</v>
      </c>
      <c r="BE82" s="13" t="e">
        <f t="shared" si="78"/>
        <v>#REF!</v>
      </c>
      <c r="BF82" s="13" t="e">
        <f t="shared" si="78"/>
        <v>#REF!</v>
      </c>
      <c r="BG82" s="13" t="e">
        <f t="shared" si="78"/>
        <v>#REF!</v>
      </c>
      <c r="BH82" s="13" t="e">
        <f t="shared" si="78"/>
        <v>#REF!</v>
      </c>
      <c r="BI82" s="13" t="e">
        <f t="shared" si="78"/>
        <v>#REF!</v>
      </c>
      <c r="BJ82" s="13" t="e">
        <f t="shared" si="78"/>
        <v>#REF!</v>
      </c>
      <c r="BK82"/>
      <c r="BL82" s="5"/>
    </row>
    <row r="83" spans="1:64">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358</v>
      </c>
      <c r="C84" s="30">
        <f>-C74</f>
        <v>0</v>
      </c>
      <c r="D84" s="30">
        <f t="shared" ref="D84:BJ84" si="79">-D74</f>
        <v>0</v>
      </c>
      <c r="E84" s="30">
        <f t="shared" si="79"/>
        <v>0</v>
      </c>
      <c r="F84" s="30">
        <f t="shared" si="79"/>
        <v>0</v>
      </c>
      <c r="G84" s="30">
        <f t="shared" si="79"/>
        <v>0</v>
      </c>
      <c r="H84" s="30">
        <f t="shared" si="79"/>
        <v>0</v>
      </c>
      <c r="I84" s="30">
        <f t="shared" si="79"/>
        <v>0</v>
      </c>
      <c r="J84" s="30">
        <f t="shared" si="79"/>
        <v>0</v>
      </c>
      <c r="K84" s="30">
        <f t="shared" si="79"/>
        <v>0</v>
      </c>
      <c r="L84" s="30">
        <f t="shared" si="79"/>
        <v>0</v>
      </c>
      <c r="M84" s="30">
        <f t="shared" si="79"/>
        <v>0</v>
      </c>
      <c r="N84" s="30">
        <f t="shared" si="79"/>
        <v>0</v>
      </c>
      <c r="O84" s="30">
        <f t="shared" si="79"/>
        <v>0</v>
      </c>
      <c r="P84" s="30">
        <f t="shared" si="79"/>
        <v>0</v>
      </c>
      <c r="Q84" s="30">
        <f t="shared" si="79"/>
        <v>0</v>
      </c>
      <c r="R84" s="30">
        <f t="shared" si="79"/>
        <v>0</v>
      </c>
      <c r="S84" s="30">
        <f t="shared" si="79"/>
        <v>0</v>
      </c>
      <c r="T84" s="30">
        <f t="shared" si="79"/>
        <v>0</v>
      </c>
      <c r="U84" s="30">
        <f t="shared" si="79"/>
        <v>0</v>
      </c>
      <c r="V84" s="30">
        <f t="shared" si="79"/>
        <v>0</v>
      </c>
      <c r="W84" s="30">
        <f t="shared" si="79"/>
        <v>0</v>
      </c>
      <c r="X84" s="30">
        <f t="shared" si="79"/>
        <v>0</v>
      </c>
      <c r="Y84" s="30">
        <f t="shared" si="79"/>
        <v>0</v>
      </c>
      <c r="Z84" s="30">
        <f t="shared" si="79"/>
        <v>0</v>
      </c>
      <c r="AA84" s="30">
        <f t="shared" si="79"/>
        <v>0</v>
      </c>
      <c r="AB84" s="30">
        <f t="shared" si="79"/>
        <v>0</v>
      </c>
      <c r="AC84" s="30">
        <f t="shared" si="79"/>
        <v>0</v>
      </c>
      <c r="AD84" s="30">
        <f t="shared" si="79"/>
        <v>0</v>
      </c>
      <c r="AE84" s="30">
        <f t="shared" si="79"/>
        <v>0</v>
      </c>
      <c r="AF84" s="30">
        <f t="shared" si="79"/>
        <v>0</v>
      </c>
      <c r="AG84" s="30">
        <f t="shared" si="79"/>
        <v>0</v>
      </c>
      <c r="AH84" s="30">
        <f t="shared" si="79"/>
        <v>0</v>
      </c>
      <c r="AI84" s="30">
        <f t="shared" si="79"/>
        <v>0</v>
      </c>
      <c r="AJ84" s="30">
        <f t="shared" si="79"/>
        <v>0</v>
      </c>
      <c r="AK84" s="30">
        <f t="shared" si="79"/>
        <v>0</v>
      </c>
      <c r="AL84" s="30">
        <f t="shared" si="79"/>
        <v>0</v>
      </c>
      <c r="AM84" s="30">
        <f t="shared" si="79"/>
        <v>0</v>
      </c>
      <c r="AN84" s="30">
        <f t="shared" si="79"/>
        <v>0</v>
      </c>
      <c r="AO84" s="30">
        <f t="shared" si="79"/>
        <v>0</v>
      </c>
      <c r="AP84" s="30">
        <f t="shared" si="79"/>
        <v>0</v>
      </c>
      <c r="AQ84" s="30">
        <f t="shared" si="79"/>
        <v>0</v>
      </c>
      <c r="AR84" s="30">
        <f t="shared" si="79"/>
        <v>0</v>
      </c>
      <c r="AS84" s="30">
        <f t="shared" si="79"/>
        <v>0</v>
      </c>
      <c r="AT84" s="30">
        <f t="shared" si="79"/>
        <v>0</v>
      </c>
      <c r="AU84" s="30">
        <f t="shared" si="79"/>
        <v>0</v>
      </c>
      <c r="AV84" s="30">
        <f t="shared" si="79"/>
        <v>0</v>
      </c>
      <c r="AW84" s="30">
        <f t="shared" si="79"/>
        <v>0</v>
      </c>
      <c r="AX84" s="30">
        <f t="shared" si="79"/>
        <v>0</v>
      </c>
      <c r="AY84" s="30">
        <f t="shared" si="79"/>
        <v>0</v>
      </c>
      <c r="AZ84" s="30">
        <f t="shared" si="79"/>
        <v>0</v>
      </c>
      <c r="BA84" s="30">
        <f t="shared" si="79"/>
        <v>0</v>
      </c>
      <c r="BB84" s="30">
        <f t="shared" si="79"/>
        <v>0</v>
      </c>
      <c r="BC84" s="30">
        <f t="shared" si="79"/>
        <v>0</v>
      </c>
      <c r="BD84" s="30">
        <f t="shared" si="79"/>
        <v>0</v>
      </c>
      <c r="BE84" s="30">
        <f t="shared" si="79"/>
        <v>0</v>
      </c>
      <c r="BF84" s="30">
        <f t="shared" si="79"/>
        <v>0</v>
      </c>
      <c r="BG84" s="30">
        <f t="shared" si="79"/>
        <v>0</v>
      </c>
      <c r="BH84" s="30">
        <f t="shared" si="79"/>
        <v>0</v>
      </c>
      <c r="BI84" s="30">
        <f t="shared" si="79"/>
        <v>0</v>
      </c>
      <c r="BJ84" s="30">
        <f t="shared" si="79"/>
        <v>0</v>
      </c>
      <c r="BK84"/>
      <c r="BL84" s="5"/>
    </row>
    <row r="85" spans="1:64">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s="5"/>
    </row>
    <row r="86" spans="1:64">
      <c r="A86"/>
      <c r="B86" s="28" t="s">
        <v>359</v>
      </c>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s="5"/>
    </row>
    <row r="87" spans="1:64">
      <c r="A87"/>
      <c r="B87" t="s">
        <v>349</v>
      </c>
      <c r="C87" s="30">
        <f>+C70-C84</f>
        <v>0</v>
      </c>
      <c r="D87" s="30">
        <f t="shared" ref="D87" si="80">+D70-D84</f>
        <v>0</v>
      </c>
      <c r="E87" s="30">
        <f t="shared" ref="E87:BJ87" si="81">+E70-E84</f>
        <v>0</v>
      </c>
      <c r="F87" s="30">
        <f t="shared" si="81"/>
        <v>0</v>
      </c>
      <c r="G87" s="30">
        <f t="shared" si="81"/>
        <v>0</v>
      </c>
      <c r="H87" s="30">
        <f t="shared" si="81"/>
        <v>0</v>
      </c>
      <c r="I87" s="30">
        <f t="shared" si="81"/>
        <v>0</v>
      </c>
      <c r="J87" s="30">
        <f t="shared" si="81"/>
        <v>0</v>
      </c>
      <c r="K87" s="30">
        <f t="shared" si="81"/>
        <v>0</v>
      </c>
      <c r="L87" s="30">
        <f t="shared" si="81"/>
        <v>0</v>
      </c>
      <c r="M87" s="30">
        <f t="shared" si="81"/>
        <v>0</v>
      </c>
      <c r="N87" s="30">
        <f t="shared" si="81"/>
        <v>0</v>
      </c>
      <c r="O87" s="30">
        <f t="shared" si="81"/>
        <v>0</v>
      </c>
      <c r="P87" s="30">
        <f t="shared" si="81"/>
        <v>0</v>
      </c>
      <c r="Q87" s="30">
        <f t="shared" si="81"/>
        <v>0</v>
      </c>
      <c r="R87" s="30">
        <f t="shared" si="81"/>
        <v>0</v>
      </c>
      <c r="S87" s="30">
        <f t="shared" si="81"/>
        <v>0</v>
      </c>
      <c r="T87" s="30">
        <f t="shared" si="81"/>
        <v>0</v>
      </c>
      <c r="U87" s="30">
        <f t="shared" si="81"/>
        <v>0</v>
      </c>
      <c r="V87" s="30">
        <f t="shared" si="81"/>
        <v>0</v>
      </c>
      <c r="W87" s="30">
        <f t="shared" si="81"/>
        <v>0</v>
      </c>
      <c r="X87" s="30">
        <f t="shared" si="81"/>
        <v>0</v>
      </c>
      <c r="Y87" s="30">
        <f t="shared" si="81"/>
        <v>0</v>
      </c>
      <c r="Z87" s="30">
        <f t="shared" si="81"/>
        <v>0</v>
      </c>
      <c r="AA87" s="30">
        <f t="shared" si="81"/>
        <v>0</v>
      </c>
      <c r="AB87" s="30">
        <f t="shared" si="81"/>
        <v>0</v>
      </c>
      <c r="AC87" s="30">
        <f t="shared" si="81"/>
        <v>0</v>
      </c>
      <c r="AD87" s="30">
        <f t="shared" si="81"/>
        <v>0</v>
      </c>
      <c r="AE87" s="30">
        <f t="shared" si="81"/>
        <v>0</v>
      </c>
      <c r="AF87" s="30">
        <f t="shared" si="81"/>
        <v>0</v>
      </c>
      <c r="AG87" s="30">
        <f t="shared" si="81"/>
        <v>0</v>
      </c>
      <c r="AH87" s="30">
        <f t="shared" si="81"/>
        <v>0</v>
      </c>
      <c r="AI87" s="30">
        <f t="shared" si="81"/>
        <v>0</v>
      </c>
      <c r="AJ87" s="30">
        <f t="shared" si="81"/>
        <v>0</v>
      </c>
      <c r="AK87" s="30">
        <f t="shared" si="81"/>
        <v>0</v>
      </c>
      <c r="AL87" s="30">
        <f t="shared" si="81"/>
        <v>0</v>
      </c>
      <c r="AM87" s="30">
        <f t="shared" si="81"/>
        <v>0</v>
      </c>
      <c r="AN87" s="30">
        <f t="shared" si="81"/>
        <v>0</v>
      </c>
      <c r="AO87" s="30">
        <f t="shared" si="81"/>
        <v>0</v>
      </c>
      <c r="AP87" s="30">
        <f t="shared" si="81"/>
        <v>0</v>
      </c>
      <c r="AQ87" s="30">
        <f t="shared" si="81"/>
        <v>0</v>
      </c>
      <c r="AR87" s="30">
        <f t="shared" si="81"/>
        <v>0</v>
      </c>
      <c r="AS87" s="30">
        <f t="shared" si="81"/>
        <v>0</v>
      </c>
      <c r="AT87" s="30">
        <f t="shared" si="81"/>
        <v>0</v>
      </c>
      <c r="AU87" s="30">
        <f t="shared" si="81"/>
        <v>0</v>
      </c>
      <c r="AV87" s="30">
        <f t="shared" si="81"/>
        <v>0</v>
      </c>
      <c r="AW87" s="30">
        <f t="shared" si="81"/>
        <v>0</v>
      </c>
      <c r="AX87" s="30">
        <f t="shared" si="81"/>
        <v>0</v>
      </c>
      <c r="AY87" s="30">
        <f t="shared" si="81"/>
        <v>0</v>
      </c>
      <c r="AZ87" s="30">
        <f t="shared" si="81"/>
        <v>0</v>
      </c>
      <c r="BA87" s="30">
        <f t="shared" si="81"/>
        <v>0</v>
      </c>
      <c r="BB87" s="30">
        <f t="shared" si="81"/>
        <v>0</v>
      </c>
      <c r="BC87" s="30">
        <f t="shared" si="81"/>
        <v>0</v>
      </c>
      <c r="BD87" s="30">
        <f t="shared" si="81"/>
        <v>0</v>
      </c>
      <c r="BE87" s="30">
        <f t="shared" si="81"/>
        <v>0</v>
      </c>
      <c r="BF87" s="30">
        <f t="shared" si="81"/>
        <v>0</v>
      </c>
      <c r="BG87" s="30">
        <f t="shared" si="81"/>
        <v>0</v>
      </c>
      <c r="BH87" s="30">
        <f t="shared" si="81"/>
        <v>0</v>
      </c>
      <c r="BI87" s="30">
        <f t="shared" si="81"/>
        <v>0</v>
      </c>
      <c r="BJ87" s="30">
        <f t="shared" si="81"/>
        <v>0</v>
      </c>
      <c r="BK87"/>
      <c r="BL87" s="5"/>
    </row>
    <row r="88" spans="1:64">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s="5"/>
    </row>
    <row r="89" spans="1:64">
      <c r="A89"/>
      <c r="B89" t="s">
        <v>360</v>
      </c>
      <c r="C89" s="14">
        <v>0</v>
      </c>
      <c r="D89" s="14" t="e">
        <f>+C92</f>
        <v>#REF!</v>
      </c>
      <c r="E89" s="14" t="e">
        <f t="shared" ref="E89:BJ89" si="82">+D92</f>
        <v>#REF!</v>
      </c>
      <c r="F89" s="14" t="e">
        <f t="shared" si="82"/>
        <v>#REF!</v>
      </c>
      <c r="G89" s="14" t="e">
        <f t="shared" si="82"/>
        <v>#REF!</v>
      </c>
      <c r="H89" s="14" t="e">
        <f t="shared" si="82"/>
        <v>#REF!</v>
      </c>
      <c r="I89" s="14" t="e">
        <f t="shared" si="82"/>
        <v>#REF!</v>
      </c>
      <c r="J89" s="14" t="e">
        <f t="shared" si="82"/>
        <v>#REF!</v>
      </c>
      <c r="K89" s="14" t="e">
        <f t="shared" si="82"/>
        <v>#REF!</v>
      </c>
      <c r="L89" s="14" t="e">
        <f t="shared" si="82"/>
        <v>#REF!</v>
      </c>
      <c r="M89" s="14" t="e">
        <f t="shared" si="82"/>
        <v>#REF!</v>
      </c>
      <c r="N89" s="14" t="e">
        <f t="shared" si="82"/>
        <v>#REF!</v>
      </c>
      <c r="O89" s="14" t="e">
        <f t="shared" si="82"/>
        <v>#REF!</v>
      </c>
      <c r="P89" s="14" t="e">
        <f t="shared" si="82"/>
        <v>#REF!</v>
      </c>
      <c r="Q89" s="14" t="e">
        <f t="shared" si="82"/>
        <v>#REF!</v>
      </c>
      <c r="R89" s="14" t="e">
        <f t="shared" si="82"/>
        <v>#REF!</v>
      </c>
      <c r="S89" s="14" t="e">
        <f t="shared" si="82"/>
        <v>#REF!</v>
      </c>
      <c r="T89" s="14" t="e">
        <f t="shared" si="82"/>
        <v>#REF!</v>
      </c>
      <c r="U89" s="14" t="e">
        <f t="shared" si="82"/>
        <v>#REF!</v>
      </c>
      <c r="V89" s="14" t="e">
        <f t="shared" si="82"/>
        <v>#REF!</v>
      </c>
      <c r="W89" s="14" t="e">
        <f t="shared" si="82"/>
        <v>#REF!</v>
      </c>
      <c r="X89" s="14" t="e">
        <f t="shared" si="82"/>
        <v>#REF!</v>
      </c>
      <c r="Y89" s="14" t="e">
        <f t="shared" si="82"/>
        <v>#REF!</v>
      </c>
      <c r="Z89" s="14" t="e">
        <f t="shared" si="82"/>
        <v>#REF!</v>
      </c>
      <c r="AA89" s="14" t="e">
        <f t="shared" si="82"/>
        <v>#REF!</v>
      </c>
      <c r="AB89" s="14" t="e">
        <f t="shared" si="82"/>
        <v>#REF!</v>
      </c>
      <c r="AC89" s="14" t="e">
        <f t="shared" si="82"/>
        <v>#REF!</v>
      </c>
      <c r="AD89" s="14" t="e">
        <f t="shared" si="82"/>
        <v>#REF!</v>
      </c>
      <c r="AE89" s="14" t="e">
        <f t="shared" si="82"/>
        <v>#REF!</v>
      </c>
      <c r="AF89" s="14" t="e">
        <f t="shared" si="82"/>
        <v>#REF!</v>
      </c>
      <c r="AG89" s="14" t="e">
        <f t="shared" si="82"/>
        <v>#REF!</v>
      </c>
      <c r="AH89" s="14" t="e">
        <f t="shared" si="82"/>
        <v>#REF!</v>
      </c>
      <c r="AI89" s="14" t="e">
        <f t="shared" si="82"/>
        <v>#REF!</v>
      </c>
      <c r="AJ89" s="14" t="e">
        <f t="shared" si="82"/>
        <v>#REF!</v>
      </c>
      <c r="AK89" s="14" t="e">
        <f t="shared" si="82"/>
        <v>#REF!</v>
      </c>
      <c r="AL89" s="14" t="e">
        <f t="shared" si="82"/>
        <v>#REF!</v>
      </c>
      <c r="AM89" s="14" t="e">
        <f t="shared" si="82"/>
        <v>#REF!</v>
      </c>
      <c r="AN89" s="14" t="e">
        <f t="shared" si="82"/>
        <v>#REF!</v>
      </c>
      <c r="AO89" s="14" t="e">
        <f t="shared" si="82"/>
        <v>#REF!</v>
      </c>
      <c r="AP89" s="14" t="e">
        <f t="shared" si="82"/>
        <v>#REF!</v>
      </c>
      <c r="AQ89" s="14" t="e">
        <f t="shared" si="82"/>
        <v>#REF!</v>
      </c>
      <c r="AR89" s="14" t="e">
        <f t="shared" si="82"/>
        <v>#REF!</v>
      </c>
      <c r="AS89" s="14" t="e">
        <f t="shared" si="82"/>
        <v>#REF!</v>
      </c>
      <c r="AT89" s="14" t="e">
        <f t="shared" si="82"/>
        <v>#REF!</v>
      </c>
      <c r="AU89" s="14" t="e">
        <f t="shared" si="82"/>
        <v>#REF!</v>
      </c>
      <c r="AV89" s="14" t="e">
        <f t="shared" si="82"/>
        <v>#REF!</v>
      </c>
      <c r="AW89" s="14" t="e">
        <f t="shared" si="82"/>
        <v>#REF!</v>
      </c>
      <c r="AX89" s="14" t="e">
        <f t="shared" si="82"/>
        <v>#REF!</v>
      </c>
      <c r="AY89" s="14" t="e">
        <f t="shared" si="82"/>
        <v>#REF!</v>
      </c>
      <c r="AZ89" s="14" t="e">
        <f t="shared" si="82"/>
        <v>#REF!</v>
      </c>
      <c r="BA89" s="14" t="e">
        <f t="shared" si="82"/>
        <v>#REF!</v>
      </c>
      <c r="BB89" s="14" t="e">
        <f t="shared" si="82"/>
        <v>#REF!</v>
      </c>
      <c r="BC89" s="14" t="e">
        <f t="shared" si="82"/>
        <v>#REF!</v>
      </c>
      <c r="BD89" s="14" t="e">
        <f t="shared" si="82"/>
        <v>#REF!</v>
      </c>
      <c r="BE89" s="14" t="e">
        <f t="shared" si="82"/>
        <v>#REF!</v>
      </c>
      <c r="BF89" s="14" t="e">
        <f t="shared" si="82"/>
        <v>#REF!</v>
      </c>
      <c r="BG89" s="14" t="e">
        <f t="shared" si="82"/>
        <v>#REF!</v>
      </c>
      <c r="BH89" s="14" t="e">
        <f t="shared" si="82"/>
        <v>#REF!</v>
      </c>
      <c r="BI89" s="14" t="e">
        <f t="shared" si="82"/>
        <v>#REF!</v>
      </c>
      <c r="BJ89" s="14" t="e">
        <f t="shared" si="82"/>
        <v>#REF!</v>
      </c>
      <c r="BK89"/>
      <c r="BL89" s="5"/>
    </row>
    <row r="90" spans="1:64">
      <c r="A90"/>
      <c r="B90" t="s">
        <v>355</v>
      </c>
      <c r="C90" s="14" t="e">
        <f>-C57</f>
        <v>#REF!</v>
      </c>
      <c r="D90" s="14">
        <f t="shared" ref="D90:BJ90" si="83">-D57</f>
        <v>0</v>
      </c>
      <c r="E90" s="14">
        <f t="shared" si="83"/>
        <v>0</v>
      </c>
      <c r="F90" s="14">
        <f t="shared" si="83"/>
        <v>0</v>
      </c>
      <c r="G90" s="14">
        <f t="shared" si="83"/>
        <v>0</v>
      </c>
      <c r="H90" s="14">
        <f t="shared" si="83"/>
        <v>0</v>
      </c>
      <c r="I90" s="14">
        <f t="shared" si="83"/>
        <v>0</v>
      </c>
      <c r="J90" s="14">
        <f t="shared" si="83"/>
        <v>0</v>
      </c>
      <c r="K90" s="14">
        <f t="shared" si="83"/>
        <v>0</v>
      </c>
      <c r="L90" s="14">
        <f t="shared" si="83"/>
        <v>0</v>
      </c>
      <c r="M90" s="14">
        <f t="shared" si="83"/>
        <v>0</v>
      </c>
      <c r="N90" s="14">
        <f t="shared" si="83"/>
        <v>0</v>
      </c>
      <c r="O90" s="14">
        <f t="shared" si="83"/>
        <v>0</v>
      </c>
      <c r="P90" s="14">
        <f t="shared" si="83"/>
        <v>0</v>
      </c>
      <c r="Q90" s="14">
        <f t="shared" si="83"/>
        <v>0</v>
      </c>
      <c r="R90" s="14">
        <f t="shared" si="83"/>
        <v>0</v>
      </c>
      <c r="S90" s="14">
        <f t="shared" si="83"/>
        <v>0</v>
      </c>
      <c r="T90" s="14">
        <f t="shared" si="83"/>
        <v>0</v>
      </c>
      <c r="U90" s="14">
        <f t="shared" si="83"/>
        <v>0</v>
      </c>
      <c r="V90" s="14">
        <f t="shared" si="83"/>
        <v>0</v>
      </c>
      <c r="W90" s="14">
        <f t="shared" si="83"/>
        <v>0</v>
      </c>
      <c r="X90" s="14">
        <f t="shared" si="83"/>
        <v>0</v>
      </c>
      <c r="Y90" s="14">
        <f t="shared" si="83"/>
        <v>0</v>
      </c>
      <c r="Z90" s="14">
        <f t="shared" si="83"/>
        <v>0</v>
      </c>
      <c r="AA90" s="14">
        <f t="shared" si="83"/>
        <v>0</v>
      </c>
      <c r="AB90" s="14">
        <f t="shared" si="83"/>
        <v>0</v>
      </c>
      <c r="AC90" s="14">
        <f t="shared" si="83"/>
        <v>0</v>
      </c>
      <c r="AD90" s="14">
        <f t="shared" si="83"/>
        <v>0</v>
      </c>
      <c r="AE90" s="14">
        <f t="shared" si="83"/>
        <v>0</v>
      </c>
      <c r="AF90" s="14">
        <f t="shared" si="83"/>
        <v>0</v>
      </c>
      <c r="AG90" s="14">
        <f t="shared" si="83"/>
        <v>0</v>
      </c>
      <c r="AH90" s="14">
        <f t="shared" si="83"/>
        <v>0</v>
      </c>
      <c r="AI90" s="14">
        <f t="shared" si="83"/>
        <v>0</v>
      </c>
      <c r="AJ90" s="14">
        <f t="shared" si="83"/>
        <v>0</v>
      </c>
      <c r="AK90" s="14">
        <f t="shared" si="83"/>
        <v>0</v>
      </c>
      <c r="AL90" s="14">
        <f t="shared" si="83"/>
        <v>0</v>
      </c>
      <c r="AM90" s="14">
        <f t="shared" si="83"/>
        <v>0</v>
      </c>
      <c r="AN90" s="14">
        <f t="shared" si="83"/>
        <v>0</v>
      </c>
      <c r="AO90" s="14">
        <f t="shared" si="83"/>
        <v>0</v>
      </c>
      <c r="AP90" s="14">
        <f t="shared" si="83"/>
        <v>0</v>
      </c>
      <c r="AQ90" s="14">
        <f t="shared" si="83"/>
        <v>0</v>
      </c>
      <c r="AR90" s="14">
        <f t="shared" si="83"/>
        <v>0</v>
      </c>
      <c r="AS90" s="14">
        <f t="shared" si="83"/>
        <v>0</v>
      </c>
      <c r="AT90" s="14">
        <f t="shared" si="83"/>
        <v>0</v>
      </c>
      <c r="AU90" s="14">
        <f t="shared" si="83"/>
        <v>0</v>
      </c>
      <c r="AV90" s="14">
        <f t="shared" si="83"/>
        <v>0</v>
      </c>
      <c r="AW90" s="14">
        <f t="shared" si="83"/>
        <v>0</v>
      </c>
      <c r="AX90" s="14">
        <f t="shared" si="83"/>
        <v>0</v>
      </c>
      <c r="AY90" s="14">
        <f t="shared" si="83"/>
        <v>0</v>
      </c>
      <c r="AZ90" s="14">
        <f t="shared" si="83"/>
        <v>0</v>
      </c>
      <c r="BA90" s="14">
        <f t="shared" si="83"/>
        <v>0</v>
      </c>
      <c r="BB90" s="14">
        <f t="shared" si="83"/>
        <v>0</v>
      </c>
      <c r="BC90" s="14">
        <f t="shared" si="83"/>
        <v>0</v>
      </c>
      <c r="BD90" s="14">
        <f t="shared" si="83"/>
        <v>0</v>
      </c>
      <c r="BE90" s="14">
        <f t="shared" si="83"/>
        <v>0</v>
      </c>
      <c r="BF90" s="14">
        <f t="shared" si="83"/>
        <v>0</v>
      </c>
      <c r="BG90" s="14">
        <f t="shared" si="83"/>
        <v>0</v>
      </c>
      <c r="BH90" s="14">
        <f t="shared" si="83"/>
        <v>0</v>
      </c>
      <c r="BI90" s="14">
        <f t="shared" si="83"/>
        <v>0</v>
      </c>
      <c r="BJ90" s="14">
        <f t="shared" si="83"/>
        <v>0</v>
      </c>
      <c r="BK90"/>
      <c r="BL90" s="5"/>
    </row>
    <row r="91" spans="1:64">
      <c r="A91"/>
      <c r="B91" t="s">
        <v>356</v>
      </c>
      <c r="C91" s="14" t="e">
        <f>-MAX(0,MIN(SUM(C89:C90),C87))</f>
        <v>#REF!</v>
      </c>
      <c r="D91" s="14" t="e">
        <f t="shared" ref="D91:BJ91" si="84">-MAX(0,MIN(SUM(D89:D90),D87))</f>
        <v>#REF!</v>
      </c>
      <c r="E91" s="14" t="e">
        <f t="shared" si="84"/>
        <v>#REF!</v>
      </c>
      <c r="F91" s="14" t="e">
        <f t="shared" si="84"/>
        <v>#REF!</v>
      </c>
      <c r="G91" s="14" t="e">
        <f t="shared" si="84"/>
        <v>#REF!</v>
      </c>
      <c r="H91" s="14" t="e">
        <f t="shared" si="84"/>
        <v>#REF!</v>
      </c>
      <c r="I91" s="14" t="e">
        <f t="shared" si="84"/>
        <v>#REF!</v>
      </c>
      <c r="J91" s="14" t="e">
        <f t="shared" si="84"/>
        <v>#REF!</v>
      </c>
      <c r="K91" s="14" t="e">
        <f t="shared" si="84"/>
        <v>#REF!</v>
      </c>
      <c r="L91" s="14" t="e">
        <f t="shared" si="84"/>
        <v>#REF!</v>
      </c>
      <c r="M91" s="14" t="e">
        <f t="shared" si="84"/>
        <v>#REF!</v>
      </c>
      <c r="N91" s="14" t="e">
        <f t="shared" si="84"/>
        <v>#REF!</v>
      </c>
      <c r="O91" s="14" t="e">
        <f t="shared" si="84"/>
        <v>#REF!</v>
      </c>
      <c r="P91" s="14" t="e">
        <f t="shared" si="84"/>
        <v>#REF!</v>
      </c>
      <c r="Q91" s="14" t="e">
        <f t="shared" si="84"/>
        <v>#REF!</v>
      </c>
      <c r="R91" s="14" t="e">
        <f t="shared" si="84"/>
        <v>#REF!</v>
      </c>
      <c r="S91" s="14" t="e">
        <f t="shared" si="84"/>
        <v>#REF!</v>
      </c>
      <c r="T91" s="14" t="e">
        <f t="shared" si="84"/>
        <v>#REF!</v>
      </c>
      <c r="U91" s="14" t="e">
        <f t="shared" si="84"/>
        <v>#REF!</v>
      </c>
      <c r="V91" s="14" t="e">
        <f t="shared" si="84"/>
        <v>#REF!</v>
      </c>
      <c r="W91" s="14" t="e">
        <f t="shared" si="84"/>
        <v>#REF!</v>
      </c>
      <c r="X91" s="14" t="e">
        <f t="shared" si="84"/>
        <v>#REF!</v>
      </c>
      <c r="Y91" s="14" t="e">
        <f t="shared" si="84"/>
        <v>#REF!</v>
      </c>
      <c r="Z91" s="14" t="e">
        <f t="shared" si="84"/>
        <v>#REF!</v>
      </c>
      <c r="AA91" s="14" t="e">
        <f t="shared" si="84"/>
        <v>#REF!</v>
      </c>
      <c r="AB91" s="14" t="e">
        <f t="shared" si="84"/>
        <v>#REF!</v>
      </c>
      <c r="AC91" s="14" t="e">
        <f t="shared" si="84"/>
        <v>#REF!</v>
      </c>
      <c r="AD91" s="14" t="e">
        <f t="shared" si="84"/>
        <v>#REF!</v>
      </c>
      <c r="AE91" s="14" t="e">
        <f t="shared" si="84"/>
        <v>#REF!</v>
      </c>
      <c r="AF91" s="14" t="e">
        <f t="shared" si="84"/>
        <v>#REF!</v>
      </c>
      <c r="AG91" s="14" t="e">
        <f t="shared" si="84"/>
        <v>#REF!</v>
      </c>
      <c r="AH91" s="14" t="e">
        <f t="shared" si="84"/>
        <v>#REF!</v>
      </c>
      <c r="AI91" s="14" t="e">
        <f t="shared" si="84"/>
        <v>#REF!</v>
      </c>
      <c r="AJ91" s="14" t="e">
        <f t="shared" si="84"/>
        <v>#REF!</v>
      </c>
      <c r="AK91" s="14" t="e">
        <f t="shared" si="84"/>
        <v>#REF!</v>
      </c>
      <c r="AL91" s="14" t="e">
        <f t="shared" si="84"/>
        <v>#REF!</v>
      </c>
      <c r="AM91" s="14" t="e">
        <f t="shared" si="84"/>
        <v>#REF!</v>
      </c>
      <c r="AN91" s="14" t="e">
        <f t="shared" si="84"/>
        <v>#REF!</v>
      </c>
      <c r="AO91" s="14" t="e">
        <f t="shared" si="84"/>
        <v>#REF!</v>
      </c>
      <c r="AP91" s="14" t="e">
        <f t="shared" si="84"/>
        <v>#REF!</v>
      </c>
      <c r="AQ91" s="14" t="e">
        <f t="shared" si="84"/>
        <v>#REF!</v>
      </c>
      <c r="AR91" s="14" t="e">
        <f t="shared" si="84"/>
        <v>#REF!</v>
      </c>
      <c r="AS91" s="14" t="e">
        <f t="shared" si="84"/>
        <v>#REF!</v>
      </c>
      <c r="AT91" s="14" t="e">
        <f t="shared" si="84"/>
        <v>#REF!</v>
      </c>
      <c r="AU91" s="14" t="e">
        <f t="shared" si="84"/>
        <v>#REF!</v>
      </c>
      <c r="AV91" s="14" t="e">
        <f t="shared" si="84"/>
        <v>#REF!</v>
      </c>
      <c r="AW91" s="14" t="e">
        <f t="shared" si="84"/>
        <v>#REF!</v>
      </c>
      <c r="AX91" s="14" t="e">
        <f t="shared" si="84"/>
        <v>#REF!</v>
      </c>
      <c r="AY91" s="14" t="e">
        <f t="shared" si="84"/>
        <v>#REF!</v>
      </c>
      <c r="AZ91" s="14" t="e">
        <f t="shared" si="84"/>
        <v>#REF!</v>
      </c>
      <c r="BA91" s="14" t="e">
        <f t="shared" si="84"/>
        <v>#REF!</v>
      </c>
      <c r="BB91" s="14" t="e">
        <f t="shared" si="84"/>
        <v>#REF!</v>
      </c>
      <c r="BC91" s="14" t="e">
        <f t="shared" si="84"/>
        <v>#REF!</v>
      </c>
      <c r="BD91" s="14" t="e">
        <f t="shared" si="84"/>
        <v>#REF!</v>
      </c>
      <c r="BE91" s="14" t="e">
        <f t="shared" si="84"/>
        <v>#REF!</v>
      </c>
      <c r="BF91" s="14" t="e">
        <f t="shared" si="84"/>
        <v>#REF!</v>
      </c>
      <c r="BG91" s="14" t="e">
        <f t="shared" si="84"/>
        <v>#REF!</v>
      </c>
      <c r="BH91" s="14" t="e">
        <f t="shared" si="84"/>
        <v>#REF!</v>
      </c>
      <c r="BI91" s="14" t="e">
        <f t="shared" si="84"/>
        <v>#REF!</v>
      </c>
      <c r="BJ91" s="14" t="e">
        <f t="shared" si="84"/>
        <v>#REF!</v>
      </c>
      <c r="BK91"/>
      <c r="BL91" s="5"/>
    </row>
    <row r="92" spans="1:64">
      <c r="A92"/>
      <c r="B92" s="3" t="s">
        <v>361</v>
      </c>
      <c r="C92" s="13" t="e">
        <f>SUM(C89:C91)</f>
        <v>#REF!</v>
      </c>
      <c r="D92" s="13" t="e">
        <f t="shared" ref="D92:BJ92" si="85">SUM(D89:D91)</f>
        <v>#REF!</v>
      </c>
      <c r="E92" s="13" t="e">
        <f t="shared" si="85"/>
        <v>#REF!</v>
      </c>
      <c r="F92" s="13" t="e">
        <f t="shared" si="85"/>
        <v>#REF!</v>
      </c>
      <c r="G92" s="13" t="e">
        <f t="shared" si="85"/>
        <v>#REF!</v>
      </c>
      <c r="H92" s="13" t="e">
        <f t="shared" si="85"/>
        <v>#REF!</v>
      </c>
      <c r="I92" s="13" t="e">
        <f t="shared" si="85"/>
        <v>#REF!</v>
      </c>
      <c r="J92" s="13" t="e">
        <f t="shared" si="85"/>
        <v>#REF!</v>
      </c>
      <c r="K92" s="13" t="e">
        <f t="shared" si="85"/>
        <v>#REF!</v>
      </c>
      <c r="L92" s="13" t="e">
        <f t="shared" si="85"/>
        <v>#REF!</v>
      </c>
      <c r="M92" s="13" t="e">
        <f t="shared" si="85"/>
        <v>#REF!</v>
      </c>
      <c r="N92" s="13" t="e">
        <f t="shared" si="85"/>
        <v>#REF!</v>
      </c>
      <c r="O92" s="13" t="e">
        <f t="shared" si="85"/>
        <v>#REF!</v>
      </c>
      <c r="P92" s="13" t="e">
        <f t="shared" si="85"/>
        <v>#REF!</v>
      </c>
      <c r="Q92" s="13" t="e">
        <f t="shared" si="85"/>
        <v>#REF!</v>
      </c>
      <c r="R92" s="13" t="e">
        <f t="shared" si="85"/>
        <v>#REF!</v>
      </c>
      <c r="S92" s="13" t="e">
        <f t="shared" si="85"/>
        <v>#REF!</v>
      </c>
      <c r="T92" s="13" t="e">
        <f t="shared" si="85"/>
        <v>#REF!</v>
      </c>
      <c r="U92" s="13" t="e">
        <f t="shared" si="85"/>
        <v>#REF!</v>
      </c>
      <c r="V92" s="13" t="e">
        <f t="shared" si="85"/>
        <v>#REF!</v>
      </c>
      <c r="W92" s="13" t="e">
        <f t="shared" si="85"/>
        <v>#REF!</v>
      </c>
      <c r="X92" s="13" t="e">
        <f t="shared" si="85"/>
        <v>#REF!</v>
      </c>
      <c r="Y92" s="13" t="e">
        <f t="shared" si="85"/>
        <v>#REF!</v>
      </c>
      <c r="Z92" s="13" t="e">
        <f t="shared" si="85"/>
        <v>#REF!</v>
      </c>
      <c r="AA92" s="13" t="e">
        <f t="shared" si="85"/>
        <v>#REF!</v>
      </c>
      <c r="AB92" s="13" t="e">
        <f t="shared" si="85"/>
        <v>#REF!</v>
      </c>
      <c r="AC92" s="13" t="e">
        <f t="shared" si="85"/>
        <v>#REF!</v>
      </c>
      <c r="AD92" s="13" t="e">
        <f t="shared" si="85"/>
        <v>#REF!</v>
      </c>
      <c r="AE92" s="13" t="e">
        <f t="shared" si="85"/>
        <v>#REF!</v>
      </c>
      <c r="AF92" s="13" t="e">
        <f t="shared" si="85"/>
        <v>#REF!</v>
      </c>
      <c r="AG92" s="13" t="e">
        <f t="shared" si="85"/>
        <v>#REF!</v>
      </c>
      <c r="AH92" s="13" t="e">
        <f t="shared" si="85"/>
        <v>#REF!</v>
      </c>
      <c r="AI92" s="13" t="e">
        <f t="shared" si="85"/>
        <v>#REF!</v>
      </c>
      <c r="AJ92" s="13" t="e">
        <f t="shared" si="85"/>
        <v>#REF!</v>
      </c>
      <c r="AK92" s="13" t="e">
        <f t="shared" si="85"/>
        <v>#REF!</v>
      </c>
      <c r="AL92" s="13" t="e">
        <f t="shared" si="85"/>
        <v>#REF!</v>
      </c>
      <c r="AM92" s="13" t="e">
        <f t="shared" si="85"/>
        <v>#REF!</v>
      </c>
      <c r="AN92" s="13" t="e">
        <f t="shared" si="85"/>
        <v>#REF!</v>
      </c>
      <c r="AO92" s="13" t="e">
        <f t="shared" si="85"/>
        <v>#REF!</v>
      </c>
      <c r="AP92" s="13" t="e">
        <f t="shared" si="85"/>
        <v>#REF!</v>
      </c>
      <c r="AQ92" s="13" t="e">
        <f t="shared" si="85"/>
        <v>#REF!</v>
      </c>
      <c r="AR92" s="13" t="e">
        <f t="shared" si="85"/>
        <v>#REF!</v>
      </c>
      <c r="AS92" s="13" t="e">
        <f t="shared" si="85"/>
        <v>#REF!</v>
      </c>
      <c r="AT92" s="13" t="e">
        <f t="shared" si="85"/>
        <v>#REF!</v>
      </c>
      <c r="AU92" s="13" t="e">
        <f t="shared" si="85"/>
        <v>#REF!</v>
      </c>
      <c r="AV92" s="13" t="e">
        <f t="shared" si="85"/>
        <v>#REF!</v>
      </c>
      <c r="AW92" s="13" t="e">
        <f t="shared" si="85"/>
        <v>#REF!</v>
      </c>
      <c r="AX92" s="13" t="e">
        <f t="shared" si="85"/>
        <v>#REF!</v>
      </c>
      <c r="AY92" s="13" t="e">
        <f t="shared" si="85"/>
        <v>#REF!</v>
      </c>
      <c r="AZ92" s="13" t="e">
        <f t="shared" si="85"/>
        <v>#REF!</v>
      </c>
      <c r="BA92" s="13" t="e">
        <f t="shared" si="85"/>
        <v>#REF!</v>
      </c>
      <c r="BB92" s="13" t="e">
        <f t="shared" si="85"/>
        <v>#REF!</v>
      </c>
      <c r="BC92" s="13" t="e">
        <f t="shared" si="85"/>
        <v>#REF!</v>
      </c>
      <c r="BD92" s="13" t="e">
        <f t="shared" si="85"/>
        <v>#REF!</v>
      </c>
      <c r="BE92" s="13" t="e">
        <f t="shared" si="85"/>
        <v>#REF!</v>
      </c>
      <c r="BF92" s="13" t="e">
        <f t="shared" si="85"/>
        <v>#REF!</v>
      </c>
      <c r="BG92" s="13" t="e">
        <f t="shared" si="85"/>
        <v>#REF!</v>
      </c>
      <c r="BH92" s="13" t="e">
        <f t="shared" si="85"/>
        <v>#REF!</v>
      </c>
      <c r="BI92" s="13" t="e">
        <f t="shared" si="85"/>
        <v>#REF!</v>
      </c>
      <c r="BJ92" s="13" t="e">
        <f t="shared" si="85"/>
        <v>#REF!</v>
      </c>
      <c r="BK92"/>
      <c r="BL92" s="5"/>
    </row>
    <row r="93" spans="1:64">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s="5"/>
    </row>
    <row r="94" spans="1:64">
      <c r="A94"/>
      <c r="B94" t="s">
        <v>362</v>
      </c>
      <c r="C94" s="30" t="e">
        <f>-C91</f>
        <v>#REF!</v>
      </c>
      <c r="D94" s="30" t="e">
        <f t="shared" ref="D94:BJ94" si="86">-D91</f>
        <v>#REF!</v>
      </c>
      <c r="E94" s="30" t="e">
        <f t="shared" si="86"/>
        <v>#REF!</v>
      </c>
      <c r="F94" s="30" t="e">
        <f t="shared" si="86"/>
        <v>#REF!</v>
      </c>
      <c r="G94" s="30" t="e">
        <f t="shared" si="86"/>
        <v>#REF!</v>
      </c>
      <c r="H94" s="30" t="e">
        <f t="shared" si="86"/>
        <v>#REF!</v>
      </c>
      <c r="I94" s="30" t="e">
        <f t="shared" si="86"/>
        <v>#REF!</v>
      </c>
      <c r="J94" s="30" t="e">
        <f t="shared" si="86"/>
        <v>#REF!</v>
      </c>
      <c r="K94" s="30" t="e">
        <f t="shared" si="86"/>
        <v>#REF!</v>
      </c>
      <c r="L94" s="30" t="e">
        <f t="shared" si="86"/>
        <v>#REF!</v>
      </c>
      <c r="M94" s="30" t="e">
        <f t="shared" si="86"/>
        <v>#REF!</v>
      </c>
      <c r="N94" s="30" t="e">
        <f t="shared" si="86"/>
        <v>#REF!</v>
      </c>
      <c r="O94" s="30" t="e">
        <f t="shared" si="86"/>
        <v>#REF!</v>
      </c>
      <c r="P94" s="30" t="e">
        <f t="shared" si="86"/>
        <v>#REF!</v>
      </c>
      <c r="Q94" s="30" t="e">
        <f t="shared" si="86"/>
        <v>#REF!</v>
      </c>
      <c r="R94" s="30" t="e">
        <f t="shared" si="86"/>
        <v>#REF!</v>
      </c>
      <c r="S94" s="30" t="e">
        <f t="shared" si="86"/>
        <v>#REF!</v>
      </c>
      <c r="T94" s="30" t="e">
        <f t="shared" si="86"/>
        <v>#REF!</v>
      </c>
      <c r="U94" s="30" t="e">
        <f t="shared" si="86"/>
        <v>#REF!</v>
      </c>
      <c r="V94" s="30" t="e">
        <f t="shared" si="86"/>
        <v>#REF!</v>
      </c>
      <c r="W94" s="30" t="e">
        <f t="shared" si="86"/>
        <v>#REF!</v>
      </c>
      <c r="X94" s="30" t="e">
        <f t="shared" si="86"/>
        <v>#REF!</v>
      </c>
      <c r="Y94" s="30" t="e">
        <f t="shared" si="86"/>
        <v>#REF!</v>
      </c>
      <c r="Z94" s="30" t="e">
        <f t="shared" si="86"/>
        <v>#REF!</v>
      </c>
      <c r="AA94" s="30" t="e">
        <f t="shared" si="86"/>
        <v>#REF!</v>
      </c>
      <c r="AB94" s="30" t="e">
        <f t="shared" si="86"/>
        <v>#REF!</v>
      </c>
      <c r="AC94" s="30" t="e">
        <f t="shared" si="86"/>
        <v>#REF!</v>
      </c>
      <c r="AD94" s="30" t="e">
        <f t="shared" si="86"/>
        <v>#REF!</v>
      </c>
      <c r="AE94" s="30" t="e">
        <f t="shared" si="86"/>
        <v>#REF!</v>
      </c>
      <c r="AF94" s="30" t="e">
        <f t="shared" si="86"/>
        <v>#REF!</v>
      </c>
      <c r="AG94" s="30" t="e">
        <f t="shared" si="86"/>
        <v>#REF!</v>
      </c>
      <c r="AH94" s="30" t="e">
        <f t="shared" si="86"/>
        <v>#REF!</v>
      </c>
      <c r="AI94" s="30" t="e">
        <f t="shared" si="86"/>
        <v>#REF!</v>
      </c>
      <c r="AJ94" s="30" t="e">
        <f t="shared" si="86"/>
        <v>#REF!</v>
      </c>
      <c r="AK94" s="30" t="e">
        <f t="shared" si="86"/>
        <v>#REF!</v>
      </c>
      <c r="AL94" s="30" t="e">
        <f t="shared" si="86"/>
        <v>#REF!</v>
      </c>
      <c r="AM94" s="30" t="e">
        <f t="shared" si="86"/>
        <v>#REF!</v>
      </c>
      <c r="AN94" s="30" t="e">
        <f t="shared" si="86"/>
        <v>#REF!</v>
      </c>
      <c r="AO94" s="30" t="e">
        <f t="shared" si="86"/>
        <v>#REF!</v>
      </c>
      <c r="AP94" s="30" t="e">
        <f t="shared" si="86"/>
        <v>#REF!</v>
      </c>
      <c r="AQ94" s="30" t="e">
        <f t="shared" si="86"/>
        <v>#REF!</v>
      </c>
      <c r="AR94" s="30" t="e">
        <f t="shared" si="86"/>
        <v>#REF!</v>
      </c>
      <c r="AS94" s="30" t="e">
        <f t="shared" si="86"/>
        <v>#REF!</v>
      </c>
      <c r="AT94" s="30" t="e">
        <f t="shared" si="86"/>
        <v>#REF!</v>
      </c>
      <c r="AU94" s="30" t="e">
        <f t="shared" si="86"/>
        <v>#REF!</v>
      </c>
      <c r="AV94" s="30" t="e">
        <f t="shared" si="86"/>
        <v>#REF!</v>
      </c>
      <c r="AW94" s="30" t="e">
        <f t="shared" si="86"/>
        <v>#REF!</v>
      </c>
      <c r="AX94" s="30" t="e">
        <f t="shared" si="86"/>
        <v>#REF!</v>
      </c>
      <c r="AY94" s="30" t="e">
        <f t="shared" si="86"/>
        <v>#REF!</v>
      </c>
      <c r="AZ94" s="30" t="e">
        <f t="shared" si="86"/>
        <v>#REF!</v>
      </c>
      <c r="BA94" s="30" t="e">
        <f t="shared" si="86"/>
        <v>#REF!</v>
      </c>
      <c r="BB94" s="30" t="e">
        <f t="shared" si="86"/>
        <v>#REF!</v>
      </c>
      <c r="BC94" s="30" t="e">
        <f t="shared" si="86"/>
        <v>#REF!</v>
      </c>
      <c r="BD94" s="30" t="e">
        <f t="shared" si="86"/>
        <v>#REF!</v>
      </c>
      <c r="BE94" s="30" t="e">
        <f t="shared" si="86"/>
        <v>#REF!</v>
      </c>
      <c r="BF94" s="30" t="e">
        <f t="shared" si="86"/>
        <v>#REF!</v>
      </c>
      <c r="BG94" s="30" t="e">
        <f t="shared" si="86"/>
        <v>#REF!</v>
      </c>
      <c r="BH94" s="30" t="e">
        <f t="shared" si="86"/>
        <v>#REF!</v>
      </c>
      <c r="BI94" s="30" t="e">
        <f t="shared" si="86"/>
        <v>#REF!</v>
      </c>
      <c r="BJ94" s="30" t="e">
        <f t="shared" si="86"/>
        <v>#REF!</v>
      </c>
      <c r="BK94"/>
      <c r="BL94" s="5"/>
    </row>
    <row r="95" spans="1:64">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s="5"/>
    </row>
    <row r="96" spans="1:64">
      <c r="A96"/>
      <c r="B96" s="28" t="str">
        <f>+B21</f>
        <v>Tier 3 - Minimum Multiple</v>
      </c>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t="s">
        <v>349</v>
      </c>
      <c r="C97" s="30" t="e">
        <f>+C87-C94</f>
        <v>#REF!</v>
      </c>
      <c r="D97" s="30" t="e">
        <f t="shared" ref="D97" si="87">+D87-D94</f>
        <v>#REF!</v>
      </c>
      <c r="E97" s="30" t="e">
        <f t="shared" ref="E97:BJ97" si="88">+E87-E94</f>
        <v>#REF!</v>
      </c>
      <c r="F97" s="30" t="e">
        <f t="shared" si="88"/>
        <v>#REF!</v>
      </c>
      <c r="G97" s="30" t="e">
        <f t="shared" si="88"/>
        <v>#REF!</v>
      </c>
      <c r="H97" s="30" t="e">
        <f t="shared" si="88"/>
        <v>#REF!</v>
      </c>
      <c r="I97" s="30" t="e">
        <f t="shared" si="88"/>
        <v>#REF!</v>
      </c>
      <c r="J97" s="30" t="e">
        <f t="shared" si="88"/>
        <v>#REF!</v>
      </c>
      <c r="K97" s="30" t="e">
        <f t="shared" si="88"/>
        <v>#REF!</v>
      </c>
      <c r="L97" s="30" t="e">
        <f t="shared" si="88"/>
        <v>#REF!</v>
      </c>
      <c r="M97" s="30" t="e">
        <f t="shared" si="88"/>
        <v>#REF!</v>
      </c>
      <c r="N97" s="30" t="e">
        <f t="shared" si="88"/>
        <v>#REF!</v>
      </c>
      <c r="O97" s="30" t="e">
        <f t="shared" si="88"/>
        <v>#REF!</v>
      </c>
      <c r="P97" s="30" t="e">
        <f t="shared" si="88"/>
        <v>#REF!</v>
      </c>
      <c r="Q97" s="30" t="e">
        <f t="shared" si="88"/>
        <v>#REF!</v>
      </c>
      <c r="R97" s="30" t="e">
        <f t="shared" si="88"/>
        <v>#REF!</v>
      </c>
      <c r="S97" s="30" t="e">
        <f t="shared" si="88"/>
        <v>#REF!</v>
      </c>
      <c r="T97" s="30" t="e">
        <f t="shared" si="88"/>
        <v>#REF!</v>
      </c>
      <c r="U97" s="30" t="e">
        <f t="shared" si="88"/>
        <v>#REF!</v>
      </c>
      <c r="V97" s="30" t="e">
        <f t="shared" si="88"/>
        <v>#REF!</v>
      </c>
      <c r="W97" s="30" t="e">
        <f t="shared" si="88"/>
        <v>#REF!</v>
      </c>
      <c r="X97" s="30" t="e">
        <f t="shared" si="88"/>
        <v>#REF!</v>
      </c>
      <c r="Y97" s="30" t="e">
        <f t="shared" si="88"/>
        <v>#REF!</v>
      </c>
      <c r="Z97" s="30" t="e">
        <f t="shared" si="88"/>
        <v>#REF!</v>
      </c>
      <c r="AA97" s="30" t="e">
        <f t="shared" si="88"/>
        <v>#REF!</v>
      </c>
      <c r="AB97" s="30" t="e">
        <f t="shared" si="88"/>
        <v>#REF!</v>
      </c>
      <c r="AC97" s="30" t="e">
        <f t="shared" si="88"/>
        <v>#REF!</v>
      </c>
      <c r="AD97" s="30" t="e">
        <f t="shared" si="88"/>
        <v>#REF!</v>
      </c>
      <c r="AE97" s="30" t="e">
        <f t="shared" si="88"/>
        <v>#REF!</v>
      </c>
      <c r="AF97" s="30" t="e">
        <f t="shared" si="88"/>
        <v>#REF!</v>
      </c>
      <c r="AG97" s="30" t="e">
        <f t="shared" si="88"/>
        <v>#REF!</v>
      </c>
      <c r="AH97" s="30" t="e">
        <f t="shared" si="88"/>
        <v>#REF!</v>
      </c>
      <c r="AI97" s="30" t="e">
        <f t="shared" si="88"/>
        <v>#REF!</v>
      </c>
      <c r="AJ97" s="30" t="e">
        <f t="shared" si="88"/>
        <v>#REF!</v>
      </c>
      <c r="AK97" s="30" t="e">
        <f t="shared" si="88"/>
        <v>#REF!</v>
      </c>
      <c r="AL97" s="30" t="e">
        <f t="shared" si="88"/>
        <v>#REF!</v>
      </c>
      <c r="AM97" s="30" t="e">
        <f t="shared" si="88"/>
        <v>#REF!</v>
      </c>
      <c r="AN97" s="30" t="e">
        <f t="shared" si="88"/>
        <v>#REF!</v>
      </c>
      <c r="AO97" s="30" t="e">
        <f t="shared" si="88"/>
        <v>#REF!</v>
      </c>
      <c r="AP97" s="30" t="e">
        <f t="shared" si="88"/>
        <v>#REF!</v>
      </c>
      <c r="AQ97" s="30" t="e">
        <f t="shared" si="88"/>
        <v>#REF!</v>
      </c>
      <c r="AR97" s="30" t="e">
        <f t="shared" si="88"/>
        <v>#REF!</v>
      </c>
      <c r="AS97" s="30" t="e">
        <f t="shared" si="88"/>
        <v>#REF!</v>
      </c>
      <c r="AT97" s="30" t="e">
        <f t="shared" si="88"/>
        <v>#REF!</v>
      </c>
      <c r="AU97" s="30" t="e">
        <f t="shared" si="88"/>
        <v>#REF!</v>
      </c>
      <c r="AV97" s="30" t="e">
        <f t="shared" si="88"/>
        <v>#REF!</v>
      </c>
      <c r="AW97" s="30" t="e">
        <f t="shared" si="88"/>
        <v>#REF!</v>
      </c>
      <c r="AX97" s="30" t="e">
        <f t="shared" si="88"/>
        <v>#REF!</v>
      </c>
      <c r="AY97" s="30" t="e">
        <f t="shared" si="88"/>
        <v>#REF!</v>
      </c>
      <c r="AZ97" s="30" t="e">
        <f t="shared" si="88"/>
        <v>#REF!</v>
      </c>
      <c r="BA97" s="30" t="e">
        <f t="shared" si="88"/>
        <v>#REF!</v>
      </c>
      <c r="BB97" s="30" t="e">
        <f t="shared" si="88"/>
        <v>#REF!</v>
      </c>
      <c r="BC97" s="30" t="e">
        <f t="shared" si="88"/>
        <v>#REF!</v>
      </c>
      <c r="BD97" s="30" t="e">
        <f t="shared" si="88"/>
        <v>#REF!</v>
      </c>
      <c r="BE97" s="30" t="e">
        <f t="shared" si="88"/>
        <v>#REF!</v>
      </c>
      <c r="BF97" s="30" t="e">
        <f t="shared" si="88"/>
        <v>#REF!</v>
      </c>
      <c r="BG97" s="30" t="e">
        <f t="shared" si="88"/>
        <v>#REF!</v>
      </c>
      <c r="BH97" s="30" t="e">
        <f t="shared" si="88"/>
        <v>#REF!</v>
      </c>
      <c r="BI97" s="30" t="e">
        <f t="shared" si="88"/>
        <v>#REF!</v>
      </c>
      <c r="BJ97" s="30" t="e">
        <f t="shared" si="88"/>
        <v>#REF!</v>
      </c>
      <c r="BK97"/>
      <c r="BL97" s="5"/>
    </row>
    <row r="98" spans="1:64">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s="5"/>
    </row>
    <row r="99" spans="1:64">
      <c r="A99"/>
      <c r="B99" t="s">
        <v>363</v>
      </c>
      <c r="C99" s="14">
        <f>IF($D$21="Yes",-$C$21*SUM(C57:BJ57),0)</f>
        <v>0</v>
      </c>
      <c r="D99" s="30" t="e">
        <f>+C103</f>
        <v>#REF!</v>
      </c>
      <c r="E99" s="30" t="e">
        <f t="shared" ref="E99:BJ99" si="89">+D103</f>
        <v>#REF!</v>
      </c>
      <c r="F99" s="30" t="e">
        <f t="shared" si="89"/>
        <v>#REF!</v>
      </c>
      <c r="G99" s="30" t="e">
        <f t="shared" si="89"/>
        <v>#REF!</v>
      </c>
      <c r="H99" s="30" t="e">
        <f t="shared" si="89"/>
        <v>#REF!</v>
      </c>
      <c r="I99" s="30" t="e">
        <f t="shared" si="89"/>
        <v>#REF!</v>
      </c>
      <c r="J99" s="30" t="e">
        <f t="shared" si="89"/>
        <v>#REF!</v>
      </c>
      <c r="K99" s="30" t="e">
        <f t="shared" si="89"/>
        <v>#REF!</v>
      </c>
      <c r="L99" s="30" t="e">
        <f t="shared" si="89"/>
        <v>#REF!</v>
      </c>
      <c r="M99" s="30" t="e">
        <f t="shared" si="89"/>
        <v>#REF!</v>
      </c>
      <c r="N99" s="30" t="e">
        <f t="shared" si="89"/>
        <v>#REF!</v>
      </c>
      <c r="O99" s="30" t="e">
        <f t="shared" si="89"/>
        <v>#REF!</v>
      </c>
      <c r="P99" s="30" t="e">
        <f t="shared" si="89"/>
        <v>#REF!</v>
      </c>
      <c r="Q99" s="30" t="e">
        <f t="shared" si="89"/>
        <v>#REF!</v>
      </c>
      <c r="R99" s="30" t="e">
        <f t="shared" si="89"/>
        <v>#REF!</v>
      </c>
      <c r="S99" s="30" t="e">
        <f t="shared" si="89"/>
        <v>#REF!</v>
      </c>
      <c r="T99" s="30" t="e">
        <f t="shared" si="89"/>
        <v>#REF!</v>
      </c>
      <c r="U99" s="30" t="e">
        <f t="shared" si="89"/>
        <v>#REF!</v>
      </c>
      <c r="V99" s="30" t="e">
        <f t="shared" si="89"/>
        <v>#REF!</v>
      </c>
      <c r="W99" s="30" t="e">
        <f t="shared" si="89"/>
        <v>#REF!</v>
      </c>
      <c r="X99" s="30" t="e">
        <f t="shared" si="89"/>
        <v>#REF!</v>
      </c>
      <c r="Y99" s="30" t="e">
        <f t="shared" si="89"/>
        <v>#REF!</v>
      </c>
      <c r="Z99" s="30" t="e">
        <f t="shared" si="89"/>
        <v>#REF!</v>
      </c>
      <c r="AA99" s="30" t="e">
        <f t="shared" si="89"/>
        <v>#REF!</v>
      </c>
      <c r="AB99" s="30" t="e">
        <f t="shared" si="89"/>
        <v>#REF!</v>
      </c>
      <c r="AC99" s="30" t="e">
        <f t="shared" si="89"/>
        <v>#REF!</v>
      </c>
      <c r="AD99" s="30" t="e">
        <f t="shared" si="89"/>
        <v>#REF!</v>
      </c>
      <c r="AE99" s="30" t="e">
        <f t="shared" si="89"/>
        <v>#REF!</v>
      </c>
      <c r="AF99" s="30" t="e">
        <f t="shared" si="89"/>
        <v>#REF!</v>
      </c>
      <c r="AG99" s="30" t="e">
        <f t="shared" si="89"/>
        <v>#REF!</v>
      </c>
      <c r="AH99" s="30" t="e">
        <f t="shared" si="89"/>
        <v>#REF!</v>
      </c>
      <c r="AI99" s="30" t="e">
        <f t="shared" si="89"/>
        <v>#REF!</v>
      </c>
      <c r="AJ99" s="30" t="e">
        <f t="shared" si="89"/>
        <v>#REF!</v>
      </c>
      <c r="AK99" s="30" t="e">
        <f t="shared" si="89"/>
        <v>#REF!</v>
      </c>
      <c r="AL99" s="30" t="e">
        <f t="shared" si="89"/>
        <v>#REF!</v>
      </c>
      <c r="AM99" s="30" t="e">
        <f t="shared" si="89"/>
        <v>#REF!</v>
      </c>
      <c r="AN99" s="30" t="e">
        <f t="shared" si="89"/>
        <v>#REF!</v>
      </c>
      <c r="AO99" s="30" t="e">
        <f t="shared" si="89"/>
        <v>#REF!</v>
      </c>
      <c r="AP99" s="30" t="e">
        <f t="shared" si="89"/>
        <v>#REF!</v>
      </c>
      <c r="AQ99" s="30" t="e">
        <f t="shared" si="89"/>
        <v>#REF!</v>
      </c>
      <c r="AR99" s="30" t="e">
        <f t="shared" si="89"/>
        <v>#REF!</v>
      </c>
      <c r="AS99" s="30" t="e">
        <f t="shared" si="89"/>
        <v>#REF!</v>
      </c>
      <c r="AT99" s="30" t="e">
        <f t="shared" si="89"/>
        <v>#REF!</v>
      </c>
      <c r="AU99" s="30" t="e">
        <f t="shared" si="89"/>
        <v>#REF!</v>
      </c>
      <c r="AV99" s="30" t="e">
        <f t="shared" si="89"/>
        <v>#REF!</v>
      </c>
      <c r="AW99" s="30" t="e">
        <f t="shared" si="89"/>
        <v>#REF!</v>
      </c>
      <c r="AX99" s="30" t="e">
        <f t="shared" si="89"/>
        <v>#REF!</v>
      </c>
      <c r="AY99" s="30" t="e">
        <f t="shared" si="89"/>
        <v>#REF!</v>
      </c>
      <c r="AZ99" s="30" t="e">
        <f t="shared" si="89"/>
        <v>#REF!</v>
      </c>
      <c r="BA99" s="30" t="e">
        <f t="shared" si="89"/>
        <v>#REF!</v>
      </c>
      <c r="BB99" s="30" t="e">
        <f t="shared" si="89"/>
        <v>#REF!</v>
      </c>
      <c r="BC99" s="30" t="e">
        <f t="shared" si="89"/>
        <v>#REF!</v>
      </c>
      <c r="BD99" s="30" t="e">
        <f t="shared" si="89"/>
        <v>#REF!</v>
      </c>
      <c r="BE99" s="30" t="e">
        <f t="shared" si="89"/>
        <v>#REF!</v>
      </c>
      <c r="BF99" s="30" t="e">
        <f t="shared" si="89"/>
        <v>#REF!</v>
      </c>
      <c r="BG99" s="30" t="e">
        <f t="shared" si="89"/>
        <v>#REF!</v>
      </c>
      <c r="BH99" s="30" t="e">
        <f t="shared" si="89"/>
        <v>#REF!</v>
      </c>
      <c r="BI99" s="30" t="e">
        <f t="shared" si="89"/>
        <v>#REF!</v>
      </c>
      <c r="BJ99" s="30" t="e">
        <f t="shared" si="89"/>
        <v>#REF!</v>
      </c>
      <c r="BK99"/>
      <c r="BL99" s="5"/>
    </row>
    <row r="100" spans="1:64">
      <c r="A100"/>
      <c r="B100" t="s">
        <v>358</v>
      </c>
      <c r="C100" s="14">
        <f>IF($D$21="Yes",-C$84,0)</f>
        <v>0</v>
      </c>
      <c r="D100" s="14">
        <f t="shared" ref="D100:BJ100" si="90">IF($D$21="Yes",-D$84,0)</f>
        <v>0</v>
      </c>
      <c r="E100" s="14">
        <f t="shared" si="90"/>
        <v>0</v>
      </c>
      <c r="F100" s="14">
        <f t="shared" si="90"/>
        <v>0</v>
      </c>
      <c r="G100" s="14">
        <f t="shared" si="90"/>
        <v>0</v>
      </c>
      <c r="H100" s="14">
        <f t="shared" si="90"/>
        <v>0</v>
      </c>
      <c r="I100" s="14">
        <f t="shared" si="90"/>
        <v>0</v>
      </c>
      <c r="J100" s="14">
        <f t="shared" si="90"/>
        <v>0</v>
      </c>
      <c r="K100" s="14">
        <f t="shared" si="90"/>
        <v>0</v>
      </c>
      <c r="L100" s="14">
        <f t="shared" si="90"/>
        <v>0</v>
      </c>
      <c r="M100" s="14">
        <f t="shared" si="90"/>
        <v>0</v>
      </c>
      <c r="N100" s="14">
        <f t="shared" si="90"/>
        <v>0</v>
      </c>
      <c r="O100" s="14">
        <f t="shared" si="90"/>
        <v>0</v>
      </c>
      <c r="P100" s="14">
        <f t="shared" si="90"/>
        <v>0</v>
      </c>
      <c r="Q100" s="14">
        <f t="shared" si="90"/>
        <v>0</v>
      </c>
      <c r="R100" s="14">
        <f t="shared" si="90"/>
        <v>0</v>
      </c>
      <c r="S100" s="14">
        <f t="shared" si="90"/>
        <v>0</v>
      </c>
      <c r="T100" s="14">
        <f t="shared" si="90"/>
        <v>0</v>
      </c>
      <c r="U100" s="14">
        <f t="shared" si="90"/>
        <v>0</v>
      </c>
      <c r="V100" s="14">
        <f t="shared" si="90"/>
        <v>0</v>
      </c>
      <c r="W100" s="14">
        <f t="shared" si="90"/>
        <v>0</v>
      </c>
      <c r="X100" s="14">
        <f t="shared" si="90"/>
        <v>0</v>
      </c>
      <c r="Y100" s="14">
        <f t="shared" si="90"/>
        <v>0</v>
      </c>
      <c r="Z100" s="14">
        <f t="shared" si="90"/>
        <v>0</v>
      </c>
      <c r="AA100" s="14">
        <f t="shared" si="90"/>
        <v>0</v>
      </c>
      <c r="AB100" s="14">
        <f t="shared" si="90"/>
        <v>0</v>
      </c>
      <c r="AC100" s="14">
        <f t="shared" si="90"/>
        <v>0</v>
      </c>
      <c r="AD100" s="14">
        <f t="shared" si="90"/>
        <v>0</v>
      </c>
      <c r="AE100" s="14">
        <f t="shared" si="90"/>
        <v>0</v>
      </c>
      <c r="AF100" s="14">
        <f t="shared" si="90"/>
        <v>0</v>
      </c>
      <c r="AG100" s="14">
        <f t="shared" si="90"/>
        <v>0</v>
      </c>
      <c r="AH100" s="14">
        <f t="shared" si="90"/>
        <v>0</v>
      </c>
      <c r="AI100" s="14">
        <f t="shared" si="90"/>
        <v>0</v>
      </c>
      <c r="AJ100" s="14">
        <f t="shared" si="90"/>
        <v>0</v>
      </c>
      <c r="AK100" s="14">
        <f t="shared" si="90"/>
        <v>0</v>
      </c>
      <c r="AL100" s="14">
        <f t="shared" si="90"/>
        <v>0</v>
      </c>
      <c r="AM100" s="14">
        <f t="shared" si="90"/>
        <v>0</v>
      </c>
      <c r="AN100" s="14">
        <f t="shared" si="90"/>
        <v>0</v>
      </c>
      <c r="AO100" s="14">
        <f t="shared" si="90"/>
        <v>0</v>
      </c>
      <c r="AP100" s="14">
        <f t="shared" si="90"/>
        <v>0</v>
      </c>
      <c r="AQ100" s="14">
        <f t="shared" si="90"/>
        <v>0</v>
      </c>
      <c r="AR100" s="14">
        <f t="shared" si="90"/>
        <v>0</v>
      </c>
      <c r="AS100" s="14">
        <f t="shared" si="90"/>
        <v>0</v>
      </c>
      <c r="AT100" s="14">
        <f t="shared" si="90"/>
        <v>0</v>
      </c>
      <c r="AU100" s="14">
        <f t="shared" si="90"/>
        <v>0</v>
      </c>
      <c r="AV100" s="14">
        <f t="shared" si="90"/>
        <v>0</v>
      </c>
      <c r="AW100" s="14">
        <f t="shared" si="90"/>
        <v>0</v>
      </c>
      <c r="AX100" s="14">
        <f t="shared" si="90"/>
        <v>0</v>
      </c>
      <c r="AY100" s="14">
        <f t="shared" si="90"/>
        <v>0</v>
      </c>
      <c r="AZ100" s="14">
        <f t="shared" si="90"/>
        <v>0</v>
      </c>
      <c r="BA100" s="14">
        <f t="shared" si="90"/>
        <v>0</v>
      </c>
      <c r="BB100" s="14">
        <f t="shared" si="90"/>
        <v>0</v>
      </c>
      <c r="BC100" s="14">
        <f t="shared" si="90"/>
        <v>0</v>
      </c>
      <c r="BD100" s="14">
        <f t="shared" si="90"/>
        <v>0</v>
      </c>
      <c r="BE100" s="14">
        <f t="shared" si="90"/>
        <v>0</v>
      </c>
      <c r="BF100" s="14">
        <f t="shared" si="90"/>
        <v>0</v>
      </c>
      <c r="BG100" s="14">
        <f t="shared" si="90"/>
        <v>0</v>
      </c>
      <c r="BH100" s="14">
        <f t="shared" si="90"/>
        <v>0</v>
      </c>
      <c r="BI100" s="14">
        <f t="shared" si="90"/>
        <v>0</v>
      </c>
      <c r="BJ100" s="14">
        <f t="shared" si="90"/>
        <v>0</v>
      </c>
      <c r="BK100"/>
      <c r="BL100" s="5"/>
    </row>
    <row r="101" spans="1:64">
      <c r="A101"/>
      <c r="B101" t="s">
        <v>362</v>
      </c>
      <c r="C101" s="14">
        <f>IF($D$21="Yes",-C$94,0)</f>
        <v>0</v>
      </c>
      <c r="D101" s="14">
        <f t="shared" ref="D101:BJ101" si="91">IF($D$21="Yes",-D$94,0)</f>
        <v>0</v>
      </c>
      <c r="E101" s="14">
        <f t="shared" si="91"/>
        <v>0</v>
      </c>
      <c r="F101" s="14">
        <f t="shared" si="91"/>
        <v>0</v>
      </c>
      <c r="G101" s="14">
        <f t="shared" si="91"/>
        <v>0</v>
      </c>
      <c r="H101" s="14">
        <f t="shared" si="91"/>
        <v>0</v>
      </c>
      <c r="I101" s="14">
        <f t="shared" si="91"/>
        <v>0</v>
      </c>
      <c r="J101" s="14">
        <f t="shared" si="91"/>
        <v>0</v>
      </c>
      <c r="K101" s="14">
        <f t="shared" si="91"/>
        <v>0</v>
      </c>
      <c r="L101" s="14">
        <f t="shared" si="91"/>
        <v>0</v>
      </c>
      <c r="M101" s="14">
        <f t="shared" si="91"/>
        <v>0</v>
      </c>
      <c r="N101" s="14">
        <f t="shared" si="91"/>
        <v>0</v>
      </c>
      <c r="O101" s="14">
        <f t="shared" si="91"/>
        <v>0</v>
      </c>
      <c r="P101" s="14">
        <f t="shared" si="91"/>
        <v>0</v>
      </c>
      <c r="Q101" s="14">
        <f t="shared" si="91"/>
        <v>0</v>
      </c>
      <c r="R101" s="14">
        <f t="shared" si="91"/>
        <v>0</v>
      </c>
      <c r="S101" s="14">
        <f t="shared" si="91"/>
        <v>0</v>
      </c>
      <c r="T101" s="14">
        <f t="shared" si="91"/>
        <v>0</v>
      </c>
      <c r="U101" s="14">
        <f t="shared" si="91"/>
        <v>0</v>
      </c>
      <c r="V101" s="14">
        <f t="shared" si="91"/>
        <v>0</v>
      </c>
      <c r="W101" s="14">
        <f t="shared" si="91"/>
        <v>0</v>
      </c>
      <c r="X101" s="14">
        <f t="shared" si="91"/>
        <v>0</v>
      </c>
      <c r="Y101" s="14">
        <f t="shared" si="91"/>
        <v>0</v>
      </c>
      <c r="Z101" s="14">
        <f t="shared" si="91"/>
        <v>0</v>
      </c>
      <c r="AA101" s="14">
        <f t="shared" si="91"/>
        <v>0</v>
      </c>
      <c r="AB101" s="14">
        <f t="shared" si="91"/>
        <v>0</v>
      </c>
      <c r="AC101" s="14">
        <f t="shared" si="91"/>
        <v>0</v>
      </c>
      <c r="AD101" s="14">
        <f t="shared" si="91"/>
        <v>0</v>
      </c>
      <c r="AE101" s="14">
        <f t="shared" si="91"/>
        <v>0</v>
      </c>
      <c r="AF101" s="14">
        <f t="shared" si="91"/>
        <v>0</v>
      </c>
      <c r="AG101" s="14">
        <f t="shared" si="91"/>
        <v>0</v>
      </c>
      <c r="AH101" s="14">
        <f t="shared" si="91"/>
        <v>0</v>
      </c>
      <c r="AI101" s="14">
        <f t="shared" si="91"/>
        <v>0</v>
      </c>
      <c r="AJ101" s="14">
        <f t="shared" si="91"/>
        <v>0</v>
      </c>
      <c r="AK101" s="14">
        <f t="shared" si="91"/>
        <v>0</v>
      </c>
      <c r="AL101" s="14">
        <f t="shared" si="91"/>
        <v>0</v>
      </c>
      <c r="AM101" s="14">
        <f t="shared" si="91"/>
        <v>0</v>
      </c>
      <c r="AN101" s="14">
        <f t="shared" si="91"/>
        <v>0</v>
      </c>
      <c r="AO101" s="14">
        <f t="shared" si="91"/>
        <v>0</v>
      </c>
      <c r="AP101" s="14">
        <f t="shared" si="91"/>
        <v>0</v>
      </c>
      <c r="AQ101" s="14">
        <f t="shared" si="91"/>
        <v>0</v>
      </c>
      <c r="AR101" s="14">
        <f t="shared" si="91"/>
        <v>0</v>
      </c>
      <c r="AS101" s="14">
        <f t="shared" si="91"/>
        <v>0</v>
      </c>
      <c r="AT101" s="14">
        <f t="shared" si="91"/>
        <v>0</v>
      </c>
      <c r="AU101" s="14">
        <f t="shared" si="91"/>
        <v>0</v>
      </c>
      <c r="AV101" s="14">
        <f t="shared" si="91"/>
        <v>0</v>
      </c>
      <c r="AW101" s="14">
        <f t="shared" si="91"/>
        <v>0</v>
      </c>
      <c r="AX101" s="14">
        <f t="shared" si="91"/>
        <v>0</v>
      </c>
      <c r="AY101" s="14">
        <f t="shared" si="91"/>
        <v>0</v>
      </c>
      <c r="AZ101" s="14">
        <f t="shared" si="91"/>
        <v>0</v>
      </c>
      <c r="BA101" s="14">
        <f t="shared" si="91"/>
        <v>0</v>
      </c>
      <c r="BB101" s="14">
        <f t="shared" si="91"/>
        <v>0</v>
      </c>
      <c r="BC101" s="14">
        <f t="shared" si="91"/>
        <v>0</v>
      </c>
      <c r="BD101" s="14">
        <f t="shared" si="91"/>
        <v>0</v>
      </c>
      <c r="BE101" s="14">
        <f t="shared" si="91"/>
        <v>0</v>
      </c>
      <c r="BF101" s="14">
        <f t="shared" si="91"/>
        <v>0</v>
      </c>
      <c r="BG101" s="14">
        <f t="shared" si="91"/>
        <v>0</v>
      </c>
      <c r="BH101" s="14">
        <f t="shared" si="91"/>
        <v>0</v>
      </c>
      <c r="BI101" s="14">
        <f t="shared" si="91"/>
        <v>0</v>
      </c>
      <c r="BJ101" s="14">
        <f t="shared" si="91"/>
        <v>0</v>
      </c>
      <c r="BK101"/>
      <c r="BL101" s="5"/>
    </row>
    <row r="102" spans="1:64">
      <c r="A102"/>
      <c r="B102" t="s">
        <v>364</v>
      </c>
      <c r="C102" s="30" t="e">
        <f>-MAX(0,MIN(SUM(C99:C101),C97))</f>
        <v>#REF!</v>
      </c>
      <c r="D102" s="30" t="e">
        <f t="shared" ref="D102:BJ102" si="92">-MAX(0,MIN(SUM(D99:D101),D97))</f>
        <v>#REF!</v>
      </c>
      <c r="E102" s="30" t="e">
        <f t="shared" si="92"/>
        <v>#REF!</v>
      </c>
      <c r="F102" s="30" t="e">
        <f t="shared" si="92"/>
        <v>#REF!</v>
      </c>
      <c r="G102" s="30" t="e">
        <f t="shared" si="92"/>
        <v>#REF!</v>
      </c>
      <c r="H102" s="30" t="e">
        <f t="shared" si="92"/>
        <v>#REF!</v>
      </c>
      <c r="I102" s="30" t="e">
        <f t="shared" si="92"/>
        <v>#REF!</v>
      </c>
      <c r="J102" s="30" t="e">
        <f t="shared" si="92"/>
        <v>#REF!</v>
      </c>
      <c r="K102" s="30" t="e">
        <f t="shared" si="92"/>
        <v>#REF!</v>
      </c>
      <c r="L102" s="30" t="e">
        <f t="shared" si="92"/>
        <v>#REF!</v>
      </c>
      <c r="M102" s="30" t="e">
        <f t="shared" si="92"/>
        <v>#REF!</v>
      </c>
      <c r="N102" s="30" t="e">
        <f t="shared" si="92"/>
        <v>#REF!</v>
      </c>
      <c r="O102" s="30" t="e">
        <f t="shared" si="92"/>
        <v>#REF!</v>
      </c>
      <c r="P102" s="30" t="e">
        <f t="shared" si="92"/>
        <v>#REF!</v>
      </c>
      <c r="Q102" s="30" t="e">
        <f t="shared" si="92"/>
        <v>#REF!</v>
      </c>
      <c r="R102" s="30" t="e">
        <f t="shared" si="92"/>
        <v>#REF!</v>
      </c>
      <c r="S102" s="30" t="e">
        <f t="shared" si="92"/>
        <v>#REF!</v>
      </c>
      <c r="T102" s="30" t="e">
        <f t="shared" si="92"/>
        <v>#REF!</v>
      </c>
      <c r="U102" s="30" t="e">
        <f t="shared" si="92"/>
        <v>#REF!</v>
      </c>
      <c r="V102" s="30" t="e">
        <f t="shared" si="92"/>
        <v>#REF!</v>
      </c>
      <c r="W102" s="30" t="e">
        <f t="shared" si="92"/>
        <v>#REF!</v>
      </c>
      <c r="X102" s="30" t="e">
        <f t="shared" si="92"/>
        <v>#REF!</v>
      </c>
      <c r="Y102" s="30" t="e">
        <f t="shared" si="92"/>
        <v>#REF!</v>
      </c>
      <c r="Z102" s="30" t="e">
        <f t="shared" si="92"/>
        <v>#REF!</v>
      </c>
      <c r="AA102" s="30" t="e">
        <f t="shared" si="92"/>
        <v>#REF!</v>
      </c>
      <c r="AB102" s="30" t="e">
        <f t="shared" si="92"/>
        <v>#REF!</v>
      </c>
      <c r="AC102" s="30" t="e">
        <f t="shared" si="92"/>
        <v>#REF!</v>
      </c>
      <c r="AD102" s="30" t="e">
        <f t="shared" si="92"/>
        <v>#REF!</v>
      </c>
      <c r="AE102" s="30" t="e">
        <f t="shared" si="92"/>
        <v>#REF!</v>
      </c>
      <c r="AF102" s="30" t="e">
        <f t="shared" si="92"/>
        <v>#REF!</v>
      </c>
      <c r="AG102" s="30" t="e">
        <f t="shared" si="92"/>
        <v>#REF!</v>
      </c>
      <c r="AH102" s="30" t="e">
        <f t="shared" si="92"/>
        <v>#REF!</v>
      </c>
      <c r="AI102" s="30" t="e">
        <f t="shared" si="92"/>
        <v>#REF!</v>
      </c>
      <c r="AJ102" s="30" t="e">
        <f t="shared" si="92"/>
        <v>#REF!</v>
      </c>
      <c r="AK102" s="30" t="e">
        <f t="shared" si="92"/>
        <v>#REF!</v>
      </c>
      <c r="AL102" s="30" t="e">
        <f t="shared" si="92"/>
        <v>#REF!</v>
      </c>
      <c r="AM102" s="30" t="e">
        <f t="shared" si="92"/>
        <v>#REF!</v>
      </c>
      <c r="AN102" s="30" t="e">
        <f t="shared" si="92"/>
        <v>#REF!</v>
      </c>
      <c r="AO102" s="30" t="e">
        <f t="shared" si="92"/>
        <v>#REF!</v>
      </c>
      <c r="AP102" s="30" t="e">
        <f t="shared" si="92"/>
        <v>#REF!</v>
      </c>
      <c r="AQ102" s="30" t="e">
        <f t="shared" si="92"/>
        <v>#REF!</v>
      </c>
      <c r="AR102" s="30" t="e">
        <f t="shared" si="92"/>
        <v>#REF!</v>
      </c>
      <c r="AS102" s="30" t="e">
        <f t="shared" si="92"/>
        <v>#REF!</v>
      </c>
      <c r="AT102" s="30" t="e">
        <f t="shared" si="92"/>
        <v>#REF!</v>
      </c>
      <c r="AU102" s="30" t="e">
        <f t="shared" si="92"/>
        <v>#REF!</v>
      </c>
      <c r="AV102" s="30" t="e">
        <f t="shared" si="92"/>
        <v>#REF!</v>
      </c>
      <c r="AW102" s="30" t="e">
        <f t="shared" si="92"/>
        <v>#REF!</v>
      </c>
      <c r="AX102" s="30" t="e">
        <f t="shared" si="92"/>
        <v>#REF!</v>
      </c>
      <c r="AY102" s="30" t="e">
        <f t="shared" si="92"/>
        <v>#REF!</v>
      </c>
      <c r="AZ102" s="30" t="e">
        <f t="shared" si="92"/>
        <v>#REF!</v>
      </c>
      <c r="BA102" s="30" t="e">
        <f t="shared" si="92"/>
        <v>#REF!</v>
      </c>
      <c r="BB102" s="30" t="e">
        <f t="shared" si="92"/>
        <v>#REF!</v>
      </c>
      <c r="BC102" s="30" t="e">
        <f t="shared" si="92"/>
        <v>#REF!</v>
      </c>
      <c r="BD102" s="30" t="e">
        <f t="shared" si="92"/>
        <v>#REF!</v>
      </c>
      <c r="BE102" s="30" t="e">
        <f t="shared" si="92"/>
        <v>#REF!</v>
      </c>
      <c r="BF102" s="30" t="e">
        <f t="shared" si="92"/>
        <v>#REF!</v>
      </c>
      <c r="BG102" s="30" t="e">
        <f t="shared" si="92"/>
        <v>#REF!</v>
      </c>
      <c r="BH102" s="30" t="e">
        <f t="shared" si="92"/>
        <v>#REF!</v>
      </c>
      <c r="BI102" s="30" t="e">
        <f t="shared" si="92"/>
        <v>#REF!</v>
      </c>
      <c r="BJ102" s="30" t="e">
        <f t="shared" si="92"/>
        <v>#REF!</v>
      </c>
      <c r="BK102"/>
      <c r="BL102" s="5"/>
    </row>
    <row r="103" spans="1:64">
      <c r="A103"/>
      <c r="B103" s="3" t="s">
        <v>365</v>
      </c>
      <c r="C103" s="29" t="e">
        <f>SUM(C99:C102)</f>
        <v>#REF!</v>
      </c>
      <c r="D103" s="29" t="e">
        <f t="shared" ref="D103:BJ103" si="93">SUM(D99:D102)</f>
        <v>#REF!</v>
      </c>
      <c r="E103" s="29" t="e">
        <f t="shared" si="93"/>
        <v>#REF!</v>
      </c>
      <c r="F103" s="29" t="e">
        <f t="shared" si="93"/>
        <v>#REF!</v>
      </c>
      <c r="G103" s="29" t="e">
        <f t="shared" si="93"/>
        <v>#REF!</v>
      </c>
      <c r="H103" s="29" t="e">
        <f t="shared" si="93"/>
        <v>#REF!</v>
      </c>
      <c r="I103" s="29" t="e">
        <f t="shared" si="93"/>
        <v>#REF!</v>
      </c>
      <c r="J103" s="29" t="e">
        <f t="shared" si="93"/>
        <v>#REF!</v>
      </c>
      <c r="K103" s="29" t="e">
        <f t="shared" si="93"/>
        <v>#REF!</v>
      </c>
      <c r="L103" s="29" t="e">
        <f t="shared" si="93"/>
        <v>#REF!</v>
      </c>
      <c r="M103" s="29" t="e">
        <f t="shared" si="93"/>
        <v>#REF!</v>
      </c>
      <c r="N103" s="29" t="e">
        <f t="shared" si="93"/>
        <v>#REF!</v>
      </c>
      <c r="O103" s="29" t="e">
        <f t="shared" si="93"/>
        <v>#REF!</v>
      </c>
      <c r="P103" s="29" t="e">
        <f t="shared" si="93"/>
        <v>#REF!</v>
      </c>
      <c r="Q103" s="29" t="e">
        <f t="shared" si="93"/>
        <v>#REF!</v>
      </c>
      <c r="R103" s="29" t="e">
        <f t="shared" si="93"/>
        <v>#REF!</v>
      </c>
      <c r="S103" s="29" t="e">
        <f t="shared" si="93"/>
        <v>#REF!</v>
      </c>
      <c r="T103" s="29" t="e">
        <f t="shared" si="93"/>
        <v>#REF!</v>
      </c>
      <c r="U103" s="29" t="e">
        <f t="shared" si="93"/>
        <v>#REF!</v>
      </c>
      <c r="V103" s="29" t="e">
        <f t="shared" si="93"/>
        <v>#REF!</v>
      </c>
      <c r="W103" s="29" t="e">
        <f t="shared" si="93"/>
        <v>#REF!</v>
      </c>
      <c r="X103" s="29" t="e">
        <f t="shared" si="93"/>
        <v>#REF!</v>
      </c>
      <c r="Y103" s="29" t="e">
        <f t="shared" si="93"/>
        <v>#REF!</v>
      </c>
      <c r="Z103" s="29" t="e">
        <f t="shared" si="93"/>
        <v>#REF!</v>
      </c>
      <c r="AA103" s="29" t="e">
        <f t="shared" si="93"/>
        <v>#REF!</v>
      </c>
      <c r="AB103" s="29" t="e">
        <f t="shared" si="93"/>
        <v>#REF!</v>
      </c>
      <c r="AC103" s="29" t="e">
        <f t="shared" si="93"/>
        <v>#REF!</v>
      </c>
      <c r="AD103" s="29" t="e">
        <f t="shared" si="93"/>
        <v>#REF!</v>
      </c>
      <c r="AE103" s="29" t="e">
        <f t="shared" si="93"/>
        <v>#REF!</v>
      </c>
      <c r="AF103" s="29" t="e">
        <f t="shared" si="93"/>
        <v>#REF!</v>
      </c>
      <c r="AG103" s="29" t="e">
        <f t="shared" si="93"/>
        <v>#REF!</v>
      </c>
      <c r="AH103" s="29" t="e">
        <f t="shared" si="93"/>
        <v>#REF!</v>
      </c>
      <c r="AI103" s="29" t="e">
        <f t="shared" si="93"/>
        <v>#REF!</v>
      </c>
      <c r="AJ103" s="29" t="e">
        <f t="shared" si="93"/>
        <v>#REF!</v>
      </c>
      <c r="AK103" s="29" t="e">
        <f t="shared" si="93"/>
        <v>#REF!</v>
      </c>
      <c r="AL103" s="29" t="e">
        <f t="shared" si="93"/>
        <v>#REF!</v>
      </c>
      <c r="AM103" s="29" t="e">
        <f t="shared" si="93"/>
        <v>#REF!</v>
      </c>
      <c r="AN103" s="29" t="e">
        <f t="shared" si="93"/>
        <v>#REF!</v>
      </c>
      <c r="AO103" s="29" t="e">
        <f t="shared" si="93"/>
        <v>#REF!</v>
      </c>
      <c r="AP103" s="29" t="e">
        <f t="shared" si="93"/>
        <v>#REF!</v>
      </c>
      <c r="AQ103" s="29" t="e">
        <f t="shared" si="93"/>
        <v>#REF!</v>
      </c>
      <c r="AR103" s="29" t="e">
        <f t="shared" si="93"/>
        <v>#REF!</v>
      </c>
      <c r="AS103" s="29" t="e">
        <f t="shared" si="93"/>
        <v>#REF!</v>
      </c>
      <c r="AT103" s="29" t="e">
        <f t="shared" si="93"/>
        <v>#REF!</v>
      </c>
      <c r="AU103" s="29" t="e">
        <f t="shared" si="93"/>
        <v>#REF!</v>
      </c>
      <c r="AV103" s="29" t="e">
        <f t="shared" si="93"/>
        <v>#REF!</v>
      </c>
      <c r="AW103" s="29" t="e">
        <f t="shared" si="93"/>
        <v>#REF!</v>
      </c>
      <c r="AX103" s="29" t="e">
        <f t="shared" si="93"/>
        <v>#REF!</v>
      </c>
      <c r="AY103" s="29" t="e">
        <f t="shared" si="93"/>
        <v>#REF!</v>
      </c>
      <c r="AZ103" s="29" t="e">
        <f t="shared" si="93"/>
        <v>#REF!</v>
      </c>
      <c r="BA103" s="29" t="e">
        <f t="shared" si="93"/>
        <v>#REF!</v>
      </c>
      <c r="BB103" s="29" t="e">
        <f t="shared" si="93"/>
        <v>#REF!</v>
      </c>
      <c r="BC103" s="29" t="e">
        <f t="shared" si="93"/>
        <v>#REF!</v>
      </c>
      <c r="BD103" s="29" t="e">
        <f t="shared" si="93"/>
        <v>#REF!</v>
      </c>
      <c r="BE103" s="29" t="e">
        <f t="shared" si="93"/>
        <v>#REF!</v>
      </c>
      <c r="BF103" s="29" t="e">
        <f t="shared" si="93"/>
        <v>#REF!</v>
      </c>
      <c r="BG103" s="29" t="e">
        <f t="shared" si="93"/>
        <v>#REF!</v>
      </c>
      <c r="BH103" s="29" t="e">
        <f t="shared" si="93"/>
        <v>#REF!</v>
      </c>
      <c r="BI103" s="29" t="e">
        <f t="shared" si="93"/>
        <v>#REF!</v>
      </c>
      <c r="BJ103" s="29" t="e">
        <f t="shared" si="93"/>
        <v>#REF!</v>
      </c>
      <c r="BK103"/>
      <c r="BL103" s="5"/>
    </row>
    <row r="104" spans="1:64">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s="5"/>
    </row>
    <row r="105" spans="1:64">
      <c r="A105"/>
      <c r="B105" t="s">
        <v>364</v>
      </c>
      <c r="C105" s="30" t="e">
        <f>-C102</f>
        <v>#REF!</v>
      </c>
      <c r="D105" s="30" t="e">
        <f t="shared" ref="D105:BJ105" si="94">-D102</f>
        <v>#REF!</v>
      </c>
      <c r="E105" s="30" t="e">
        <f t="shared" si="94"/>
        <v>#REF!</v>
      </c>
      <c r="F105" s="30" t="e">
        <f t="shared" si="94"/>
        <v>#REF!</v>
      </c>
      <c r="G105" s="30" t="e">
        <f t="shared" si="94"/>
        <v>#REF!</v>
      </c>
      <c r="H105" s="30" t="e">
        <f t="shared" si="94"/>
        <v>#REF!</v>
      </c>
      <c r="I105" s="30" t="e">
        <f t="shared" si="94"/>
        <v>#REF!</v>
      </c>
      <c r="J105" s="30" t="e">
        <f t="shared" si="94"/>
        <v>#REF!</v>
      </c>
      <c r="K105" s="30" t="e">
        <f t="shared" si="94"/>
        <v>#REF!</v>
      </c>
      <c r="L105" s="30" t="e">
        <f t="shared" si="94"/>
        <v>#REF!</v>
      </c>
      <c r="M105" s="30" t="e">
        <f t="shared" si="94"/>
        <v>#REF!</v>
      </c>
      <c r="N105" s="30" t="e">
        <f t="shared" si="94"/>
        <v>#REF!</v>
      </c>
      <c r="O105" s="30" t="e">
        <f t="shared" si="94"/>
        <v>#REF!</v>
      </c>
      <c r="P105" s="30" t="e">
        <f t="shared" si="94"/>
        <v>#REF!</v>
      </c>
      <c r="Q105" s="30" t="e">
        <f t="shared" si="94"/>
        <v>#REF!</v>
      </c>
      <c r="R105" s="30" t="e">
        <f t="shared" si="94"/>
        <v>#REF!</v>
      </c>
      <c r="S105" s="30" t="e">
        <f t="shared" si="94"/>
        <v>#REF!</v>
      </c>
      <c r="T105" s="30" t="e">
        <f t="shared" si="94"/>
        <v>#REF!</v>
      </c>
      <c r="U105" s="30" t="e">
        <f t="shared" si="94"/>
        <v>#REF!</v>
      </c>
      <c r="V105" s="30" t="e">
        <f t="shared" si="94"/>
        <v>#REF!</v>
      </c>
      <c r="W105" s="30" t="e">
        <f t="shared" si="94"/>
        <v>#REF!</v>
      </c>
      <c r="X105" s="30" t="e">
        <f t="shared" si="94"/>
        <v>#REF!</v>
      </c>
      <c r="Y105" s="30" t="e">
        <f t="shared" si="94"/>
        <v>#REF!</v>
      </c>
      <c r="Z105" s="30" t="e">
        <f t="shared" si="94"/>
        <v>#REF!</v>
      </c>
      <c r="AA105" s="30" t="e">
        <f t="shared" si="94"/>
        <v>#REF!</v>
      </c>
      <c r="AB105" s="30" t="e">
        <f t="shared" si="94"/>
        <v>#REF!</v>
      </c>
      <c r="AC105" s="30" t="e">
        <f t="shared" si="94"/>
        <v>#REF!</v>
      </c>
      <c r="AD105" s="30" t="e">
        <f t="shared" si="94"/>
        <v>#REF!</v>
      </c>
      <c r="AE105" s="30" t="e">
        <f t="shared" si="94"/>
        <v>#REF!</v>
      </c>
      <c r="AF105" s="30" t="e">
        <f t="shared" si="94"/>
        <v>#REF!</v>
      </c>
      <c r="AG105" s="30" t="e">
        <f t="shared" si="94"/>
        <v>#REF!</v>
      </c>
      <c r="AH105" s="30" t="e">
        <f t="shared" si="94"/>
        <v>#REF!</v>
      </c>
      <c r="AI105" s="30" t="e">
        <f t="shared" si="94"/>
        <v>#REF!</v>
      </c>
      <c r="AJ105" s="30" t="e">
        <f t="shared" si="94"/>
        <v>#REF!</v>
      </c>
      <c r="AK105" s="30" t="e">
        <f t="shared" si="94"/>
        <v>#REF!</v>
      </c>
      <c r="AL105" s="30" t="e">
        <f t="shared" si="94"/>
        <v>#REF!</v>
      </c>
      <c r="AM105" s="30" t="e">
        <f t="shared" si="94"/>
        <v>#REF!</v>
      </c>
      <c r="AN105" s="30" t="e">
        <f t="shared" si="94"/>
        <v>#REF!</v>
      </c>
      <c r="AO105" s="30" t="e">
        <f t="shared" si="94"/>
        <v>#REF!</v>
      </c>
      <c r="AP105" s="30" t="e">
        <f t="shared" si="94"/>
        <v>#REF!</v>
      </c>
      <c r="AQ105" s="30" t="e">
        <f t="shared" si="94"/>
        <v>#REF!</v>
      </c>
      <c r="AR105" s="30" t="e">
        <f t="shared" si="94"/>
        <v>#REF!</v>
      </c>
      <c r="AS105" s="30" t="e">
        <f t="shared" si="94"/>
        <v>#REF!</v>
      </c>
      <c r="AT105" s="30" t="e">
        <f t="shared" si="94"/>
        <v>#REF!</v>
      </c>
      <c r="AU105" s="30" t="e">
        <f t="shared" si="94"/>
        <v>#REF!</v>
      </c>
      <c r="AV105" s="30" t="e">
        <f t="shared" si="94"/>
        <v>#REF!</v>
      </c>
      <c r="AW105" s="30" t="e">
        <f t="shared" si="94"/>
        <v>#REF!</v>
      </c>
      <c r="AX105" s="30" t="e">
        <f t="shared" si="94"/>
        <v>#REF!</v>
      </c>
      <c r="AY105" s="30" t="e">
        <f t="shared" si="94"/>
        <v>#REF!</v>
      </c>
      <c r="AZ105" s="30" t="e">
        <f t="shared" si="94"/>
        <v>#REF!</v>
      </c>
      <c r="BA105" s="30" t="e">
        <f t="shared" si="94"/>
        <v>#REF!</v>
      </c>
      <c r="BB105" s="30" t="e">
        <f t="shared" si="94"/>
        <v>#REF!</v>
      </c>
      <c r="BC105" s="30" t="e">
        <f t="shared" si="94"/>
        <v>#REF!</v>
      </c>
      <c r="BD105" s="30" t="e">
        <f t="shared" si="94"/>
        <v>#REF!</v>
      </c>
      <c r="BE105" s="30" t="e">
        <f t="shared" si="94"/>
        <v>#REF!</v>
      </c>
      <c r="BF105" s="30" t="e">
        <f t="shared" si="94"/>
        <v>#REF!</v>
      </c>
      <c r="BG105" s="30" t="e">
        <f t="shared" si="94"/>
        <v>#REF!</v>
      </c>
      <c r="BH105" s="30" t="e">
        <f t="shared" si="94"/>
        <v>#REF!</v>
      </c>
      <c r="BI105" s="30" t="e">
        <f t="shared" si="94"/>
        <v>#REF!</v>
      </c>
      <c r="BJ105" s="30" t="e">
        <f t="shared" si="94"/>
        <v>#REF!</v>
      </c>
      <c r="BK105"/>
      <c r="BL105" s="5"/>
    </row>
    <row r="106" spans="1:64">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s="5"/>
    </row>
    <row r="107" spans="1:64">
      <c r="A107"/>
      <c r="B107" s="28" t="s">
        <v>366</v>
      </c>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s="5"/>
    </row>
    <row r="108" spans="1:64">
      <c r="A108"/>
      <c r="B108" t="s">
        <v>316</v>
      </c>
      <c r="C108" s="30" t="e">
        <f>+C57</f>
        <v>#REF!</v>
      </c>
      <c r="D108" s="30">
        <f t="shared" ref="D108:BJ108" si="95">+D57</f>
        <v>0</v>
      </c>
      <c r="E108" s="30">
        <f t="shared" si="95"/>
        <v>0</v>
      </c>
      <c r="F108" s="30">
        <f t="shared" si="95"/>
        <v>0</v>
      </c>
      <c r="G108" s="30">
        <f t="shared" si="95"/>
        <v>0</v>
      </c>
      <c r="H108" s="30">
        <f t="shared" si="95"/>
        <v>0</v>
      </c>
      <c r="I108" s="30">
        <f t="shared" si="95"/>
        <v>0</v>
      </c>
      <c r="J108" s="30">
        <f t="shared" si="95"/>
        <v>0</v>
      </c>
      <c r="K108" s="30">
        <f t="shared" si="95"/>
        <v>0</v>
      </c>
      <c r="L108" s="30">
        <f t="shared" si="95"/>
        <v>0</v>
      </c>
      <c r="M108" s="30">
        <f t="shared" si="95"/>
        <v>0</v>
      </c>
      <c r="N108" s="30">
        <f t="shared" si="95"/>
        <v>0</v>
      </c>
      <c r="O108" s="30">
        <f t="shared" si="95"/>
        <v>0</v>
      </c>
      <c r="P108" s="30">
        <f t="shared" si="95"/>
        <v>0</v>
      </c>
      <c r="Q108" s="30">
        <f t="shared" si="95"/>
        <v>0</v>
      </c>
      <c r="R108" s="30">
        <f t="shared" si="95"/>
        <v>0</v>
      </c>
      <c r="S108" s="30">
        <f t="shared" si="95"/>
        <v>0</v>
      </c>
      <c r="T108" s="30">
        <f t="shared" si="95"/>
        <v>0</v>
      </c>
      <c r="U108" s="30">
        <f t="shared" si="95"/>
        <v>0</v>
      </c>
      <c r="V108" s="30">
        <f t="shared" si="95"/>
        <v>0</v>
      </c>
      <c r="W108" s="30">
        <f t="shared" si="95"/>
        <v>0</v>
      </c>
      <c r="X108" s="30">
        <f t="shared" si="95"/>
        <v>0</v>
      </c>
      <c r="Y108" s="30">
        <f t="shared" si="95"/>
        <v>0</v>
      </c>
      <c r="Z108" s="30">
        <f t="shared" si="95"/>
        <v>0</v>
      </c>
      <c r="AA108" s="30">
        <f t="shared" si="95"/>
        <v>0</v>
      </c>
      <c r="AB108" s="30">
        <f t="shared" si="95"/>
        <v>0</v>
      </c>
      <c r="AC108" s="30">
        <f t="shared" si="95"/>
        <v>0</v>
      </c>
      <c r="AD108" s="30">
        <f t="shared" si="95"/>
        <v>0</v>
      </c>
      <c r="AE108" s="30">
        <f t="shared" si="95"/>
        <v>0</v>
      </c>
      <c r="AF108" s="30">
        <f t="shared" si="95"/>
        <v>0</v>
      </c>
      <c r="AG108" s="30">
        <f t="shared" si="95"/>
        <v>0</v>
      </c>
      <c r="AH108" s="30">
        <f t="shared" si="95"/>
        <v>0</v>
      </c>
      <c r="AI108" s="30">
        <f t="shared" si="95"/>
        <v>0</v>
      </c>
      <c r="AJ108" s="30">
        <f t="shared" si="95"/>
        <v>0</v>
      </c>
      <c r="AK108" s="30">
        <f t="shared" si="95"/>
        <v>0</v>
      </c>
      <c r="AL108" s="30">
        <f t="shared" si="95"/>
        <v>0</v>
      </c>
      <c r="AM108" s="30">
        <f t="shared" si="95"/>
        <v>0</v>
      </c>
      <c r="AN108" s="30">
        <f t="shared" si="95"/>
        <v>0</v>
      </c>
      <c r="AO108" s="30">
        <f t="shared" si="95"/>
        <v>0</v>
      </c>
      <c r="AP108" s="30">
        <f t="shared" si="95"/>
        <v>0</v>
      </c>
      <c r="AQ108" s="30">
        <f t="shared" si="95"/>
        <v>0</v>
      </c>
      <c r="AR108" s="30">
        <f t="shared" si="95"/>
        <v>0</v>
      </c>
      <c r="AS108" s="30">
        <f t="shared" si="95"/>
        <v>0</v>
      </c>
      <c r="AT108" s="30">
        <f t="shared" si="95"/>
        <v>0</v>
      </c>
      <c r="AU108" s="30">
        <f t="shared" si="95"/>
        <v>0</v>
      </c>
      <c r="AV108" s="30">
        <f t="shared" si="95"/>
        <v>0</v>
      </c>
      <c r="AW108" s="30">
        <f t="shared" si="95"/>
        <v>0</v>
      </c>
      <c r="AX108" s="30">
        <f t="shared" si="95"/>
        <v>0</v>
      </c>
      <c r="AY108" s="30">
        <f t="shared" si="95"/>
        <v>0</v>
      </c>
      <c r="AZ108" s="30">
        <f t="shared" si="95"/>
        <v>0</v>
      </c>
      <c r="BA108" s="30">
        <f t="shared" si="95"/>
        <v>0</v>
      </c>
      <c r="BB108" s="30">
        <f t="shared" si="95"/>
        <v>0</v>
      </c>
      <c r="BC108" s="30">
        <f t="shared" si="95"/>
        <v>0</v>
      </c>
      <c r="BD108" s="30">
        <f t="shared" si="95"/>
        <v>0</v>
      </c>
      <c r="BE108" s="30">
        <f t="shared" si="95"/>
        <v>0</v>
      </c>
      <c r="BF108" s="30">
        <f t="shared" si="95"/>
        <v>0</v>
      </c>
      <c r="BG108" s="30">
        <f t="shared" si="95"/>
        <v>0</v>
      </c>
      <c r="BH108" s="30">
        <f t="shared" si="95"/>
        <v>0</v>
      </c>
      <c r="BI108" s="30">
        <f t="shared" si="95"/>
        <v>0</v>
      </c>
      <c r="BJ108" s="30">
        <f t="shared" si="95"/>
        <v>0</v>
      </c>
      <c r="BK108"/>
      <c r="BL108" s="5"/>
    </row>
    <row r="109" spans="1:64">
      <c r="A109"/>
      <c r="B109" t="s">
        <v>367</v>
      </c>
      <c r="C109" s="30">
        <f>+C84</f>
        <v>0</v>
      </c>
      <c r="D109" s="30">
        <f t="shared" ref="D109:BJ109" si="96">+D84</f>
        <v>0</v>
      </c>
      <c r="E109" s="30">
        <f t="shared" si="96"/>
        <v>0</v>
      </c>
      <c r="F109" s="30">
        <f t="shared" si="96"/>
        <v>0</v>
      </c>
      <c r="G109" s="30">
        <f t="shared" si="96"/>
        <v>0</v>
      </c>
      <c r="H109" s="30">
        <f t="shared" si="96"/>
        <v>0</v>
      </c>
      <c r="I109" s="30">
        <f t="shared" si="96"/>
        <v>0</v>
      </c>
      <c r="J109" s="30">
        <f t="shared" si="96"/>
        <v>0</v>
      </c>
      <c r="K109" s="30">
        <f t="shared" si="96"/>
        <v>0</v>
      </c>
      <c r="L109" s="30">
        <f t="shared" si="96"/>
        <v>0</v>
      </c>
      <c r="M109" s="30">
        <f t="shared" si="96"/>
        <v>0</v>
      </c>
      <c r="N109" s="30">
        <f t="shared" si="96"/>
        <v>0</v>
      </c>
      <c r="O109" s="30">
        <f t="shared" si="96"/>
        <v>0</v>
      </c>
      <c r="P109" s="30">
        <f t="shared" si="96"/>
        <v>0</v>
      </c>
      <c r="Q109" s="30">
        <f t="shared" si="96"/>
        <v>0</v>
      </c>
      <c r="R109" s="30">
        <f t="shared" si="96"/>
        <v>0</v>
      </c>
      <c r="S109" s="30">
        <f t="shared" si="96"/>
        <v>0</v>
      </c>
      <c r="T109" s="30">
        <f t="shared" si="96"/>
        <v>0</v>
      </c>
      <c r="U109" s="30">
        <f t="shared" si="96"/>
        <v>0</v>
      </c>
      <c r="V109" s="30">
        <f t="shared" si="96"/>
        <v>0</v>
      </c>
      <c r="W109" s="30">
        <f t="shared" si="96"/>
        <v>0</v>
      </c>
      <c r="X109" s="30">
        <f t="shared" si="96"/>
        <v>0</v>
      </c>
      <c r="Y109" s="30">
        <f t="shared" si="96"/>
        <v>0</v>
      </c>
      <c r="Z109" s="30">
        <f t="shared" si="96"/>
        <v>0</v>
      </c>
      <c r="AA109" s="30">
        <f t="shared" si="96"/>
        <v>0</v>
      </c>
      <c r="AB109" s="30">
        <f t="shared" si="96"/>
        <v>0</v>
      </c>
      <c r="AC109" s="30">
        <f t="shared" si="96"/>
        <v>0</v>
      </c>
      <c r="AD109" s="30">
        <f t="shared" si="96"/>
        <v>0</v>
      </c>
      <c r="AE109" s="30">
        <f t="shared" si="96"/>
        <v>0</v>
      </c>
      <c r="AF109" s="30">
        <f t="shared" si="96"/>
        <v>0</v>
      </c>
      <c r="AG109" s="30">
        <f t="shared" si="96"/>
        <v>0</v>
      </c>
      <c r="AH109" s="30">
        <f t="shared" si="96"/>
        <v>0</v>
      </c>
      <c r="AI109" s="30">
        <f t="shared" si="96"/>
        <v>0</v>
      </c>
      <c r="AJ109" s="30">
        <f t="shared" si="96"/>
        <v>0</v>
      </c>
      <c r="AK109" s="30">
        <f t="shared" si="96"/>
        <v>0</v>
      </c>
      <c r="AL109" s="30">
        <f t="shared" si="96"/>
        <v>0</v>
      </c>
      <c r="AM109" s="30">
        <f t="shared" si="96"/>
        <v>0</v>
      </c>
      <c r="AN109" s="30">
        <f t="shared" si="96"/>
        <v>0</v>
      </c>
      <c r="AO109" s="30">
        <f t="shared" si="96"/>
        <v>0</v>
      </c>
      <c r="AP109" s="30">
        <f t="shared" si="96"/>
        <v>0</v>
      </c>
      <c r="AQ109" s="30">
        <f t="shared" si="96"/>
        <v>0</v>
      </c>
      <c r="AR109" s="30">
        <f t="shared" si="96"/>
        <v>0</v>
      </c>
      <c r="AS109" s="30">
        <f t="shared" si="96"/>
        <v>0</v>
      </c>
      <c r="AT109" s="30">
        <f t="shared" si="96"/>
        <v>0</v>
      </c>
      <c r="AU109" s="30">
        <f t="shared" si="96"/>
        <v>0</v>
      </c>
      <c r="AV109" s="30">
        <f t="shared" si="96"/>
        <v>0</v>
      </c>
      <c r="AW109" s="30">
        <f t="shared" si="96"/>
        <v>0</v>
      </c>
      <c r="AX109" s="30">
        <f t="shared" si="96"/>
        <v>0</v>
      </c>
      <c r="AY109" s="30">
        <f t="shared" si="96"/>
        <v>0</v>
      </c>
      <c r="AZ109" s="30">
        <f t="shared" si="96"/>
        <v>0</v>
      </c>
      <c r="BA109" s="30">
        <f t="shared" si="96"/>
        <v>0</v>
      </c>
      <c r="BB109" s="30">
        <f t="shared" si="96"/>
        <v>0</v>
      </c>
      <c r="BC109" s="30">
        <f t="shared" si="96"/>
        <v>0</v>
      </c>
      <c r="BD109" s="30">
        <f t="shared" si="96"/>
        <v>0</v>
      </c>
      <c r="BE109" s="30">
        <f t="shared" si="96"/>
        <v>0</v>
      </c>
      <c r="BF109" s="30">
        <f t="shared" si="96"/>
        <v>0</v>
      </c>
      <c r="BG109" s="30">
        <f t="shared" si="96"/>
        <v>0</v>
      </c>
      <c r="BH109" s="30">
        <f t="shared" si="96"/>
        <v>0</v>
      </c>
      <c r="BI109" s="30">
        <f t="shared" si="96"/>
        <v>0</v>
      </c>
      <c r="BJ109" s="30">
        <f t="shared" si="96"/>
        <v>0</v>
      </c>
      <c r="BK109"/>
      <c r="BL109" s="5"/>
    </row>
    <row r="110" spans="1:64">
      <c r="A110"/>
      <c r="B110" t="s">
        <v>368</v>
      </c>
      <c r="C110" s="30" t="e">
        <f>+C94</f>
        <v>#REF!</v>
      </c>
      <c r="D110" s="30" t="e">
        <f t="shared" ref="D110:BJ110" si="97">+D94</f>
        <v>#REF!</v>
      </c>
      <c r="E110" s="30" t="e">
        <f t="shared" si="97"/>
        <v>#REF!</v>
      </c>
      <c r="F110" s="30" t="e">
        <f t="shared" si="97"/>
        <v>#REF!</v>
      </c>
      <c r="G110" s="30" t="e">
        <f t="shared" si="97"/>
        <v>#REF!</v>
      </c>
      <c r="H110" s="30" t="e">
        <f t="shared" si="97"/>
        <v>#REF!</v>
      </c>
      <c r="I110" s="30" t="e">
        <f t="shared" si="97"/>
        <v>#REF!</v>
      </c>
      <c r="J110" s="30" t="e">
        <f t="shared" si="97"/>
        <v>#REF!</v>
      </c>
      <c r="K110" s="30" t="e">
        <f t="shared" si="97"/>
        <v>#REF!</v>
      </c>
      <c r="L110" s="30" t="e">
        <f t="shared" si="97"/>
        <v>#REF!</v>
      </c>
      <c r="M110" s="30" t="e">
        <f t="shared" si="97"/>
        <v>#REF!</v>
      </c>
      <c r="N110" s="30" t="e">
        <f t="shared" si="97"/>
        <v>#REF!</v>
      </c>
      <c r="O110" s="30" t="e">
        <f t="shared" si="97"/>
        <v>#REF!</v>
      </c>
      <c r="P110" s="30" t="e">
        <f t="shared" si="97"/>
        <v>#REF!</v>
      </c>
      <c r="Q110" s="30" t="e">
        <f t="shared" si="97"/>
        <v>#REF!</v>
      </c>
      <c r="R110" s="30" t="e">
        <f t="shared" si="97"/>
        <v>#REF!</v>
      </c>
      <c r="S110" s="30" t="e">
        <f t="shared" si="97"/>
        <v>#REF!</v>
      </c>
      <c r="T110" s="30" t="e">
        <f t="shared" si="97"/>
        <v>#REF!</v>
      </c>
      <c r="U110" s="30" t="e">
        <f t="shared" si="97"/>
        <v>#REF!</v>
      </c>
      <c r="V110" s="30" t="e">
        <f t="shared" si="97"/>
        <v>#REF!</v>
      </c>
      <c r="W110" s="30" t="e">
        <f t="shared" si="97"/>
        <v>#REF!</v>
      </c>
      <c r="X110" s="30" t="e">
        <f t="shared" si="97"/>
        <v>#REF!</v>
      </c>
      <c r="Y110" s="30" t="e">
        <f t="shared" si="97"/>
        <v>#REF!</v>
      </c>
      <c r="Z110" s="30" t="e">
        <f t="shared" si="97"/>
        <v>#REF!</v>
      </c>
      <c r="AA110" s="30" t="e">
        <f t="shared" si="97"/>
        <v>#REF!</v>
      </c>
      <c r="AB110" s="30" t="e">
        <f t="shared" si="97"/>
        <v>#REF!</v>
      </c>
      <c r="AC110" s="30" t="e">
        <f t="shared" si="97"/>
        <v>#REF!</v>
      </c>
      <c r="AD110" s="30" t="e">
        <f t="shared" si="97"/>
        <v>#REF!</v>
      </c>
      <c r="AE110" s="30" t="e">
        <f t="shared" si="97"/>
        <v>#REF!</v>
      </c>
      <c r="AF110" s="30" t="e">
        <f t="shared" si="97"/>
        <v>#REF!</v>
      </c>
      <c r="AG110" s="30" t="e">
        <f t="shared" si="97"/>
        <v>#REF!</v>
      </c>
      <c r="AH110" s="30" t="e">
        <f t="shared" si="97"/>
        <v>#REF!</v>
      </c>
      <c r="AI110" s="30" t="e">
        <f t="shared" si="97"/>
        <v>#REF!</v>
      </c>
      <c r="AJ110" s="30" t="e">
        <f t="shared" si="97"/>
        <v>#REF!</v>
      </c>
      <c r="AK110" s="30" t="e">
        <f t="shared" si="97"/>
        <v>#REF!</v>
      </c>
      <c r="AL110" s="30" t="e">
        <f t="shared" si="97"/>
        <v>#REF!</v>
      </c>
      <c r="AM110" s="30" t="e">
        <f t="shared" si="97"/>
        <v>#REF!</v>
      </c>
      <c r="AN110" s="30" t="e">
        <f t="shared" si="97"/>
        <v>#REF!</v>
      </c>
      <c r="AO110" s="30" t="e">
        <f t="shared" si="97"/>
        <v>#REF!</v>
      </c>
      <c r="AP110" s="30" t="e">
        <f t="shared" si="97"/>
        <v>#REF!</v>
      </c>
      <c r="AQ110" s="30" t="e">
        <f t="shared" si="97"/>
        <v>#REF!</v>
      </c>
      <c r="AR110" s="30" t="e">
        <f t="shared" si="97"/>
        <v>#REF!</v>
      </c>
      <c r="AS110" s="30" t="e">
        <f t="shared" si="97"/>
        <v>#REF!</v>
      </c>
      <c r="AT110" s="30" t="e">
        <f t="shared" si="97"/>
        <v>#REF!</v>
      </c>
      <c r="AU110" s="30" t="e">
        <f t="shared" si="97"/>
        <v>#REF!</v>
      </c>
      <c r="AV110" s="30" t="e">
        <f t="shared" si="97"/>
        <v>#REF!</v>
      </c>
      <c r="AW110" s="30" t="e">
        <f t="shared" si="97"/>
        <v>#REF!</v>
      </c>
      <c r="AX110" s="30" t="e">
        <f t="shared" si="97"/>
        <v>#REF!</v>
      </c>
      <c r="AY110" s="30" t="e">
        <f t="shared" si="97"/>
        <v>#REF!</v>
      </c>
      <c r="AZ110" s="30" t="e">
        <f t="shared" si="97"/>
        <v>#REF!</v>
      </c>
      <c r="BA110" s="30" t="e">
        <f t="shared" si="97"/>
        <v>#REF!</v>
      </c>
      <c r="BB110" s="30" t="e">
        <f t="shared" si="97"/>
        <v>#REF!</v>
      </c>
      <c r="BC110" s="30" t="e">
        <f t="shared" si="97"/>
        <v>#REF!</v>
      </c>
      <c r="BD110" s="30" t="e">
        <f t="shared" si="97"/>
        <v>#REF!</v>
      </c>
      <c r="BE110" s="30" t="e">
        <f t="shared" si="97"/>
        <v>#REF!</v>
      </c>
      <c r="BF110" s="30" t="e">
        <f t="shared" si="97"/>
        <v>#REF!</v>
      </c>
      <c r="BG110" s="30" t="e">
        <f t="shared" si="97"/>
        <v>#REF!</v>
      </c>
      <c r="BH110" s="30" t="e">
        <f t="shared" si="97"/>
        <v>#REF!</v>
      </c>
      <c r="BI110" s="30" t="e">
        <f t="shared" si="97"/>
        <v>#REF!</v>
      </c>
      <c r="BJ110" s="30" t="e">
        <f t="shared" si="97"/>
        <v>#REF!</v>
      </c>
      <c r="BK110"/>
      <c r="BL110" s="5"/>
    </row>
    <row r="111" spans="1:64">
      <c r="A111"/>
      <c r="B111" t="s">
        <v>369</v>
      </c>
      <c r="C111" s="30" t="e">
        <f>+C105</f>
        <v>#REF!</v>
      </c>
      <c r="D111" s="30" t="e">
        <f t="shared" ref="D111:BJ111" si="98">+D105</f>
        <v>#REF!</v>
      </c>
      <c r="E111" s="30" t="e">
        <f t="shared" si="98"/>
        <v>#REF!</v>
      </c>
      <c r="F111" s="30" t="e">
        <f t="shared" si="98"/>
        <v>#REF!</v>
      </c>
      <c r="G111" s="30" t="e">
        <f t="shared" si="98"/>
        <v>#REF!</v>
      </c>
      <c r="H111" s="30" t="e">
        <f t="shared" si="98"/>
        <v>#REF!</v>
      </c>
      <c r="I111" s="30" t="e">
        <f t="shared" si="98"/>
        <v>#REF!</v>
      </c>
      <c r="J111" s="30" t="e">
        <f t="shared" si="98"/>
        <v>#REF!</v>
      </c>
      <c r="K111" s="30" t="e">
        <f t="shared" si="98"/>
        <v>#REF!</v>
      </c>
      <c r="L111" s="30" t="e">
        <f t="shared" si="98"/>
        <v>#REF!</v>
      </c>
      <c r="M111" s="30" t="e">
        <f t="shared" si="98"/>
        <v>#REF!</v>
      </c>
      <c r="N111" s="30" t="e">
        <f t="shared" si="98"/>
        <v>#REF!</v>
      </c>
      <c r="O111" s="30" t="e">
        <f t="shared" si="98"/>
        <v>#REF!</v>
      </c>
      <c r="P111" s="30" t="e">
        <f t="shared" si="98"/>
        <v>#REF!</v>
      </c>
      <c r="Q111" s="30" t="e">
        <f t="shared" si="98"/>
        <v>#REF!</v>
      </c>
      <c r="R111" s="30" t="e">
        <f t="shared" si="98"/>
        <v>#REF!</v>
      </c>
      <c r="S111" s="30" t="e">
        <f t="shared" si="98"/>
        <v>#REF!</v>
      </c>
      <c r="T111" s="30" t="e">
        <f t="shared" si="98"/>
        <v>#REF!</v>
      </c>
      <c r="U111" s="30" t="e">
        <f t="shared" si="98"/>
        <v>#REF!</v>
      </c>
      <c r="V111" s="30" t="e">
        <f t="shared" si="98"/>
        <v>#REF!</v>
      </c>
      <c r="W111" s="30" t="e">
        <f t="shared" si="98"/>
        <v>#REF!</v>
      </c>
      <c r="X111" s="30" t="e">
        <f t="shared" si="98"/>
        <v>#REF!</v>
      </c>
      <c r="Y111" s="30" t="e">
        <f t="shared" si="98"/>
        <v>#REF!</v>
      </c>
      <c r="Z111" s="30" t="e">
        <f t="shared" si="98"/>
        <v>#REF!</v>
      </c>
      <c r="AA111" s="30" t="e">
        <f t="shared" si="98"/>
        <v>#REF!</v>
      </c>
      <c r="AB111" s="30" t="e">
        <f t="shared" si="98"/>
        <v>#REF!</v>
      </c>
      <c r="AC111" s="30" t="e">
        <f t="shared" si="98"/>
        <v>#REF!</v>
      </c>
      <c r="AD111" s="30" t="e">
        <f t="shared" si="98"/>
        <v>#REF!</v>
      </c>
      <c r="AE111" s="30" t="e">
        <f t="shared" si="98"/>
        <v>#REF!</v>
      </c>
      <c r="AF111" s="30" t="e">
        <f t="shared" si="98"/>
        <v>#REF!</v>
      </c>
      <c r="AG111" s="30" t="e">
        <f t="shared" si="98"/>
        <v>#REF!</v>
      </c>
      <c r="AH111" s="30" t="e">
        <f t="shared" si="98"/>
        <v>#REF!</v>
      </c>
      <c r="AI111" s="30" t="e">
        <f t="shared" si="98"/>
        <v>#REF!</v>
      </c>
      <c r="AJ111" s="30" t="e">
        <f t="shared" si="98"/>
        <v>#REF!</v>
      </c>
      <c r="AK111" s="30" t="e">
        <f t="shared" si="98"/>
        <v>#REF!</v>
      </c>
      <c r="AL111" s="30" t="e">
        <f t="shared" si="98"/>
        <v>#REF!</v>
      </c>
      <c r="AM111" s="30" t="e">
        <f t="shared" si="98"/>
        <v>#REF!</v>
      </c>
      <c r="AN111" s="30" t="e">
        <f t="shared" si="98"/>
        <v>#REF!</v>
      </c>
      <c r="AO111" s="30" t="e">
        <f t="shared" si="98"/>
        <v>#REF!</v>
      </c>
      <c r="AP111" s="30" t="e">
        <f t="shared" si="98"/>
        <v>#REF!</v>
      </c>
      <c r="AQ111" s="30" t="e">
        <f t="shared" si="98"/>
        <v>#REF!</v>
      </c>
      <c r="AR111" s="30" t="e">
        <f t="shared" si="98"/>
        <v>#REF!</v>
      </c>
      <c r="AS111" s="30" t="e">
        <f t="shared" si="98"/>
        <v>#REF!</v>
      </c>
      <c r="AT111" s="30" t="e">
        <f t="shared" si="98"/>
        <v>#REF!</v>
      </c>
      <c r="AU111" s="30" t="e">
        <f t="shared" si="98"/>
        <v>#REF!</v>
      </c>
      <c r="AV111" s="30" t="e">
        <f t="shared" si="98"/>
        <v>#REF!</v>
      </c>
      <c r="AW111" s="30" t="e">
        <f t="shared" si="98"/>
        <v>#REF!</v>
      </c>
      <c r="AX111" s="30" t="e">
        <f t="shared" si="98"/>
        <v>#REF!</v>
      </c>
      <c r="AY111" s="30" t="e">
        <f t="shared" si="98"/>
        <v>#REF!</v>
      </c>
      <c r="AZ111" s="30" t="e">
        <f t="shared" si="98"/>
        <v>#REF!</v>
      </c>
      <c r="BA111" s="30" t="e">
        <f t="shared" si="98"/>
        <v>#REF!</v>
      </c>
      <c r="BB111" s="30" t="e">
        <f t="shared" si="98"/>
        <v>#REF!</v>
      </c>
      <c r="BC111" s="30" t="e">
        <f t="shared" si="98"/>
        <v>#REF!</v>
      </c>
      <c r="BD111" s="30" t="e">
        <f t="shared" si="98"/>
        <v>#REF!</v>
      </c>
      <c r="BE111" s="30" t="e">
        <f t="shared" si="98"/>
        <v>#REF!</v>
      </c>
      <c r="BF111" s="30" t="e">
        <f t="shared" si="98"/>
        <v>#REF!</v>
      </c>
      <c r="BG111" s="30" t="e">
        <f t="shared" si="98"/>
        <v>#REF!</v>
      </c>
      <c r="BH111" s="30" t="e">
        <f t="shared" si="98"/>
        <v>#REF!</v>
      </c>
      <c r="BI111" s="30" t="e">
        <f t="shared" si="98"/>
        <v>#REF!</v>
      </c>
      <c r="BJ111" s="30" t="e">
        <f t="shared" si="98"/>
        <v>#REF!</v>
      </c>
      <c r="BK111"/>
      <c r="BL111" s="5"/>
    </row>
    <row r="112" spans="1:64">
      <c r="A112"/>
      <c r="B112" s="3" t="s">
        <v>64</v>
      </c>
      <c r="C112" s="29" t="e">
        <f>SUM(C108:C111)</f>
        <v>#REF!</v>
      </c>
      <c r="D112" s="29" t="e">
        <f t="shared" ref="D112:BJ112" si="99">SUM(D108:D111)</f>
        <v>#REF!</v>
      </c>
      <c r="E112" s="29" t="e">
        <f t="shared" si="99"/>
        <v>#REF!</v>
      </c>
      <c r="F112" s="29" t="e">
        <f t="shared" si="99"/>
        <v>#REF!</v>
      </c>
      <c r="G112" s="29" t="e">
        <f t="shared" si="99"/>
        <v>#REF!</v>
      </c>
      <c r="H112" s="29" t="e">
        <f t="shared" si="99"/>
        <v>#REF!</v>
      </c>
      <c r="I112" s="29" t="e">
        <f t="shared" si="99"/>
        <v>#REF!</v>
      </c>
      <c r="J112" s="29" t="e">
        <f t="shared" si="99"/>
        <v>#REF!</v>
      </c>
      <c r="K112" s="29" t="e">
        <f t="shared" si="99"/>
        <v>#REF!</v>
      </c>
      <c r="L112" s="29" t="e">
        <f t="shared" si="99"/>
        <v>#REF!</v>
      </c>
      <c r="M112" s="29" t="e">
        <f t="shared" si="99"/>
        <v>#REF!</v>
      </c>
      <c r="N112" s="29" t="e">
        <f t="shared" si="99"/>
        <v>#REF!</v>
      </c>
      <c r="O112" s="29" t="e">
        <f t="shared" si="99"/>
        <v>#REF!</v>
      </c>
      <c r="P112" s="29" t="e">
        <f t="shared" si="99"/>
        <v>#REF!</v>
      </c>
      <c r="Q112" s="29" t="e">
        <f t="shared" si="99"/>
        <v>#REF!</v>
      </c>
      <c r="R112" s="29" t="e">
        <f t="shared" si="99"/>
        <v>#REF!</v>
      </c>
      <c r="S112" s="29" t="e">
        <f t="shared" si="99"/>
        <v>#REF!</v>
      </c>
      <c r="T112" s="29" t="e">
        <f t="shared" si="99"/>
        <v>#REF!</v>
      </c>
      <c r="U112" s="29" t="e">
        <f t="shared" si="99"/>
        <v>#REF!</v>
      </c>
      <c r="V112" s="29" t="e">
        <f t="shared" si="99"/>
        <v>#REF!</v>
      </c>
      <c r="W112" s="29" t="e">
        <f t="shared" si="99"/>
        <v>#REF!</v>
      </c>
      <c r="X112" s="29" t="e">
        <f t="shared" si="99"/>
        <v>#REF!</v>
      </c>
      <c r="Y112" s="29" t="e">
        <f t="shared" si="99"/>
        <v>#REF!</v>
      </c>
      <c r="Z112" s="29" t="e">
        <f t="shared" si="99"/>
        <v>#REF!</v>
      </c>
      <c r="AA112" s="29" t="e">
        <f t="shared" si="99"/>
        <v>#REF!</v>
      </c>
      <c r="AB112" s="29" t="e">
        <f t="shared" si="99"/>
        <v>#REF!</v>
      </c>
      <c r="AC112" s="29" t="e">
        <f t="shared" si="99"/>
        <v>#REF!</v>
      </c>
      <c r="AD112" s="29" t="e">
        <f t="shared" si="99"/>
        <v>#REF!</v>
      </c>
      <c r="AE112" s="29" t="e">
        <f t="shared" si="99"/>
        <v>#REF!</v>
      </c>
      <c r="AF112" s="29" t="e">
        <f t="shared" si="99"/>
        <v>#REF!</v>
      </c>
      <c r="AG112" s="29" t="e">
        <f t="shared" si="99"/>
        <v>#REF!</v>
      </c>
      <c r="AH112" s="29" t="e">
        <f t="shared" si="99"/>
        <v>#REF!</v>
      </c>
      <c r="AI112" s="29" t="e">
        <f t="shared" si="99"/>
        <v>#REF!</v>
      </c>
      <c r="AJ112" s="29" t="e">
        <f t="shared" si="99"/>
        <v>#REF!</v>
      </c>
      <c r="AK112" s="29" t="e">
        <f t="shared" si="99"/>
        <v>#REF!</v>
      </c>
      <c r="AL112" s="29" t="e">
        <f t="shared" si="99"/>
        <v>#REF!</v>
      </c>
      <c r="AM112" s="29" t="e">
        <f t="shared" si="99"/>
        <v>#REF!</v>
      </c>
      <c r="AN112" s="29" t="e">
        <f t="shared" si="99"/>
        <v>#REF!</v>
      </c>
      <c r="AO112" s="29" t="e">
        <f t="shared" si="99"/>
        <v>#REF!</v>
      </c>
      <c r="AP112" s="29" t="e">
        <f t="shared" si="99"/>
        <v>#REF!</v>
      </c>
      <c r="AQ112" s="29" t="e">
        <f t="shared" si="99"/>
        <v>#REF!</v>
      </c>
      <c r="AR112" s="29" t="e">
        <f t="shared" si="99"/>
        <v>#REF!</v>
      </c>
      <c r="AS112" s="29" t="e">
        <f t="shared" si="99"/>
        <v>#REF!</v>
      </c>
      <c r="AT112" s="29" t="e">
        <f t="shared" si="99"/>
        <v>#REF!</v>
      </c>
      <c r="AU112" s="29" t="e">
        <f t="shared" si="99"/>
        <v>#REF!</v>
      </c>
      <c r="AV112" s="29" t="e">
        <f t="shared" si="99"/>
        <v>#REF!</v>
      </c>
      <c r="AW112" s="29" t="e">
        <f t="shared" si="99"/>
        <v>#REF!</v>
      </c>
      <c r="AX112" s="29" t="e">
        <f t="shared" si="99"/>
        <v>#REF!</v>
      </c>
      <c r="AY112" s="29" t="e">
        <f t="shared" si="99"/>
        <v>#REF!</v>
      </c>
      <c r="AZ112" s="29" t="e">
        <f t="shared" si="99"/>
        <v>#REF!</v>
      </c>
      <c r="BA112" s="29" t="e">
        <f t="shared" si="99"/>
        <v>#REF!</v>
      </c>
      <c r="BB112" s="29" t="e">
        <f t="shared" si="99"/>
        <v>#REF!</v>
      </c>
      <c r="BC112" s="29" t="e">
        <f t="shared" si="99"/>
        <v>#REF!</v>
      </c>
      <c r="BD112" s="29" t="e">
        <f t="shared" si="99"/>
        <v>#REF!</v>
      </c>
      <c r="BE112" s="29" t="e">
        <f t="shared" si="99"/>
        <v>#REF!</v>
      </c>
      <c r="BF112" s="29" t="e">
        <f t="shared" si="99"/>
        <v>#REF!</v>
      </c>
      <c r="BG112" s="29" t="e">
        <f t="shared" si="99"/>
        <v>#REF!</v>
      </c>
      <c r="BH112" s="29" t="e">
        <f t="shared" si="99"/>
        <v>#REF!</v>
      </c>
      <c r="BI112" s="29" t="e">
        <f t="shared" si="99"/>
        <v>#REF!</v>
      </c>
      <c r="BJ112" s="29" t="e">
        <f t="shared" si="99"/>
        <v>#REF!</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s="55" t="s">
        <v>370</v>
      </c>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s="5"/>
    </row>
    <row r="115" spans="1:64">
      <c r="A115"/>
      <c r="B115" s="41" t="s">
        <v>342</v>
      </c>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s="5"/>
    </row>
    <row r="116" spans="1:64">
      <c r="A116"/>
      <c r="B116" t="s">
        <v>310</v>
      </c>
      <c r="C116" s="30">
        <f>+C55</f>
        <v>0</v>
      </c>
      <c r="D116" s="30">
        <f t="shared" ref="D116:BJ116" si="100">+D55</f>
        <v>0</v>
      </c>
      <c r="E116" s="30">
        <f t="shared" si="100"/>
        <v>0</v>
      </c>
      <c r="F116" s="30">
        <f t="shared" si="100"/>
        <v>0</v>
      </c>
      <c r="G116" s="30">
        <f t="shared" si="100"/>
        <v>0</v>
      </c>
      <c r="H116" s="30">
        <f t="shared" si="100"/>
        <v>0</v>
      </c>
      <c r="I116" s="30">
        <f t="shared" si="100"/>
        <v>0</v>
      </c>
      <c r="J116" s="30">
        <f t="shared" si="100"/>
        <v>0</v>
      </c>
      <c r="K116" s="30">
        <f t="shared" si="100"/>
        <v>0</v>
      </c>
      <c r="L116" s="30">
        <f t="shared" si="100"/>
        <v>0</v>
      </c>
      <c r="M116" s="30">
        <f t="shared" si="100"/>
        <v>0</v>
      </c>
      <c r="N116" s="30">
        <f t="shared" si="100"/>
        <v>0</v>
      </c>
      <c r="O116" s="30">
        <f t="shared" si="100"/>
        <v>0</v>
      </c>
      <c r="P116" s="30">
        <f t="shared" si="100"/>
        <v>0</v>
      </c>
      <c r="Q116" s="30">
        <f t="shared" si="100"/>
        <v>0</v>
      </c>
      <c r="R116" s="30">
        <f t="shared" si="100"/>
        <v>0</v>
      </c>
      <c r="S116" s="30">
        <f t="shared" si="100"/>
        <v>0</v>
      </c>
      <c r="T116" s="30">
        <f t="shared" si="100"/>
        <v>0</v>
      </c>
      <c r="U116" s="30">
        <f t="shared" si="100"/>
        <v>0</v>
      </c>
      <c r="V116" s="30">
        <f t="shared" si="100"/>
        <v>0</v>
      </c>
      <c r="W116" s="30">
        <f t="shared" si="100"/>
        <v>0</v>
      </c>
      <c r="X116" s="30">
        <f t="shared" si="100"/>
        <v>0</v>
      </c>
      <c r="Y116" s="30">
        <f t="shared" si="100"/>
        <v>0</v>
      </c>
      <c r="Z116" s="30">
        <f t="shared" si="100"/>
        <v>0</v>
      </c>
      <c r="AA116" s="30">
        <f t="shared" si="100"/>
        <v>0</v>
      </c>
      <c r="AB116" s="30">
        <f t="shared" si="100"/>
        <v>0</v>
      </c>
      <c r="AC116" s="30">
        <f t="shared" si="100"/>
        <v>0</v>
      </c>
      <c r="AD116" s="30">
        <f t="shared" si="100"/>
        <v>0</v>
      </c>
      <c r="AE116" s="30">
        <f t="shared" si="100"/>
        <v>0</v>
      </c>
      <c r="AF116" s="30">
        <f t="shared" si="100"/>
        <v>0</v>
      </c>
      <c r="AG116" s="30">
        <f t="shared" si="100"/>
        <v>0</v>
      </c>
      <c r="AH116" s="30">
        <f t="shared" si="100"/>
        <v>0</v>
      </c>
      <c r="AI116" s="30">
        <f t="shared" si="100"/>
        <v>0</v>
      </c>
      <c r="AJ116" s="30">
        <f t="shared" si="100"/>
        <v>0</v>
      </c>
      <c r="AK116" s="30">
        <f t="shared" si="100"/>
        <v>0</v>
      </c>
      <c r="AL116" s="30">
        <f t="shared" si="100"/>
        <v>0</v>
      </c>
      <c r="AM116" s="30">
        <f t="shared" si="100"/>
        <v>0</v>
      </c>
      <c r="AN116" s="30">
        <f t="shared" si="100"/>
        <v>0</v>
      </c>
      <c r="AO116" s="30">
        <f t="shared" si="100"/>
        <v>0</v>
      </c>
      <c r="AP116" s="30">
        <f t="shared" si="100"/>
        <v>0</v>
      </c>
      <c r="AQ116" s="30">
        <f t="shared" si="100"/>
        <v>0</v>
      </c>
      <c r="AR116" s="30">
        <f t="shared" si="100"/>
        <v>0</v>
      </c>
      <c r="AS116" s="30">
        <f t="shared" si="100"/>
        <v>0</v>
      </c>
      <c r="AT116" s="30">
        <f t="shared" si="100"/>
        <v>0</v>
      </c>
      <c r="AU116" s="30">
        <f t="shared" si="100"/>
        <v>0</v>
      </c>
      <c r="AV116" s="30">
        <f t="shared" si="100"/>
        <v>0</v>
      </c>
      <c r="AW116" s="30">
        <f t="shared" si="100"/>
        <v>0</v>
      </c>
      <c r="AX116" s="30">
        <f t="shared" si="100"/>
        <v>0</v>
      </c>
      <c r="AY116" s="30">
        <f t="shared" si="100"/>
        <v>0</v>
      </c>
      <c r="AZ116" s="30">
        <f t="shared" si="100"/>
        <v>0</v>
      </c>
      <c r="BA116" s="30">
        <f t="shared" si="100"/>
        <v>0</v>
      </c>
      <c r="BB116" s="30">
        <f t="shared" si="100"/>
        <v>0</v>
      </c>
      <c r="BC116" s="30">
        <f t="shared" si="100"/>
        <v>0</v>
      </c>
      <c r="BD116" s="30">
        <f t="shared" si="100"/>
        <v>0</v>
      </c>
      <c r="BE116" s="30">
        <f t="shared" si="100"/>
        <v>0</v>
      </c>
      <c r="BF116" s="30">
        <f t="shared" si="100"/>
        <v>0</v>
      </c>
      <c r="BG116" s="30">
        <f t="shared" si="100"/>
        <v>0</v>
      </c>
      <c r="BH116" s="30">
        <f t="shared" si="100"/>
        <v>0</v>
      </c>
      <c r="BI116" s="30">
        <f t="shared" si="100"/>
        <v>0</v>
      </c>
      <c r="BJ116" s="30">
        <f t="shared" si="100"/>
        <v>0</v>
      </c>
      <c r="BK116"/>
      <c r="BL116" s="5"/>
    </row>
    <row r="117" spans="1:64">
      <c r="A117"/>
      <c r="B117" t="s">
        <v>309</v>
      </c>
      <c r="C117" s="30">
        <f>+C56</f>
        <v>0</v>
      </c>
      <c r="D117" s="30">
        <f t="shared" ref="D117:BJ117" si="101">+D56</f>
        <v>0</v>
      </c>
      <c r="E117" s="30">
        <f t="shared" si="101"/>
        <v>0</v>
      </c>
      <c r="F117" s="30">
        <f t="shared" si="101"/>
        <v>0</v>
      </c>
      <c r="G117" s="30">
        <f t="shared" si="101"/>
        <v>0</v>
      </c>
      <c r="H117" s="30">
        <f t="shared" si="101"/>
        <v>0</v>
      </c>
      <c r="I117" s="30">
        <f t="shared" si="101"/>
        <v>0</v>
      </c>
      <c r="J117" s="30">
        <f t="shared" si="101"/>
        <v>0</v>
      </c>
      <c r="K117" s="30">
        <f t="shared" si="101"/>
        <v>0</v>
      </c>
      <c r="L117" s="30">
        <f t="shared" si="101"/>
        <v>0</v>
      </c>
      <c r="M117" s="30">
        <f t="shared" si="101"/>
        <v>0</v>
      </c>
      <c r="N117" s="30">
        <f t="shared" si="101"/>
        <v>0</v>
      </c>
      <c r="O117" s="30">
        <f t="shared" si="101"/>
        <v>0</v>
      </c>
      <c r="P117" s="30">
        <f t="shared" si="101"/>
        <v>0</v>
      </c>
      <c r="Q117" s="30">
        <f t="shared" si="101"/>
        <v>0</v>
      </c>
      <c r="R117" s="30">
        <f t="shared" si="101"/>
        <v>0</v>
      </c>
      <c r="S117" s="30">
        <f t="shared" si="101"/>
        <v>0</v>
      </c>
      <c r="T117" s="30">
        <f t="shared" si="101"/>
        <v>0</v>
      </c>
      <c r="U117" s="30">
        <f t="shared" si="101"/>
        <v>0</v>
      </c>
      <c r="V117" s="30">
        <f t="shared" si="101"/>
        <v>0</v>
      </c>
      <c r="W117" s="30">
        <f t="shared" si="101"/>
        <v>0</v>
      </c>
      <c r="X117" s="30">
        <f t="shared" si="101"/>
        <v>0</v>
      </c>
      <c r="Y117" s="30">
        <f t="shared" si="101"/>
        <v>0</v>
      </c>
      <c r="Z117" s="30">
        <f t="shared" si="101"/>
        <v>0</v>
      </c>
      <c r="AA117" s="30">
        <f t="shared" si="101"/>
        <v>0</v>
      </c>
      <c r="AB117" s="30">
        <f t="shared" si="101"/>
        <v>0</v>
      </c>
      <c r="AC117" s="30">
        <f t="shared" si="101"/>
        <v>0</v>
      </c>
      <c r="AD117" s="30">
        <f t="shared" si="101"/>
        <v>0</v>
      </c>
      <c r="AE117" s="30">
        <f t="shared" si="101"/>
        <v>0</v>
      </c>
      <c r="AF117" s="30">
        <f t="shared" si="101"/>
        <v>0</v>
      </c>
      <c r="AG117" s="30">
        <f t="shared" si="101"/>
        <v>0</v>
      </c>
      <c r="AH117" s="30">
        <f t="shared" si="101"/>
        <v>0</v>
      </c>
      <c r="AI117" s="30">
        <f t="shared" si="101"/>
        <v>0</v>
      </c>
      <c r="AJ117" s="30">
        <f t="shared" si="101"/>
        <v>0</v>
      </c>
      <c r="AK117" s="30">
        <f t="shared" si="101"/>
        <v>0</v>
      </c>
      <c r="AL117" s="30">
        <f t="shared" si="101"/>
        <v>0</v>
      </c>
      <c r="AM117" s="30">
        <f t="shared" si="101"/>
        <v>0</v>
      </c>
      <c r="AN117" s="30">
        <f t="shared" si="101"/>
        <v>0</v>
      </c>
      <c r="AO117" s="30">
        <f t="shared" si="101"/>
        <v>0</v>
      </c>
      <c r="AP117" s="30">
        <f t="shared" si="101"/>
        <v>0</v>
      </c>
      <c r="AQ117" s="30">
        <f t="shared" si="101"/>
        <v>0</v>
      </c>
      <c r="AR117" s="30">
        <f t="shared" si="101"/>
        <v>0</v>
      </c>
      <c r="AS117" s="30">
        <f t="shared" si="101"/>
        <v>0</v>
      </c>
      <c r="AT117" s="30">
        <f t="shared" si="101"/>
        <v>0</v>
      </c>
      <c r="AU117" s="30">
        <f t="shared" si="101"/>
        <v>0</v>
      </c>
      <c r="AV117" s="30">
        <f t="shared" si="101"/>
        <v>0</v>
      </c>
      <c r="AW117" s="30">
        <f t="shared" si="101"/>
        <v>0</v>
      </c>
      <c r="AX117" s="30">
        <f t="shared" si="101"/>
        <v>0</v>
      </c>
      <c r="AY117" s="30">
        <f t="shared" si="101"/>
        <v>0</v>
      </c>
      <c r="AZ117" s="30">
        <f t="shared" si="101"/>
        <v>0</v>
      </c>
      <c r="BA117" s="30">
        <f t="shared" si="101"/>
        <v>0</v>
      </c>
      <c r="BB117" s="30">
        <f t="shared" si="101"/>
        <v>0</v>
      </c>
      <c r="BC117" s="30">
        <f t="shared" si="101"/>
        <v>0</v>
      </c>
      <c r="BD117" s="30">
        <f t="shared" si="101"/>
        <v>0</v>
      </c>
      <c r="BE117" s="30">
        <f t="shared" si="101"/>
        <v>0</v>
      </c>
      <c r="BF117" s="30">
        <f t="shared" si="101"/>
        <v>0</v>
      </c>
      <c r="BG117" s="30">
        <f t="shared" si="101"/>
        <v>0</v>
      </c>
      <c r="BH117" s="30">
        <f t="shared" si="101"/>
        <v>0</v>
      </c>
      <c r="BI117" s="30">
        <f t="shared" si="101"/>
        <v>0</v>
      </c>
      <c r="BJ117" s="30">
        <f t="shared" si="101"/>
        <v>0</v>
      </c>
      <c r="BK117"/>
      <c r="BL117" s="5"/>
    </row>
    <row r="118" spans="1:64">
      <c r="A118"/>
      <c r="B118" s="3" t="s">
        <v>343</v>
      </c>
      <c r="C118" s="29">
        <f>SUM(C116:C117)</f>
        <v>0</v>
      </c>
      <c r="D118" s="29">
        <f t="shared" ref="D118:BJ118" si="102">SUM(D116:D117)</f>
        <v>0</v>
      </c>
      <c r="E118" s="29">
        <f t="shared" si="102"/>
        <v>0</v>
      </c>
      <c r="F118" s="29">
        <f t="shared" si="102"/>
        <v>0</v>
      </c>
      <c r="G118" s="29">
        <f t="shared" si="102"/>
        <v>0</v>
      </c>
      <c r="H118" s="29">
        <f t="shared" si="102"/>
        <v>0</v>
      </c>
      <c r="I118" s="29">
        <f t="shared" si="102"/>
        <v>0</v>
      </c>
      <c r="J118" s="29">
        <f t="shared" si="102"/>
        <v>0</v>
      </c>
      <c r="K118" s="29">
        <f t="shared" si="102"/>
        <v>0</v>
      </c>
      <c r="L118" s="29">
        <f t="shared" si="102"/>
        <v>0</v>
      </c>
      <c r="M118" s="29">
        <f t="shared" si="102"/>
        <v>0</v>
      </c>
      <c r="N118" s="29">
        <f t="shared" si="102"/>
        <v>0</v>
      </c>
      <c r="O118" s="29">
        <f t="shared" si="102"/>
        <v>0</v>
      </c>
      <c r="P118" s="29">
        <f t="shared" si="102"/>
        <v>0</v>
      </c>
      <c r="Q118" s="29">
        <f t="shared" si="102"/>
        <v>0</v>
      </c>
      <c r="R118" s="29">
        <f t="shared" si="102"/>
        <v>0</v>
      </c>
      <c r="S118" s="29">
        <f t="shared" si="102"/>
        <v>0</v>
      </c>
      <c r="T118" s="29">
        <f t="shared" si="102"/>
        <v>0</v>
      </c>
      <c r="U118" s="29">
        <f t="shared" si="102"/>
        <v>0</v>
      </c>
      <c r="V118" s="29">
        <f t="shared" si="102"/>
        <v>0</v>
      </c>
      <c r="W118" s="29">
        <f t="shared" si="102"/>
        <v>0</v>
      </c>
      <c r="X118" s="29">
        <f t="shared" si="102"/>
        <v>0</v>
      </c>
      <c r="Y118" s="29">
        <f t="shared" si="102"/>
        <v>0</v>
      </c>
      <c r="Z118" s="29">
        <f t="shared" si="102"/>
        <v>0</v>
      </c>
      <c r="AA118" s="29">
        <f t="shared" si="102"/>
        <v>0</v>
      </c>
      <c r="AB118" s="29">
        <f t="shared" si="102"/>
        <v>0</v>
      </c>
      <c r="AC118" s="29">
        <f t="shared" si="102"/>
        <v>0</v>
      </c>
      <c r="AD118" s="29">
        <f t="shared" si="102"/>
        <v>0</v>
      </c>
      <c r="AE118" s="29">
        <f t="shared" si="102"/>
        <v>0</v>
      </c>
      <c r="AF118" s="29">
        <f t="shared" si="102"/>
        <v>0</v>
      </c>
      <c r="AG118" s="29">
        <f t="shared" si="102"/>
        <v>0</v>
      </c>
      <c r="AH118" s="29">
        <f t="shared" si="102"/>
        <v>0</v>
      </c>
      <c r="AI118" s="29">
        <f t="shared" si="102"/>
        <v>0</v>
      </c>
      <c r="AJ118" s="29">
        <f t="shared" si="102"/>
        <v>0</v>
      </c>
      <c r="AK118" s="29">
        <f t="shared" si="102"/>
        <v>0</v>
      </c>
      <c r="AL118" s="29">
        <f t="shared" si="102"/>
        <v>0</v>
      </c>
      <c r="AM118" s="29">
        <f t="shared" si="102"/>
        <v>0</v>
      </c>
      <c r="AN118" s="29">
        <f t="shared" si="102"/>
        <v>0</v>
      </c>
      <c r="AO118" s="29">
        <f t="shared" si="102"/>
        <v>0</v>
      </c>
      <c r="AP118" s="29">
        <f t="shared" si="102"/>
        <v>0</v>
      </c>
      <c r="AQ118" s="29">
        <f t="shared" si="102"/>
        <v>0</v>
      </c>
      <c r="AR118" s="29">
        <f t="shared" si="102"/>
        <v>0</v>
      </c>
      <c r="AS118" s="29">
        <f t="shared" si="102"/>
        <v>0</v>
      </c>
      <c r="AT118" s="29">
        <f t="shared" si="102"/>
        <v>0</v>
      </c>
      <c r="AU118" s="29">
        <f t="shared" si="102"/>
        <v>0</v>
      </c>
      <c r="AV118" s="29">
        <f t="shared" si="102"/>
        <v>0</v>
      </c>
      <c r="AW118" s="29">
        <f t="shared" si="102"/>
        <v>0</v>
      </c>
      <c r="AX118" s="29">
        <f t="shared" si="102"/>
        <v>0</v>
      </c>
      <c r="AY118" s="29">
        <f t="shared" si="102"/>
        <v>0</v>
      </c>
      <c r="AZ118" s="29">
        <f t="shared" si="102"/>
        <v>0</v>
      </c>
      <c r="BA118" s="29">
        <f t="shared" si="102"/>
        <v>0</v>
      </c>
      <c r="BB118" s="29">
        <f t="shared" si="102"/>
        <v>0</v>
      </c>
      <c r="BC118" s="29">
        <f t="shared" si="102"/>
        <v>0</v>
      </c>
      <c r="BD118" s="29">
        <f t="shared" si="102"/>
        <v>0</v>
      </c>
      <c r="BE118" s="29">
        <f t="shared" si="102"/>
        <v>0</v>
      </c>
      <c r="BF118" s="29">
        <f t="shared" si="102"/>
        <v>0</v>
      </c>
      <c r="BG118" s="29">
        <f t="shared" si="102"/>
        <v>0</v>
      </c>
      <c r="BH118" s="29">
        <f t="shared" si="102"/>
        <v>0</v>
      </c>
      <c r="BI118" s="29">
        <f t="shared" si="102"/>
        <v>0</v>
      </c>
      <c r="BJ118" s="29">
        <f t="shared" si="102"/>
        <v>0</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c r="B120" t="s">
        <v>347</v>
      </c>
      <c r="C120" s="30" t="e">
        <f>+C97-C105</f>
        <v>#REF!</v>
      </c>
      <c r="D120" s="30" t="e">
        <f t="shared" ref="D120:BJ120" si="103">+D97-D105</f>
        <v>#REF!</v>
      </c>
      <c r="E120" s="30" t="e">
        <f t="shared" si="103"/>
        <v>#REF!</v>
      </c>
      <c r="F120" s="30" t="e">
        <f t="shared" si="103"/>
        <v>#REF!</v>
      </c>
      <c r="G120" s="30" t="e">
        <f t="shared" si="103"/>
        <v>#REF!</v>
      </c>
      <c r="H120" s="30" t="e">
        <f t="shared" si="103"/>
        <v>#REF!</v>
      </c>
      <c r="I120" s="30" t="e">
        <f t="shared" si="103"/>
        <v>#REF!</v>
      </c>
      <c r="J120" s="30" t="e">
        <f t="shared" si="103"/>
        <v>#REF!</v>
      </c>
      <c r="K120" s="30" t="e">
        <f t="shared" si="103"/>
        <v>#REF!</v>
      </c>
      <c r="L120" s="30" t="e">
        <f t="shared" si="103"/>
        <v>#REF!</v>
      </c>
      <c r="M120" s="30" t="e">
        <f t="shared" si="103"/>
        <v>#REF!</v>
      </c>
      <c r="N120" s="30" t="e">
        <f t="shared" si="103"/>
        <v>#REF!</v>
      </c>
      <c r="O120" s="30" t="e">
        <f t="shared" si="103"/>
        <v>#REF!</v>
      </c>
      <c r="P120" s="30" t="e">
        <f t="shared" si="103"/>
        <v>#REF!</v>
      </c>
      <c r="Q120" s="30" t="e">
        <f t="shared" si="103"/>
        <v>#REF!</v>
      </c>
      <c r="R120" s="30" t="e">
        <f t="shared" si="103"/>
        <v>#REF!</v>
      </c>
      <c r="S120" s="30" t="e">
        <f t="shared" si="103"/>
        <v>#REF!</v>
      </c>
      <c r="T120" s="30" t="e">
        <f t="shared" si="103"/>
        <v>#REF!</v>
      </c>
      <c r="U120" s="30" t="e">
        <f t="shared" si="103"/>
        <v>#REF!</v>
      </c>
      <c r="V120" s="30" t="e">
        <f t="shared" si="103"/>
        <v>#REF!</v>
      </c>
      <c r="W120" s="30" t="e">
        <f t="shared" si="103"/>
        <v>#REF!</v>
      </c>
      <c r="X120" s="30" t="e">
        <f t="shared" si="103"/>
        <v>#REF!</v>
      </c>
      <c r="Y120" s="30" t="e">
        <f t="shared" si="103"/>
        <v>#REF!</v>
      </c>
      <c r="Z120" s="30" t="e">
        <f t="shared" si="103"/>
        <v>#REF!</v>
      </c>
      <c r="AA120" s="30" t="e">
        <f t="shared" si="103"/>
        <v>#REF!</v>
      </c>
      <c r="AB120" s="30" t="e">
        <f t="shared" si="103"/>
        <v>#REF!</v>
      </c>
      <c r="AC120" s="30" t="e">
        <f t="shared" si="103"/>
        <v>#REF!</v>
      </c>
      <c r="AD120" s="30" t="e">
        <f t="shared" si="103"/>
        <v>#REF!</v>
      </c>
      <c r="AE120" s="30" t="e">
        <f t="shared" si="103"/>
        <v>#REF!</v>
      </c>
      <c r="AF120" s="30" t="e">
        <f t="shared" si="103"/>
        <v>#REF!</v>
      </c>
      <c r="AG120" s="30" t="e">
        <f t="shared" si="103"/>
        <v>#REF!</v>
      </c>
      <c r="AH120" s="30" t="e">
        <f t="shared" si="103"/>
        <v>#REF!</v>
      </c>
      <c r="AI120" s="30" t="e">
        <f t="shared" si="103"/>
        <v>#REF!</v>
      </c>
      <c r="AJ120" s="30" t="e">
        <f t="shared" si="103"/>
        <v>#REF!</v>
      </c>
      <c r="AK120" s="30" t="e">
        <f t="shared" si="103"/>
        <v>#REF!</v>
      </c>
      <c r="AL120" s="30" t="e">
        <f t="shared" si="103"/>
        <v>#REF!</v>
      </c>
      <c r="AM120" s="30" t="e">
        <f t="shared" si="103"/>
        <v>#REF!</v>
      </c>
      <c r="AN120" s="30" t="e">
        <f t="shared" si="103"/>
        <v>#REF!</v>
      </c>
      <c r="AO120" s="30" t="e">
        <f t="shared" si="103"/>
        <v>#REF!</v>
      </c>
      <c r="AP120" s="30" t="e">
        <f t="shared" si="103"/>
        <v>#REF!</v>
      </c>
      <c r="AQ120" s="30" t="e">
        <f t="shared" si="103"/>
        <v>#REF!</v>
      </c>
      <c r="AR120" s="30" t="e">
        <f t="shared" si="103"/>
        <v>#REF!</v>
      </c>
      <c r="AS120" s="30" t="e">
        <f t="shared" si="103"/>
        <v>#REF!</v>
      </c>
      <c r="AT120" s="30" t="e">
        <f t="shared" si="103"/>
        <v>#REF!</v>
      </c>
      <c r="AU120" s="30" t="e">
        <f t="shared" si="103"/>
        <v>#REF!</v>
      </c>
      <c r="AV120" s="30" t="e">
        <f t="shared" si="103"/>
        <v>#REF!</v>
      </c>
      <c r="AW120" s="30" t="e">
        <f t="shared" si="103"/>
        <v>#REF!</v>
      </c>
      <c r="AX120" s="30" t="e">
        <f t="shared" si="103"/>
        <v>#REF!</v>
      </c>
      <c r="AY120" s="30" t="e">
        <f t="shared" si="103"/>
        <v>#REF!</v>
      </c>
      <c r="AZ120" s="30" t="e">
        <f t="shared" si="103"/>
        <v>#REF!</v>
      </c>
      <c r="BA120" s="30" t="e">
        <f t="shared" si="103"/>
        <v>#REF!</v>
      </c>
      <c r="BB120" s="30" t="e">
        <f t="shared" si="103"/>
        <v>#REF!</v>
      </c>
      <c r="BC120" s="30" t="e">
        <f t="shared" si="103"/>
        <v>#REF!</v>
      </c>
      <c r="BD120" s="30" t="e">
        <f t="shared" si="103"/>
        <v>#REF!</v>
      </c>
      <c r="BE120" s="30" t="e">
        <f t="shared" si="103"/>
        <v>#REF!</v>
      </c>
      <c r="BF120" s="30" t="e">
        <f t="shared" si="103"/>
        <v>#REF!</v>
      </c>
      <c r="BG120" s="30" t="e">
        <f t="shared" si="103"/>
        <v>#REF!</v>
      </c>
      <c r="BH120" s="30" t="e">
        <f t="shared" si="103"/>
        <v>#REF!</v>
      </c>
      <c r="BI120" s="30" t="e">
        <f t="shared" si="103"/>
        <v>#REF!</v>
      </c>
      <c r="BJ120" s="30" t="e">
        <f t="shared" si="103"/>
        <v>#REF!</v>
      </c>
      <c r="BK120"/>
      <c r="BL120" s="5"/>
    </row>
    <row r="121" spans="1:64">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s="5"/>
    </row>
    <row r="122" spans="1:64">
      <c r="A122"/>
      <c r="B122" t="s">
        <v>371</v>
      </c>
      <c r="C122" s="30" t="e">
        <f>SUM(C118,C120)</f>
        <v>#REF!</v>
      </c>
      <c r="D122" s="30" t="e">
        <f t="shared" ref="D122:BJ122" si="104">SUM(D118,D120)</f>
        <v>#REF!</v>
      </c>
      <c r="E122" s="30" t="e">
        <f t="shared" si="104"/>
        <v>#REF!</v>
      </c>
      <c r="F122" s="30" t="e">
        <f t="shared" si="104"/>
        <v>#REF!</v>
      </c>
      <c r="G122" s="30" t="e">
        <f t="shared" si="104"/>
        <v>#REF!</v>
      </c>
      <c r="H122" s="30" t="e">
        <f t="shared" si="104"/>
        <v>#REF!</v>
      </c>
      <c r="I122" s="30" t="e">
        <f t="shared" si="104"/>
        <v>#REF!</v>
      </c>
      <c r="J122" s="30" t="e">
        <f t="shared" si="104"/>
        <v>#REF!</v>
      </c>
      <c r="K122" s="30" t="e">
        <f t="shared" si="104"/>
        <v>#REF!</v>
      </c>
      <c r="L122" s="30" t="e">
        <f t="shared" si="104"/>
        <v>#REF!</v>
      </c>
      <c r="M122" s="30" t="e">
        <f t="shared" si="104"/>
        <v>#REF!</v>
      </c>
      <c r="N122" s="30" t="e">
        <f t="shared" si="104"/>
        <v>#REF!</v>
      </c>
      <c r="O122" s="30" t="e">
        <f t="shared" si="104"/>
        <v>#REF!</v>
      </c>
      <c r="P122" s="30" t="e">
        <f t="shared" si="104"/>
        <v>#REF!</v>
      </c>
      <c r="Q122" s="30" t="e">
        <f t="shared" si="104"/>
        <v>#REF!</v>
      </c>
      <c r="R122" s="30" t="e">
        <f t="shared" si="104"/>
        <v>#REF!</v>
      </c>
      <c r="S122" s="30" t="e">
        <f t="shared" si="104"/>
        <v>#REF!</v>
      </c>
      <c r="T122" s="30" t="e">
        <f t="shared" si="104"/>
        <v>#REF!</v>
      </c>
      <c r="U122" s="30" t="e">
        <f t="shared" si="104"/>
        <v>#REF!</v>
      </c>
      <c r="V122" s="30" t="e">
        <f t="shared" si="104"/>
        <v>#REF!</v>
      </c>
      <c r="W122" s="30" t="e">
        <f t="shared" si="104"/>
        <v>#REF!</v>
      </c>
      <c r="X122" s="30" t="e">
        <f t="shared" si="104"/>
        <v>#REF!</v>
      </c>
      <c r="Y122" s="30" t="e">
        <f t="shared" si="104"/>
        <v>#REF!</v>
      </c>
      <c r="Z122" s="30" t="e">
        <f t="shared" si="104"/>
        <v>#REF!</v>
      </c>
      <c r="AA122" s="30" t="e">
        <f t="shared" si="104"/>
        <v>#REF!</v>
      </c>
      <c r="AB122" s="30" t="e">
        <f t="shared" si="104"/>
        <v>#REF!</v>
      </c>
      <c r="AC122" s="30" t="e">
        <f t="shared" si="104"/>
        <v>#REF!</v>
      </c>
      <c r="AD122" s="30" t="e">
        <f t="shared" si="104"/>
        <v>#REF!</v>
      </c>
      <c r="AE122" s="30" t="e">
        <f t="shared" si="104"/>
        <v>#REF!</v>
      </c>
      <c r="AF122" s="30" t="e">
        <f t="shared" si="104"/>
        <v>#REF!</v>
      </c>
      <c r="AG122" s="30" t="e">
        <f t="shared" si="104"/>
        <v>#REF!</v>
      </c>
      <c r="AH122" s="30" t="e">
        <f t="shared" si="104"/>
        <v>#REF!</v>
      </c>
      <c r="AI122" s="30" t="e">
        <f t="shared" si="104"/>
        <v>#REF!</v>
      </c>
      <c r="AJ122" s="30" t="e">
        <f t="shared" si="104"/>
        <v>#REF!</v>
      </c>
      <c r="AK122" s="30" t="e">
        <f t="shared" si="104"/>
        <v>#REF!</v>
      </c>
      <c r="AL122" s="30" t="e">
        <f t="shared" si="104"/>
        <v>#REF!</v>
      </c>
      <c r="AM122" s="30" t="e">
        <f t="shared" si="104"/>
        <v>#REF!</v>
      </c>
      <c r="AN122" s="30" t="e">
        <f t="shared" si="104"/>
        <v>#REF!</v>
      </c>
      <c r="AO122" s="30" t="e">
        <f t="shared" si="104"/>
        <v>#REF!</v>
      </c>
      <c r="AP122" s="30" t="e">
        <f t="shared" si="104"/>
        <v>#REF!</v>
      </c>
      <c r="AQ122" s="30" t="e">
        <f t="shared" si="104"/>
        <v>#REF!</v>
      </c>
      <c r="AR122" s="30" t="e">
        <f t="shared" si="104"/>
        <v>#REF!</v>
      </c>
      <c r="AS122" s="30" t="e">
        <f t="shared" si="104"/>
        <v>#REF!</v>
      </c>
      <c r="AT122" s="30" t="e">
        <f t="shared" si="104"/>
        <v>#REF!</v>
      </c>
      <c r="AU122" s="30" t="e">
        <f t="shared" si="104"/>
        <v>#REF!</v>
      </c>
      <c r="AV122" s="30" t="e">
        <f t="shared" si="104"/>
        <v>#REF!</v>
      </c>
      <c r="AW122" s="30" t="e">
        <f t="shared" si="104"/>
        <v>#REF!</v>
      </c>
      <c r="AX122" s="30" t="e">
        <f t="shared" si="104"/>
        <v>#REF!</v>
      </c>
      <c r="AY122" s="30" t="e">
        <f t="shared" si="104"/>
        <v>#REF!</v>
      </c>
      <c r="AZ122" s="30" t="e">
        <f t="shared" si="104"/>
        <v>#REF!</v>
      </c>
      <c r="BA122" s="30" t="e">
        <f t="shared" si="104"/>
        <v>#REF!</v>
      </c>
      <c r="BB122" s="30" t="e">
        <f t="shared" si="104"/>
        <v>#REF!</v>
      </c>
      <c r="BC122" s="30" t="e">
        <f t="shared" si="104"/>
        <v>#REF!</v>
      </c>
      <c r="BD122" s="30" t="e">
        <f t="shared" si="104"/>
        <v>#REF!</v>
      </c>
      <c r="BE122" s="30" t="e">
        <f t="shared" si="104"/>
        <v>#REF!</v>
      </c>
      <c r="BF122" s="30" t="e">
        <f t="shared" si="104"/>
        <v>#REF!</v>
      </c>
      <c r="BG122" s="30" t="e">
        <f t="shared" si="104"/>
        <v>#REF!</v>
      </c>
      <c r="BH122" s="30" t="e">
        <f t="shared" si="104"/>
        <v>#REF!</v>
      </c>
      <c r="BI122" s="30" t="e">
        <f t="shared" si="104"/>
        <v>#REF!</v>
      </c>
      <c r="BJ122" s="30" t="e">
        <f t="shared" si="104"/>
        <v>#REF!</v>
      </c>
      <c r="BK122"/>
      <c r="BL122" s="5"/>
    </row>
    <row r="123" spans="1:64">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s="5"/>
    </row>
    <row r="124" spans="1:64">
      <c r="A124"/>
      <c r="B124" s="28" t="e">
        <f>TEXT($B$24,"")</f>
        <v>#REF!</v>
      </c>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s="5"/>
    </row>
    <row r="125" spans="1:64">
      <c r="A125"/>
      <c r="B125" t="s">
        <v>349</v>
      </c>
      <c r="C125" s="30" t="e">
        <f>+C120</f>
        <v>#REF!</v>
      </c>
      <c r="D125" s="30" t="e">
        <f t="shared" ref="D125:BJ125" si="105">+D120</f>
        <v>#REF!</v>
      </c>
      <c r="E125" s="30" t="e">
        <f t="shared" si="105"/>
        <v>#REF!</v>
      </c>
      <c r="F125" s="30" t="e">
        <f t="shared" si="105"/>
        <v>#REF!</v>
      </c>
      <c r="G125" s="30" t="e">
        <f t="shared" si="105"/>
        <v>#REF!</v>
      </c>
      <c r="H125" s="30" t="e">
        <f t="shared" si="105"/>
        <v>#REF!</v>
      </c>
      <c r="I125" s="30" t="e">
        <f t="shared" si="105"/>
        <v>#REF!</v>
      </c>
      <c r="J125" s="30" t="e">
        <f t="shared" si="105"/>
        <v>#REF!</v>
      </c>
      <c r="K125" s="30" t="e">
        <f t="shared" si="105"/>
        <v>#REF!</v>
      </c>
      <c r="L125" s="30" t="e">
        <f t="shared" si="105"/>
        <v>#REF!</v>
      </c>
      <c r="M125" s="30" t="e">
        <f t="shared" si="105"/>
        <v>#REF!</v>
      </c>
      <c r="N125" s="30" t="e">
        <f t="shared" si="105"/>
        <v>#REF!</v>
      </c>
      <c r="O125" s="30" t="e">
        <f t="shared" si="105"/>
        <v>#REF!</v>
      </c>
      <c r="P125" s="30" t="e">
        <f t="shared" si="105"/>
        <v>#REF!</v>
      </c>
      <c r="Q125" s="30" t="e">
        <f t="shared" si="105"/>
        <v>#REF!</v>
      </c>
      <c r="R125" s="30" t="e">
        <f t="shared" si="105"/>
        <v>#REF!</v>
      </c>
      <c r="S125" s="30" t="e">
        <f t="shared" si="105"/>
        <v>#REF!</v>
      </c>
      <c r="T125" s="30" t="e">
        <f t="shared" si="105"/>
        <v>#REF!</v>
      </c>
      <c r="U125" s="30" t="e">
        <f t="shared" si="105"/>
        <v>#REF!</v>
      </c>
      <c r="V125" s="30" t="e">
        <f t="shared" si="105"/>
        <v>#REF!</v>
      </c>
      <c r="W125" s="30" t="e">
        <f t="shared" si="105"/>
        <v>#REF!</v>
      </c>
      <c r="X125" s="30" t="e">
        <f t="shared" si="105"/>
        <v>#REF!</v>
      </c>
      <c r="Y125" s="30" t="e">
        <f t="shared" si="105"/>
        <v>#REF!</v>
      </c>
      <c r="Z125" s="30" t="e">
        <f t="shared" si="105"/>
        <v>#REF!</v>
      </c>
      <c r="AA125" s="30" t="e">
        <f t="shared" si="105"/>
        <v>#REF!</v>
      </c>
      <c r="AB125" s="30" t="e">
        <f t="shared" si="105"/>
        <v>#REF!</v>
      </c>
      <c r="AC125" s="30" t="e">
        <f t="shared" si="105"/>
        <v>#REF!</v>
      </c>
      <c r="AD125" s="30" t="e">
        <f t="shared" si="105"/>
        <v>#REF!</v>
      </c>
      <c r="AE125" s="30" t="e">
        <f t="shared" si="105"/>
        <v>#REF!</v>
      </c>
      <c r="AF125" s="30" t="e">
        <f t="shared" si="105"/>
        <v>#REF!</v>
      </c>
      <c r="AG125" s="30" t="e">
        <f t="shared" si="105"/>
        <v>#REF!</v>
      </c>
      <c r="AH125" s="30" t="e">
        <f t="shared" si="105"/>
        <v>#REF!</v>
      </c>
      <c r="AI125" s="30" t="e">
        <f t="shared" si="105"/>
        <v>#REF!</v>
      </c>
      <c r="AJ125" s="30" t="e">
        <f t="shared" si="105"/>
        <v>#REF!</v>
      </c>
      <c r="AK125" s="30" t="e">
        <f t="shared" si="105"/>
        <v>#REF!</v>
      </c>
      <c r="AL125" s="30" t="e">
        <f t="shared" si="105"/>
        <v>#REF!</v>
      </c>
      <c r="AM125" s="30" t="e">
        <f t="shared" si="105"/>
        <v>#REF!</v>
      </c>
      <c r="AN125" s="30" t="e">
        <f t="shared" si="105"/>
        <v>#REF!</v>
      </c>
      <c r="AO125" s="30" t="e">
        <f t="shared" si="105"/>
        <v>#REF!</v>
      </c>
      <c r="AP125" s="30" t="e">
        <f t="shared" si="105"/>
        <v>#REF!</v>
      </c>
      <c r="AQ125" s="30" t="e">
        <f t="shared" si="105"/>
        <v>#REF!</v>
      </c>
      <c r="AR125" s="30" t="e">
        <f t="shared" si="105"/>
        <v>#REF!</v>
      </c>
      <c r="AS125" s="30" t="e">
        <f t="shared" si="105"/>
        <v>#REF!</v>
      </c>
      <c r="AT125" s="30" t="e">
        <f t="shared" si="105"/>
        <v>#REF!</v>
      </c>
      <c r="AU125" s="30" t="e">
        <f t="shared" si="105"/>
        <v>#REF!</v>
      </c>
      <c r="AV125" s="30" t="e">
        <f t="shared" si="105"/>
        <v>#REF!</v>
      </c>
      <c r="AW125" s="30" t="e">
        <f t="shared" si="105"/>
        <v>#REF!</v>
      </c>
      <c r="AX125" s="30" t="e">
        <f t="shared" si="105"/>
        <v>#REF!</v>
      </c>
      <c r="AY125" s="30" t="e">
        <f t="shared" si="105"/>
        <v>#REF!</v>
      </c>
      <c r="AZ125" s="30" t="e">
        <f t="shared" si="105"/>
        <v>#REF!</v>
      </c>
      <c r="BA125" s="30" t="e">
        <f t="shared" si="105"/>
        <v>#REF!</v>
      </c>
      <c r="BB125" s="30" t="e">
        <f t="shared" si="105"/>
        <v>#REF!</v>
      </c>
      <c r="BC125" s="30" t="e">
        <f t="shared" si="105"/>
        <v>#REF!</v>
      </c>
      <c r="BD125" s="30" t="e">
        <f t="shared" si="105"/>
        <v>#REF!</v>
      </c>
      <c r="BE125" s="30" t="e">
        <f t="shared" si="105"/>
        <v>#REF!</v>
      </c>
      <c r="BF125" s="30" t="e">
        <f t="shared" si="105"/>
        <v>#REF!</v>
      </c>
      <c r="BG125" s="30" t="e">
        <f t="shared" si="105"/>
        <v>#REF!</v>
      </c>
      <c r="BH125" s="30" t="e">
        <f t="shared" si="105"/>
        <v>#REF!</v>
      </c>
      <c r="BI125" s="30" t="e">
        <f t="shared" si="105"/>
        <v>#REF!</v>
      </c>
      <c r="BJ125" s="30" t="e">
        <f t="shared" si="105"/>
        <v>#REF!</v>
      </c>
      <c r="BK125"/>
      <c r="BL125" s="5"/>
    </row>
    <row r="126" spans="1:64">
      <c r="A126"/>
      <c r="B126" s="75" t="s">
        <v>372</v>
      </c>
      <c r="C126" s="107" t="e">
        <f>C125*$F$24</f>
        <v>#REF!</v>
      </c>
      <c r="D126" s="107" t="e">
        <f t="shared" ref="D126:BJ126" si="106">D125*$F$24</f>
        <v>#REF!</v>
      </c>
      <c r="E126" s="107" t="e">
        <f t="shared" si="106"/>
        <v>#REF!</v>
      </c>
      <c r="F126" s="107" t="e">
        <f t="shared" si="106"/>
        <v>#REF!</v>
      </c>
      <c r="G126" s="107" t="e">
        <f t="shared" si="106"/>
        <v>#REF!</v>
      </c>
      <c r="H126" s="107" t="e">
        <f t="shared" si="106"/>
        <v>#REF!</v>
      </c>
      <c r="I126" s="107" t="e">
        <f t="shared" si="106"/>
        <v>#REF!</v>
      </c>
      <c r="J126" s="107" t="e">
        <f t="shared" si="106"/>
        <v>#REF!</v>
      </c>
      <c r="K126" s="107" t="e">
        <f t="shared" si="106"/>
        <v>#REF!</v>
      </c>
      <c r="L126" s="107" t="e">
        <f t="shared" si="106"/>
        <v>#REF!</v>
      </c>
      <c r="M126" s="107" t="e">
        <f t="shared" si="106"/>
        <v>#REF!</v>
      </c>
      <c r="N126" s="107" t="e">
        <f t="shared" si="106"/>
        <v>#REF!</v>
      </c>
      <c r="O126" s="107" t="e">
        <f t="shared" si="106"/>
        <v>#REF!</v>
      </c>
      <c r="P126" s="107" t="e">
        <f t="shared" si="106"/>
        <v>#REF!</v>
      </c>
      <c r="Q126" s="107" t="e">
        <f t="shared" si="106"/>
        <v>#REF!</v>
      </c>
      <c r="R126" s="107" t="e">
        <f t="shared" si="106"/>
        <v>#REF!</v>
      </c>
      <c r="S126" s="107" t="e">
        <f t="shared" si="106"/>
        <v>#REF!</v>
      </c>
      <c r="T126" s="107" t="e">
        <f t="shared" si="106"/>
        <v>#REF!</v>
      </c>
      <c r="U126" s="107" t="e">
        <f t="shared" si="106"/>
        <v>#REF!</v>
      </c>
      <c r="V126" s="107" t="e">
        <f t="shared" si="106"/>
        <v>#REF!</v>
      </c>
      <c r="W126" s="107" t="e">
        <f t="shared" si="106"/>
        <v>#REF!</v>
      </c>
      <c r="X126" s="107" t="e">
        <f t="shared" si="106"/>
        <v>#REF!</v>
      </c>
      <c r="Y126" s="107" t="e">
        <f t="shared" si="106"/>
        <v>#REF!</v>
      </c>
      <c r="Z126" s="107" t="e">
        <f t="shared" si="106"/>
        <v>#REF!</v>
      </c>
      <c r="AA126" s="107" t="e">
        <f t="shared" si="106"/>
        <v>#REF!</v>
      </c>
      <c r="AB126" s="107" t="e">
        <f t="shared" si="106"/>
        <v>#REF!</v>
      </c>
      <c r="AC126" s="107" t="e">
        <f t="shared" si="106"/>
        <v>#REF!</v>
      </c>
      <c r="AD126" s="107" t="e">
        <f t="shared" si="106"/>
        <v>#REF!</v>
      </c>
      <c r="AE126" s="107" t="e">
        <f t="shared" si="106"/>
        <v>#REF!</v>
      </c>
      <c r="AF126" s="107" t="e">
        <f t="shared" si="106"/>
        <v>#REF!</v>
      </c>
      <c r="AG126" s="107" t="e">
        <f t="shared" si="106"/>
        <v>#REF!</v>
      </c>
      <c r="AH126" s="107" t="e">
        <f t="shared" si="106"/>
        <v>#REF!</v>
      </c>
      <c r="AI126" s="107" t="e">
        <f t="shared" si="106"/>
        <v>#REF!</v>
      </c>
      <c r="AJ126" s="107" t="e">
        <f t="shared" si="106"/>
        <v>#REF!</v>
      </c>
      <c r="AK126" s="107" t="e">
        <f t="shared" si="106"/>
        <v>#REF!</v>
      </c>
      <c r="AL126" s="107" t="e">
        <f t="shared" si="106"/>
        <v>#REF!</v>
      </c>
      <c r="AM126" s="107" t="e">
        <f t="shared" si="106"/>
        <v>#REF!</v>
      </c>
      <c r="AN126" s="107" t="e">
        <f t="shared" si="106"/>
        <v>#REF!</v>
      </c>
      <c r="AO126" s="107" t="e">
        <f t="shared" si="106"/>
        <v>#REF!</v>
      </c>
      <c r="AP126" s="107" t="e">
        <f t="shared" si="106"/>
        <v>#REF!</v>
      </c>
      <c r="AQ126" s="107" t="e">
        <f t="shared" si="106"/>
        <v>#REF!</v>
      </c>
      <c r="AR126" s="107" t="e">
        <f t="shared" si="106"/>
        <v>#REF!</v>
      </c>
      <c r="AS126" s="107" t="e">
        <f t="shared" si="106"/>
        <v>#REF!</v>
      </c>
      <c r="AT126" s="107" t="e">
        <f t="shared" si="106"/>
        <v>#REF!</v>
      </c>
      <c r="AU126" s="107" t="e">
        <f t="shared" si="106"/>
        <v>#REF!</v>
      </c>
      <c r="AV126" s="107" t="e">
        <f t="shared" si="106"/>
        <v>#REF!</v>
      </c>
      <c r="AW126" s="107" t="e">
        <f t="shared" si="106"/>
        <v>#REF!</v>
      </c>
      <c r="AX126" s="107" t="e">
        <f t="shared" si="106"/>
        <v>#REF!</v>
      </c>
      <c r="AY126" s="107" t="e">
        <f t="shared" si="106"/>
        <v>#REF!</v>
      </c>
      <c r="AZ126" s="107" t="e">
        <f t="shared" si="106"/>
        <v>#REF!</v>
      </c>
      <c r="BA126" s="107" t="e">
        <f t="shared" si="106"/>
        <v>#REF!</v>
      </c>
      <c r="BB126" s="107" t="e">
        <f t="shared" si="106"/>
        <v>#REF!</v>
      </c>
      <c r="BC126" s="107" t="e">
        <f t="shared" si="106"/>
        <v>#REF!</v>
      </c>
      <c r="BD126" s="107" t="e">
        <f t="shared" si="106"/>
        <v>#REF!</v>
      </c>
      <c r="BE126" s="107" t="e">
        <f t="shared" si="106"/>
        <v>#REF!</v>
      </c>
      <c r="BF126" s="107" t="e">
        <f t="shared" si="106"/>
        <v>#REF!</v>
      </c>
      <c r="BG126" s="107" t="e">
        <f t="shared" si="106"/>
        <v>#REF!</v>
      </c>
      <c r="BH126" s="107" t="e">
        <f t="shared" si="106"/>
        <v>#REF!</v>
      </c>
      <c r="BI126" s="107" t="e">
        <f t="shared" si="106"/>
        <v>#REF!</v>
      </c>
      <c r="BJ126" s="107" t="e">
        <f t="shared" si="106"/>
        <v>#REF!</v>
      </c>
      <c r="BK126"/>
      <c r="BL126" s="5"/>
    </row>
    <row r="127" spans="1:64">
      <c r="A127"/>
      <c r="B127" s="75" t="s">
        <v>373</v>
      </c>
      <c r="C127" s="107" t="e">
        <f>+C125*$G$24</f>
        <v>#REF!</v>
      </c>
      <c r="D127" s="107" t="e">
        <f t="shared" ref="D127" si="107">+D125*$G$24</f>
        <v>#REF!</v>
      </c>
      <c r="E127" s="107" t="e">
        <f t="shared" ref="E127:BJ127" si="108">+E125*$G$24</f>
        <v>#REF!</v>
      </c>
      <c r="F127" s="107" t="e">
        <f t="shared" si="108"/>
        <v>#REF!</v>
      </c>
      <c r="G127" s="107" t="e">
        <f t="shared" si="108"/>
        <v>#REF!</v>
      </c>
      <c r="H127" s="107" t="e">
        <f t="shared" si="108"/>
        <v>#REF!</v>
      </c>
      <c r="I127" s="107" t="e">
        <f t="shared" si="108"/>
        <v>#REF!</v>
      </c>
      <c r="J127" s="107" t="e">
        <f t="shared" si="108"/>
        <v>#REF!</v>
      </c>
      <c r="K127" s="107" t="e">
        <f t="shared" si="108"/>
        <v>#REF!</v>
      </c>
      <c r="L127" s="107" t="e">
        <f t="shared" si="108"/>
        <v>#REF!</v>
      </c>
      <c r="M127" s="107" t="e">
        <f t="shared" si="108"/>
        <v>#REF!</v>
      </c>
      <c r="N127" s="107" t="e">
        <f t="shared" si="108"/>
        <v>#REF!</v>
      </c>
      <c r="O127" s="107" t="e">
        <f t="shared" si="108"/>
        <v>#REF!</v>
      </c>
      <c r="P127" s="107" t="e">
        <f t="shared" si="108"/>
        <v>#REF!</v>
      </c>
      <c r="Q127" s="107" t="e">
        <f t="shared" si="108"/>
        <v>#REF!</v>
      </c>
      <c r="R127" s="107" t="e">
        <f t="shared" si="108"/>
        <v>#REF!</v>
      </c>
      <c r="S127" s="107" t="e">
        <f t="shared" si="108"/>
        <v>#REF!</v>
      </c>
      <c r="T127" s="107" t="e">
        <f t="shared" si="108"/>
        <v>#REF!</v>
      </c>
      <c r="U127" s="107" t="e">
        <f t="shared" si="108"/>
        <v>#REF!</v>
      </c>
      <c r="V127" s="107" t="e">
        <f t="shared" si="108"/>
        <v>#REF!</v>
      </c>
      <c r="W127" s="107" t="e">
        <f t="shared" si="108"/>
        <v>#REF!</v>
      </c>
      <c r="X127" s="107" t="e">
        <f t="shared" si="108"/>
        <v>#REF!</v>
      </c>
      <c r="Y127" s="107" t="e">
        <f t="shared" si="108"/>
        <v>#REF!</v>
      </c>
      <c r="Z127" s="107" t="e">
        <f t="shared" si="108"/>
        <v>#REF!</v>
      </c>
      <c r="AA127" s="107" t="e">
        <f t="shared" si="108"/>
        <v>#REF!</v>
      </c>
      <c r="AB127" s="107" t="e">
        <f t="shared" si="108"/>
        <v>#REF!</v>
      </c>
      <c r="AC127" s="107" t="e">
        <f t="shared" si="108"/>
        <v>#REF!</v>
      </c>
      <c r="AD127" s="107" t="e">
        <f t="shared" si="108"/>
        <v>#REF!</v>
      </c>
      <c r="AE127" s="107" t="e">
        <f t="shared" si="108"/>
        <v>#REF!</v>
      </c>
      <c r="AF127" s="107" t="e">
        <f t="shared" si="108"/>
        <v>#REF!</v>
      </c>
      <c r="AG127" s="107" t="e">
        <f t="shared" si="108"/>
        <v>#REF!</v>
      </c>
      <c r="AH127" s="107" t="e">
        <f t="shared" si="108"/>
        <v>#REF!</v>
      </c>
      <c r="AI127" s="107" t="e">
        <f t="shared" si="108"/>
        <v>#REF!</v>
      </c>
      <c r="AJ127" s="107" t="e">
        <f t="shared" si="108"/>
        <v>#REF!</v>
      </c>
      <c r="AK127" s="107" t="e">
        <f t="shared" si="108"/>
        <v>#REF!</v>
      </c>
      <c r="AL127" s="107" t="e">
        <f t="shared" si="108"/>
        <v>#REF!</v>
      </c>
      <c r="AM127" s="107" t="e">
        <f t="shared" si="108"/>
        <v>#REF!</v>
      </c>
      <c r="AN127" s="107" t="e">
        <f t="shared" si="108"/>
        <v>#REF!</v>
      </c>
      <c r="AO127" s="107" t="e">
        <f t="shared" si="108"/>
        <v>#REF!</v>
      </c>
      <c r="AP127" s="107" t="e">
        <f t="shared" si="108"/>
        <v>#REF!</v>
      </c>
      <c r="AQ127" s="107" t="e">
        <f t="shared" si="108"/>
        <v>#REF!</v>
      </c>
      <c r="AR127" s="107" t="e">
        <f t="shared" si="108"/>
        <v>#REF!</v>
      </c>
      <c r="AS127" s="107" t="e">
        <f t="shared" si="108"/>
        <v>#REF!</v>
      </c>
      <c r="AT127" s="107" t="e">
        <f t="shared" si="108"/>
        <v>#REF!</v>
      </c>
      <c r="AU127" s="107" t="e">
        <f t="shared" si="108"/>
        <v>#REF!</v>
      </c>
      <c r="AV127" s="107" t="e">
        <f t="shared" si="108"/>
        <v>#REF!</v>
      </c>
      <c r="AW127" s="107" t="e">
        <f t="shared" si="108"/>
        <v>#REF!</v>
      </c>
      <c r="AX127" s="107" t="e">
        <f t="shared" si="108"/>
        <v>#REF!</v>
      </c>
      <c r="AY127" s="107" t="e">
        <f t="shared" si="108"/>
        <v>#REF!</v>
      </c>
      <c r="AZ127" s="107" t="e">
        <f t="shared" si="108"/>
        <v>#REF!</v>
      </c>
      <c r="BA127" s="107" t="e">
        <f t="shared" si="108"/>
        <v>#REF!</v>
      </c>
      <c r="BB127" s="107" t="e">
        <f t="shared" si="108"/>
        <v>#REF!</v>
      </c>
      <c r="BC127" s="107" t="e">
        <f t="shared" si="108"/>
        <v>#REF!</v>
      </c>
      <c r="BD127" s="107" t="e">
        <f t="shared" si="108"/>
        <v>#REF!</v>
      </c>
      <c r="BE127" s="107" t="e">
        <f t="shared" si="108"/>
        <v>#REF!</v>
      </c>
      <c r="BF127" s="107" t="e">
        <f t="shared" si="108"/>
        <v>#REF!</v>
      </c>
      <c r="BG127" s="107" t="e">
        <f t="shared" si="108"/>
        <v>#REF!</v>
      </c>
      <c r="BH127" s="107" t="e">
        <f t="shared" si="108"/>
        <v>#REF!</v>
      </c>
      <c r="BI127" s="107" t="e">
        <f t="shared" si="108"/>
        <v>#REF!</v>
      </c>
      <c r="BJ127" s="107" t="e">
        <f t="shared" si="108"/>
        <v>#REF!</v>
      </c>
      <c r="BK127"/>
      <c r="BL127" s="5"/>
    </row>
    <row r="128" spans="1:64">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s="5"/>
    </row>
    <row r="129" spans="1:64">
      <c r="A129"/>
      <c r="B129" t="s">
        <v>374</v>
      </c>
      <c r="C129" s="14">
        <v>0</v>
      </c>
      <c r="D129" s="30" t="e">
        <f>+C132</f>
        <v>#REF!</v>
      </c>
      <c r="E129" s="30" t="e">
        <f t="shared" ref="E129:BJ129" si="109">+D132</f>
        <v>#REF!</v>
      </c>
      <c r="F129" s="30" t="e">
        <f t="shared" si="109"/>
        <v>#REF!</v>
      </c>
      <c r="G129" s="30" t="e">
        <f t="shared" si="109"/>
        <v>#REF!</v>
      </c>
      <c r="H129" s="30" t="e">
        <f t="shared" si="109"/>
        <v>#REF!</v>
      </c>
      <c r="I129" s="30" t="e">
        <f t="shared" si="109"/>
        <v>#REF!</v>
      </c>
      <c r="J129" s="30" t="e">
        <f t="shared" si="109"/>
        <v>#REF!</v>
      </c>
      <c r="K129" s="30" t="e">
        <f t="shared" si="109"/>
        <v>#REF!</v>
      </c>
      <c r="L129" s="30" t="e">
        <f t="shared" si="109"/>
        <v>#REF!</v>
      </c>
      <c r="M129" s="30" t="e">
        <f t="shared" si="109"/>
        <v>#REF!</v>
      </c>
      <c r="N129" s="30" t="e">
        <f t="shared" si="109"/>
        <v>#REF!</v>
      </c>
      <c r="O129" s="30" t="e">
        <f t="shared" si="109"/>
        <v>#REF!</v>
      </c>
      <c r="P129" s="30" t="e">
        <f t="shared" si="109"/>
        <v>#REF!</v>
      </c>
      <c r="Q129" s="30" t="e">
        <f t="shared" si="109"/>
        <v>#REF!</v>
      </c>
      <c r="R129" s="30" t="e">
        <f t="shared" si="109"/>
        <v>#REF!</v>
      </c>
      <c r="S129" s="30" t="e">
        <f t="shared" si="109"/>
        <v>#REF!</v>
      </c>
      <c r="T129" s="30" t="e">
        <f t="shared" si="109"/>
        <v>#REF!</v>
      </c>
      <c r="U129" s="30" t="e">
        <f t="shared" si="109"/>
        <v>#REF!</v>
      </c>
      <c r="V129" s="30" t="e">
        <f t="shared" si="109"/>
        <v>#REF!</v>
      </c>
      <c r="W129" s="30" t="e">
        <f t="shared" si="109"/>
        <v>#REF!</v>
      </c>
      <c r="X129" s="30" t="e">
        <f t="shared" si="109"/>
        <v>#REF!</v>
      </c>
      <c r="Y129" s="30" t="e">
        <f t="shared" si="109"/>
        <v>#REF!</v>
      </c>
      <c r="Z129" s="30" t="e">
        <f t="shared" si="109"/>
        <v>#REF!</v>
      </c>
      <c r="AA129" s="30" t="e">
        <f t="shared" si="109"/>
        <v>#REF!</v>
      </c>
      <c r="AB129" s="30" t="e">
        <f t="shared" si="109"/>
        <v>#REF!</v>
      </c>
      <c r="AC129" s="30" t="e">
        <f t="shared" si="109"/>
        <v>#REF!</v>
      </c>
      <c r="AD129" s="30" t="e">
        <f t="shared" si="109"/>
        <v>#REF!</v>
      </c>
      <c r="AE129" s="30" t="e">
        <f t="shared" si="109"/>
        <v>#REF!</v>
      </c>
      <c r="AF129" s="30" t="e">
        <f t="shared" si="109"/>
        <v>#REF!</v>
      </c>
      <c r="AG129" s="30" t="e">
        <f t="shared" si="109"/>
        <v>#REF!</v>
      </c>
      <c r="AH129" s="30" t="e">
        <f t="shared" si="109"/>
        <v>#REF!</v>
      </c>
      <c r="AI129" s="30" t="e">
        <f t="shared" si="109"/>
        <v>#REF!</v>
      </c>
      <c r="AJ129" s="30" t="e">
        <f t="shared" si="109"/>
        <v>#REF!</v>
      </c>
      <c r="AK129" s="30" t="e">
        <f t="shared" si="109"/>
        <v>#REF!</v>
      </c>
      <c r="AL129" s="30" t="e">
        <f t="shared" si="109"/>
        <v>#REF!</v>
      </c>
      <c r="AM129" s="30" t="e">
        <f t="shared" si="109"/>
        <v>#REF!</v>
      </c>
      <c r="AN129" s="30" t="e">
        <f t="shared" si="109"/>
        <v>#REF!</v>
      </c>
      <c r="AO129" s="30" t="e">
        <f t="shared" si="109"/>
        <v>#REF!</v>
      </c>
      <c r="AP129" s="30" t="e">
        <f t="shared" si="109"/>
        <v>#REF!</v>
      </c>
      <c r="AQ129" s="30" t="e">
        <f t="shared" si="109"/>
        <v>#REF!</v>
      </c>
      <c r="AR129" s="30" t="e">
        <f t="shared" si="109"/>
        <v>#REF!</v>
      </c>
      <c r="AS129" s="30" t="e">
        <f t="shared" si="109"/>
        <v>#REF!</v>
      </c>
      <c r="AT129" s="30" t="e">
        <f t="shared" si="109"/>
        <v>#REF!</v>
      </c>
      <c r="AU129" s="30" t="e">
        <f t="shared" si="109"/>
        <v>#REF!</v>
      </c>
      <c r="AV129" s="30" t="e">
        <f t="shared" si="109"/>
        <v>#REF!</v>
      </c>
      <c r="AW129" s="30" t="e">
        <f t="shared" si="109"/>
        <v>#REF!</v>
      </c>
      <c r="AX129" s="30" t="e">
        <f t="shared" si="109"/>
        <v>#REF!</v>
      </c>
      <c r="AY129" s="30" t="e">
        <f t="shared" si="109"/>
        <v>#REF!</v>
      </c>
      <c r="AZ129" s="30" t="e">
        <f t="shared" si="109"/>
        <v>#REF!</v>
      </c>
      <c r="BA129" s="30" t="e">
        <f t="shared" si="109"/>
        <v>#REF!</v>
      </c>
      <c r="BB129" s="30" t="e">
        <f t="shared" si="109"/>
        <v>#REF!</v>
      </c>
      <c r="BC129" s="30" t="e">
        <f t="shared" si="109"/>
        <v>#REF!</v>
      </c>
      <c r="BD129" s="30" t="e">
        <f t="shared" si="109"/>
        <v>#REF!</v>
      </c>
      <c r="BE129" s="30" t="e">
        <f t="shared" si="109"/>
        <v>#REF!</v>
      </c>
      <c r="BF129" s="30" t="e">
        <f t="shared" si="109"/>
        <v>#REF!</v>
      </c>
      <c r="BG129" s="30" t="e">
        <f t="shared" si="109"/>
        <v>#REF!</v>
      </c>
      <c r="BH129" s="30" t="e">
        <f t="shared" si="109"/>
        <v>#REF!</v>
      </c>
      <c r="BI129" s="30" t="e">
        <f t="shared" si="109"/>
        <v>#REF!</v>
      </c>
      <c r="BJ129" s="30" t="e">
        <f t="shared" si="109"/>
        <v>#REF!</v>
      </c>
      <c r="BK129"/>
      <c r="BL129" s="5"/>
    </row>
    <row r="130" spans="1:64">
      <c r="A130"/>
      <c r="B130" t="s">
        <v>351</v>
      </c>
      <c r="C130" s="14">
        <f>IFERROR(((1+$D$24)^(C$8)-1)*C134,0)</f>
        <v>0</v>
      </c>
      <c r="D130" s="14">
        <f t="shared" ref="D130:BJ130" si="110">IFERROR(((1+$D$24)^(D$8)-1)*D134,0)</f>
        <v>0</v>
      </c>
      <c r="E130" s="14">
        <f t="shared" si="110"/>
        <v>0</v>
      </c>
      <c r="F130" s="14">
        <f t="shared" si="110"/>
        <v>0</v>
      </c>
      <c r="G130" s="14">
        <f t="shared" si="110"/>
        <v>0</v>
      </c>
      <c r="H130" s="14">
        <f t="shared" si="110"/>
        <v>0</v>
      </c>
      <c r="I130" s="14">
        <f t="shared" si="110"/>
        <v>0</v>
      </c>
      <c r="J130" s="14">
        <f t="shared" si="110"/>
        <v>0</v>
      </c>
      <c r="K130" s="14">
        <f t="shared" si="110"/>
        <v>0</v>
      </c>
      <c r="L130" s="14">
        <f t="shared" si="110"/>
        <v>0</v>
      </c>
      <c r="M130" s="14">
        <f t="shared" si="110"/>
        <v>0</v>
      </c>
      <c r="N130" s="14">
        <f t="shared" si="110"/>
        <v>0</v>
      </c>
      <c r="O130" s="14">
        <f t="shared" si="110"/>
        <v>0</v>
      </c>
      <c r="P130" s="14">
        <f t="shared" si="110"/>
        <v>0</v>
      </c>
      <c r="Q130" s="14">
        <f t="shared" si="110"/>
        <v>0</v>
      </c>
      <c r="R130" s="14">
        <f t="shared" si="110"/>
        <v>0</v>
      </c>
      <c r="S130" s="14">
        <f t="shared" si="110"/>
        <v>0</v>
      </c>
      <c r="T130" s="14">
        <f t="shared" si="110"/>
        <v>0</v>
      </c>
      <c r="U130" s="14">
        <f t="shared" si="110"/>
        <v>0</v>
      </c>
      <c r="V130" s="14">
        <f t="shared" si="110"/>
        <v>0</v>
      </c>
      <c r="W130" s="14">
        <f t="shared" si="110"/>
        <v>0</v>
      </c>
      <c r="X130" s="14">
        <f t="shared" si="110"/>
        <v>0</v>
      </c>
      <c r="Y130" s="14">
        <f t="shared" si="110"/>
        <v>0</v>
      </c>
      <c r="Z130" s="14">
        <f t="shared" si="110"/>
        <v>0</v>
      </c>
      <c r="AA130" s="14">
        <f t="shared" si="110"/>
        <v>0</v>
      </c>
      <c r="AB130" s="14">
        <f t="shared" si="110"/>
        <v>0</v>
      </c>
      <c r="AC130" s="14">
        <f t="shared" si="110"/>
        <v>0</v>
      </c>
      <c r="AD130" s="14">
        <f t="shared" si="110"/>
        <v>0</v>
      </c>
      <c r="AE130" s="14">
        <f t="shared" si="110"/>
        <v>0</v>
      </c>
      <c r="AF130" s="14">
        <f t="shared" si="110"/>
        <v>0</v>
      </c>
      <c r="AG130" s="14">
        <f t="shared" si="110"/>
        <v>0</v>
      </c>
      <c r="AH130" s="14">
        <f t="shared" si="110"/>
        <v>0</v>
      </c>
      <c r="AI130" s="14">
        <f t="shared" si="110"/>
        <v>0</v>
      </c>
      <c r="AJ130" s="14">
        <f t="shared" si="110"/>
        <v>0</v>
      </c>
      <c r="AK130" s="14">
        <f t="shared" si="110"/>
        <v>0</v>
      </c>
      <c r="AL130" s="14">
        <f t="shared" si="110"/>
        <v>0</v>
      </c>
      <c r="AM130" s="14">
        <f t="shared" si="110"/>
        <v>0</v>
      </c>
      <c r="AN130" s="14">
        <f t="shared" si="110"/>
        <v>0</v>
      </c>
      <c r="AO130" s="14">
        <f t="shared" si="110"/>
        <v>0</v>
      </c>
      <c r="AP130" s="14">
        <f t="shared" si="110"/>
        <v>0</v>
      </c>
      <c r="AQ130" s="14">
        <f t="shared" si="110"/>
        <v>0</v>
      </c>
      <c r="AR130" s="14">
        <f t="shared" si="110"/>
        <v>0</v>
      </c>
      <c r="AS130" s="14">
        <f t="shared" si="110"/>
        <v>0</v>
      </c>
      <c r="AT130" s="14">
        <f t="shared" si="110"/>
        <v>0</v>
      </c>
      <c r="AU130" s="14">
        <f t="shared" si="110"/>
        <v>0</v>
      </c>
      <c r="AV130" s="14">
        <f t="shared" si="110"/>
        <v>0</v>
      </c>
      <c r="AW130" s="14">
        <f t="shared" si="110"/>
        <v>0</v>
      </c>
      <c r="AX130" s="14">
        <f t="shared" si="110"/>
        <v>0</v>
      </c>
      <c r="AY130" s="14">
        <f t="shared" si="110"/>
        <v>0</v>
      </c>
      <c r="AZ130" s="14">
        <f t="shared" si="110"/>
        <v>0</v>
      </c>
      <c r="BA130" s="14">
        <f t="shared" si="110"/>
        <v>0</v>
      </c>
      <c r="BB130" s="14">
        <f t="shared" si="110"/>
        <v>0</v>
      </c>
      <c r="BC130" s="14">
        <f t="shared" si="110"/>
        <v>0</v>
      </c>
      <c r="BD130" s="14">
        <f t="shared" si="110"/>
        <v>0</v>
      </c>
      <c r="BE130" s="14">
        <f t="shared" si="110"/>
        <v>0</v>
      </c>
      <c r="BF130" s="14">
        <f t="shared" si="110"/>
        <v>0</v>
      </c>
      <c r="BG130" s="14">
        <f t="shared" si="110"/>
        <v>0</v>
      </c>
      <c r="BH130" s="14">
        <f t="shared" si="110"/>
        <v>0</v>
      </c>
      <c r="BI130" s="14">
        <f t="shared" si="110"/>
        <v>0</v>
      </c>
      <c r="BJ130" s="14">
        <f t="shared" si="110"/>
        <v>0</v>
      </c>
      <c r="BK130"/>
      <c r="BL130" s="5"/>
    </row>
    <row r="131" spans="1:64">
      <c r="A131"/>
      <c r="B131" t="s">
        <v>352</v>
      </c>
      <c r="C131" s="14" t="e">
        <f>-MAX(MIN(SUM(C129:C130),C126),0)</f>
        <v>#REF!</v>
      </c>
      <c r="D131" s="14" t="e">
        <f t="shared" ref="D131:BJ131" si="111">-MAX(MIN(SUM(D129:D130),D126),0)</f>
        <v>#REF!</v>
      </c>
      <c r="E131" s="14" t="e">
        <f t="shared" si="111"/>
        <v>#REF!</v>
      </c>
      <c r="F131" s="14" t="e">
        <f t="shared" si="111"/>
        <v>#REF!</v>
      </c>
      <c r="G131" s="14" t="e">
        <f t="shared" si="111"/>
        <v>#REF!</v>
      </c>
      <c r="H131" s="14" t="e">
        <f t="shared" si="111"/>
        <v>#REF!</v>
      </c>
      <c r="I131" s="14" t="e">
        <f t="shared" si="111"/>
        <v>#REF!</v>
      </c>
      <c r="J131" s="14" t="e">
        <f t="shared" si="111"/>
        <v>#REF!</v>
      </c>
      <c r="K131" s="14" t="e">
        <f t="shared" si="111"/>
        <v>#REF!</v>
      </c>
      <c r="L131" s="14" t="e">
        <f t="shared" si="111"/>
        <v>#REF!</v>
      </c>
      <c r="M131" s="14" t="e">
        <f t="shared" si="111"/>
        <v>#REF!</v>
      </c>
      <c r="N131" s="14" t="e">
        <f t="shared" si="111"/>
        <v>#REF!</v>
      </c>
      <c r="O131" s="14" t="e">
        <f t="shared" si="111"/>
        <v>#REF!</v>
      </c>
      <c r="P131" s="14" t="e">
        <f t="shared" si="111"/>
        <v>#REF!</v>
      </c>
      <c r="Q131" s="14" t="e">
        <f t="shared" si="111"/>
        <v>#REF!</v>
      </c>
      <c r="R131" s="14" t="e">
        <f t="shared" si="111"/>
        <v>#REF!</v>
      </c>
      <c r="S131" s="14" t="e">
        <f t="shared" si="111"/>
        <v>#REF!</v>
      </c>
      <c r="T131" s="14" t="e">
        <f t="shared" si="111"/>
        <v>#REF!</v>
      </c>
      <c r="U131" s="14" t="e">
        <f t="shared" si="111"/>
        <v>#REF!</v>
      </c>
      <c r="V131" s="14" t="e">
        <f t="shared" si="111"/>
        <v>#REF!</v>
      </c>
      <c r="W131" s="14" t="e">
        <f t="shared" si="111"/>
        <v>#REF!</v>
      </c>
      <c r="X131" s="14" t="e">
        <f t="shared" si="111"/>
        <v>#REF!</v>
      </c>
      <c r="Y131" s="14" t="e">
        <f t="shared" si="111"/>
        <v>#REF!</v>
      </c>
      <c r="Z131" s="14" t="e">
        <f t="shared" si="111"/>
        <v>#REF!</v>
      </c>
      <c r="AA131" s="14" t="e">
        <f t="shared" si="111"/>
        <v>#REF!</v>
      </c>
      <c r="AB131" s="14" t="e">
        <f t="shared" si="111"/>
        <v>#REF!</v>
      </c>
      <c r="AC131" s="14" t="e">
        <f t="shared" si="111"/>
        <v>#REF!</v>
      </c>
      <c r="AD131" s="14" t="e">
        <f t="shared" si="111"/>
        <v>#REF!</v>
      </c>
      <c r="AE131" s="14" t="e">
        <f t="shared" si="111"/>
        <v>#REF!</v>
      </c>
      <c r="AF131" s="14" t="e">
        <f t="shared" si="111"/>
        <v>#REF!</v>
      </c>
      <c r="AG131" s="14" t="e">
        <f t="shared" si="111"/>
        <v>#REF!</v>
      </c>
      <c r="AH131" s="14" t="e">
        <f t="shared" si="111"/>
        <v>#REF!</v>
      </c>
      <c r="AI131" s="14" t="e">
        <f t="shared" si="111"/>
        <v>#REF!</v>
      </c>
      <c r="AJ131" s="14" t="e">
        <f t="shared" si="111"/>
        <v>#REF!</v>
      </c>
      <c r="AK131" s="14" t="e">
        <f t="shared" si="111"/>
        <v>#REF!</v>
      </c>
      <c r="AL131" s="14" t="e">
        <f t="shared" si="111"/>
        <v>#REF!</v>
      </c>
      <c r="AM131" s="14" t="e">
        <f t="shared" si="111"/>
        <v>#REF!</v>
      </c>
      <c r="AN131" s="14" t="e">
        <f t="shared" si="111"/>
        <v>#REF!</v>
      </c>
      <c r="AO131" s="14" t="e">
        <f t="shared" si="111"/>
        <v>#REF!</v>
      </c>
      <c r="AP131" s="14" t="e">
        <f t="shared" si="111"/>
        <v>#REF!</v>
      </c>
      <c r="AQ131" s="14" t="e">
        <f t="shared" si="111"/>
        <v>#REF!</v>
      </c>
      <c r="AR131" s="14" t="e">
        <f t="shared" si="111"/>
        <v>#REF!</v>
      </c>
      <c r="AS131" s="14" t="e">
        <f t="shared" si="111"/>
        <v>#REF!</v>
      </c>
      <c r="AT131" s="14" t="e">
        <f t="shared" si="111"/>
        <v>#REF!</v>
      </c>
      <c r="AU131" s="14" t="e">
        <f t="shared" si="111"/>
        <v>#REF!</v>
      </c>
      <c r="AV131" s="14" t="e">
        <f t="shared" si="111"/>
        <v>#REF!</v>
      </c>
      <c r="AW131" s="14" t="e">
        <f t="shared" si="111"/>
        <v>#REF!</v>
      </c>
      <c r="AX131" s="14" t="e">
        <f t="shared" si="111"/>
        <v>#REF!</v>
      </c>
      <c r="AY131" s="14" t="e">
        <f t="shared" si="111"/>
        <v>#REF!</v>
      </c>
      <c r="AZ131" s="14" t="e">
        <f t="shared" si="111"/>
        <v>#REF!</v>
      </c>
      <c r="BA131" s="14" t="e">
        <f t="shared" si="111"/>
        <v>#REF!</v>
      </c>
      <c r="BB131" s="14" t="e">
        <f t="shared" si="111"/>
        <v>#REF!</v>
      </c>
      <c r="BC131" s="14" t="e">
        <f t="shared" si="111"/>
        <v>#REF!</v>
      </c>
      <c r="BD131" s="14" t="e">
        <f t="shared" si="111"/>
        <v>#REF!</v>
      </c>
      <c r="BE131" s="14" t="e">
        <f t="shared" si="111"/>
        <v>#REF!</v>
      </c>
      <c r="BF131" s="14" t="e">
        <f t="shared" si="111"/>
        <v>#REF!</v>
      </c>
      <c r="BG131" s="14" t="e">
        <f t="shared" si="111"/>
        <v>#REF!</v>
      </c>
      <c r="BH131" s="14" t="e">
        <f t="shared" si="111"/>
        <v>#REF!</v>
      </c>
      <c r="BI131" s="14" t="e">
        <f t="shared" si="111"/>
        <v>#REF!</v>
      </c>
      <c r="BJ131" s="14" t="e">
        <f t="shared" si="111"/>
        <v>#REF!</v>
      </c>
      <c r="BK131"/>
      <c r="BL131" s="5"/>
    </row>
    <row r="132" spans="1:64">
      <c r="A132"/>
      <c r="B132" s="3" t="s">
        <v>375</v>
      </c>
      <c r="C132" s="13" t="e">
        <f>SUM(C129:C131)</f>
        <v>#REF!</v>
      </c>
      <c r="D132" s="13" t="e">
        <f>SUM(D129:D131)</f>
        <v>#REF!</v>
      </c>
      <c r="E132" s="13" t="e">
        <f t="shared" ref="E132:BJ132" si="112">SUM(E129:E131)</f>
        <v>#REF!</v>
      </c>
      <c r="F132" s="13" t="e">
        <f t="shared" si="112"/>
        <v>#REF!</v>
      </c>
      <c r="G132" s="13" t="e">
        <f t="shared" si="112"/>
        <v>#REF!</v>
      </c>
      <c r="H132" s="13" t="e">
        <f t="shared" si="112"/>
        <v>#REF!</v>
      </c>
      <c r="I132" s="13" t="e">
        <f t="shared" si="112"/>
        <v>#REF!</v>
      </c>
      <c r="J132" s="13" t="e">
        <f t="shared" si="112"/>
        <v>#REF!</v>
      </c>
      <c r="K132" s="13" t="e">
        <f t="shared" si="112"/>
        <v>#REF!</v>
      </c>
      <c r="L132" s="13" t="e">
        <f t="shared" si="112"/>
        <v>#REF!</v>
      </c>
      <c r="M132" s="13" t="e">
        <f t="shared" si="112"/>
        <v>#REF!</v>
      </c>
      <c r="N132" s="13" t="e">
        <f t="shared" si="112"/>
        <v>#REF!</v>
      </c>
      <c r="O132" s="13" t="e">
        <f t="shared" si="112"/>
        <v>#REF!</v>
      </c>
      <c r="P132" s="13" t="e">
        <f t="shared" si="112"/>
        <v>#REF!</v>
      </c>
      <c r="Q132" s="13" t="e">
        <f t="shared" si="112"/>
        <v>#REF!</v>
      </c>
      <c r="R132" s="13" t="e">
        <f t="shared" si="112"/>
        <v>#REF!</v>
      </c>
      <c r="S132" s="13" t="e">
        <f t="shared" si="112"/>
        <v>#REF!</v>
      </c>
      <c r="T132" s="13" t="e">
        <f t="shared" si="112"/>
        <v>#REF!</v>
      </c>
      <c r="U132" s="13" t="e">
        <f t="shared" si="112"/>
        <v>#REF!</v>
      </c>
      <c r="V132" s="13" t="e">
        <f t="shared" si="112"/>
        <v>#REF!</v>
      </c>
      <c r="W132" s="13" t="e">
        <f t="shared" si="112"/>
        <v>#REF!</v>
      </c>
      <c r="X132" s="13" t="e">
        <f t="shared" si="112"/>
        <v>#REF!</v>
      </c>
      <c r="Y132" s="13" t="e">
        <f t="shared" si="112"/>
        <v>#REF!</v>
      </c>
      <c r="Z132" s="13" t="e">
        <f t="shared" si="112"/>
        <v>#REF!</v>
      </c>
      <c r="AA132" s="13" t="e">
        <f t="shared" si="112"/>
        <v>#REF!</v>
      </c>
      <c r="AB132" s="13" t="e">
        <f t="shared" si="112"/>
        <v>#REF!</v>
      </c>
      <c r="AC132" s="13" t="e">
        <f t="shared" si="112"/>
        <v>#REF!</v>
      </c>
      <c r="AD132" s="13" t="e">
        <f t="shared" si="112"/>
        <v>#REF!</v>
      </c>
      <c r="AE132" s="13" t="e">
        <f t="shared" si="112"/>
        <v>#REF!</v>
      </c>
      <c r="AF132" s="13" t="e">
        <f t="shared" si="112"/>
        <v>#REF!</v>
      </c>
      <c r="AG132" s="13" t="e">
        <f t="shared" si="112"/>
        <v>#REF!</v>
      </c>
      <c r="AH132" s="13" t="e">
        <f t="shared" si="112"/>
        <v>#REF!</v>
      </c>
      <c r="AI132" s="13" t="e">
        <f t="shared" si="112"/>
        <v>#REF!</v>
      </c>
      <c r="AJ132" s="13" t="e">
        <f t="shared" si="112"/>
        <v>#REF!</v>
      </c>
      <c r="AK132" s="13" t="e">
        <f t="shared" si="112"/>
        <v>#REF!</v>
      </c>
      <c r="AL132" s="13" t="e">
        <f t="shared" si="112"/>
        <v>#REF!</v>
      </c>
      <c r="AM132" s="13" t="e">
        <f t="shared" si="112"/>
        <v>#REF!</v>
      </c>
      <c r="AN132" s="13" t="e">
        <f t="shared" si="112"/>
        <v>#REF!</v>
      </c>
      <c r="AO132" s="13" t="e">
        <f t="shared" si="112"/>
        <v>#REF!</v>
      </c>
      <c r="AP132" s="13" t="e">
        <f t="shared" si="112"/>
        <v>#REF!</v>
      </c>
      <c r="AQ132" s="13" t="e">
        <f t="shared" si="112"/>
        <v>#REF!</v>
      </c>
      <c r="AR132" s="13" t="e">
        <f t="shared" si="112"/>
        <v>#REF!</v>
      </c>
      <c r="AS132" s="13" t="e">
        <f t="shared" si="112"/>
        <v>#REF!</v>
      </c>
      <c r="AT132" s="13" t="e">
        <f t="shared" si="112"/>
        <v>#REF!</v>
      </c>
      <c r="AU132" s="13" t="e">
        <f t="shared" si="112"/>
        <v>#REF!</v>
      </c>
      <c r="AV132" s="13" t="e">
        <f t="shared" si="112"/>
        <v>#REF!</v>
      </c>
      <c r="AW132" s="13" t="e">
        <f t="shared" si="112"/>
        <v>#REF!</v>
      </c>
      <c r="AX132" s="13" t="e">
        <f t="shared" si="112"/>
        <v>#REF!</v>
      </c>
      <c r="AY132" s="13" t="e">
        <f t="shared" si="112"/>
        <v>#REF!</v>
      </c>
      <c r="AZ132" s="13" t="e">
        <f t="shared" si="112"/>
        <v>#REF!</v>
      </c>
      <c r="BA132" s="13" t="e">
        <f t="shared" si="112"/>
        <v>#REF!</v>
      </c>
      <c r="BB132" s="13" t="e">
        <f t="shared" si="112"/>
        <v>#REF!</v>
      </c>
      <c r="BC132" s="13" t="e">
        <f t="shared" si="112"/>
        <v>#REF!</v>
      </c>
      <c r="BD132" s="13" t="e">
        <f t="shared" si="112"/>
        <v>#REF!</v>
      </c>
      <c r="BE132" s="13" t="e">
        <f t="shared" si="112"/>
        <v>#REF!</v>
      </c>
      <c r="BF132" s="13" t="e">
        <f t="shared" si="112"/>
        <v>#REF!</v>
      </c>
      <c r="BG132" s="13" t="e">
        <f t="shared" si="112"/>
        <v>#REF!</v>
      </c>
      <c r="BH132" s="13" t="e">
        <f t="shared" si="112"/>
        <v>#REF!</v>
      </c>
      <c r="BI132" s="13" t="e">
        <f t="shared" si="112"/>
        <v>#REF!</v>
      </c>
      <c r="BJ132" s="13" t="e">
        <f t="shared" si="112"/>
        <v>#REF!</v>
      </c>
      <c r="BK132"/>
      <c r="BL132" s="5"/>
    </row>
    <row r="133" spans="1:64">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s="5"/>
    </row>
    <row r="134" spans="1:64">
      <c r="A134"/>
      <c r="B134" t="s">
        <v>376</v>
      </c>
      <c r="C134" s="14">
        <v>0</v>
      </c>
      <c r="D134" s="14" t="e">
        <f>+C139</f>
        <v>#REF!</v>
      </c>
      <c r="E134" s="14" t="e">
        <f t="shared" ref="E134:BJ134" si="113">+D139</f>
        <v>#REF!</v>
      </c>
      <c r="F134" s="14" t="e">
        <f t="shared" si="113"/>
        <v>#REF!</v>
      </c>
      <c r="G134" s="14" t="e">
        <f t="shared" si="113"/>
        <v>#REF!</v>
      </c>
      <c r="H134" s="14" t="e">
        <f t="shared" si="113"/>
        <v>#REF!</v>
      </c>
      <c r="I134" s="14" t="e">
        <f t="shared" si="113"/>
        <v>#REF!</v>
      </c>
      <c r="J134" s="14" t="e">
        <f t="shared" si="113"/>
        <v>#REF!</v>
      </c>
      <c r="K134" s="14" t="e">
        <f t="shared" si="113"/>
        <v>#REF!</v>
      </c>
      <c r="L134" s="14" t="e">
        <f t="shared" si="113"/>
        <v>#REF!</v>
      </c>
      <c r="M134" s="14" t="e">
        <f t="shared" si="113"/>
        <v>#REF!</v>
      </c>
      <c r="N134" s="14" t="e">
        <f t="shared" si="113"/>
        <v>#REF!</v>
      </c>
      <c r="O134" s="14" t="e">
        <f t="shared" si="113"/>
        <v>#REF!</v>
      </c>
      <c r="P134" s="14" t="e">
        <f t="shared" si="113"/>
        <v>#REF!</v>
      </c>
      <c r="Q134" s="14" t="e">
        <f t="shared" si="113"/>
        <v>#REF!</v>
      </c>
      <c r="R134" s="14" t="e">
        <f t="shared" si="113"/>
        <v>#REF!</v>
      </c>
      <c r="S134" s="14" t="e">
        <f t="shared" si="113"/>
        <v>#REF!</v>
      </c>
      <c r="T134" s="14" t="e">
        <f t="shared" si="113"/>
        <v>#REF!</v>
      </c>
      <c r="U134" s="14" t="e">
        <f t="shared" si="113"/>
        <v>#REF!</v>
      </c>
      <c r="V134" s="14" t="e">
        <f t="shared" si="113"/>
        <v>#REF!</v>
      </c>
      <c r="W134" s="14" t="e">
        <f t="shared" si="113"/>
        <v>#REF!</v>
      </c>
      <c r="X134" s="14" t="e">
        <f t="shared" si="113"/>
        <v>#REF!</v>
      </c>
      <c r="Y134" s="14" t="e">
        <f t="shared" si="113"/>
        <v>#REF!</v>
      </c>
      <c r="Z134" s="14" t="e">
        <f t="shared" si="113"/>
        <v>#REF!</v>
      </c>
      <c r="AA134" s="14" t="e">
        <f t="shared" si="113"/>
        <v>#REF!</v>
      </c>
      <c r="AB134" s="14" t="e">
        <f t="shared" si="113"/>
        <v>#REF!</v>
      </c>
      <c r="AC134" s="14" t="e">
        <f t="shared" si="113"/>
        <v>#REF!</v>
      </c>
      <c r="AD134" s="14" t="e">
        <f t="shared" si="113"/>
        <v>#REF!</v>
      </c>
      <c r="AE134" s="14" t="e">
        <f t="shared" si="113"/>
        <v>#REF!</v>
      </c>
      <c r="AF134" s="14" t="e">
        <f t="shared" si="113"/>
        <v>#REF!</v>
      </c>
      <c r="AG134" s="14" t="e">
        <f t="shared" si="113"/>
        <v>#REF!</v>
      </c>
      <c r="AH134" s="14" t="e">
        <f t="shared" si="113"/>
        <v>#REF!</v>
      </c>
      <c r="AI134" s="14" t="e">
        <f t="shared" si="113"/>
        <v>#REF!</v>
      </c>
      <c r="AJ134" s="14" t="e">
        <f t="shared" si="113"/>
        <v>#REF!</v>
      </c>
      <c r="AK134" s="14" t="e">
        <f t="shared" si="113"/>
        <v>#REF!</v>
      </c>
      <c r="AL134" s="14" t="e">
        <f t="shared" si="113"/>
        <v>#REF!</v>
      </c>
      <c r="AM134" s="14" t="e">
        <f t="shared" si="113"/>
        <v>#REF!</v>
      </c>
      <c r="AN134" s="14" t="e">
        <f t="shared" si="113"/>
        <v>#REF!</v>
      </c>
      <c r="AO134" s="14" t="e">
        <f t="shared" si="113"/>
        <v>#REF!</v>
      </c>
      <c r="AP134" s="14" t="e">
        <f t="shared" si="113"/>
        <v>#REF!</v>
      </c>
      <c r="AQ134" s="14" t="e">
        <f t="shared" si="113"/>
        <v>#REF!</v>
      </c>
      <c r="AR134" s="14" t="e">
        <f t="shared" si="113"/>
        <v>#REF!</v>
      </c>
      <c r="AS134" s="14" t="e">
        <f t="shared" si="113"/>
        <v>#REF!</v>
      </c>
      <c r="AT134" s="14" t="e">
        <f t="shared" si="113"/>
        <v>#REF!</v>
      </c>
      <c r="AU134" s="14" t="e">
        <f t="shared" si="113"/>
        <v>#REF!</v>
      </c>
      <c r="AV134" s="14" t="e">
        <f t="shared" si="113"/>
        <v>#REF!</v>
      </c>
      <c r="AW134" s="14" t="e">
        <f t="shared" si="113"/>
        <v>#REF!</v>
      </c>
      <c r="AX134" s="14" t="e">
        <f t="shared" si="113"/>
        <v>#REF!</v>
      </c>
      <c r="AY134" s="14" t="e">
        <f t="shared" si="113"/>
        <v>#REF!</v>
      </c>
      <c r="AZ134" s="14" t="e">
        <f t="shared" si="113"/>
        <v>#REF!</v>
      </c>
      <c r="BA134" s="14" t="e">
        <f t="shared" si="113"/>
        <v>#REF!</v>
      </c>
      <c r="BB134" s="14" t="e">
        <f t="shared" si="113"/>
        <v>#REF!</v>
      </c>
      <c r="BC134" s="14" t="e">
        <f t="shared" si="113"/>
        <v>#REF!</v>
      </c>
      <c r="BD134" s="14" t="e">
        <f t="shared" si="113"/>
        <v>#REF!</v>
      </c>
      <c r="BE134" s="14" t="e">
        <f t="shared" si="113"/>
        <v>#REF!</v>
      </c>
      <c r="BF134" s="14" t="e">
        <f t="shared" si="113"/>
        <v>#REF!</v>
      </c>
      <c r="BG134" s="14" t="e">
        <f t="shared" si="113"/>
        <v>#REF!</v>
      </c>
      <c r="BH134" s="14" t="e">
        <f t="shared" si="113"/>
        <v>#REF!</v>
      </c>
      <c r="BI134" s="14" t="e">
        <f t="shared" si="113"/>
        <v>#REF!</v>
      </c>
      <c r="BJ134" s="14" t="e">
        <f t="shared" si="113"/>
        <v>#REF!</v>
      </c>
      <c r="BK134"/>
      <c r="BL134" s="5"/>
    </row>
    <row r="135" spans="1:64">
      <c r="A135"/>
      <c r="B135" t="s">
        <v>351</v>
      </c>
      <c r="C135" s="14">
        <f>+C130</f>
        <v>0</v>
      </c>
      <c r="D135" s="14">
        <f t="shared" ref="D135:BJ135" si="114">+D130</f>
        <v>0</v>
      </c>
      <c r="E135" s="14">
        <f t="shared" si="114"/>
        <v>0</v>
      </c>
      <c r="F135" s="14">
        <f t="shared" si="114"/>
        <v>0</v>
      </c>
      <c r="G135" s="14">
        <f t="shared" si="114"/>
        <v>0</v>
      </c>
      <c r="H135" s="14">
        <f t="shared" si="114"/>
        <v>0</v>
      </c>
      <c r="I135" s="14">
        <f t="shared" si="114"/>
        <v>0</v>
      </c>
      <c r="J135" s="14">
        <f t="shared" si="114"/>
        <v>0</v>
      </c>
      <c r="K135" s="14">
        <f t="shared" si="114"/>
        <v>0</v>
      </c>
      <c r="L135" s="14">
        <f t="shared" si="114"/>
        <v>0</v>
      </c>
      <c r="M135" s="14">
        <f t="shared" si="114"/>
        <v>0</v>
      </c>
      <c r="N135" s="14">
        <f t="shared" si="114"/>
        <v>0</v>
      </c>
      <c r="O135" s="14">
        <f t="shared" si="114"/>
        <v>0</v>
      </c>
      <c r="P135" s="14">
        <f t="shared" si="114"/>
        <v>0</v>
      </c>
      <c r="Q135" s="14">
        <f t="shared" si="114"/>
        <v>0</v>
      </c>
      <c r="R135" s="14">
        <f t="shared" si="114"/>
        <v>0</v>
      </c>
      <c r="S135" s="14">
        <f t="shared" si="114"/>
        <v>0</v>
      </c>
      <c r="T135" s="14">
        <f t="shared" si="114"/>
        <v>0</v>
      </c>
      <c r="U135" s="14">
        <f t="shared" si="114"/>
        <v>0</v>
      </c>
      <c r="V135" s="14">
        <f t="shared" si="114"/>
        <v>0</v>
      </c>
      <c r="W135" s="14">
        <f t="shared" si="114"/>
        <v>0</v>
      </c>
      <c r="X135" s="14">
        <f t="shared" si="114"/>
        <v>0</v>
      </c>
      <c r="Y135" s="14">
        <f t="shared" si="114"/>
        <v>0</v>
      </c>
      <c r="Z135" s="14">
        <f t="shared" si="114"/>
        <v>0</v>
      </c>
      <c r="AA135" s="14">
        <f t="shared" si="114"/>
        <v>0</v>
      </c>
      <c r="AB135" s="14">
        <f t="shared" si="114"/>
        <v>0</v>
      </c>
      <c r="AC135" s="14">
        <f t="shared" si="114"/>
        <v>0</v>
      </c>
      <c r="AD135" s="14">
        <f t="shared" si="114"/>
        <v>0</v>
      </c>
      <c r="AE135" s="14">
        <f t="shared" si="114"/>
        <v>0</v>
      </c>
      <c r="AF135" s="14">
        <f t="shared" si="114"/>
        <v>0</v>
      </c>
      <c r="AG135" s="14">
        <f t="shared" si="114"/>
        <v>0</v>
      </c>
      <c r="AH135" s="14">
        <f t="shared" si="114"/>
        <v>0</v>
      </c>
      <c r="AI135" s="14">
        <f t="shared" si="114"/>
        <v>0</v>
      </c>
      <c r="AJ135" s="14">
        <f t="shared" si="114"/>
        <v>0</v>
      </c>
      <c r="AK135" s="14">
        <f t="shared" si="114"/>
        <v>0</v>
      </c>
      <c r="AL135" s="14">
        <f t="shared" si="114"/>
        <v>0</v>
      </c>
      <c r="AM135" s="14">
        <f t="shared" si="114"/>
        <v>0</v>
      </c>
      <c r="AN135" s="14">
        <f t="shared" si="114"/>
        <v>0</v>
      </c>
      <c r="AO135" s="14">
        <f t="shared" si="114"/>
        <v>0</v>
      </c>
      <c r="AP135" s="14">
        <f t="shared" si="114"/>
        <v>0</v>
      </c>
      <c r="AQ135" s="14">
        <f t="shared" si="114"/>
        <v>0</v>
      </c>
      <c r="AR135" s="14">
        <f t="shared" si="114"/>
        <v>0</v>
      </c>
      <c r="AS135" s="14">
        <f t="shared" si="114"/>
        <v>0</v>
      </c>
      <c r="AT135" s="14">
        <f t="shared" si="114"/>
        <v>0</v>
      </c>
      <c r="AU135" s="14">
        <f t="shared" si="114"/>
        <v>0</v>
      </c>
      <c r="AV135" s="14">
        <f t="shared" si="114"/>
        <v>0</v>
      </c>
      <c r="AW135" s="14">
        <f t="shared" si="114"/>
        <v>0</v>
      </c>
      <c r="AX135" s="14">
        <f t="shared" si="114"/>
        <v>0</v>
      </c>
      <c r="AY135" s="14">
        <f t="shared" si="114"/>
        <v>0</v>
      </c>
      <c r="AZ135" s="14">
        <f t="shared" si="114"/>
        <v>0</v>
      </c>
      <c r="BA135" s="14">
        <f t="shared" si="114"/>
        <v>0</v>
      </c>
      <c r="BB135" s="14">
        <f t="shared" si="114"/>
        <v>0</v>
      </c>
      <c r="BC135" s="14">
        <f t="shared" si="114"/>
        <v>0</v>
      </c>
      <c r="BD135" s="14">
        <f t="shared" si="114"/>
        <v>0</v>
      </c>
      <c r="BE135" s="14">
        <f t="shared" si="114"/>
        <v>0</v>
      </c>
      <c r="BF135" s="14">
        <f t="shared" si="114"/>
        <v>0</v>
      </c>
      <c r="BG135" s="14">
        <f t="shared" si="114"/>
        <v>0</v>
      </c>
      <c r="BH135" s="14">
        <f t="shared" si="114"/>
        <v>0</v>
      </c>
      <c r="BI135" s="14">
        <f t="shared" si="114"/>
        <v>0</v>
      </c>
      <c r="BJ135" s="14">
        <f t="shared" si="114"/>
        <v>0</v>
      </c>
      <c r="BK135"/>
      <c r="BL135" s="5"/>
    </row>
    <row r="136" spans="1:64">
      <c r="A136"/>
      <c r="B136" t="s">
        <v>377</v>
      </c>
      <c r="C136" s="14">
        <f>+C163</f>
        <v>0</v>
      </c>
      <c r="D136" s="14">
        <f t="shared" ref="D136:BJ136" si="115">+D163</f>
        <v>0</v>
      </c>
      <c r="E136" s="14">
        <f t="shared" si="115"/>
        <v>0</v>
      </c>
      <c r="F136" s="14">
        <f t="shared" si="115"/>
        <v>0</v>
      </c>
      <c r="G136" s="14">
        <f t="shared" si="115"/>
        <v>0</v>
      </c>
      <c r="H136" s="14">
        <f t="shared" si="115"/>
        <v>0</v>
      </c>
      <c r="I136" s="14">
        <f t="shared" si="115"/>
        <v>0</v>
      </c>
      <c r="J136" s="14">
        <f t="shared" si="115"/>
        <v>0</v>
      </c>
      <c r="K136" s="14">
        <f t="shared" si="115"/>
        <v>0</v>
      </c>
      <c r="L136" s="14">
        <f t="shared" si="115"/>
        <v>0</v>
      </c>
      <c r="M136" s="14">
        <f t="shared" si="115"/>
        <v>0</v>
      </c>
      <c r="N136" s="14">
        <f t="shared" si="115"/>
        <v>0</v>
      </c>
      <c r="O136" s="14">
        <f t="shared" si="115"/>
        <v>0</v>
      </c>
      <c r="P136" s="14">
        <f t="shared" si="115"/>
        <v>0</v>
      </c>
      <c r="Q136" s="14">
        <f t="shared" si="115"/>
        <v>0</v>
      </c>
      <c r="R136" s="14">
        <f t="shared" si="115"/>
        <v>0</v>
      </c>
      <c r="S136" s="14">
        <f t="shared" si="115"/>
        <v>0</v>
      </c>
      <c r="T136" s="14">
        <f t="shared" si="115"/>
        <v>0</v>
      </c>
      <c r="U136" s="14">
        <f t="shared" si="115"/>
        <v>0</v>
      </c>
      <c r="V136" s="14">
        <f t="shared" si="115"/>
        <v>0</v>
      </c>
      <c r="W136" s="14">
        <f t="shared" si="115"/>
        <v>0</v>
      </c>
      <c r="X136" s="14">
        <f t="shared" si="115"/>
        <v>0</v>
      </c>
      <c r="Y136" s="14">
        <f t="shared" si="115"/>
        <v>0</v>
      </c>
      <c r="Z136" s="14">
        <f t="shared" si="115"/>
        <v>0</v>
      </c>
      <c r="AA136" s="14">
        <f t="shared" si="115"/>
        <v>0</v>
      </c>
      <c r="AB136" s="14">
        <f t="shared" si="115"/>
        <v>0</v>
      </c>
      <c r="AC136" s="14">
        <f t="shared" si="115"/>
        <v>0</v>
      </c>
      <c r="AD136" s="14">
        <f t="shared" si="115"/>
        <v>0</v>
      </c>
      <c r="AE136" s="14">
        <f t="shared" si="115"/>
        <v>0</v>
      </c>
      <c r="AF136" s="14">
        <f t="shared" si="115"/>
        <v>0</v>
      </c>
      <c r="AG136" s="14">
        <f t="shared" si="115"/>
        <v>0</v>
      </c>
      <c r="AH136" s="14">
        <f t="shared" si="115"/>
        <v>0</v>
      </c>
      <c r="AI136" s="14">
        <f t="shared" si="115"/>
        <v>0</v>
      </c>
      <c r="AJ136" s="14">
        <f t="shared" si="115"/>
        <v>0</v>
      </c>
      <c r="AK136" s="14">
        <f t="shared" si="115"/>
        <v>0</v>
      </c>
      <c r="AL136" s="14">
        <f t="shared" si="115"/>
        <v>0</v>
      </c>
      <c r="AM136" s="14">
        <f t="shared" si="115"/>
        <v>0</v>
      </c>
      <c r="AN136" s="14">
        <f t="shared" si="115"/>
        <v>0</v>
      </c>
      <c r="AO136" s="14">
        <f t="shared" si="115"/>
        <v>0</v>
      </c>
      <c r="AP136" s="14">
        <f t="shared" si="115"/>
        <v>0</v>
      </c>
      <c r="AQ136" s="14">
        <f t="shared" si="115"/>
        <v>0</v>
      </c>
      <c r="AR136" s="14">
        <f t="shared" si="115"/>
        <v>0</v>
      </c>
      <c r="AS136" s="14">
        <f t="shared" si="115"/>
        <v>0</v>
      </c>
      <c r="AT136" s="14">
        <f t="shared" si="115"/>
        <v>0</v>
      </c>
      <c r="AU136" s="14">
        <f t="shared" si="115"/>
        <v>0</v>
      </c>
      <c r="AV136" s="14">
        <f t="shared" si="115"/>
        <v>0</v>
      </c>
      <c r="AW136" s="14">
        <f t="shared" si="115"/>
        <v>0</v>
      </c>
      <c r="AX136" s="14">
        <f t="shared" si="115"/>
        <v>0</v>
      </c>
      <c r="AY136" s="14">
        <f t="shared" si="115"/>
        <v>0</v>
      </c>
      <c r="AZ136" s="14">
        <f t="shared" si="115"/>
        <v>0</v>
      </c>
      <c r="BA136" s="14">
        <f t="shared" si="115"/>
        <v>0</v>
      </c>
      <c r="BB136" s="14">
        <f t="shared" si="115"/>
        <v>0</v>
      </c>
      <c r="BC136" s="14">
        <f t="shared" si="115"/>
        <v>0</v>
      </c>
      <c r="BD136" s="14">
        <f t="shared" si="115"/>
        <v>0</v>
      </c>
      <c r="BE136" s="14">
        <f t="shared" si="115"/>
        <v>0</v>
      </c>
      <c r="BF136" s="14">
        <f t="shared" si="115"/>
        <v>0</v>
      </c>
      <c r="BG136" s="14">
        <f t="shared" si="115"/>
        <v>0</v>
      </c>
      <c r="BH136" s="14">
        <f t="shared" si="115"/>
        <v>0</v>
      </c>
      <c r="BI136" s="14">
        <f t="shared" si="115"/>
        <v>0</v>
      </c>
      <c r="BJ136" s="14">
        <f t="shared" si="115"/>
        <v>0</v>
      </c>
      <c r="BK136"/>
      <c r="BL136" s="5"/>
    </row>
    <row r="137" spans="1:64">
      <c r="A137"/>
      <c r="B137" t="s">
        <v>352</v>
      </c>
      <c r="C137" s="14" t="e">
        <f>+C131</f>
        <v>#REF!</v>
      </c>
      <c r="D137" s="14" t="e">
        <f t="shared" ref="D137:BJ137" si="116">+D131</f>
        <v>#REF!</v>
      </c>
      <c r="E137" s="14" t="e">
        <f t="shared" si="116"/>
        <v>#REF!</v>
      </c>
      <c r="F137" s="14" t="e">
        <f t="shared" si="116"/>
        <v>#REF!</v>
      </c>
      <c r="G137" s="14" t="e">
        <f t="shared" si="116"/>
        <v>#REF!</v>
      </c>
      <c r="H137" s="14" t="e">
        <f t="shared" si="116"/>
        <v>#REF!</v>
      </c>
      <c r="I137" s="14" t="e">
        <f t="shared" si="116"/>
        <v>#REF!</v>
      </c>
      <c r="J137" s="14" t="e">
        <f t="shared" si="116"/>
        <v>#REF!</v>
      </c>
      <c r="K137" s="14" t="e">
        <f t="shared" si="116"/>
        <v>#REF!</v>
      </c>
      <c r="L137" s="14" t="e">
        <f t="shared" si="116"/>
        <v>#REF!</v>
      </c>
      <c r="M137" s="14" t="e">
        <f t="shared" si="116"/>
        <v>#REF!</v>
      </c>
      <c r="N137" s="14" t="e">
        <f t="shared" si="116"/>
        <v>#REF!</v>
      </c>
      <c r="O137" s="14" t="e">
        <f t="shared" si="116"/>
        <v>#REF!</v>
      </c>
      <c r="P137" s="14" t="e">
        <f t="shared" si="116"/>
        <v>#REF!</v>
      </c>
      <c r="Q137" s="14" t="e">
        <f t="shared" si="116"/>
        <v>#REF!</v>
      </c>
      <c r="R137" s="14" t="e">
        <f t="shared" si="116"/>
        <v>#REF!</v>
      </c>
      <c r="S137" s="14" t="e">
        <f t="shared" si="116"/>
        <v>#REF!</v>
      </c>
      <c r="T137" s="14" t="e">
        <f t="shared" si="116"/>
        <v>#REF!</v>
      </c>
      <c r="U137" s="14" t="e">
        <f t="shared" si="116"/>
        <v>#REF!</v>
      </c>
      <c r="V137" s="14" t="e">
        <f t="shared" si="116"/>
        <v>#REF!</v>
      </c>
      <c r="W137" s="14" t="e">
        <f t="shared" si="116"/>
        <v>#REF!</v>
      </c>
      <c r="X137" s="14" t="e">
        <f t="shared" si="116"/>
        <v>#REF!</v>
      </c>
      <c r="Y137" s="14" t="e">
        <f t="shared" si="116"/>
        <v>#REF!</v>
      </c>
      <c r="Z137" s="14" t="e">
        <f t="shared" si="116"/>
        <v>#REF!</v>
      </c>
      <c r="AA137" s="14" t="e">
        <f t="shared" si="116"/>
        <v>#REF!</v>
      </c>
      <c r="AB137" s="14" t="e">
        <f t="shared" si="116"/>
        <v>#REF!</v>
      </c>
      <c r="AC137" s="14" t="e">
        <f t="shared" si="116"/>
        <v>#REF!</v>
      </c>
      <c r="AD137" s="14" t="e">
        <f t="shared" si="116"/>
        <v>#REF!</v>
      </c>
      <c r="AE137" s="14" t="e">
        <f t="shared" si="116"/>
        <v>#REF!</v>
      </c>
      <c r="AF137" s="14" t="e">
        <f t="shared" si="116"/>
        <v>#REF!</v>
      </c>
      <c r="AG137" s="14" t="e">
        <f t="shared" si="116"/>
        <v>#REF!</v>
      </c>
      <c r="AH137" s="14" t="e">
        <f t="shared" si="116"/>
        <v>#REF!</v>
      </c>
      <c r="AI137" s="14" t="e">
        <f t="shared" si="116"/>
        <v>#REF!</v>
      </c>
      <c r="AJ137" s="14" t="e">
        <f t="shared" si="116"/>
        <v>#REF!</v>
      </c>
      <c r="AK137" s="14" t="e">
        <f t="shared" si="116"/>
        <v>#REF!</v>
      </c>
      <c r="AL137" s="14" t="e">
        <f t="shared" si="116"/>
        <v>#REF!</v>
      </c>
      <c r="AM137" s="14" t="e">
        <f t="shared" si="116"/>
        <v>#REF!</v>
      </c>
      <c r="AN137" s="14" t="e">
        <f t="shared" si="116"/>
        <v>#REF!</v>
      </c>
      <c r="AO137" s="14" t="e">
        <f t="shared" si="116"/>
        <v>#REF!</v>
      </c>
      <c r="AP137" s="14" t="e">
        <f t="shared" si="116"/>
        <v>#REF!</v>
      </c>
      <c r="AQ137" s="14" t="e">
        <f t="shared" si="116"/>
        <v>#REF!</v>
      </c>
      <c r="AR137" s="14" t="e">
        <f t="shared" si="116"/>
        <v>#REF!</v>
      </c>
      <c r="AS137" s="14" t="e">
        <f t="shared" si="116"/>
        <v>#REF!</v>
      </c>
      <c r="AT137" s="14" t="e">
        <f t="shared" si="116"/>
        <v>#REF!</v>
      </c>
      <c r="AU137" s="14" t="e">
        <f t="shared" si="116"/>
        <v>#REF!</v>
      </c>
      <c r="AV137" s="14" t="e">
        <f t="shared" si="116"/>
        <v>#REF!</v>
      </c>
      <c r="AW137" s="14" t="e">
        <f t="shared" si="116"/>
        <v>#REF!</v>
      </c>
      <c r="AX137" s="14" t="e">
        <f t="shared" si="116"/>
        <v>#REF!</v>
      </c>
      <c r="AY137" s="14" t="e">
        <f t="shared" si="116"/>
        <v>#REF!</v>
      </c>
      <c r="AZ137" s="14" t="e">
        <f t="shared" si="116"/>
        <v>#REF!</v>
      </c>
      <c r="BA137" s="14" t="e">
        <f t="shared" si="116"/>
        <v>#REF!</v>
      </c>
      <c r="BB137" s="14" t="e">
        <f t="shared" si="116"/>
        <v>#REF!</v>
      </c>
      <c r="BC137" s="14" t="e">
        <f t="shared" si="116"/>
        <v>#REF!</v>
      </c>
      <c r="BD137" s="14" t="e">
        <f t="shared" si="116"/>
        <v>#REF!</v>
      </c>
      <c r="BE137" s="14" t="e">
        <f t="shared" si="116"/>
        <v>#REF!</v>
      </c>
      <c r="BF137" s="14" t="e">
        <f t="shared" si="116"/>
        <v>#REF!</v>
      </c>
      <c r="BG137" s="14" t="e">
        <f t="shared" si="116"/>
        <v>#REF!</v>
      </c>
      <c r="BH137" s="14" t="e">
        <f t="shared" si="116"/>
        <v>#REF!</v>
      </c>
      <c r="BI137" s="14" t="e">
        <f t="shared" si="116"/>
        <v>#REF!</v>
      </c>
      <c r="BJ137" s="14" t="e">
        <f t="shared" si="116"/>
        <v>#REF!</v>
      </c>
      <c r="BK137"/>
      <c r="BL137" s="5"/>
    </row>
    <row r="138" spans="1:64">
      <c r="A138"/>
      <c r="B138" t="s">
        <v>378</v>
      </c>
      <c r="C138" s="14" t="e">
        <f>+C164</f>
        <v>#REF!</v>
      </c>
      <c r="D138" s="14" t="e">
        <f t="shared" ref="D138:BJ138" si="117">+D164</f>
        <v>#REF!</v>
      </c>
      <c r="E138" s="14" t="e">
        <f t="shared" si="117"/>
        <v>#REF!</v>
      </c>
      <c r="F138" s="14" t="e">
        <f t="shared" si="117"/>
        <v>#REF!</v>
      </c>
      <c r="G138" s="14" t="e">
        <f t="shared" si="117"/>
        <v>#REF!</v>
      </c>
      <c r="H138" s="14" t="e">
        <f t="shared" si="117"/>
        <v>#REF!</v>
      </c>
      <c r="I138" s="14" t="e">
        <f t="shared" si="117"/>
        <v>#REF!</v>
      </c>
      <c r="J138" s="14" t="e">
        <f t="shared" si="117"/>
        <v>#REF!</v>
      </c>
      <c r="K138" s="14" t="e">
        <f t="shared" si="117"/>
        <v>#REF!</v>
      </c>
      <c r="L138" s="14" t="e">
        <f t="shared" si="117"/>
        <v>#REF!</v>
      </c>
      <c r="M138" s="14" t="e">
        <f t="shared" si="117"/>
        <v>#REF!</v>
      </c>
      <c r="N138" s="14" t="e">
        <f t="shared" si="117"/>
        <v>#REF!</v>
      </c>
      <c r="O138" s="14" t="e">
        <f t="shared" si="117"/>
        <v>#REF!</v>
      </c>
      <c r="P138" s="14" t="e">
        <f t="shared" si="117"/>
        <v>#REF!</v>
      </c>
      <c r="Q138" s="14" t="e">
        <f t="shared" si="117"/>
        <v>#REF!</v>
      </c>
      <c r="R138" s="14" t="e">
        <f t="shared" si="117"/>
        <v>#REF!</v>
      </c>
      <c r="S138" s="14" t="e">
        <f t="shared" si="117"/>
        <v>#REF!</v>
      </c>
      <c r="T138" s="14" t="e">
        <f t="shared" si="117"/>
        <v>#REF!</v>
      </c>
      <c r="U138" s="14" t="e">
        <f t="shared" si="117"/>
        <v>#REF!</v>
      </c>
      <c r="V138" s="14" t="e">
        <f t="shared" si="117"/>
        <v>#REF!</v>
      </c>
      <c r="W138" s="14" t="e">
        <f t="shared" si="117"/>
        <v>#REF!</v>
      </c>
      <c r="X138" s="14" t="e">
        <f t="shared" si="117"/>
        <v>#REF!</v>
      </c>
      <c r="Y138" s="14" t="e">
        <f t="shared" si="117"/>
        <v>#REF!</v>
      </c>
      <c r="Z138" s="14" t="e">
        <f t="shared" si="117"/>
        <v>#REF!</v>
      </c>
      <c r="AA138" s="14" t="e">
        <f t="shared" si="117"/>
        <v>#REF!</v>
      </c>
      <c r="AB138" s="14" t="e">
        <f t="shared" si="117"/>
        <v>#REF!</v>
      </c>
      <c r="AC138" s="14" t="e">
        <f t="shared" si="117"/>
        <v>#REF!</v>
      </c>
      <c r="AD138" s="14" t="e">
        <f t="shared" si="117"/>
        <v>#REF!</v>
      </c>
      <c r="AE138" s="14" t="e">
        <f t="shared" si="117"/>
        <v>#REF!</v>
      </c>
      <c r="AF138" s="14" t="e">
        <f t="shared" si="117"/>
        <v>#REF!</v>
      </c>
      <c r="AG138" s="14" t="e">
        <f t="shared" si="117"/>
        <v>#REF!</v>
      </c>
      <c r="AH138" s="14" t="e">
        <f t="shared" si="117"/>
        <v>#REF!</v>
      </c>
      <c r="AI138" s="14" t="e">
        <f t="shared" si="117"/>
        <v>#REF!</v>
      </c>
      <c r="AJ138" s="14" t="e">
        <f t="shared" si="117"/>
        <v>#REF!</v>
      </c>
      <c r="AK138" s="14" t="e">
        <f t="shared" si="117"/>
        <v>#REF!</v>
      </c>
      <c r="AL138" s="14" t="e">
        <f t="shared" si="117"/>
        <v>#REF!</v>
      </c>
      <c r="AM138" s="14" t="e">
        <f t="shared" si="117"/>
        <v>#REF!</v>
      </c>
      <c r="AN138" s="14" t="e">
        <f t="shared" si="117"/>
        <v>#REF!</v>
      </c>
      <c r="AO138" s="14" t="e">
        <f t="shared" si="117"/>
        <v>#REF!</v>
      </c>
      <c r="AP138" s="14" t="e">
        <f t="shared" si="117"/>
        <v>#REF!</v>
      </c>
      <c r="AQ138" s="14" t="e">
        <f t="shared" si="117"/>
        <v>#REF!</v>
      </c>
      <c r="AR138" s="14" t="e">
        <f t="shared" si="117"/>
        <v>#REF!</v>
      </c>
      <c r="AS138" s="14" t="e">
        <f t="shared" si="117"/>
        <v>#REF!</v>
      </c>
      <c r="AT138" s="14" t="e">
        <f t="shared" si="117"/>
        <v>#REF!</v>
      </c>
      <c r="AU138" s="14" t="e">
        <f t="shared" si="117"/>
        <v>#REF!</v>
      </c>
      <c r="AV138" s="14" t="e">
        <f t="shared" si="117"/>
        <v>#REF!</v>
      </c>
      <c r="AW138" s="14" t="e">
        <f t="shared" si="117"/>
        <v>#REF!</v>
      </c>
      <c r="AX138" s="14" t="e">
        <f t="shared" si="117"/>
        <v>#REF!</v>
      </c>
      <c r="AY138" s="14" t="e">
        <f t="shared" si="117"/>
        <v>#REF!</v>
      </c>
      <c r="AZ138" s="14" t="e">
        <f t="shared" si="117"/>
        <v>#REF!</v>
      </c>
      <c r="BA138" s="14" t="e">
        <f t="shared" si="117"/>
        <v>#REF!</v>
      </c>
      <c r="BB138" s="14" t="e">
        <f t="shared" si="117"/>
        <v>#REF!</v>
      </c>
      <c r="BC138" s="14" t="e">
        <f t="shared" si="117"/>
        <v>#REF!</v>
      </c>
      <c r="BD138" s="14" t="e">
        <f t="shared" si="117"/>
        <v>#REF!</v>
      </c>
      <c r="BE138" s="14" t="e">
        <f t="shared" si="117"/>
        <v>#REF!</v>
      </c>
      <c r="BF138" s="14" t="e">
        <f t="shared" si="117"/>
        <v>#REF!</v>
      </c>
      <c r="BG138" s="14" t="e">
        <f t="shared" si="117"/>
        <v>#REF!</v>
      </c>
      <c r="BH138" s="14" t="e">
        <f t="shared" si="117"/>
        <v>#REF!</v>
      </c>
      <c r="BI138" s="14" t="e">
        <f t="shared" si="117"/>
        <v>#REF!</v>
      </c>
      <c r="BJ138" s="14" t="e">
        <f t="shared" si="117"/>
        <v>#REF!</v>
      </c>
      <c r="BK138"/>
      <c r="BL138" s="5"/>
    </row>
    <row r="139" spans="1:64">
      <c r="A139"/>
      <c r="B139" s="3" t="s">
        <v>379</v>
      </c>
      <c r="C139" s="13" t="e">
        <f>SUM(C134:C138)</f>
        <v>#REF!</v>
      </c>
      <c r="D139" s="13" t="e">
        <f t="shared" ref="D139:BJ139" si="118">SUM(D134:D138)</f>
        <v>#REF!</v>
      </c>
      <c r="E139" s="13" t="e">
        <f t="shared" si="118"/>
        <v>#REF!</v>
      </c>
      <c r="F139" s="13" t="e">
        <f t="shared" si="118"/>
        <v>#REF!</v>
      </c>
      <c r="G139" s="13" t="e">
        <f t="shared" si="118"/>
        <v>#REF!</v>
      </c>
      <c r="H139" s="13" t="e">
        <f t="shared" si="118"/>
        <v>#REF!</v>
      </c>
      <c r="I139" s="13" t="e">
        <f t="shared" si="118"/>
        <v>#REF!</v>
      </c>
      <c r="J139" s="13" t="e">
        <f t="shared" si="118"/>
        <v>#REF!</v>
      </c>
      <c r="K139" s="13" t="e">
        <f t="shared" si="118"/>
        <v>#REF!</v>
      </c>
      <c r="L139" s="13" t="e">
        <f t="shared" si="118"/>
        <v>#REF!</v>
      </c>
      <c r="M139" s="13" t="e">
        <f t="shared" si="118"/>
        <v>#REF!</v>
      </c>
      <c r="N139" s="13" t="e">
        <f t="shared" si="118"/>
        <v>#REF!</v>
      </c>
      <c r="O139" s="13" t="e">
        <f t="shared" si="118"/>
        <v>#REF!</v>
      </c>
      <c r="P139" s="13" t="e">
        <f t="shared" si="118"/>
        <v>#REF!</v>
      </c>
      <c r="Q139" s="13" t="e">
        <f t="shared" si="118"/>
        <v>#REF!</v>
      </c>
      <c r="R139" s="13" t="e">
        <f t="shared" si="118"/>
        <v>#REF!</v>
      </c>
      <c r="S139" s="13" t="e">
        <f t="shared" si="118"/>
        <v>#REF!</v>
      </c>
      <c r="T139" s="13" t="e">
        <f t="shared" si="118"/>
        <v>#REF!</v>
      </c>
      <c r="U139" s="13" t="e">
        <f t="shared" si="118"/>
        <v>#REF!</v>
      </c>
      <c r="V139" s="13" t="e">
        <f t="shared" si="118"/>
        <v>#REF!</v>
      </c>
      <c r="W139" s="13" t="e">
        <f t="shared" si="118"/>
        <v>#REF!</v>
      </c>
      <c r="X139" s="13" t="e">
        <f t="shared" si="118"/>
        <v>#REF!</v>
      </c>
      <c r="Y139" s="13" t="e">
        <f t="shared" si="118"/>
        <v>#REF!</v>
      </c>
      <c r="Z139" s="13" t="e">
        <f t="shared" si="118"/>
        <v>#REF!</v>
      </c>
      <c r="AA139" s="13" t="e">
        <f t="shared" si="118"/>
        <v>#REF!</v>
      </c>
      <c r="AB139" s="13" t="e">
        <f t="shared" si="118"/>
        <v>#REF!</v>
      </c>
      <c r="AC139" s="13" t="e">
        <f t="shared" si="118"/>
        <v>#REF!</v>
      </c>
      <c r="AD139" s="13" t="e">
        <f t="shared" si="118"/>
        <v>#REF!</v>
      </c>
      <c r="AE139" s="13" t="e">
        <f t="shared" si="118"/>
        <v>#REF!</v>
      </c>
      <c r="AF139" s="13" t="e">
        <f t="shared" si="118"/>
        <v>#REF!</v>
      </c>
      <c r="AG139" s="13" t="e">
        <f t="shared" si="118"/>
        <v>#REF!</v>
      </c>
      <c r="AH139" s="13" t="e">
        <f t="shared" si="118"/>
        <v>#REF!</v>
      </c>
      <c r="AI139" s="13" t="e">
        <f t="shared" si="118"/>
        <v>#REF!</v>
      </c>
      <c r="AJ139" s="13" t="e">
        <f t="shared" si="118"/>
        <v>#REF!</v>
      </c>
      <c r="AK139" s="13" t="e">
        <f t="shared" si="118"/>
        <v>#REF!</v>
      </c>
      <c r="AL139" s="13" t="e">
        <f t="shared" si="118"/>
        <v>#REF!</v>
      </c>
      <c r="AM139" s="13" t="e">
        <f t="shared" si="118"/>
        <v>#REF!</v>
      </c>
      <c r="AN139" s="13" t="e">
        <f t="shared" si="118"/>
        <v>#REF!</v>
      </c>
      <c r="AO139" s="13" t="e">
        <f t="shared" si="118"/>
        <v>#REF!</v>
      </c>
      <c r="AP139" s="13" t="e">
        <f t="shared" si="118"/>
        <v>#REF!</v>
      </c>
      <c r="AQ139" s="13" t="e">
        <f t="shared" si="118"/>
        <v>#REF!</v>
      </c>
      <c r="AR139" s="13" t="e">
        <f t="shared" si="118"/>
        <v>#REF!</v>
      </c>
      <c r="AS139" s="13" t="e">
        <f t="shared" si="118"/>
        <v>#REF!</v>
      </c>
      <c r="AT139" s="13" t="e">
        <f t="shared" si="118"/>
        <v>#REF!</v>
      </c>
      <c r="AU139" s="13" t="e">
        <f t="shared" si="118"/>
        <v>#REF!</v>
      </c>
      <c r="AV139" s="13" t="e">
        <f t="shared" si="118"/>
        <v>#REF!</v>
      </c>
      <c r="AW139" s="13" t="e">
        <f t="shared" si="118"/>
        <v>#REF!</v>
      </c>
      <c r="AX139" s="13" t="e">
        <f t="shared" si="118"/>
        <v>#REF!</v>
      </c>
      <c r="AY139" s="13" t="e">
        <f t="shared" si="118"/>
        <v>#REF!</v>
      </c>
      <c r="AZ139" s="13" t="e">
        <f t="shared" si="118"/>
        <v>#REF!</v>
      </c>
      <c r="BA139" s="13" t="e">
        <f t="shared" si="118"/>
        <v>#REF!</v>
      </c>
      <c r="BB139" s="13" t="e">
        <f t="shared" si="118"/>
        <v>#REF!</v>
      </c>
      <c r="BC139" s="13" t="e">
        <f t="shared" si="118"/>
        <v>#REF!</v>
      </c>
      <c r="BD139" s="13" t="e">
        <f t="shared" si="118"/>
        <v>#REF!</v>
      </c>
      <c r="BE139" s="13" t="e">
        <f t="shared" si="118"/>
        <v>#REF!</v>
      </c>
      <c r="BF139" s="13" t="e">
        <f t="shared" si="118"/>
        <v>#REF!</v>
      </c>
      <c r="BG139" s="13" t="e">
        <f t="shared" si="118"/>
        <v>#REF!</v>
      </c>
      <c r="BH139" s="13" t="e">
        <f t="shared" si="118"/>
        <v>#REF!</v>
      </c>
      <c r="BI139" s="13" t="e">
        <f t="shared" si="118"/>
        <v>#REF!</v>
      </c>
      <c r="BJ139" s="13" t="e">
        <f t="shared" si="118"/>
        <v>#REF!</v>
      </c>
      <c r="BK139"/>
      <c r="BL139" s="5"/>
    </row>
    <row r="140" spans="1:64">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s="5"/>
    </row>
    <row r="141" spans="1:64">
      <c r="A141"/>
      <c r="B141" t="s">
        <v>380</v>
      </c>
      <c r="C141" s="14">
        <v>0</v>
      </c>
      <c r="D141" s="14" t="e">
        <f>+C144</f>
        <v>#REF!</v>
      </c>
      <c r="E141" s="14" t="e">
        <f t="shared" ref="E141:BJ141" si="119">+D144</f>
        <v>#REF!</v>
      </c>
      <c r="F141" s="14" t="e">
        <f t="shared" si="119"/>
        <v>#REF!</v>
      </c>
      <c r="G141" s="14" t="e">
        <f t="shared" si="119"/>
        <v>#REF!</v>
      </c>
      <c r="H141" s="14" t="e">
        <f t="shared" si="119"/>
        <v>#REF!</v>
      </c>
      <c r="I141" s="14" t="e">
        <f t="shared" si="119"/>
        <v>#REF!</v>
      </c>
      <c r="J141" s="14" t="e">
        <f t="shared" si="119"/>
        <v>#REF!</v>
      </c>
      <c r="K141" s="14" t="e">
        <f t="shared" si="119"/>
        <v>#REF!</v>
      </c>
      <c r="L141" s="14" t="e">
        <f t="shared" si="119"/>
        <v>#REF!</v>
      </c>
      <c r="M141" s="14" t="e">
        <f t="shared" si="119"/>
        <v>#REF!</v>
      </c>
      <c r="N141" s="14" t="e">
        <f t="shared" si="119"/>
        <v>#REF!</v>
      </c>
      <c r="O141" s="14" t="e">
        <f t="shared" si="119"/>
        <v>#REF!</v>
      </c>
      <c r="P141" s="14" t="e">
        <f t="shared" si="119"/>
        <v>#REF!</v>
      </c>
      <c r="Q141" s="14" t="e">
        <f t="shared" si="119"/>
        <v>#REF!</v>
      </c>
      <c r="R141" s="14" t="e">
        <f t="shared" si="119"/>
        <v>#REF!</v>
      </c>
      <c r="S141" s="14" t="e">
        <f t="shared" si="119"/>
        <v>#REF!</v>
      </c>
      <c r="T141" s="14" t="e">
        <f t="shared" si="119"/>
        <v>#REF!</v>
      </c>
      <c r="U141" s="14" t="e">
        <f t="shared" si="119"/>
        <v>#REF!</v>
      </c>
      <c r="V141" s="14" t="e">
        <f t="shared" si="119"/>
        <v>#REF!</v>
      </c>
      <c r="W141" s="14" t="e">
        <f t="shared" si="119"/>
        <v>#REF!</v>
      </c>
      <c r="X141" s="14" t="e">
        <f t="shared" si="119"/>
        <v>#REF!</v>
      </c>
      <c r="Y141" s="14" t="e">
        <f t="shared" si="119"/>
        <v>#REF!</v>
      </c>
      <c r="Z141" s="14" t="e">
        <f t="shared" si="119"/>
        <v>#REF!</v>
      </c>
      <c r="AA141" s="14" t="e">
        <f t="shared" si="119"/>
        <v>#REF!</v>
      </c>
      <c r="AB141" s="14" t="e">
        <f t="shared" si="119"/>
        <v>#REF!</v>
      </c>
      <c r="AC141" s="14" t="e">
        <f t="shared" si="119"/>
        <v>#REF!</v>
      </c>
      <c r="AD141" s="14" t="e">
        <f t="shared" si="119"/>
        <v>#REF!</v>
      </c>
      <c r="AE141" s="14" t="e">
        <f t="shared" si="119"/>
        <v>#REF!</v>
      </c>
      <c r="AF141" s="14" t="e">
        <f t="shared" si="119"/>
        <v>#REF!</v>
      </c>
      <c r="AG141" s="14" t="e">
        <f t="shared" si="119"/>
        <v>#REF!</v>
      </c>
      <c r="AH141" s="14" t="e">
        <f t="shared" si="119"/>
        <v>#REF!</v>
      </c>
      <c r="AI141" s="14" t="e">
        <f t="shared" si="119"/>
        <v>#REF!</v>
      </c>
      <c r="AJ141" s="14" t="e">
        <f t="shared" si="119"/>
        <v>#REF!</v>
      </c>
      <c r="AK141" s="14" t="e">
        <f t="shared" si="119"/>
        <v>#REF!</v>
      </c>
      <c r="AL141" s="14" t="e">
        <f t="shared" si="119"/>
        <v>#REF!</v>
      </c>
      <c r="AM141" s="14" t="e">
        <f t="shared" si="119"/>
        <v>#REF!</v>
      </c>
      <c r="AN141" s="14" t="e">
        <f t="shared" si="119"/>
        <v>#REF!</v>
      </c>
      <c r="AO141" s="14" t="e">
        <f t="shared" si="119"/>
        <v>#REF!</v>
      </c>
      <c r="AP141" s="14" t="e">
        <f t="shared" si="119"/>
        <v>#REF!</v>
      </c>
      <c r="AQ141" s="14" t="e">
        <f t="shared" si="119"/>
        <v>#REF!</v>
      </c>
      <c r="AR141" s="14" t="e">
        <f t="shared" si="119"/>
        <v>#REF!</v>
      </c>
      <c r="AS141" s="14" t="e">
        <f t="shared" si="119"/>
        <v>#REF!</v>
      </c>
      <c r="AT141" s="14" t="e">
        <f t="shared" si="119"/>
        <v>#REF!</v>
      </c>
      <c r="AU141" s="14" t="e">
        <f t="shared" si="119"/>
        <v>#REF!</v>
      </c>
      <c r="AV141" s="14" t="e">
        <f t="shared" si="119"/>
        <v>#REF!</v>
      </c>
      <c r="AW141" s="14" t="e">
        <f t="shared" si="119"/>
        <v>#REF!</v>
      </c>
      <c r="AX141" s="14" t="e">
        <f t="shared" si="119"/>
        <v>#REF!</v>
      </c>
      <c r="AY141" s="14" t="e">
        <f t="shared" si="119"/>
        <v>#REF!</v>
      </c>
      <c r="AZ141" s="14" t="e">
        <f t="shared" si="119"/>
        <v>#REF!</v>
      </c>
      <c r="BA141" s="14" t="e">
        <f t="shared" si="119"/>
        <v>#REF!</v>
      </c>
      <c r="BB141" s="14" t="e">
        <f t="shared" si="119"/>
        <v>#REF!</v>
      </c>
      <c r="BC141" s="14" t="e">
        <f t="shared" si="119"/>
        <v>#REF!</v>
      </c>
      <c r="BD141" s="14" t="e">
        <f t="shared" si="119"/>
        <v>#REF!</v>
      </c>
      <c r="BE141" s="14" t="e">
        <f t="shared" si="119"/>
        <v>#REF!</v>
      </c>
      <c r="BF141" s="14" t="e">
        <f t="shared" si="119"/>
        <v>#REF!</v>
      </c>
      <c r="BG141" s="14" t="e">
        <f t="shared" si="119"/>
        <v>#REF!</v>
      </c>
      <c r="BH141" s="14" t="e">
        <f t="shared" si="119"/>
        <v>#REF!</v>
      </c>
      <c r="BI141" s="14" t="e">
        <f t="shared" si="119"/>
        <v>#REF!</v>
      </c>
      <c r="BJ141" s="14" t="e">
        <f t="shared" si="119"/>
        <v>#REF!</v>
      </c>
      <c r="BK141"/>
      <c r="BL141" s="5"/>
    </row>
    <row r="142" spans="1:64">
      <c r="A142"/>
      <c r="B142" t="s">
        <v>351</v>
      </c>
      <c r="C142" s="14">
        <f>IFERROR(((1+$D$24)^(C$8)-1)*C146,0)</f>
        <v>0</v>
      </c>
      <c r="D142" s="14">
        <f t="shared" ref="D142:BJ142" si="120">IFERROR(((1+$D$24)^(D$8)-1)*D146,0)</f>
        <v>0</v>
      </c>
      <c r="E142" s="14">
        <f t="shared" si="120"/>
        <v>0</v>
      </c>
      <c r="F142" s="14">
        <f t="shared" si="120"/>
        <v>0</v>
      </c>
      <c r="G142" s="14">
        <f t="shared" si="120"/>
        <v>0</v>
      </c>
      <c r="H142" s="14">
        <f t="shared" si="120"/>
        <v>0</v>
      </c>
      <c r="I142" s="14">
        <f t="shared" si="120"/>
        <v>0</v>
      </c>
      <c r="J142" s="14">
        <f t="shared" si="120"/>
        <v>0</v>
      </c>
      <c r="K142" s="14">
        <f t="shared" si="120"/>
        <v>0</v>
      </c>
      <c r="L142" s="14">
        <f t="shared" si="120"/>
        <v>0</v>
      </c>
      <c r="M142" s="14">
        <f t="shared" si="120"/>
        <v>0</v>
      </c>
      <c r="N142" s="14">
        <f t="shared" si="120"/>
        <v>0</v>
      </c>
      <c r="O142" s="14">
        <f t="shared" si="120"/>
        <v>0</v>
      </c>
      <c r="P142" s="14">
        <f t="shared" si="120"/>
        <v>0</v>
      </c>
      <c r="Q142" s="14">
        <f t="shared" si="120"/>
        <v>0</v>
      </c>
      <c r="R142" s="14">
        <f t="shared" si="120"/>
        <v>0</v>
      </c>
      <c r="S142" s="14">
        <f t="shared" si="120"/>
        <v>0</v>
      </c>
      <c r="T142" s="14">
        <f t="shared" si="120"/>
        <v>0</v>
      </c>
      <c r="U142" s="14">
        <f t="shared" si="120"/>
        <v>0</v>
      </c>
      <c r="V142" s="14">
        <f t="shared" si="120"/>
        <v>0</v>
      </c>
      <c r="W142" s="14">
        <f t="shared" si="120"/>
        <v>0</v>
      </c>
      <c r="X142" s="14">
        <f t="shared" si="120"/>
        <v>0</v>
      </c>
      <c r="Y142" s="14">
        <f t="shared" si="120"/>
        <v>0</v>
      </c>
      <c r="Z142" s="14">
        <f t="shared" si="120"/>
        <v>0</v>
      </c>
      <c r="AA142" s="14">
        <f t="shared" si="120"/>
        <v>0</v>
      </c>
      <c r="AB142" s="14">
        <f t="shared" si="120"/>
        <v>0</v>
      </c>
      <c r="AC142" s="14">
        <f t="shared" si="120"/>
        <v>0</v>
      </c>
      <c r="AD142" s="14">
        <f t="shared" si="120"/>
        <v>0</v>
      </c>
      <c r="AE142" s="14">
        <f t="shared" si="120"/>
        <v>0</v>
      </c>
      <c r="AF142" s="14">
        <f t="shared" si="120"/>
        <v>0</v>
      </c>
      <c r="AG142" s="14">
        <f t="shared" si="120"/>
        <v>0</v>
      </c>
      <c r="AH142" s="14">
        <f t="shared" si="120"/>
        <v>0</v>
      </c>
      <c r="AI142" s="14">
        <f t="shared" si="120"/>
        <v>0</v>
      </c>
      <c r="AJ142" s="14">
        <f t="shared" si="120"/>
        <v>0</v>
      </c>
      <c r="AK142" s="14">
        <f t="shared" si="120"/>
        <v>0</v>
      </c>
      <c r="AL142" s="14">
        <f t="shared" si="120"/>
        <v>0</v>
      </c>
      <c r="AM142" s="14">
        <f t="shared" si="120"/>
        <v>0</v>
      </c>
      <c r="AN142" s="14">
        <f t="shared" si="120"/>
        <v>0</v>
      </c>
      <c r="AO142" s="14">
        <f t="shared" si="120"/>
        <v>0</v>
      </c>
      <c r="AP142" s="14">
        <f t="shared" si="120"/>
        <v>0</v>
      </c>
      <c r="AQ142" s="14">
        <f t="shared" si="120"/>
        <v>0</v>
      </c>
      <c r="AR142" s="14">
        <f t="shared" si="120"/>
        <v>0</v>
      </c>
      <c r="AS142" s="14">
        <f t="shared" si="120"/>
        <v>0</v>
      </c>
      <c r="AT142" s="14">
        <f t="shared" si="120"/>
        <v>0</v>
      </c>
      <c r="AU142" s="14">
        <f t="shared" si="120"/>
        <v>0</v>
      </c>
      <c r="AV142" s="14">
        <f t="shared" si="120"/>
        <v>0</v>
      </c>
      <c r="AW142" s="14">
        <f t="shared" si="120"/>
        <v>0</v>
      </c>
      <c r="AX142" s="14">
        <f t="shared" si="120"/>
        <v>0</v>
      </c>
      <c r="AY142" s="14">
        <f t="shared" si="120"/>
        <v>0</v>
      </c>
      <c r="AZ142" s="14">
        <f t="shared" si="120"/>
        <v>0</v>
      </c>
      <c r="BA142" s="14">
        <f t="shared" si="120"/>
        <v>0</v>
      </c>
      <c r="BB142" s="14">
        <f t="shared" si="120"/>
        <v>0</v>
      </c>
      <c r="BC142" s="14">
        <f t="shared" si="120"/>
        <v>0</v>
      </c>
      <c r="BD142" s="14">
        <f t="shared" si="120"/>
        <v>0</v>
      </c>
      <c r="BE142" s="14">
        <f t="shared" si="120"/>
        <v>0</v>
      </c>
      <c r="BF142" s="14">
        <f t="shared" si="120"/>
        <v>0</v>
      </c>
      <c r="BG142" s="14">
        <f t="shared" si="120"/>
        <v>0</v>
      </c>
      <c r="BH142" s="14">
        <f t="shared" si="120"/>
        <v>0</v>
      </c>
      <c r="BI142" s="14">
        <f t="shared" si="120"/>
        <v>0</v>
      </c>
      <c r="BJ142" s="14">
        <f t="shared" si="120"/>
        <v>0</v>
      </c>
      <c r="BK142"/>
      <c r="BL142" s="5"/>
    </row>
    <row r="143" spans="1:64">
      <c r="A143"/>
      <c r="B143" t="s">
        <v>352</v>
      </c>
      <c r="C143" s="14" t="e">
        <f>-MAX(0,MIN(SUM(C141:C142),C127))</f>
        <v>#REF!</v>
      </c>
      <c r="D143" s="14" t="e">
        <f t="shared" ref="D143:BJ143" si="121">-MAX(0,MIN(SUM(D141:D142),D127))</f>
        <v>#REF!</v>
      </c>
      <c r="E143" s="14" t="e">
        <f t="shared" si="121"/>
        <v>#REF!</v>
      </c>
      <c r="F143" s="14" t="e">
        <f t="shared" si="121"/>
        <v>#REF!</v>
      </c>
      <c r="G143" s="14" t="e">
        <f t="shared" si="121"/>
        <v>#REF!</v>
      </c>
      <c r="H143" s="14" t="e">
        <f t="shared" si="121"/>
        <v>#REF!</v>
      </c>
      <c r="I143" s="14" t="e">
        <f t="shared" si="121"/>
        <v>#REF!</v>
      </c>
      <c r="J143" s="14" t="e">
        <f t="shared" si="121"/>
        <v>#REF!</v>
      </c>
      <c r="K143" s="14" t="e">
        <f t="shared" si="121"/>
        <v>#REF!</v>
      </c>
      <c r="L143" s="14" t="e">
        <f t="shared" si="121"/>
        <v>#REF!</v>
      </c>
      <c r="M143" s="14" t="e">
        <f t="shared" si="121"/>
        <v>#REF!</v>
      </c>
      <c r="N143" s="14" t="e">
        <f t="shared" si="121"/>
        <v>#REF!</v>
      </c>
      <c r="O143" s="14" t="e">
        <f t="shared" si="121"/>
        <v>#REF!</v>
      </c>
      <c r="P143" s="14" t="e">
        <f t="shared" si="121"/>
        <v>#REF!</v>
      </c>
      <c r="Q143" s="14" t="e">
        <f t="shared" si="121"/>
        <v>#REF!</v>
      </c>
      <c r="R143" s="14" t="e">
        <f t="shared" si="121"/>
        <v>#REF!</v>
      </c>
      <c r="S143" s="14" t="e">
        <f t="shared" si="121"/>
        <v>#REF!</v>
      </c>
      <c r="T143" s="14" t="e">
        <f t="shared" si="121"/>
        <v>#REF!</v>
      </c>
      <c r="U143" s="14" t="e">
        <f t="shared" si="121"/>
        <v>#REF!</v>
      </c>
      <c r="V143" s="14" t="e">
        <f t="shared" si="121"/>
        <v>#REF!</v>
      </c>
      <c r="W143" s="14" t="e">
        <f t="shared" si="121"/>
        <v>#REF!</v>
      </c>
      <c r="X143" s="14" t="e">
        <f t="shared" si="121"/>
        <v>#REF!</v>
      </c>
      <c r="Y143" s="14" t="e">
        <f t="shared" si="121"/>
        <v>#REF!</v>
      </c>
      <c r="Z143" s="14" t="e">
        <f t="shared" si="121"/>
        <v>#REF!</v>
      </c>
      <c r="AA143" s="14" t="e">
        <f t="shared" si="121"/>
        <v>#REF!</v>
      </c>
      <c r="AB143" s="14" t="e">
        <f t="shared" si="121"/>
        <v>#REF!</v>
      </c>
      <c r="AC143" s="14" t="e">
        <f t="shared" si="121"/>
        <v>#REF!</v>
      </c>
      <c r="AD143" s="14" t="e">
        <f t="shared" si="121"/>
        <v>#REF!</v>
      </c>
      <c r="AE143" s="14" t="e">
        <f t="shared" si="121"/>
        <v>#REF!</v>
      </c>
      <c r="AF143" s="14" t="e">
        <f t="shared" si="121"/>
        <v>#REF!</v>
      </c>
      <c r="AG143" s="14" t="e">
        <f t="shared" si="121"/>
        <v>#REF!</v>
      </c>
      <c r="AH143" s="14" t="e">
        <f t="shared" si="121"/>
        <v>#REF!</v>
      </c>
      <c r="AI143" s="14" t="e">
        <f t="shared" si="121"/>
        <v>#REF!</v>
      </c>
      <c r="AJ143" s="14" t="e">
        <f t="shared" si="121"/>
        <v>#REF!</v>
      </c>
      <c r="AK143" s="14" t="e">
        <f t="shared" si="121"/>
        <v>#REF!</v>
      </c>
      <c r="AL143" s="14" t="e">
        <f t="shared" si="121"/>
        <v>#REF!</v>
      </c>
      <c r="AM143" s="14" t="e">
        <f t="shared" si="121"/>
        <v>#REF!</v>
      </c>
      <c r="AN143" s="14" t="e">
        <f t="shared" si="121"/>
        <v>#REF!</v>
      </c>
      <c r="AO143" s="14" t="e">
        <f t="shared" si="121"/>
        <v>#REF!</v>
      </c>
      <c r="AP143" s="14" t="e">
        <f t="shared" si="121"/>
        <v>#REF!</v>
      </c>
      <c r="AQ143" s="14" t="e">
        <f t="shared" si="121"/>
        <v>#REF!</v>
      </c>
      <c r="AR143" s="14" t="e">
        <f t="shared" si="121"/>
        <v>#REF!</v>
      </c>
      <c r="AS143" s="14" t="e">
        <f t="shared" si="121"/>
        <v>#REF!</v>
      </c>
      <c r="AT143" s="14" t="e">
        <f t="shared" si="121"/>
        <v>#REF!</v>
      </c>
      <c r="AU143" s="14" t="e">
        <f t="shared" si="121"/>
        <v>#REF!</v>
      </c>
      <c r="AV143" s="14" t="e">
        <f t="shared" si="121"/>
        <v>#REF!</v>
      </c>
      <c r="AW143" s="14" t="e">
        <f t="shared" si="121"/>
        <v>#REF!</v>
      </c>
      <c r="AX143" s="14" t="e">
        <f t="shared" si="121"/>
        <v>#REF!</v>
      </c>
      <c r="AY143" s="14" t="e">
        <f t="shared" si="121"/>
        <v>#REF!</v>
      </c>
      <c r="AZ143" s="14" t="e">
        <f t="shared" si="121"/>
        <v>#REF!</v>
      </c>
      <c r="BA143" s="14" t="e">
        <f t="shared" si="121"/>
        <v>#REF!</v>
      </c>
      <c r="BB143" s="14" t="e">
        <f t="shared" si="121"/>
        <v>#REF!</v>
      </c>
      <c r="BC143" s="14" t="e">
        <f t="shared" si="121"/>
        <v>#REF!</v>
      </c>
      <c r="BD143" s="14" t="e">
        <f t="shared" si="121"/>
        <v>#REF!</v>
      </c>
      <c r="BE143" s="14" t="e">
        <f t="shared" si="121"/>
        <v>#REF!</v>
      </c>
      <c r="BF143" s="14" t="e">
        <f t="shared" si="121"/>
        <v>#REF!</v>
      </c>
      <c r="BG143" s="14" t="e">
        <f t="shared" si="121"/>
        <v>#REF!</v>
      </c>
      <c r="BH143" s="14" t="e">
        <f t="shared" si="121"/>
        <v>#REF!</v>
      </c>
      <c r="BI143" s="14" t="e">
        <f t="shared" si="121"/>
        <v>#REF!</v>
      </c>
      <c r="BJ143" s="14" t="e">
        <f t="shared" si="121"/>
        <v>#REF!</v>
      </c>
      <c r="BK143"/>
      <c r="BL143" s="5"/>
    </row>
    <row r="144" spans="1:64">
      <c r="A144"/>
      <c r="B144" s="3" t="s">
        <v>381</v>
      </c>
      <c r="C144" s="13" t="e">
        <f>SUM(C141:C143)</f>
        <v>#REF!</v>
      </c>
      <c r="D144" s="13" t="e">
        <f>SUM(D141:D143)</f>
        <v>#REF!</v>
      </c>
      <c r="E144" s="13" t="e">
        <f t="shared" ref="E144:BJ144" si="122">SUM(E141:E143)</f>
        <v>#REF!</v>
      </c>
      <c r="F144" s="13" t="e">
        <f t="shared" si="122"/>
        <v>#REF!</v>
      </c>
      <c r="G144" s="13" t="e">
        <f t="shared" si="122"/>
        <v>#REF!</v>
      </c>
      <c r="H144" s="13" t="e">
        <f t="shared" si="122"/>
        <v>#REF!</v>
      </c>
      <c r="I144" s="13" t="e">
        <f t="shared" si="122"/>
        <v>#REF!</v>
      </c>
      <c r="J144" s="13" t="e">
        <f t="shared" si="122"/>
        <v>#REF!</v>
      </c>
      <c r="K144" s="13" t="e">
        <f t="shared" si="122"/>
        <v>#REF!</v>
      </c>
      <c r="L144" s="13" t="e">
        <f t="shared" si="122"/>
        <v>#REF!</v>
      </c>
      <c r="M144" s="13" t="e">
        <f t="shared" si="122"/>
        <v>#REF!</v>
      </c>
      <c r="N144" s="13" t="e">
        <f t="shared" si="122"/>
        <v>#REF!</v>
      </c>
      <c r="O144" s="13" t="e">
        <f t="shared" si="122"/>
        <v>#REF!</v>
      </c>
      <c r="P144" s="13" t="e">
        <f t="shared" si="122"/>
        <v>#REF!</v>
      </c>
      <c r="Q144" s="13" t="e">
        <f t="shared" si="122"/>
        <v>#REF!</v>
      </c>
      <c r="R144" s="13" t="e">
        <f t="shared" si="122"/>
        <v>#REF!</v>
      </c>
      <c r="S144" s="13" t="e">
        <f t="shared" si="122"/>
        <v>#REF!</v>
      </c>
      <c r="T144" s="13" t="e">
        <f t="shared" si="122"/>
        <v>#REF!</v>
      </c>
      <c r="U144" s="13" t="e">
        <f t="shared" si="122"/>
        <v>#REF!</v>
      </c>
      <c r="V144" s="13" t="e">
        <f t="shared" si="122"/>
        <v>#REF!</v>
      </c>
      <c r="W144" s="13" t="e">
        <f t="shared" si="122"/>
        <v>#REF!</v>
      </c>
      <c r="X144" s="13" t="e">
        <f t="shared" si="122"/>
        <v>#REF!</v>
      </c>
      <c r="Y144" s="13" t="e">
        <f t="shared" si="122"/>
        <v>#REF!</v>
      </c>
      <c r="Z144" s="13" t="e">
        <f t="shared" si="122"/>
        <v>#REF!</v>
      </c>
      <c r="AA144" s="13" t="e">
        <f t="shared" si="122"/>
        <v>#REF!</v>
      </c>
      <c r="AB144" s="13" t="e">
        <f t="shared" si="122"/>
        <v>#REF!</v>
      </c>
      <c r="AC144" s="13" t="e">
        <f t="shared" si="122"/>
        <v>#REF!</v>
      </c>
      <c r="AD144" s="13" t="e">
        <f t="shared" si="122"/>
        <v>#REF!</v>
      </c>
      <c r="AE144" s="13" t="e">
        <f t="shared" si="122"/>
        <v>#REF!</v>
      </c>
      <c r="AF144" s="13" t="e">
        <f t="shared" si="122"/>
        <v>#REF!</v>
      </c>
      <c r="AG144" s="13" t="e">
        <f t="shared" si="122"/>
        <v>#REF!</v>
      </c>
      <c r="AH144" s="13" t="e">
        <f t="shared" si="122"/>
        <v>#REF!</v>
      </c>
      <c r="AI144" s="13" t="e">
        <f t="shared" si="122"/>
        <v>#REF!</v>
      </c>
      <c r="AJ144" s="13" t="e">
        <f t="shared" si="122"/>
        <v>#REF!</v>
      </c>
      <c r="AK144" s="13" t="e">
        <f t="shared" si="122"/>
        <v>#REF!</v>
      </c>
      <c r="AL144" s="13" t="e">
        <f t="shared" si="122"/>
        <v>#REF!</v>
      </c>
      <c r="AM144" s="13" t="e">
        <f t="shared" si="122"/>
        <v>#REF!</v>
      </c>
      <c r="AN144" s="13" t="e">
        <f t="shared" si="122"/>
        <v>#REF!</v>
      </c>
      <c r="AO144" s="13" t="e">
        <f t="shared" si="122"/>
        <v>#REF!</v>
      </c>
      <c r="AP144" s="13" t="e">
        <f t="shared" si="122"/>
        <v>#REF!</v>
      </c>
      <c r="AQ144" s="13" t="e">
        <f t="shared" si="122"/>
        <v>#REF!</v>
      </c>
      <c r="AR144" s="13" t="e">
        <f t="shared" si="122"/>
        <v>#REF!</v>
      </c>
      <c r="AS144" s="13" t="e">
        <f t="shared" si="122"/>
        <v>#REF!</v>
      </c>
      <c r="AT144" s="13" t="e">
        <f t="shared" si="122"/>
        <v>#REF!</v>
      </c>
      <c r="AU144" s="13" t="e">
        <f t="shared" si="122"/>
        <v>#REF!</v>
      </c>
      <c r="AV144" s="13" t="e">
        <f t="shared" si="122"/>
        <v>#REF!</v>
      </c>
      <c r="AW144" s="13" t="e">
        <f t="shared" si="122"/>
        <v>#REF!</v>
      </c>
      <c r="AX144" s="13" t="e">
        <f t="shared" si="122"/>
        <v>#REF!</v>
      </c>
      <c r="AY144" s="13" t="e">
        <f t="shared" si="122"/>
        <v>#REF!</v>
      </c>
      <c r="AZ144" s="13" t="e">
        <f t="shared" si="122"/>
        <v>#REF!</v>
      </c>
      <c r="BA144" s="13" t="e">
        <f t="shared" si="122"/>
        <v>#REF!</v>
      </c>
      <c r="BB144" s="13" t="e">
        <f t="shared" si="122"/>
        <v>#REF!</v>
      </c>
      <c r="BC144" s="13" t="e">
        <f t="shared" si="122"/>
        <v>#REF!</v>
      </c>
      <c r="BD144" s="13" t="e">
        <f t="shared" si="122"/>
        <v>#REF!</v>
      </c>
      <c r="BE144" s="13" t="e">
        <f t="shared" si="122"/>
        <v>#REF!</v>
      </c>
      <c r="BF144" s="13" t="e">
        <f t="shared" si="122"/>
        <v>#REF!</v>
      </c>
      <c r="BG144" s="13" t="e">
        <f t="shared" si="122"/>
        <v>#REF!</v>
      </c>
      <c r="BH144" s="13" t="e">
        <f t="shared" si="122"/>
        <v>#REF!</v>
      </c>
      <c r="BI144" s="13" t="e">
        <f t="shared" si="122"/>
        <v>#REF!</v>
      </c>
      <c r="BJ144" s="13" t="e">
        <f t="shared" si="122"/>
        <v>#REF!</v>
      </c>
      <c r="BK144"/>
      <c r="BL144" s="5"/>
    </row>
    <row r="145" spans="1:64">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s="5"/>
    </row>
    <row r="146" spans="1:64">
      <c r="A146"/>
      <c r="B146" t="s">
        <v>382</v>
      </c>
      <c r="C146" s="14">
        <v>0</v>
      </c>
      <c r="D146" s="14" t="e">
        <f>+C151</f>
        <v>#REF!</v>
      </c>
      <c r="E146" s="14" t="e">
        <f t="shared" ref="E146:BJ146" si="123">+D151</f>
        <v>#REF!</v>
      </c>
      <c r="F146" s="14" t="e">
        <f t="shared" si="123"/>
        <v>#REF!</v>
      </c>
      <c r="G146" s="14" t="e">
        <f t="shared" si="123"/>
        <v>#REF!</v>
      </c>
      <c r="H146" s="14" t="e">
        <f t="shared" si="123"/>
        <v>#REF!</v>
      </c>
      <c r="I146" s="14" t="e">
        <f t="shared" si="123"/>
        <v>#REF!</v>
      </c>
      <c r="J146" s="14" t="e">
        <f t="shared" si="123"/>
        <v>#REF!</v>
      </c>
      <c r="K146" s="14" t="e">
        <f t="shared" si="123"/>
        <v>#REF!</v>
      </c>
      <c r="L146" s="14" t="e">
        <f t="shared" si="123"/>
        <v>#REF!</v>
      </c>
      <c r="M146" s="14" t="e">
        <f t="shared" si="123"/>
        <v>#REF!</v>
      </c>
      <c r="N146" s="14" t="e">
        <f t="shared" si="123"/>
        <v>#REF!</v>
      </c>
      <c r="O146" s="14" t="e">
        <f t="shared" si="123"/>
        <v>#REF!</v>
      </c>
      <c r="P146" s="14" t="e">
        <f t="shared" si="123"/>
        <v>#REF!</v>
      </c>
      <c r="Q146" s="14" t="e">
        <f t="shared" si="123"/>
        <v>#REF!</v>
      </c>
      <c r="R146" s="14" t="e">
        <f t="shared" si="123"/>
        <v>#REF!</v>
      </c>
      <c r="S146" s="14" t="e">
        <f t="shared" si="123"/>
        <v>#REF!</v>
      </c>
      <c r="T146" s="14" t="e">
        <f t="shared" si="123"/>
        <v>#REF!</v>
      </c>
      <c r="U146" s="14" t="e">
        <f t="shared" si="123"/>
        <v>#REF!</v>
      </c>
      <c r="V146" s="14" t="e">
        <f t="shared" si="123"/>
        <v>#REF!</v>
      </c>
      <c r="W146" s="14" t="e">
        <f t="shared" si="123"/>
        <v>#REF!</v>
      </c>
      <c r="X146" s="14" t="e">
        <f t="shared" si="123"/>
        <v>#REF!</v>
      </c>
      <c r="Y146" s="14" t="e">
        <f t="shared" si="123"/>
        <v>#REF!</v>
      </c>
      <c r="Z146" s="14" t="e">
        <f t="shared" si="123"/>
        <v>#REF!</v>
      </c>
      <c r="AA146" s="14" t="e">
        <f t="shared" si="123"/>
        <v>#REF!</v>
      </c>
      <c r="AB146" s="14" t="e">
        <f t="shared" si="123"/>
        <v>#REF!</v>
      </c>
      <c r="AC146" s="14" t="e">
        <f t="shared" si="123"/>
        <v>#REF!</v>
      </c>
      <c r="AD146" s="14" t="e">
        <f t="shared" si="123"/>
        <v>#REF!</v>
      </c>
      <c r="AE146" s="14" t="e">
        <f t="shared" si="123"/>
        <v>#REF!</v>
      </c>
      <c r="AF146" s="14" t="e">
        <f t="shared" si="123"/>
        <v>#REF!</v>
      </c>
      <c r="AG146" s="14" t="e">
        <f t="shared" si="123"/>
        <v>#REF!</v>
      </c>
      <c r="AH146" s="14" t="e">
        <f t="shared" si="123"/>
        <v>#REF!</v>
      </c>
      <c r="AI146" s="14" t="e">
        <f t="shared" si="123"/>
        <v>#REF!</v>
      </c>
      <c r="AJ146" s="14" t="e">
        <f t="shared" si="123"/>
        <v>#REF!</v>
      </c>
      <c r="AK146" s="14" t="e">
        <f t="shared" si="123"/>
        <v>#REF!</v>
      </c>
      <c r="AL146" s="14" t="e">
        <f t="shared" si="123"/>
        <v>#REF!</v>
      </c>
      <c r="AM146" s="14" t="e">
        <f t="shared" si="123"/>
        <v>#REF!</v>
      </c>
      <c r="AN146" s="14" t="e">
        <f t="shared" si="123"/>
        <v>#REF!</v>
      </c>
      <c r="AO146" s="14" t="e">
        <f t="shared" si="123"/>
        <v>#REF!</v>
      </c>
      <c r="AP146" s="14" t="e">
        <f t="shared" si="123"/>
        <v>#REF!</v>
      </c>
      <c r="AQ146" s="14" t="e">
        <f t="shared" si="123"/>
        <v>#REF!</v>
      </c>
      <c r="AR146" s="14" t="e">
        <f t="shared" si="123"/>
        <v>#REF!</v>
      </c>
      <c r="AS146" s="14" t="e">
        <f t="shared" si="123"/>
        <v>#REF!</v>
      </c>
      <c r="AT146" s="14" t="e">
        <f t="shared" si="123"/>
        <v>#REF!</v>
      </c>
      <c r="AU146" s="14" t="e">
        <f t="shared" si="123"/>
        <v>#REF!</v>
      </c>
      <c r="AV146" s="14" t="e">
        <f t="shared" si="123"/>
        <v>#REF!</v>
      </c>
      <c r="AW146" s="14" t="e">
        <f t="shared" si="123"/>
        <v>#REF!</v>
      </c>
      <c r="AX146" s="14" t="e">
        <f t="shared" si="123"/>
        <v>#REF!</v>
      </c>
      <c r="AY146" s="14" t="e">
        <f t="shared" si="123"/>
        <v>#REF!</v>
      </c>
      <c r="AZ146" s="14" t="e">
        <f t="shared" si="123"/>
        <v>#REF!</v>
      </c>
      <c r="BA146" s="14" t="e">
        <f t="shared" si="123"/>
        <v>#REF!</v>
      </c>
      <c r="BB146" s="14" t="e">
        <f t="shared" si="123"/>
        <v>#REF!</v>
      </c>
      <c r="BC146" s="14" t="e">
        <f t="shared" si="123"/>
        <v>#REF!</v>
      </c>
      <c r="BD146" s="14" t="e">
        <f t="shared" si="123"/>
        <v>#REF!</v>
      </c>
      <c r="BE146" s="14" t="e">
        <f t="shared" si="123"/>
        <v>#REF!</v>
      </c>
      <c r="BF146" s="14" t="e">
        <f t="shared" si="123"/>
        <v>#REF!</v>
      </c>
      <c r="BG146" s="14" t="e">
        <f t="shared" si="123"/>
        <v>#REF!</v>
      </c>
      <c r="BH146" s="14" t="e">
        <f t="shared" si="123"/>
        <v>#REF!</v>
      </c>
      <c r="BI146" s="14" t="e">
        <f t="shared" si="123"/>
        <v>#REF!</v>
      </c>
      <c r="BJ146" s="14" t="e">
        <f t="shared" si="123"/>
        <v>#REF!</v>
      </c>
      <c r="BK146" s="14"/>
      <c r="BL146" s="5"/>
    </row>
    <row r="147" spans="1:64">
      <c r="A147"/>
      <c r="B147" t="s">
        <v>351</v>
      </c>
      <c r="C147" s="14">
        <f>+C142</f>
        <v>0</v>
      </c>
      <c r="D147" s="14">
        <f t="shared" ref="D147:BJ147" si="124">+D142</f>
        <v>0</v>
      </c>
      <c r="E147" s="14">
        <f t="shared" si="124"/>
        <v>0</v>
      </c>
      <c r="F147" s="14">
        <f t="shared" si="124"/>
        <v>0</v>
      </c>
      <c r="G147" s="14">
        <f t="shared" si="124"/>
        <v>0</v>
      </c>
      <c r="H147" s="14">
        <f t="shared" si="124"/>
        <v>0</v>
      </c>
      <c r="I147" s="14">
        <f t="shared" si="124"/>
        <v>0</v>
      </c>
      <c r="J147" s="14">
        <f t="shared" si="124"/>
        <v>0</v>
      </c>
      <c r="K147" s="14">
        <f t="shared" si="124"/>
        <v>0</v>
      </c>
      <c r="L147" s="14">
        <f t="shared" si="124"/>
        <v>0</v>
      </c>
      <c r="M147" s="14">
        <f t="shared" si="124"/>
        <v>0</v>
      </c>
      <c r="N147" s="14">
        <f t="shared" si="124"/>
        <v>0</v>
      </c>
      <c r="O147" s="14">
        <f t="shared" si="124"/>
        <v>0</v>
      </c>
      <c r="P147" s="14">
        <f t="shared" si="124"/>
        <v>0</v>
      </c>
      <c r="Q147" s="14">
        <f t="shared" si="124"/>
        <v>0</v>
      </c>
      <c r="R147" s="14">
        <f t="shared" si="124"/>
        <v>0</v>
      </c>
      <c r="S147" s="14">
        <f t="shared" si="124"/>
        <v>0</v>
      </c>
      <c r="T147" s="14">
        <f t="shared" si="124"/>
        <v>0</v>
      </c>
      <c r="U147" s="14">
        <f t="shared" si="124"/>
        <v>0</v>
      </c>
      <c r="V147" s="14">
        <f t="shared" si="124"/>
        <v>0</v>
      </c>
      <c r="W147" s="14">
        <f t="shared" si="124"/>
        <v>0</v>
      </c>
      <c r="X147" s="14">
        <f t="shared" si="124"/>
        <v>0</v>
      </c>
      <c r="Y147" s="14">
        <f t="shared" si="124"/>
        <v>0</v>
      </c>
      <c r="Z147" s="14">
        <f t="shared" si="124"/>
        <v>0</v>
      </c>
      <c r="AA147" s="14">
        <f t="shared" si="124"/>
        <v>0</v>
      </c>
      <c r="AB147" s="14">
        <f t="shared" si="124"/>
        <v>0</v>
      </c>
      <c r="AC147" s="14">
        <f t="shared" si="124"/>
        <v>0</v>
      </c>
      <c r="AD147" s="14">
        <f t="shared" si="124"/>
        <v>0</v>
      </c>
      <c r="AE147" s="14">
        <f t="shared" si="124"/>
        <v>0</v>
      </c>
      <c r="AF147" s="14">
        <f t="shared" si="124"/>
        <v>0</v>
      </c>
      <c r="AG147" s="14">
        <f t="shared" si="124"/>
        <v>0</v>
      </c>
      <c r="AH147" s="14">
        <f t="shared" si="124"/>
        <v>0</v>
      </c>
      <c r="AI147" s="14">
        <f t="shared" si="124"/>
        <v>0</v>
      </c>
      <c r="AJ147" s="14">
        <f t="shared" si="124"/>
        <v>0</v>
      </c>
      <c r="AK147" s="14">
        <f t="shared" si="124"/>
        <v>0</v>
      </c>
      <c r="AL147" s="14">
        <f t="shared" si="124"/>
        <v>0</v>
      </c>
      <c r="AM147" s="14">
        <f t="shared" si="124"/>
        <v>0</v>
      </c>
      <c r="AN147" s="14">
        <f t="shared" si="124"/>
        <v>0</v>
      </c>
      <c r="AO147" s="14">
        <f t="shared" si="124"/>
        <v>0</v>
      </c>
      <c r="AP147" s="14">
        <f t="shared" si="124"/>
        <v>0</v>
      </c>
      <c r="AQ147" s="14">
        <f t="shared" si="124"/>
        <v>0</v>
      </c>
      <c r="AR147" s="14">
        <f t="shared" si="124"/>
        <v>0</v>
      </c>
      <c r="AS147" s="14">
        <f t="shared" si="124"/>
        <v>0</v>
      </c>
      <c r="AT147" s="14">
        <f t="shared" si="124"/>
        <v>0</v>
      </c>
      <c r="AU147" s="14">
        <f t="shared" si="124"/>
        <v>0</v>
      </c>
      <c r="AV147" s="14">
        <f t="shared" si="124"/>
        <v>0</v>
      </c>
      <c r="AW147" s="14">
        <f t="shared" si="124"/>
        <v>0</v>
      </c>
      <c r="AX147" s="14">
        <f t="shared" si="124"/>
        <v>0</v>
      </c>
      <c r="AY147" s="14">
        <f t="shared" si="124"/>
        <v>0</v>
      </c>
      <c r="AZ147" s="14">
        <f t="shared" si="124"/>
        <v>0</v>
      </c>
      <c r="BA147" s="14">
        <f t="shared" si="124"/>
        <v>0</v>
      </c>
      <c r="BB147" s="14">
        <f t="shared" si="124"/>
        <v>0</v>
      </c>
      <c r="BC147" s="14">
        <f t="shared" si="124"/>
        <v>0</v>
      </c>
      <c r="BD147" s="14">
        <f t="shared" si="124"/>
        <v>0</v>
      </c>
      <c r="BE147" s="14">
        <f t="shared" si="124"/>
        <v>0</v>
      </c>
      <c r="BF147" s="14">
        <f t="shared" si="124"/>
        <v>0</v>
      </c>
      <c r="BG147" s="14">
        <f t="shared" si="124"/>
        <v>0</v>
      </c>
      <c r="BH147" s="14">
        <f t="shared" si="124"/>
        <v>0</v>
      </c>
      <c r="BI147" s="14">
        <f t="shared" si="124"/>
        <v>0</v>
      </c>
      <c r="BJ147" s="14">
        <f t="shared" si="124"/>
        <v>0</v>
      </c>
      <c r="BK147" s="14"/>
      <c r="BL147" s="5"/>
    </row>
    <row r="148" spans="1:64">
      <c r="A148"/>
      <c r="B148" t="s">
        <v>377</v>
      </c>
      <c r="C148" s="14">
        <f>+C168</f>
        <v>0</v>
      </c>
      <c r="D148" s="14">
        <f t="shared" ref="D148:BJ148" si="125">+D168</f>
        <v>0</v>
      </c>
      <c r="E148" s="14">
        <f t="shared" si="125"/>
        <v>0</v>
      </c>
      <c r="F148" s="14">
        <f t="shared" si="125"/>
        <v>0</v>
      </c>
      <c r="G148" s="14">
        <f t="shared" si="125"/>
        <v>0</v>
      </c>
      <c r="H148" s="14">
        <f t="shared" si="125"/>
        <v>0</v>
      </c>
      <c r="I148" s="14">
        <f t="shared" si="125"/>
        <v>0</v>
      </c>
      <c r="J148" s="14">
        <f t="shared" si="125"/>
        <v>0</v>
      </c>
      <c r="K148" s="14">
        <f t="shared" si="125"/>
        <v>0</v>
      </c>
      <c r="L148" s="14">
        <f t="shared" si="125"/>
        <v>0</v>
      </c>
      <c r="M148" s="14">
        <f t="shared" si="125"/>
        <v>0</v>
      </c>
      <c r="N148" s="14">
        <f t="shared" si="125"/>
        <v>0</v>
      </c>
      <c r="O148" s="14">
        <f t="shared" si="125"/>
        <v>0</v>
      </c>
      <c r="P148" s="14">
        <f t="shared" si="125"/>
        <v>0</v>
      </c>
      <c r="Q148" s="14">
        <f t="shared" si="125"/>
        <v>0</v>
      </c>
      <c r="R148" s="14">
        <f t="shared" si="125"/>
        <v>0</v>
      </c>
      <c r="S148" s="14">
        <f t="shared" si="125"/>
        <v>0</v>
      </c>
      <c r="T148" s="14">
        <f t="shared" si="125"/>
        <v>0</v>
      </c>
      <c r="U148" s="14">
        <f t="shared" si="125"/>
        <v>0</v>
      </c>
      <c r="V148" s="14">
        <f t="shared" si="125"/>
        <v>0</v>
      </c>
      <c r="W148" s="14">
        <f t="shared" si="125"/>
        <v>0</v>
      </c>
      <c r="X148" s="14">
        <f t="shared" si="125"/>
        <v>0</v>
      </c>
      <c r="Y148" s="14">
        <f t="shared" si="125"/>
        <v>0</v>
      </c>
      <c r="Z148" s="14">
        <f t="shared" si="125"/>
        <v>0</v>
      </c>
      <c r="AA148" s="14">
        <f t="shared" si="125"/>
        <v>0</v>
      </c>
      <c r="AB148" s="14">
        <f t="shared" si="125"/>
        <v>0</v>
      </c>
      <c r="AC148" s="14">
        <f t="shared" si="125"/>
        <v>0</v>
      </c>
      <c r="AD148" s="14">
        <f t="shared" si="125"/>
        <v>0</v>
      </c>
      <c r="AE148" s="14">
        <f t="shared" si="125"/>
        <v>0</v>
      </c>
      <c r="AF148" s="14">
        <f t="shared" si="125"/>
        <v>0</v>
      </c>
      <c r="AG148" s="14">
        <f t="shared" si="125"/>
        <v>0</v>
      </c>
      <c r="AH148" s="14">
        <f t="shared" si="125"/>
        <v>0</v>
      </c>
      <c r="AI148" s="14">
        <f t="shared" si="125"/>
        <v>0</v>
      </c>
      <c r="AJ148" s="14">
        <f t="shared" si="125"/>
        <v>0</v>
      </c>
      <c r="AK148" s="14">
        <f t="shared" si="125"/>
        <v>0</v>
      </c>
      <c r="AL148" s="14">
        <f t="shared" si="125"/>
        <v>0</v>
      </c>
      <c r="AM148" s="14">
        <f t="shared" si="125"/>
        <v>0</v>
      </c>
      <c r="AN148" s="14">
        <f t="shared" si="125"/>
        <v>0</v>
      </c>
      <c r="AO148" s="14">
        <f t="shared" si="125"/>
        <v>0</v>
      </c>
      <c r="AP148" s="14">
        <f t="shared" si="125"/>
        <v>0</v>
      </c>
      <c r="AQ148" s="14">
        <f t="shared" si="125"/>
        <v>0</v>
      </c>
      <c r="AR148" s="14">
        <f t="shared" si="125"/>
        <v>0</v>
      </c>
      <c r="AS148" s="14">
        <f t="shared" si="125"/>
        <v>0</v>
      </c>
      <c r="AT148" s="14">
        <f t="shared" si="125"/>
        <v>0</v>
      </c>
      <c r="AU148" s="14">
        <f t="shared" si="125"/>
        <v>0</v>
      </c>
      <c r="AV148" s="14">
        <f t="shared" si="125"/>
        <v>0</v>
      </c>
      <c r="AW148" s="14">
        <f t="shared" si="125"/>
        <v>0</v>
      </c>
      <c r="AX148" s="14">
        <f t="shared" si="125"/>
        <v>0</v>
      </c>
      <c r="AY148" s="14">
        <f t="shared" si="125"/>
        <v>0</v>
      </c>
      <c r="AZ148" s="14">
        <f t="shared" si="125"/>
        <v>0</v>
      </c>
      <c r="BA148" s="14">
        <f t="shared" si="125"/>
        <v>0</v>
      </c>
      <c r="BB148" s="14">
        <f t="shared" si="125"/>
        <v>0</v>
      </c>
      <c r="BC148" s="14">
        <f t="shared" si="125"/>
        <v>0</v>
      </c>
      <c r="BD148" s="14">
        <f t="shared" si="125"/>
        <v>0</v>
      </c>
      <c r="BE148" s="14">
        <f t="shared" si="125"/>
        <v>0</v>
      </c>
      <c r="BF148" s="14">
        <f t="shared" si="125"/>
        <v>0</v>
      </c>
      <c r="BG148" s="14">
        <f t="shared" si="125"/>
        <v>0</v>
      </c>
      <c r="BH148" s="14">
        <f t="shared" si="125"/>
        <v>0</v>
      </c>
      <c r="BI148" s="14">
        <f t="shared" si="125"/>
        <v>0</v>
      </c>
      <c r="BJ148" s="14">
        <f t="shared" si="125"/>
        <v>0</v>
      </c>
      <c r="BK148" s="14"/>
      <c r="BL148" s="5"/>
    </row>
    <row r="149" spans="1:64">
      <c r="A149"/>
      <c r="B149" t="s">
        <v>352</v>
      </c>
      <c r="C149" s="14" t="e">
        <f>+C143</f>
        <v>#REF!</v>
      </c>
      <c r="D149" s="14" t="e">
        <f t="shared" ref="D149:BJ149" si="126">+D143</f>
        <v>#REF!</v>
      </c>
      <c r="E149" s="14" t="e">
        <f t="shared" si="126"/>
        <v>#REF!</v>
      </c>
      <c r="F149" s="14" t="e">
        <f t="shared" si="126"/>
        <v>#REF!</v>
      </c>
      <c r="G149" s="14" t="e">
        <f t="shared" si="126"/>
        <v>#REF!</v>
      </c>
      <c r="H149" s="14" t="e">
        <f t="shared" si="126"/>
        <v>#REF!</v>
      </c>
      <c r="I149" s="14" t="e">
        <f t="shared" si="126"/>
        <v>#REF!</v>
      </c>
      <c r="J149" s="14" t="e">
        <f t="shared" si="126"/>
        <v>#REF!</v>
      </c>
      <c r="K149" s="14" t="e">
        <f t="shared" si="126"/>
        <v>#REF!</v>
      </c>
      <c r="L149" s="14" t="e">
        <f t="shared" si="126"/>
        <v>#REF!</v>
      </c>
      <c r="M149" s="14" t="e">
        <f t="shared" si="126"/>
        <v>#REF!</v>
      </c>
      <c r="N149" s="14" t="e">
        <f t="shared" si="126"/>
        <v>#REF!</v>
      </c>
      <c r="O149" s="14" t="e">
        <f t="shared" si="126"/>
        <v>#REF!</v>
      </c>
      <c r="P149" s="14" t="e">
        <f t="shared" si="126"/>
        <v>#REF!</v>
      </c>
      <c r="Q149" s="14" t="e">
        <f t="shared" si="126"/>
        <v>#REF!</v>
      </c>
      <c r="R149" s="14" t="e">
        <f t="shared" si="126"/>
        <v>#REF!</v>
      </c>
      <c r="S149" s="14" t="e">
        <f t="shared" si="126"/>
        <v>#REF!</v>
      </c>
      <c r="T149" s="14" t="e">
        <f t="shared" si="126"/>
        <v>#REF!</v>
      </c>
      <c r="U149" s="14" t="e">
        <f t="shared" si="126"/>
        <v>#REF!</v>
      </c>
      <c r="V149" s="14" t="e">
        <f t="shared" si="126"/>
        <v>#REF!</v>
      </c>
      <c r="W149" s="14" t="e">
        <f t="shared" si="126"/>
        <v>#REF!</v>
      </c>
      <c r="X149" s="14" t="e">
        <f t="shared" si="126"/>
        <v>#REF!</v>
      </c>
      <c r="Y149" s="14" t="e">
        <f t="shared" si="126"/>
        <v>#REF!</v>
      </c>
      <c r="Z149" s="14" t="e">
        <f t="shared" si="126"/>
        <v>#REF!</v>
      </c>
      <c r="AA149" s="14" t="e">
        <f t="shared" si="126"/>
        <v>#REF!</v>
      </c>
      <c r="AB149" s="14" t="e">
        <f t="shared" si="126"/>
        <v>#REF!</v>
      </c>
      <c r="AC149" s="14" t="e">
        <f t="shared" si="126"/>
        <v>#REF!</v>
      </c>
      <c r="AD149" s="14" t="e">
        <f t="shared" si="126"/>
        <v>#REF!</v>
      </c>
      <c r="AE149" s="14" t="e">
        <f t="shared" si="126"/>
        <v>#REF!</v>
      </c>
      <c r="AF149" s="14" t="e">
        <f t="shared" si="126"/>
        <v>#REF!</v>
      </c>
      <c r="AG149" s="14" t="e">
        <f t="shared" si="126"/>
        <v>#REF!</v>
      </c>
      <c r="AH149" s="14" t="e">
        <f t="shared" si="126"/>
        <v>#REF!</v>
      </c>
      <c r="AI149" s="14" t="e">
        <f t="shared" si="126"/>
        <v>#REF!</v>
      </c>
      <c r="AJ149" s="14" t="e">
        <f t="shared" si="126"/>
        <v>#REF!</v>
      </c>
      <c r="AK149" s="14" t="e">
        <f t="shared" si="126"/>
        <v>#REF!</v>
      </c>
      <c r="AL149" s="14" t="e">
        <f t="shared" si="126"/>
        <v>#REF!</v>
      </c>
      <c r="AM149" s="14" t="e">
        <f t="shared" si="126"/>
        <v>#REF!</v>
      </c>
      <c r="AN149" s="14" t="e">
        <f t="shared" si="126"/>
        <v>#REF!</v>
      </c>
      <c r="AO149" s="14" t="e">
        <f t="shared" si="126"/>
        <v>#REF!</v>
      </c>
      <c r="AP149" s="14" t="e">
        <f t="shared" si="126"/>
        <v>#REF!</v>
      </c>
      <c r="AQ149" s="14" t="e">
        <f t="shared" si="126"/>
        <v>#REF!</v>
      </c>
      <c r="AR149" s="14" t="e">
        <f t="shared" si="126"/>
        <v>#REF!</v>
      </c>
      <c r="AS149" s="14" t="e">
        <f t="shared" si="126"/>
        <v>#REF!</v>
      </c>
      <c r="AT149" s="14" t="e">
        <f t="shared" si="126"/>
        <v>#REF!</v>
      </c>
      <c r="AU149" s="14" t="e">
        <f t="shared" si="126"/>
        <v>#REF!</v>
      </c>
      <c r="AV149" s="14" t="e">
        <f t="shared" si="126"/>
        <v>#REF!</v>
      </c>
      <c r="AW149" s="14" t="e">
        <f t="shared" si="126"/>
        <v>#REF!</v>
      </c>
      <c r="AX149" s="14" t="e">
        <f t="shared" si="126"/>
        <v>#REF!</v>
      </c>
      <c r="AY149" s="14" t="e">
        <f t="shared" si="126"/>
        <v>#REF!</v>
      </c>
      <c r="AZ149" s="14" t="e">
        <f t="shared" si="126"/>
        <v>#REF!</v>
      </c>
      <c r="BA149" s="14" t="e">
        <f t="shared" si="126"/>
        <v>#REF!</v>
      </c>
      <c r="BB149" s="14" t="e">
        <f t="shared" si="126"/>
        <v>#REF!</v>
      </c>
      <c r="BC149" s="14" t="e">
        <f t="shared" si="126"/>
        <v>#REF!</v>
      </c>
      <c r="BD149" s="14" t="e">
        <f t="shared" si="126"/>
        <v>#REF!</v>
      </c>
      <c r="BE149" s="14" t="e">
        <f t="shared" si="126"/>
        <v>#REF!</v>
      </c>
      <c r="BF149" s="14" t="e">
        <f t="shared" si="126"/>
        <v>#REF!</v>
      </c>
      <c r="BG149" s="14" t="e">
        <f t="shared" si="126"/>
        <v>#REF!</v>
      </c>
      <c r="BH149" s="14" t="e">
        <f t="shared" si="126"/>
        <v>#REF!</v>
      </c>
      <c r="BI149" s="14" t="e">
        <f t="shared" si="126"/>
        <v>#REF!</v>
      </c>
      <c r="BJ149" s="14" t="e">
        <f t="shared" si="126"/>
        <v>#REF!</v>
      </c>
      <c r="BK149" s="14"/>
      <c r="BL149" s="5"/>
    </row>
    <row r="150" spans="1:64">
      <c r="A150"/>
      <c r="B150" t="s">
        <v>378</v>
      </c>
      <c r="C150" s="14" t="e">
        <f>+C169</f>
        <v>#REF!</v>
      </c>
      <c r="D150" s="14" t="e">
        <f t="shared" ref="D150:BJ150" si="127">+D169</f>
        <v>#REF!</v>
      </c>
      <c r="E150" s="14" t="e">
        <f t="shared" si="127"/>
        <v>#REF!</v>
      </c>
      <c r="F150" s="14" t="e">
        <f t="shared" si="127"/>
        <v>#REF!</v>
      </c>
      <c r="G150" s="14" t="e">
        <f t="shared" si="127"/>
        <v>#REF!</v>
      </c>
      <c r="H150" s="14" t="e">
        <f t="shared" si="127"/>
        <v>#REF!</v>
      </c>
      <c r="I150" s="14" t="e">
        <f t="shared" si="127"/>
        <v>#REF!</v>
      </c>
      <c r="J150" s="14" t="e">
        <f t="shared" si="127"/>
        <v>#REF!</v>
      </c>
      <c r="K150" s="14" t="e">
        <f t="shared" si="127"/>
        <v>#REF!</v>
      </c>
      <c r="L150" s="14" t="e">
        <f t="shared" si="127"/>
        <v>#REF!</v>
      </c>
      <c r="M150" s="14" t="e">
        <f t="shared" si="127"/>
        <v>#REF!</v>
      </c>
      <c r="N150" s="14" t="e">
        <f t="shared" si="127"/>
        <v>#REF!</v>
      </c>
      <c r="O150" s="14" t="e">
        <f t="shared" si="127"/>
        <v>#REF!</v>
      </c>
      <c r="P150" s="14" t="e">
        <f t="shared" si="127"/>
        <v>#REF!</v>
      </c>
      <c r="Q150" s="14" t="e">
        <f t="shared" si="127"/>
        <v>#REF!</v>
      </c>
      <c r="R150" s="14" t="e">
        <f t="shared" si="127"/>
        <v>#REF!</v>
      </c>
      <c r="S150" s="14" t="e">
        <f t="shared" si="127"/>
        <v>#REF!</v>
      </c>
      <c r="T150" s="14" t="e">
        <f t="shared" si="127"/>
        <v>#REF!</v>
      </c>
      <c r="U150" s="14" t="e">
        <f t="shared" si="127"/>
        <v>#REF!</v>
      </c>
      <c r="V150" s="14" t="e">
        <f t="shared" si="127"/>
        <v>#REF!</v>
      </c>
      <c r="W150" s="14" t="e">
        <f t="shared" si="127"/>
        <v>#REF!</v>
      </c>
      <c r="X150" s="14" t="e">
        <f t="shared" si="127"/>
        <v>#REF!</v>
      </c>
      <c r="Y150" s="14" t="e">
        <f t="shared" si="127"/>
        <v>#REF!</v>
      </c>
      <c r="Z150" s="14" t="e">
        <f t="shared" si="127"/>
        <v>#REF!</v>
      </c>
      <c r="AA150" s="14" t="e">
        <f t="shared" si="127"/>
        <v>#REF!</v>
      </c>
      <c r="AB150" s="14" t="e">
        <f t="shared" si="127"/>
        <v>#REF!</v>
      </c>
      <c r="AC150" s="14" t="e">
        <f t="shared" si="127"/>
        <v>#REF!</v>
      </c>
      <c r="AD150" s="14" t="e">
        <f t="shared" si="127"/>
        <v>#REF!</v>
      </c>
      <c r="AE150" s="14" t="e">
        <f t="shared" si="127"/>
        <v>#REF!</v>
      </c>
      <c r="AF150" s="14" t="e">
        <f t="shared" si="127"/>
        <v>#REF!</v>
      </c>
      <c r="AG150" s="14" t="e">
        <f t="shared" si="127"/>
        <v>#REF!</v>
      </c>
      <c r="AH150" s="14" t="e">
        <f t="shared" si="127"/>
        <v>#REF!</v>
      </c>
      <c r="AI150" s="14" t="e">
        <f t="shared" si="127"/>
        <v>#REF!</v>
      </c>
      <c r="AJ150" s="14" t="e">
        <f t="shared" si="127"/>
        <v>#REF!</v>
      </c>
      <c r="AK150" s="14" t="e">
        <f t="shared" si="127"/>
        <v>#REF!</v>
      </c>
      <c r="AL150" s="14" t="e">
        <f t="shared" si="127"/>
        <v>#REF!</v>
      </c>
      <c r="AM150" s="14" t="e">
        <f t="shared" si="127"/>
        <v>#REF!</v>
      </c>
      <c r="AN150" s="14" t="e">
        <f t="shared" si="127"/>
        <v>#REF!</v>
      </c>
      <c r="AO150" s="14" t="e">
        <f t="shared" si="127"/>
        <v>#REF!</v>
      </c>
      <c r="AP150" s="14" t="e">
        <f t="shared" si="127"/>
        <v>#REF!</v>
      </c>
      <c r="AQ150" s="14" t="e">
        <f t="shared" si="127"/>
        <v>#REF!</v>
      </c>
      <c r="AR150" s="14" t="e">
        <f t="shared" si="127"/>
        <v>#REF!</v>
      </c>
      <c r="AS150" s="14" t="e">
        <f t="shared" si="127"/>
        <v>#REF!</v>
      </c>
      <c r="AT150" s="14" t="e">
        <f t="shared" si="127"/>
        <v>#REF!</v>
      </c>
      <c r="AU150" s="14" t="e">
        <f t="shared" si="127"/>
        <v>#REF!</v>
      </c>
      <c r="AV150" s="14" t="e">
        <f t="shared" si="127"/>
        <v>#REF!</v>
      </c>
      <c r="AW150" s="14" t="e">
        <f t="shared" si="127"/>
        <v>#REF!</v>
      </c>
      <c r="AX150" s="14" t="e">
        <f t="shared" si="127"/>
        <v>#REF!</v>
      </c>
      <c r="AY150" s="14" t="e">
        <f t="shared" si="127"/>
        <v>#REF!</v>
      </c>
      <c r="AZ150" s="14" t="e">
        <f t="shared" si="127"/>
        <v>#REF!</v>
      </c>
      <c r="BA150" s="14" t="e">
        <f t="shared" si="127"/>
        <v>#REF!</v>
      </c>
      <c r="BB150" s="14" t="e">
        <f t="shared" si="127"/>
        <v>#REF!</v>
      </c>
      <c r="BC150" s="14" t="e">
        <f t="shared" si="127"/>
        <v>#REF!</v>
      </c>
      <c r="BD150" s="14" t="e">
        <f t="shared" si="127"/>
        <v>#REF!</v>
      </c>
      <c r="BE150" s="14" t="e">
        <f t="shared" si="127"/>
        <v>#REF!</v>
      </c>
      <c r="BF150" s="14" t="e">
        <f t="shared" si="127"/>
        <v>#REF!</v>
      </c>
      <c r="BG150" s="14" t="e">
        <f t="shared" si="127"/>
        <v>#REF!</v>
      </c>
      <c r="BH150" s="14" t="e">
        <f t="shared" si="127"/>
        <v>#REF!</v>
      </c>
      <c r="BI150" s="14" t="e">
        <f t="shared" si="127"/>
        <v>#REF!</v>
      </c>
      <c r="BJ150" s="14" t="e">
        <f t="shared" si="127"/>
        <v>#REF!</v>
      </c>
      <c r="BK150" s="14"/>
      <c r="BL150" s="5"/>
    </row>
    <row r="151" spans="1:64">
      <c r="A151"/>
      <c r="B151" s="3" t="s">
        <v>383</v>
      </c>
      <c r="C151" s="13" t="e">
        <f>SUM(C146:C150)</f>
        <v>#REF!</v>
      </c>
      <c r="D151" s="13" t="e">
        <f t="shared" ref="D151:BJ151" si="128">SUM(D146:D150)</f>
        <v>#REF!</v>
      </c>
      <c r="E151" s="13" t="e">
        <f t="shared" si="128"/>
        <v>#REF!</v>
      </c>
      <c r="F151" s="13" t="e">
        <f t="shared" si="128"/>
        <v>#REF!</v>
      </c>
      <c r="G151" s="13" t="e">
        <f t="shared" si="128"/>
        <v>#REF!</v>
      </c>
      <c r="H151" s="13" t="e">
        <f t="shared" si="128"/>
        <v>#REF!</v>
      </c>
      <c r="I151" s="13" t="e">
        <f t="shared" si="128"/>
        <v>#REF!</v>
      </c>
      <c r="J151" s="13" t="e">
        <f t="shared" si="128"/>
        <v>#REF!</v>
      </c>
      <c r="K151" s="13" t="e">
        <f t="shared" si="128"/>
        <v>#REF!</v>
      </c>
      <c r="L151" s="13" t="e">
        <f t="shared" si="128"/>
        <v>#REF!</v>
      </c>
      <c r="M151" s="13" t="e">
        <f t="shared" si="128"/>
        <v>#REF!</v>
      </c>
      <c r="N151" s="13" t="e">
        <f t="shared" si="128"/>
        <v>#REF!</v>
      </c>
      <c r="O151" s="13" t="e">
        <f t="shared" si="128"/>
        <v>#REF!</v>
      </c>
      <c r="P151" s="13" t="e">
        <f t="shared" si="128"/>
        <v>#REF!</v>
      </c>
      <c r="Q151" s="13" t="e">
        <f t="shared" si="128"/>
        <v>#REF!</v>
      </c>
      <c r="R151" s="13" t="e">
        <f t="shared" si="128"/>
        <v>#REF!</v>
      </c>
      <c r="S151" s="13" t="e">
        <f t="shared" si="128"/>
        <v>#REF!</v>
      </c>
      <c r="T151" s="13" t="e">
        <f t="shared" si="128"/>
        <v>#REF!</v>
      </c>
      <c r="U151" s="13" t="e">
        <f t="shared" si="128"/>
        <v>#REF!</v>
      </c>
      <c r="V151" s="13" t="e">
        <f t="shared" si="128"/>
        <v>#REF!</v>
      </c>
      <c r="W151" s="13" t="e">
        <f t="shared" si="128"/>
        <v>#REF!</v>
      </c>
      <c r="X151" s="13" t="e">
        <f t="shared" si="128"/>
        <v>#REF!</v>
      </c>
      <c r="Y151" s="13" t="e">
        <f t="shared" si="128"/>
        <v>#REF!</v>
      </c>
      <c r="Z151" s="13" t="e">
        <f t="shared" si="128"/>
        <v>#REF!</v>
      </c>
      <c r="AA151" s="13" t="e">
        <f t="shared" si="128"/>
        <v>#REF!</v>
      </c>
      <c r="AB151" s="13" t="e">
        <f t="shared" si="128"/>
        <v>#REF!</v>
      </c>
      <c r="AC151" s="13" t="e">
        <f t="shared" si="128"/>
        <v>#REF!</v>
      </c>
      <c r="AD151" s="13" t="e">
        <f t="shared" si="128"/>
        <v>#REF!</v>
      </c>
      <c r="AE151" s="13" t="e">
        <f t="shared" si="128"/>
        <v>#REF!</v>
      </c>
      <c r="AF151" s="13" t="e">
        <f t="shared" si="128"/>
        <v>#REF!</v>
      </c>
      <c r="AG151" s="13" t="e">
        <f t="shared" si="128"/>
        <v>#REF!</v>
      </c>
      <c r="AH151" s="13" t="e">
        <f t="shared" si="128"/>
        <v>#REF!</v>
      </c>
      <c r="AI151" s="13" t="e">
        <f t="shared" si="128"/>
        <v>#REF!</v>
      </c>
      <c r="AJ151" s="13" t="e">
        <f t="shared" si="128"/>
        <v>#REF!</v>
      </c>
      <c r="AK151" s="13" t="e">
        <f t="shared" si="128"/>
        <v>#REF!</v>
      </c>
      <c r="AL151" s="13" t="e">
        <f t="shared" si="128"/>
        <v>#REF!</v>
      </c>
      <c r="AM151" s="13" t="e">
        <f t="shared" si="128"/>
        <v>#REF!</v>
      </c>
      <c r="AN151" s="13" t="e">
        <f t="shared" si="128"/>
        <v>#REF!</v>
      </c>
      <c r="AO151" s="13" t="e">
        <f t="shared" si="128"/>
        <v>#REF!</v>
      </c>
      <c r="AP151" s="13" t="e">
        <f t="shared" si="128"/>
        <v>#REF!</v>
      </c>
      <c r="AQ151" s="13" t="e">
        <f t="shared" si="128"/>
        <v>#REF!</v>
      </c>
      <c r="AR151" s="13" t="e">
        <f t="shared" si="128"/>
        <v>#REF!</v>
      </c>
      <c r="AS151" s="13" t="e">
        <f t="shared" si="128"/>
        <v>#REF!</v>
      </c>
      <c r="AT151" s="13" t="e">
        <f t="shared" si="128"/>
        <v>#REF!</v>
      </c>
      <c r="AU151" s="13" t="e">
        <f t="shared" si="128"/>
        <v>#REF!</v>
      </c>
      <c r="AV151" s="13" t="e">
        <f t="shared" si="128"/>
        <v>#REF!</v>
      </c>
      <c r="AW151" s="13" t="e">
        <f t="shared" si="128"/>
        <v>#REF!</v>
      </c>
      <c r="AX151" s="13" t="e">
        <f t="shared" si="128"/>
        <v>#REF!</v>
      </c>
      <c r="AY151" s="13" t="e">
        <f t="shared" si="128"/>
        <v>#REF!</v>
      </c>
      <c r="AZ151" s="13" t="e">
        <f t="shared" si="128"/>
        <v>#REF!</v>
      </c>
      <c r="BA151" s="13" t="e">
        <f t="shared" si="128"/>
        <v>#REF!</v>
      </c>
      <c r="BB151" s="13" t="e">
        <f t="shared" si="128"/>
        <v>#REF!</v>
      </c>
      <c r="BC151" s="13" t="e">
        <f t="shared" si="128"/>
        <v>#REF!</v>
      </c>
      <c r="BD151" s="13" t="e">
        <f t="shared" si="128"/>
        <v>#REF!</v>
      </c>
      <c r="BE151" s="13" t="e">
        <f t="shared" si="128"/>
        <v>#REF!</v>
      </c>
      <c r="BF151" s="13" t="e">
        <f t="shared" si="128"/>
        <v>#REF!</v>
      </c>
      <c r="BG151" s="13" t="e">
        <f t="shared" si="128"/>
        <v>#REF!</v>
      </c>
      <c r="BH151" s="13" t="e">
        <f t="shared" si="128"/>
        <v>#REF!</v>
      </c>
      <c r="BI151" s="13" t="e">
        <f t="shared" si="128"/>
        <v>#REF!</v>
      </c>
      <c r="BJ151" s="13" t="e">
        <f t="shared" si="128"/>
        <v>#REF!</v>
      </c>
      <c r="BK151" s="14"/>
      <c r="BL151" s="5"/>
    </row>
    <row r="152" spans="1:64">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s="5"/>
    </row>
    <row r="153" spans="1:64">
      <c r="A153"/>
      <c r="B153" t="s">
        <v>384</v>
      </c>
      <c r="C153" s="14" t="e">
        <f>-C131</f>
        <v>#REF!</v>
      </c>
      <c r="D153" s="14" t="e">
        <f t="shared" ref="D153:BJ153" si="129">-D131</f>
        <v>#REF!</v>
      </c>
      <c r="E153" s="14" t="e">
        <f t="shared" si="129"/>
        <v>#REF!</v>
      </c>
      <c r="F153" s="14" t="e">
        <f t="shared" si="129"/>
        <v>#REF!</v>
      </c>
      <c r="G153" s="14" t="e">
        <f t="shared" si="129"/>
        <v>#REF!</v>
      </c>
      <c r="H153" s="14" t="e">
        <f t="shared" si="129"/>
        <v>#REF!</v>
      </c>
      <c r="I153" s="14" t="e">
        <f t="shared" si="129"/>
        <v>#REF!</v>
      </c>
      <c r="J153" s="14" t="e">
        <f t="shared" si="129"/>
        <v>#REF!</v>
      </c>
      <c r="K153" s="14" t="e">
        <f t="shared" si="129"/>
        <v>#REF!</v>
      </c>
      <c r="L153" s="14" t="e">
        <f t="shared" si="129"/>
        <v>#REF!</v>
      </c>
      <c r="M153" s="14" t="e">
        <f t="shared" si="129"/>
        <v>#REF!</v>
      </c>
      <c r="N153" s="14" t="e">
        <f t="shared" si="129"/>
        <v>#REF!</v>
      </c>
      <c r="O153" s="14" t="e">
        <f t="shared" si="129"/>
        <v>#REF!</v>
      </c>
      <c r="P153" s="14" t="e">
        <f t="shared" si="129"/>
        <v>#REF!</v>
      </c>
      <c r="Q153" s="14" t="e">
        <f t="shared" si="129"/>
        <v>#REF!</v>
      </c>
      <c r="R153" s="14" t="e">
        <f t="shared" si="129"/>
        <v>#REF!</v>
      </c>
      <c r="S153" s="14" t="e">
        <f t="shared" si="129"/>
        <v>#REF!</v>
      </c>
      <c r="T153" s="14" t="e">
        <f t="shared" si="129"/>
        <v>#REF!</v>
      </c>
      <c r="U153" s="14" t="e">
        <f t="shared" si="129"/>
        <v>#REF!</v>
      </c>
      <c r="V153" s="14" t="e">
        <f t="shared" si="129"/>
        <v>#REF!</v>
      </c>
      <c r="W153" s="14" t="e">
        <f t="shared" si="129"/>
        <v>#REF!</v>
      </c>
      <c r="X153" s="14" t="e">
        <f t="shared" si="129"/>
        <v>#REF!</v>
      </c>
      <c r="Y153" s="14" t="e">
        <f t="shared" si="129"/>
        <v>#REF!</v>
      </c>
      <c r="Z153" s="14" t="e">
        <f t="shared" si="129"/>
        <v>#REF!</v>
      </c>
      <c r="AA153" s="14" t="e">
        <f t="shared" si="129"/>
        <v>#REF!</v>
      </c>
      <c r="AB153" s="14" t="e">
        <f t="shared" si="129"/>
        <v>#REF!</v>
      </c>
      <c r="AC153" s="14" t="e">
        <f t="shared" si="129"/>
        <v>#REF!</v>
      </c>
      <c r="AD153" s="14" t="e">
        <f t="shared" si="129"/>
        <v>#REF!</v>
      </c>
      <c r="AE153" s="14" t="e">
        <f t="shared" si="129"/>
        <v>#REF!</v>
      </c>
      <c r="AF153" s="14" t="e">
        <f t="shared" si="129"/>
        <v>#REF!</v>
      </c>
      <c r="AG153" s="14" t="e">
        <f t="shared" si="129"/>
        <v>#REF!</v>
      </c>
      <c r="AH153" s="14" t="e">
        <f t="shared" si="129"/>
        <v>#REF!</v>
      </c>
      <c r="AI153" s="14" t="e">
        <f t="shared" si="129"/>
        <v>#REF!</v>
      </c>
      <c r="AJ153" s="14" t="e">
        <f t="shared" si="129"/>
        <v>#REF!</v>
      </c>
      <c r="AK153" s="14" t="e">
        <f t="shared" si="129"/>
        <v>#REF!</v>
      </c>
      <c r="AL153" s="14" t="e">
        <f t="shared" si="129"/>
        <v>#REF!</v>
      </c>
      <c r="AM153" s="14" t="e">
        <f t="shared" si="129"/>
        <v>#REF!</v>
      </c>
      <c r="AN153" s="14" t="e">
        <f t="shared" si="129"/>
        <v>#REF!</v>
      </c>
      <c r="AO153" s="14" t="e">
        <f t="shared" si="129"/>
        <v>#REF!</v>
      </c>
      <c r="AP153" s="14" t="e">
        <f t="shared" si="129"/>
        <v>#REF!</v>
      </c>
      <c r="AQ153" s="14" t="e">
        <f t="shared" si="129"/>
        <v>#REF!</v>
      </c>
      <c r="AR153" s="14" t="e">
        <f t="shared" si="129"/>
        <v>#REF!</v>
      </c>
      <c r="AS153" s="14" t="e">
        <f t="shared" si="129"/>
        <v>#REF!</v>
      </c>
      <c r="AT153" s="14" t="e">
        <f t="shared" si="129"/>
        <v>#REF!</v>
      </c>
      <c r="AU153" s="14" t="e">
        <f t="shared" si="129"/>
        <v>#REF!</v>
      </c>
      <c r="AV153" s="14" t="e">
        <f t="shared" si="129"/>
        <v>#REF!</v>
      </c>
      <c r="AW153" s="14" t="e">
        <f t="shared" si="129"/>
        <v>#REF!</v>
      </c>
      <c r="AX153" s="14" t="e">
        <f t="shared" si="129"/>
        <v>#REF!</v>
      </c>
      <c r="AY153" s="14" t="e">
        <f t="shared" si="129"/>
        <v>#REF!</v>
      </c>
      <c r="AZ153" s="14" t="e">
        <f t="shared" si="129"/>
        <v>#REF!</v>
      </c>
      <c r="BA153" s="14" t="e">
        <f t="shared" si="129"/>
        <v>#REF!</v>
      </c>
      <c r="BB153" s="14" t="e">
        <f t="shared" si="129"/>
        <v>#REF!</v>
      </c>
      <c r="BC153" s="14" t="e">
        <f t="shared" si="129"/>
        <v>#REF!</v>
      </c>
      <c r="BD153" s="14" t="e">
        <f t="shared" si="129"/>
        <v>#REF!</v>
      </c>
      <c r="BE153" s="14" t="e">
        <f t="shared" si="129"/>
        <v>#REF!</v>
      </c>
      <c r="BF153" s="14" t="e">
        <f t="shared" si="129"/>
        <v>#REF!</v>
      </c>
      <c r="BG153" s="14" t="e">
        <f t="shared" si="129"/>
        <v>#REF!</v>
      </c>
      <c r="BH153" s="14" t="e">
        <f t="shared" si="129"/>
        <v>#REF!</v>
      </c>
      <c r="BI153" s="14" t="e">
        <f t="shared" si="129"/>
        <v>#REF!</v>
      </c>
      <c r="BJ153" s="14" t="e">
        <f t="shared" si="129"/>
        <v>#REF!</v>
      </c>
      <c r="BK153"/>
      <c r="BL153" s="5"/>
    </row>
    <row r="154" spans="1:64">
      <c r="A154"/>
      <c r="B154" t="s">
        <v>385</v>
      </c>
      <c r="C154" s="14" t="e">
        <f>-C143</f>
        <v>#REF!</v>
      </c>
      <c r="D154" s="14" t="e">
        <f t="shared" ref="D154:BJ154" si="130">-D143</f>
        <v>#REF!</v>
      </c>
      <c r="E154" s="14" t="e">
        <f t="shared" si="130"/>
        <v>#REF!</v>
      </c>
      <c r="F154" s="14" t="e">
        <f t="shared" si="130"/>
        <v>#REF!</v>
      </c>
      <c r="G154" s="14" t="e">
        <f t="shared" si="130"/>
        <v>#REF!</v>
      </c>
      <c r="H154" s="14" t="e">
        <f t="shared" si="130"/>
        <v>#REF!</v>
      </c>
      <c r="I154" s="14" t="e">
        <f t="shared" si="130"/>
        <v>#REF!</v>
      </c>
      <c r="J154" s="14" t="e">
        <f t="shared" si="130"/>
        <v>#REF!</v>
      </c>
      <c r="K154" s="14" t="e">
        <f t="shared" si="130"/>
        <v>#REF!</v>
      </c>
      <c r="L154" s="14" t="e">
        <f t="shared" si="130"/>
        <v>#REF!</v>
      </c>
      <c r="M154" s="14" t="e">
        <f t="shared" si="130"/>
        <v>#REF!</v>
      </c>
      <c r="N154" s="14" t="e">
        <f t="shared" si="130"/>
        <v>#REF!</v>
      </c>
      <c r="O154" s="14" t="e">
        <f t="shared" si="130"/>
        <v>#REF!</v>
      </c>
      <c r="P154" s="14" t="e">
        <f t="shared" si="130"/>
        <v>#REF!</v>
      </c>
      <c r="Q154" s="14" t="e">
        <f t="shared" si="130"/>
        <v>#REF!</v>
      </c>
      <c r="R154" s="14" t="e">
        <f t="shared" si="130"/>
        <v>#REF!</v>
      </c>
      <c r="S154" s="14" t="e">
        <f t="shared" si="130"/>
        <v>#REF!</v>
      </c>
      <c r="T154" s="14" t="e">
        <f t="shared" si="130"/>
        <v>#REF!</v>
      </c>
      <c r="U154" s="14" t="e">
        <f t="shared" si="130"/>
        <v>#REF!</v>
      </c>
      <c r="V154" s="14" t="e">
        <f t="shared" si="130"/>
        <v>#REF!</v>
      </c>
      <c r="W154" s="14" t="e">
        <f t="shared" si="130"/>
        <v>#REF!</v>
      </c>
      <c r="X154" s="14" t="e">
        <f t="shared" si="130"/>
        <v>#REF!</v>
      </c>
      <c r="Y154" s="14" t="e">
        <f t="shared" si="130"/>
        <v>#REF!</v>
      </c>
      <c r="Z154" s="14" t="e">
        <f t="shared" si="130"/>
        <v>#REF!</v>
      </c>
      <c r="AA154" s="14" t="e">
        <f t="shared" si="130"/>
        <v>#REF!</v>
      </c>
      <c r="AB154" s="14" t="e">
        <f t="shared" si="130"/>
        <v>#REF!</v>
      </c>
      <c r="AC154" s="14" t="e">
        <f t="shared" si="130"/>
        <v>#REF!</v>
      </c>
      <c r="AD154" s="14" t="e">
        <f t="shared" si="130"/>
        <v>#REF!</v>
      </c>
      <c r="AE154" s="14" t="e">
        <f t="shared" si="130"/>
        <v>#REF!</v>
      </c>
      <c r="AF154" s="14" t="e">
        <f t="shared" si="130"/>
        <v>#REF!</v>
      </c>
      <c r="AG154" s="14" t="e">
        <f t="shared" si="130"/>
        <v>#REF!</v>
      </c>
      <c r="AH154" s="14" t="e">
        <f t="shared" si="130"/>
        <v>#REF!</v>
      </c>
      <c r="AI154" s="14" t="e">
        <f t="shared" si="130"/>
        <v>#REF!</v>
      </c>
      <c r="AJ154" s="14" t="e">
        <f t="shared" si="130"/>
        <v>#REF!</v>
      </c>
      <c r="AK154" s="14" t="e">
        <f t="shared" si="130"/>
        <v>#REF!</v>
      </c>
      <c r="AL154" s="14" t="e">
        <f t="shared" si="130"/>
        <v>#REF!</v>
      </c>
      <c r="AM154" s="14" t="e">
        <f t="shared" si="130"/>
        <v>#REF!</v>
      </c>
      <c r="AN154" s="14" t="e">
        <f t="shared" si="130"/>
        <v>#REF!</v>
      </c>
      <c r="AO154" s="14" t="e">
        <f t="shared" si="130"/>
        <v>#REF!</v>
      </c>
      <c r="AP154" s="14" t="e">
        <f t="shared" si="130"/>
        <v>#REF!</v>
      </c>
      <c r="AQ154" s="14" t="e">
        <f t="shared" si="130"/>
        <v>#REF!</v>
      </c>
      <c r="AR154" s="14" t="e">
        <f t="shared" si="130"/>
        <v>#REF!</v>
      </c>
      <c r="AS154" s="14" t="e">
        <f t="shared" si="130"/>
        <v>#REF!</v>
      </c>
      <c r="AT154" s="14" t="e">
        <f t="shared" si="130"/>
        <v>#REF!</v>
      </c>
      <c r="AU154" s="14" t="e">
        <f t="shared" si="130"/>
        <v>#REF!</v>
      </c>
      <c r="AV154" s="14" t="e">
        <f t="shared" si="130"/>
        <v>#REF!</v>
      </c>
      <c r="AW154" s="14" t="e">
        <f t="shared" si="130"/>
        <v>#REF!</v>
      </c>
      <c r="AX154" s="14" t="e">
        <f t="shared" si="130"/>
        <v>#REF!</v>
      </c>
      <c r="AY154" s="14" t="e">
        <f t="shared" si="130"/>
        <v>#REF!</v>
      </c>
      <c r="AZ154" s="14" t="e">
        <f t="shared" si="130"/>
        <v>#REF!</v>
      </c>
      <c r="BA154" s="14" t="e">
        <f t="shared" si="130"/>
        <v>#REF!</v>
      </c>
      <c r="BB154" s="14" t="e">
        <f t="shared" si="130"/>
        <v>#REF!</v>
      </c>
      <c r="BC154" s="14" t="e">
        <f t="shared" si="130"/>
        <v>#REF!</v>
      </c>
      <c r="BD154" s="14" t="e">
        <f t="shared" si="130"/>
        <v>#REF!</v>
      </c>
      <c r="BE154" s="14" t="e">
        <f t="shared" si="130"/>
        <v>#REF!</v>
      </c>
      <c r="BF154" s="14" t="e">
        <f t="shared" si="130"/>
        <v>#REF!</v>
      </c>
      <c r="BG154" s="14" t="e">
        <f t="shared" si="130"/>
        <v>#REF!</v>
      </c>
      <c r="BH154" s="14" t="e">
        <f t="shared" si="130"/>
        <v>#REF!</v>
      </c>
      <c r="BI154" s="14" t="e">
        <f t="shared" si="130"/>
        <v>#REF!</v>
      </c>
      <c r="BJ154" s="14" t="e">
        <f t="shared" si="130"/>
        <v>#REF!</v>
      </c>
      <c r="BK154"/>
      <c r="BL154" s="5"/>
    </row>
    <row r="155" spans="1:64">
      <c r="A155"/>
      <c r="B155" s="3" t="s">
        <v>386</v>
      </c>
      <c r="C155" s="13" t="e">
        <f>SUM(C153:C154)</f>
        <v>#REF!</v>
      </c>
      <c r="D155" s="13" t="e">
        <f t="shared" ref="D155:BJ155" si="131">SUM(D153:D154)</f>
        <v>#REF!</v>
      </c>
      <c r="E155" s="13" t="e">
        <f t="shared" si="131"/>
        <v>#REF!</v>
      </c>
      <c r="F155" s="13" t="e">
        <f t="shared" si="131"/>
        <v>#REF!</v>
      </c>
      <c r="G155" s="13" t="e">
        <f t="shared" si="131"/>
        <v>#REF!</v>
      </c>
      <c r="H155" s="13" t="e">
        <f t="shared" si="131"/>
        <v>#REF!</v>
      </c>
      <c r="I155" s="13" t="e">
        <f t="shared" si="131"/>
        <v>#REF!</v>
      </c>
      <c r="J155" s="13" t="e">
        <f t="shared" si="131"/>
        <v>#REF!</v>
      </c>
      <c r="K155" s="13" t="e">
        <f t="shared" si="131"/>
        <v>#REF!</v>
      </c>
      <c r="L155" s="13" t="e">
        <f t="shared" si="131"/>
        <v>#REF!</v>
      </c>
      <c r="M155" s="13" t="e">
        <f t="shared" si="131"/>
        <v>#REF!</v>
      </c>
      <c r="N155" s="13" t="e">
        <f t="shared" si="131"/>
        <v>#REF!</v>
      </c>
      <c r="O155" s="13" t="e">
        <f t="shared" si="131"/>
        <v>#REF!</v>
      </c>
      <c r="P155" s="13" t="e">
        <f t="shared" si="131"/>
        <v>#REF!</v>
      </c>
      <c r="Q155" s="13" t="e">
        <f t="shared" si="131"/>
        <v>#REF!</v>
      </c>
      <c r="R155" s="13" t="e">
        <f t="shared" si="131"/>
        <v>#REF!</v>
      </c>
      <c r="S155" s="13" t="e">
        <f t="shared" si="131"/>
        <v>#REF!</v>
      </c>
      <c r="T155" s="13" t="e">
        <f t="shared" si="131"/>
        <v>#REF!</v>
      </c>
      <c r="U155" s="13" t="e">
        <f t="shared" si="131"/>
        <v>#REF!</v>
      </c>
      <c r="V155" s="13" t="e">
        <f t="shared" si="131"/>
        <v>#REF!</v>
      </c>
      <c r="W155" s="13" t="e">
        <f t="shared" si="131"/>
        <v>#REF!</v>
      </c>
      <c r="X155" s="13" t="e">
        <f t="shared" si="131"/>
        <v>#REF!</v>
      </c>
      <c r="Y155" s="13" t="e">
        <f t="shared" si="131"/>
        <v>#REF!</v>
      </c>
      <c r="Z155" s="13" t="e">
        <f t="shared" si="131"/>
        <v>#REF!</v>
      </c>
      <c r="AA155" s="13" t="e">
        <f t="shared" si="131"/>
        <v>#REF!</v>
      </c>
      <c r="AB155" s="13" t="e">
        <f t="shared" si="131"/>
        <v>#REF!</v>
      </c>
      <c r="AC155" s="13" t="e">
        <f t="shared" si="131"/>
        <v>#REF!</v>
      </c>
      <c r="AD155" s="13" t="e">
        <f t="shared" si="131"/>
        <v>#REF!</v>
      </c>
      <c r="AE155" s="13" t="e">
        <f t="shared" si="131"/>
        <v>#REF!</v>
      </c>
      <c r="AF155" s="13" t="e">
        <f t="shared" si="131"/>
        <v>#REF!</v>
      </c>
      <c r="AG155" s="13" t="e">
        <f t="shared" si="131"/>
        <v>#REF!</v>
      </c>
      <c r="AH155" s="13" t="e">
        <f t="shared" si="131"/>
        <v>#REF!</v>
      </c>
      <c r="AI155" s="13" t="e">
        <f t="shared" si="131"/>
        <v>#REF!</v>
      </c>
      <c r="AJ155" s="13" t="e">
        <f t="shared" si="131"/>
        <v>#REF!</v>
      </c>
      <c r="AK155" s="13" t="e">
        <f t="shared" si="131"/>
        <v>#REF!</v>
      </c>
      <c r="AL155" s="13" t="e">
        <f t="shared" si="131"/>
        <v>#REF!</v>
      </c>
      <c r="AM155" s="13" t="e">
        <f t="shared" si="131"/>
        <v>#REF!</v>
      </c>
      <c r="AN155" s="13" t="e">
        <f t="shared" si="131"/>
        <v>#REF!</v>
      </c>
      <c r="AO155" s="13" t="e">
        <f t="shared" si="131"/>
        <v>#REF!</v>
      </c>
      <c r="AP155" s="13" t="e">
        <f t="shared" si="131"/>
        <v>#REF!</v>
      </c>
      <c r="AQ155" s="13" t="e">
        <f t="shared" si="131"/>
        <v>#REF!</v>
      </c>
      <c r="AR155" s="13" t="e">
        <f t="shared" si="131"/>
        <v>#REF!</v>
      </c>
      <c r="AS155" s="13" t="e">
        <f t="shared" si="131"/>
        <v>#REF!</v>
      </c>
      <c r="AT155" s="13" t="e">
        <f t="shared" si="131"/>
        <v>#REF!</v>
      </c>
      <c r="AU155" s="13" t="e">
        <f t="shared" si="131"/>
        <v>#REF!</v>
      </c>
      <c r="AV155" s="13" t="e">
        <f t="shared" si="131"/>
        <v>#REF!</v>
      </c>
      <c r="AW155" s="13" t="e">
        <f t="shared" si="131"/>
        <v>#REF!</v>
      </c>
      <c r="AX155" s="13" t="e">
        <f t="shared" si="131"/>
        <v>#REF!</v>
      </c>
      <c r="AY155" s="13" t="e">
        <f t="shared" si="131"/>
        <v>#REF!</v>
      </c>
      <c r="AZ155" s="13" t="e">
        <f t="shared" si="131"/>
        <v>#REF!</v>
      </c>
      <c r="BA155" s="13" t="e">
        <f t="shared" si="131"/>
        <v>#REF!</v>
      </c>
      <c r="BB155" s="13" t="e">
        <f t="shared" si="131"/>
        <v>#REF!</v>
      </c>
      <c r="BC155" s="13" t="e">
        <f t="shared" si="131"/>
        <v>#REF!</v>
      </c>
      <c r="BD155" s="13" t="e">
        <f t="shared" si="131"/>
        <v>#REF!</v>
      </c>
      <c r="BE155" s="13" t="e">
        <f t="shared" si="131"/>
        <v>#REF!</v>
      </c>
      <c r="BF155" s="13" t="e">
        <f t="shared" si="131"/>
        <v>#REF!</v>
      </c>
      <c r="BG155" s="13" t="e">
        <f t="shared" si="131"/>
        <v>#REF!</v>
      </c>
      <c r="BH155" s="13" t="e">
        <f t="shared" si="131"/>
        <v>#REF!</v>
      </c>
      <c r="BI155" s="13" t="e">
        <f t="shared" si="131"/>
        <v>#REF!</v>
      </c>
      <c r="BJ155" s="13" t="e">
        <f t="shared" si="131"/>
        <v>#REF!</v>
      </c>
      <c r="BK155"/>
      <c r="BL155" s="5"/>
    </row>
    <row r="156" spans="1:64">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s="5"/>
    </row>
    <row r="157" spans="1:64">
      <c r="A157"/>
      <c r="B157" s="28" t="e">
        <f>TEXT($B$25,"")</f>
        <v>#REF!</v>
      </c>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s="5"/>
    </row>
    <row r="158" spans="1:64">
      <c r="A158"/>
      <c r="B158" t="s">
        <v>349</v>
      </c>
      <c r="C158" s="30" t="e">
        <f>+C125-C155</f>
        <v>#REF!</v>
      </c>
      <c r="D158" s="30" t="e">
        <f t="shared" ref="D158:BJ158" si="132">+D125-D155</f>
        <v>#REF!</v>
      </c>
      <c r="E158" s="30" t="e">
        <f t="shared" si="132"/>
        <v>#REF!</v>
      </c>
      <c r="F158" s="30" t="e">
        <f t="shared" si="132"/>
        <v>#REF!</v>
      </c>
      <c r="G158" s="30" t="e">
        <f t="shared" si="132"/>
        <v>#REF!</v>
      </c>
      <c r="H158" s="30" t="e">
        <f t="shared" si="132"/>
        <v>#REF!</v>
      </c>
      <c r="I158" s="30" t="e">
        <f t="shared" si="132"/>
        <v>#REF!</v>
      </c>
      <c r="J158" s="30" t="e">
        <f t="shared" si="132"/>
        <v>#REF!</v>
      </c>
      <c r="K158" s="30" t="e">
        <f t="shared" si="132"/>
        <v>#REF!</v>
      </c>
      <c r="L158" s="30" t="e">
        <f t="shared" si="132"/>
        <v>#REF!</v>
      </c>
      <c r="M158" s="30" t="e">
        <f t="shared" si="132"/>
        <v>#REF!</v>
      </c>
      <c r="N158" s="30" t="e">
        <f t="shared" si="132"/>
        <v>#REF!</v>
      </c>
      <c r="O158" s="30" t="e">
        <f t="shared" si="132"/>
        <v>#REF!</v>
      </c>
      <c r="P158" s="30" t="e">
        <f t="shared" si="132"/>
        <v>#REF!</v>
      </c>
      <c r="Q158" s="30" t="e">
        <f t="shared" si="132"/>
        <v>#REF!</v>
      </c>
      <c r="R158" s="30" t="e">
        <f t="shared" si="132"/>
        <v>#REF!</v>
      </c>
      <c r="S158" s="30" t="e">
        <f t="shared" si="132"/>
        <v>#REF!</v>
      </c>
      <c r="T158" s="30" t="e">
        <f t="shared" si="132"/>
        <v>#REF!</v>
      </c>
      <c r="U158" s="30" t="e">
        <f t="shared" si="132"/>
        <v>#REF!</v>
      </c>
      <c r="V158" s="30" t="e">
        <f t="shared" si="132"/>
        <v>#REF!</v>
      </c>
      <c r="W158" s="30" t="e">
        <f t="shared" si="132"/>
        <v>#REF!</v>
      </c>
      <c r="X158" s="30" t="e">
        <f t="shared" si="132"/>
        <v>#REF!</v>
      </c>
      <c r="Y158" s="30" t="e">
        <f t="shared" si="132"/>
        <v>#REF!</v>
      </c>
      <c r="Z158" s="30" t="e">
        <f t="shared" si="132"/>
        <v>#REF!</v>
      </c>
      <c r="AA158" s="30" t="e">
        <f t="shared" si="132"/>
        <v>#REF!</v>
      </c>
      <c r="AB158" s="30" t="e">
        <f t="shared" si="132"/>
        <v>#REF!</v>
      </c>
      <c r="AC158" s="30" t="e">
        <f t="shared" si="132"/>
        <v>#REF!</v>
      </c>
      <c r="AD158" s="30" t="e">
        <f t="shared" si="132"/>
        <v>#REF!</v>
      </c>
      <c r="AE158" s="30" t="e">
        <f t="shared" si="132"/>
        <v>#REF!</v>
      </c>
      <c r="AF158" s="30" t="e">
        <f t="shared" si="132"/>
        <v>#REF!</v>
      </c>
      <c r="AG158" s="30" t="e">
        <f t="shared" si="132"/>
        <v>#REF!</v>
      </c>
      <c r="AH158" s="30" t="e">
        <f t="shared" si="132"/>
        <v>#REF!</v>
      </c>
      <c r="AI158" s="30" t="e">
        <f t="shared" si="132"/>
        <v>#REF!</v>
      </c>
      <c r="AJ158" s="30" t="e">
        <f t="shared" si="132"/>
        <v>#REF!</v>
      </c>
      <c r="AK158" s="30" t="e">
        <f t="shared" si="132"/>
        <v>#REF!</v>
      </c>
      <c r="AL158" s="30" t="e">
        <f t="shared" si="132"/>
        <v>#REF!</v>
      </c>
      <c r="AM158" s="30" t="e">
        <f t="shared" si="132"/>
        <v>#REF!</v>
      </c>
      <c r="AN158" s="30" t="e">
        <f t="shared" si="132"/>
        <v>#REF!</v>
      </c>
      <c r="AO158" s="30" t="e">
        <f t="shared" si="132"/>
        <v>#REF!</v>
      </c>
      <c r="AP158" s="30" t="e">
        <f t="shared" si="132"/>
        <v>#REF!</v>
      </c>
      <c r="AQ158" s="30" t="e">
        <f t="shared" si="132"/>
        <v>#REF!</v>
      </c>
      <c r="AR158" s="30" t="e">
        <f t="shared" si="132"/>
        <v>#REF!</v>
      </c>
      <c r="AS158" s="30" t="e">
        <f t="shared" si="132"/>
        <v>#REF!</v>
      </c>
      <c r="AT158" s="30" t="e">
        <f t="shared" si="132"/>
        <v>#REF!</v>
      </c>
      <c r="AU158" s="30" t="e">
        <f t="shared" si="132"/>
        <v>#REF!</v>
      </c>
      <c r="AV158" s="30" t="e">
        <f t="shared" si="132"/>
        <v>#REF!</v>
      </c>
      <c r="AW158" s="30" t="e">
        <f t="shared" si="132"/>
        <v>#REF!</v>
      </c>
      <c r="AX158" s="30" t="e">
        <f t="shared" si="132"/>
        <v>#REF!</v>
      </c>
      <c r="AY158" s="30" t="e">
        <f t="shared" si="132"/>
        <v>#REF!</v>
      </c>
      <c r="AZ158" s="30" t="e">
        <f t="shared" si="132"/>
        <v>#REF!</v>
      </c>
      <c r="BA158" s="30" t="e">
        <f t="shared" si="132"/>
        <v>#REF!</v>
      </c>
      <c r="BB158" s="30" t="e">
        <f t="shared" si="132"/>
        <v>#REF!</v>
      </c>
      <c r="BC158" s="30" t="e">
        <f t="shared" si="132"/>
        <v>#REF!</v>
      </c>
      <c r="BD158" s="30" t="e">
        <f t="shared" si="132"/>
        <v>#REF!</v>
      </c>
      <c r="BE158" s="30" t="e">
        <f t="shared" si="132"/>
        <v>#REF!</v>
      </c>
      <c r="BF158" s="30" t="e">
        <f t="shared" si="132"/>
        <v>#REF!</v>
      </c>
      <c r="BG158" s="30" t="e">
        <f t="shared" si="132"/>
        <v>#REF!</v>
      </c>
      <c r="BH158" s="30" t="e">
        <f t="shared" si="132"/>
        <v>#REF!</v>
      </c>
      <c r="BI158" s="30" t="e">
        <f t="shared" si="132"/>
        <v>#REF!</v>
      </c>
      <c r="BJ158" s="30" t="e">
        <f t="shared" si="132"/>
        <v>#REF!</v>
      </c>
      <c r="BK158"/>
      <c r="BL158" s="5"/>
    </row>
    <row r="159" spans="1:64">
      <c r="A159"/>
      <c r="B159" s="75" t="s">
        <v>372</v>
      </c>
      <c r="C159" s="107" t="e">
        <f>C158*$F$25</f>
        <v>#REF!</v>
      </c>
      <c r="D159" s="107" t="e">
        <f t="shared" ref="D159:BJ159" si="133">D158*$F$25</f>
        <v>#REF!</v>
      </c>
      <c r="E159" s="107" t="e">
        <f t="shared" si="133"/>
        <v>#REF!</v>
      </c>
      <c r="F159" s="107" t="e">
        <f t="shared" si="133"/>
        <v>#REF!</v>
      </c>
      <c r="G159" s="107" t="e">
        <f t="shared" si="133"/>
        <v>#REF!</v>
      </c>
      <c r="H159" s="107" t="e">
        <f t="shared" si="133"/>
        <v>#REF!</v>
      </c>
      <c r="I159" s="107" t="e">
        <f t="shared" si="133"/>
        <v>#REF!</v>
      </c>
      <c r="J159" s="107" t="e">
        <f t="shared" si="133"/>
        <v>#REF!</v>
      </c>
      <c r="K159" s="107" t="e">
        <f t="shared" si="133"/>
        <v>#REF!</v>
      </c>
      <c r="L159" s="107" t="e">
        <f t="shared" si="133"/>
        <v>#REF!</v>
      </c>
      <c r="M159" s="107" t="e">
        <f t="shared" si="133"/>
        <v>#REF!</v>
      </c>
      <c r="N159" s="107" t="e">
        <f t="shared" si="133"/>
        <v>#REF!</v>
      </c>
      <c r="O159" s="107" t="e">
        <f t="shared" si="133"/>
        <v>#REF!</v>
      </c>
      <c r="P159" s="107" t="e">
        <f t="shared" si="133"/>
        <v>#REF!</v>
      </c>
      <c r="Q159" s="107" t="e">
        <f t="shared" si="133"/>
        <v>#REF!</v>
      </c>
      <c r="R159" s="107" t="e">
        <f t="shared" si="133"/>
        <v>#REF!</v>
      </c>
      <c r="S159" s="107" t="e">
        <f t="shared" si="133"/>
        <v>#REF!</v>
      </c>
      <c r="T159" s="107" t="e">
        <f t="shared" si="133"/>
        <v>#REF!</v>
      </c>
      <c r="U159" s="107" t="e">
        <f t="shared" si="133"/>
        <v>#REF!</v>
      </c>
      <c r="V159" s="107" t="e">
        <f t="shared" si="133"/>
        <v>#REF!</v>
      </c>
      <c r="W159" s="107" t="e">
        <f t="shared" si="133"/>
        <v>#REF!</v>
      </c>
      <c r="X159" s="107" t="e">
        <f t="shared" si="133"/>
        <v>#REF!</v>
      </c>
      <c r="Y159" s="107" t="e">
        <f t="shared" si="133"/>
        <v>#REF!</v>
      </c>
      <c r="Z159" s="107" t="e">
        <f t="shared" si="133"/>
        <v>#REF!</v>
      </c>
      <c r="AA159" s="107" t="e">
        <f t="shared" si="133"/>
        <v>#REF!</v>
      </c>
      <c r="AB159" s="107" t="e">
        <f t="shared" si="133"/>
        <v>#REF!</v>
      </c>
      <c r="AC159" s="107" t="e">
        <f t="shared" si="133"/>
        <v>#REF!</v>
      </c>
      <c r="AD159" s="107" t="e">
        <f t="shared" si="133"/>
        <v>#REF!</v>
      </c>
      <c r="AE159" s="107" t="e">
        <f t="shared" si="133"/>
        <v>#REF!</v>
      </c>
      <c r="AF159" s="107" t="e">
        <f t="shared" si="133"/>
        <v>#REF!</v>
      </c>
      <c r="AG159" s="107" t="e">
        <f t="shared" si="133"/>
        <v>#REF!</v>
      </c>
      <c r="AH159" s="107" t="e">
        <f t="shared" si="133"/>
        <v>#REF!</v>
      </c>
      <c r="AI159" s="107" t="e">
        <f t="shared" si="133"/>
        <v>#REF!</v>
      </c>
      <c r="AJ159" s="107" t="e">
        <f t="shared" si="133"/>
        <v>#REF!</v>
      </c>
      <c r="AK159" s="107" t="e">
        <f t="shared" si="133"/>
        <v>#REF!</v>
      </c>
      <c r="AL159" s="107" t="e">
        <f t="shared" si="133"/>
        <v>#REF!</v>
      </c>
      <c r="AM159" s="107" t="e">
        <f t="shared" si="133"/>
        <v>#REF!</v>
      </c>
      <c r="AN159" s="107" t="e">
        <f t="shared" si="133"/>
        <v>#REF!</v>
      </c>
      <c r="AO159" s="107" t="e">
        <f t="shared" si="133"/>
        <v>#REF!</v>
      </c>
      <c r="AP159" s="107" t="e">
        <f t="shared" si="133"/>
        <v>#REF!</v>
      </c>
      <c r="AQ159" s="107" t="e">
        <f t="shared" si="133"/>
        <v>#REF!</v>
      </c>
      <c r="AR159" s="107" t="e">
        <f t="shared" si="133"/>
        <v>#REF!</v>
      </c>
      <c r="AS159" s="107" t="e">
        <f t="shared" si="133"/>
        <v>#REF!</v>
      </c>
      <c r="AT159" s="107" t="e">
        <f t="shared" si="133"/>
        <v>#REF!</v>
      </c>
      <c r="AU159" s="107" t="e">
        <f t="shared" si="133"/>
        <v>#REF!</v>
      </c>
      <c r="AV159" s="107" t="e">
        <f t="shared" si="133"/>
        <v>#REF!</v>
      </c>
      <c r="AW159" s="107" t="e">
        <f t="shared" si="133"/>
        <v>#REF!</v>
      </c>
      <c r="AX159" s="107" t="e">
        <f t="shared" si="133"/>
        <v>#REF!</v>
      </c>
      <c r="AY159" s="107" t="e">
        <f t="shared" si="133"/>
        <v>#REF!</v>
      </c>
      <c r="AZ159" s="107" t="e">
        <f t="shared" si="133"/>
        <v>#REF!</v>
      </c>
      <c r="BA159" s="107" t="e">
        <f t="shared" si="133"/>
        <v>#REF!</v>
      </c>
      <c r="BB159" s="107" t="e">
        <f t="shared" si="133"/>
        <v>#REF!</v>
      </c>
      <c r="BC159" s="107" t="e">
        <f t="shared" si="133"/>
        <v>#REF!</v>
      </c>
      <c r="BD159" s="107" t="e">
        <f t="shared" si="133"/>
        <v>#REF!</v>
      </c>
      <c r="BE159" s="107" t="e">
        <f t="shared" si="133"/>
        <v>#REF!</v>
      </c>
      <c r="BF159" s="107" t="e">
        <f t="shared" si="133"/>
        <v>#REF!</v>
      </c>
      <c r="BG159" s="107" t="e">
        <f t="shared" si="133"/>
        <v>#REF!</v>
      </c>
      <c r="BH159" s="107" t="e">
        <f t="shared" si="133"/>
        <v>#REF!</v>
      </c>
      <c r="BI159" s="107" t="e">
        <f t="shared" si="133"/>
        <v>#REF!</v>
      </c>
      <c r="BJ159" s="107" t="e">
        <f t="shared" si="133"/>
        <v>#REF!</v>
      </c>
      <c r="BK159"/>
      <c r="BL159" s="5"/>
    </row>
    <row r="160" spans="1:64">
      <c r="A160"/>
      <c r="B160" s="75" t="s">
        <v>373</v>
      </c>
      <c r="C160" s="107" t="e">
        <f>+C158*$G$25</f>
        <v>#REF!</v>
      </c>
      <c r="D160" s="107" t="e">
        <f t="shared" ref="D160" si="134">+D158*$G$25</f>
        <v>#REF!</v>
      </c>
      <c r="E160" s="107" t="e">
        <f t="shared" ref="E160:BJ160" si="135">+E158*$G$25</f>
        <v>#REF!</v>
      </c>
      <c r="F160" s="107" t="e">
        <f t="shared" si="135"/>
        <v>#REF!</v>
      </c>
      <c r="G160" s="107" t="e">
        <f t="shared" si="135"/>
        <v>#REF!</v>
      </c>
      <c r="H160" s="107" t="e">
        <f t="shared" si="135"/>
        <v>#REF!</v>
      </c>
      <c r="I160" s="107" t="e">
        <f t="shared" si="135"/>
        <v>#REF!</v>
      </c>
      <c r="J160" s="107" t="e">
        <f t="shared" si="135"/>
        <v>#REF!</v>
      </c>
      <c r="K160" s="107" t="e">
        <f t="shared" si="135"/>
        <v>#REF!</v>
      </c>
      <c r="L160" s="107" t="e">
        <f t="shared" si="135"/>
        <v>#REF!</v>
      </c>
      <c r="M160" s="107" t="e">
        <f t="shared" si="135"/>
        <v>#REF!</v>
      </c>
      <c r="N160" s="107" t="e">
        <f t="shared" si="135"/>
        <v>#REF!</v>
      </c>
      <c r="O160" s="107" t="e">
        <f t="shared" si="135"/>
        <v>#REF!</v>
      </c>
      <c r="P160" s="107" t="e">
        <f t="shared" si="135"/>
        <v>#REF!</v>
      </c>
      <c r="Q160" s="107" t="e">
        <f t="shared" si="135"/>
        <v>#REF!</v>
      </c>
      <c r="R160" s="107" t="e">
        <f t="shared" si="135"/>
        <v>#REF!</v>
      </c>
      <c r="S160" s="107" t="e">
        <f t="shared" si="135"/>
        <v>#REF!</v>
      </c>
      <c r="T160" s="107" t="e">
        <f t="shared" si="135"/>
        <v>#REF!</v>
      </c>
      <c r="U160" s="107" t="e">
        <f t="shared" si="135"/>
        <v>#REF!</v>
      </c>
      <c r="V160" s="107" t="e">
        <f t="shared" si="135"/>
        <v>#REF!</v>
      </c>
      <c r="W160" s="107" t="e">
        <f t="shared" si="135"/>
        <v>#REF!</v>
      </c>
      <c r="X160" s="107" t="e">
        <f t="shared" si="135"/>
        <v>#REF!</v>
      </c>
      <c r="Y160" s="107" t="e">
        <f t="shared" si="135"/>
        <v>#REF!</v>
      </c>
      <c r="Z160" s="107" t="e">
        <f t="shared" si="135"/>
        <v>#REF!</v>
      </c>
      <c r="AA160" s="107" t="e">
        <f t="shared" si="135"/>
        <v>#REF!</v>
      </c>
      <c r="AB160" s="107" t="e">
        <f t="shared" si="135"/>
        <v>#REF!</v>
      </c>
      <c r="AC160" s="107" t="e">
        <f t="shared" si="135"/>
        <v>#REF!</v>
      </c>
      <c r="AD160" s="107" t="e">
        <f t="shared" si="135"/>
        <v>#REF!</v>
      </c>
      <c r="AE160" s="107" t="e">
        <f t="shared" si="135"/>
        <v>#REF!</v>
      </c>
      <c r="AF160" s="107" t="e">
        <f t="shared" si="135"/>
        <v>#REF!</v>
      </c>
      <c r="AG160" s="107" t="e">
        <f t="shared" si="135"/>
        <v>#REF!</v>
      </c>
      <c r="AH160" s="107" t="e">
        <f t="shared" si="135"/>
        <v>#REF!</v>
      </c>
      <c r="AI160" s="107" t="e">
        <f t="shared" si="135"/>
        <v>#REF!</v>
      </c>
      <c r="AJ160" s="107" t="e">
        <f t="shared" si="135"/>
        <v>#REF!</v>
      </c>
      <c r="AK160" s="107" t="e">
        <f t="shared" si="135"/>
        <v>#REF!</v>
      </c>
      <c r="AL160" s="107" t="e">
        <f t="shared" si="135"/>
        <v>#REF!</v>
      </c>
      <c r="AM160" s="107" t="e">
        <f t="shared" si="135"/>
        <v>#REF!</v>
      </c>
      <c r="AN160" s="107" t="e">
        <f t="shared" si="135"/>
        <v>#REF!</v>
      </c>
      <c r="AO160" s="107" t="e">
        <f t="shared" si="135"/>
        <v>#REF!</v>
      </c>
      <c r="AP160" s="107" t="e">
        <f t="shared" si="135"/>
        <v>#REF!</v>
      </c>
      <c r="AQ160" s="107" t="e">
        <f t="shared" si="135"/>
        <v>#REF!</v>
      </c>
      <c r="AR160" s="107" t="e">
        <f t="shared" si="135"/>
        <v>#REF!</v>
      </c>
      <c r="AS160" s="107" t="e">
        <f t="shared" si="135"/>
        <v>#REF!</v>
      </c>
      <c r="AT160" s="107" t="e">
        <f t="shared" si="135"/>
        <v>#REF!</v>
      </c>
      <c r="AU160" s="107" t="e">
        <f t="shared" si="135"/>
        <v>#REF!</v>
      </c>
      <c r="AV160" s="107" t="e">
        <f t="shared" si="135"/>
        <v>#REF!</v>
      </c>
      <c r="AW160" s="107" t="e">
        <f t="shared" si="135"/>
        <v>#REF!</v>
      </c>
      <c r="AX160" s="107" t="e">
        <f t="shared" si="135"/>
        <v>#REF!</v>
      </c>
      <c r="AY160" s="107" t="e">
        <f t="shared" si="135"/>
        <v>#REF!</v>
      </c>
      <c r="AZ160" s="107" t="e">
        <f t="shared" si="135"/>
        <v>#REF!</v>
      </c>
      <c r="BA160" s="107" t="e">
        <f t="shared" si="135"/>
        <v>#REF!</v>
      </c>
      <c r="BB160" s="107" t="e">
        <f t="shared" si="135"/>
        <v>#REF!</v>
      </c>
      <c r="BC160" s="107" t="e">
        <f t="shared" si="135"/>
        <v>#REF!</v>
      </c>
      <c r="BD160" s="107" t="e">
        <f t="shared" si="135"/>
        <v>#REF!</v>
      </c>
      <c r="BE160" s="107" t="e">
        <f t="shared" si="135"/>
        <v>#REF!</v>
      </c>
      <c r="BF160" s="107" t="e">
        <f t="shared" si="135"/>
        <v>#REF!</v>
      </c>
      <c r="BG160" s="107" t="e">
        <f t="shared" si="135"/>
        <v>#REF!</v>
      </c>
      <c r="BH160" s="107" t="e">
        <f t="shared" si="135"/>
        <v>#REF!</v>
      </c>
      <c r="BI160" s="107" t="e">
        <f t="shared" si="135"/>
        <v>#REF!</v>
      </c>
      <c r="BJ160" s="107" t="e">
        <f t="shared" si="135"/>
        <v>#REF!</v>
      </c>
      <c r="BK160"/>
      <c r="BL160" s="5"/>
    </row>
    <row r="161" spans="1:64">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s="5"/>
    </row>
    <row r="162" spans="1:64">
      <c r="A162"/>
      <c r="B162" t="s">
        <v>387</v>
      </c>
      <c r="C162" s="14">
        <v>0</v>
      </c>
      <c r="D162" s="14" t="e">
        <f>+C165</f>
        <v>#REF!</v>
      </c>
      <c r="E162" s="14" t="e">
        <f t="shared" ref="E162:BJ162" si="136">+D165</f>
        <v>#REF!</v>
      </c>
      <c r="F162" s="14" t="e">
        <f t="shared" si="136"/>
        <v>#REF!</v>
      </c>
      <c r="G162" s="14" t="e">
        <f t="shared" si="136"/>
        <v>#REF!</v>
      </c>
      <c r="H162" s="14" t="e">
        <f t="shared" si="136"/>
        <v>#REF!</v>
      </c>
      <c r="I162" s="14" t="e">
        <f t="shared" si="136"/>
        <v>#REF!</v>
      </c>
      <c r="J162" s="14" t="e">
        <f t="shared" si="136"/>
        <v>#REF!</v>
      </c>
      <c r="K162" s="14" t="e">
        <f t="shared" si="136"/>
        <v>#REF!</v>
      </c>
      <c r="L162" s="14" t="e">
        <f t="shared" si="136"/>
        <v>#REF!</v>
      </c>
      <c r="M162" s="14" t="e">
        <f t="shared" si="136"/>
        <v>#REF!</v>
      </c>
      <c r="N162" s="14" t="e">
        <f t="shared" si="136"/>
        <v>#REF!</v>
      </c>
      <c r="O162" s="14" t="e">
        <f t="shared" si="136"/>
        <v>#REF!</v>
      </c>
      <c r="P162" s="14" t="e">
        <f t="shared" si="136"/>
        <v>#REF!</v>
      </c>
      <c r="Q162" s="14" t="e">
        <f t="shared" si="136"/>
        <v>#REF!</v>
      </c>
      <c r="R162" s="14" t="e">
        <f t="shared" si="136"/>
        <v>#REF!</v>
      </c>
      <c r="S162" s="14" t="e">
        <f t="shared" si="136"/>
        <v>#REF!</v>
      </c>
      <c r="T162" s="14" t="e">
        <f t="shared" si="136"/>
        <v>#REF!</v>
      </c>
      <c r="U162" s="14" t="e">
        <f t="shared" si="136"/>
        <v>#REF!</v>
      </c>
      <c r="V162" s="14" t="e">
        <f>+U165</f>
        <v>#REF!</v>
      </c>
      <c r="W162" s="14" t="e">
        <f t="shared" si="136"/>
        <v>#REF!</v>
      </c>
      <c r="X162" s="14" t="e">
        <f t="shared" si="136"/>
        <v>#REF!</v>
      </c>
      <c r="Y162" s="14" t="e">
        <f t="shared" si="136"/>
        <v>#REF!</v>
      </c>
      <c r="Z162" s="14" t="e">
        <f t="shared" si="136"/>
        <v>#REF!</v>
      </c>
      <c r="AA162" s="14" t="e">
        <f t="shared" si="136"/>
        <v>#REF!</v>
      </c>
      <c r="AB162" s="14" t="e">
        <f t="shared" si="136"/>
        <v>#REF!</v>
      </c>
      <c r="AC162" s="14" t="e">
        <f t="shared" si="136"/>
        <v>#REF!</v>
      </c>
      <c r="AD162" s="14" t="e">
        <f t="shared" si="136"/>
        <v>#REF!</v>
      </c>
      <c r="AE162" s="14" t="e">
        <f t="shared" si="136"/>
        <v>#REF!</v>
      </c>
      <c r="AF162" s="14" t="e">
        <f t="shared" si="136"/>
        <v>#REF!</v>
      </c>
      <c r="AG162" s="14" t="e">
        <f t="shared" si="136"/>
        <v>#REF!</v>
      </c>
      <c r="AH162" s="14" t="e">
        <f t="shared" si="136"/>
        <v>#REF!</v>
      </c>
      <c r="AI162" s="14" t="e">
        <f t="shared" si="136"/>
        <v>#REF!</v>
      </c>
      <c r="AJ162" s="14" t="e">
        <f t="shared" si="136"/>
        <v>#REF!</v>
      </c>
      <c r="AK162" s="14" t="e">
        <f t="shared" si="136"/>
        <v>#REF!</v>
      </c>
      <c r="AL162" s="14" t="e">
        <f t="shared" si="136"/>
        <v>#REF!</v>
      </c>
      <c r="AM162" s="14" t="e">
        <f t="shared" si="136"/>
        <v>#REF!</v>
      </c>
      <c r="AN162" s="14" t="e">
        <f t="shared" si="136"/>
        <v>#REF!</v>
      </c>
      <c r="AO162" s="14" t="e">
        <f t="shared" si="136"/>
        <v>#REF!</v>
      </c>
      <c r="AP162" s="14" t="e">
        <f t="shared" si="136"/>
        <v>#REF!</v>
      </c>
      <c r="AQ162" s="14" t="e">
        <f t="shared" si="136"/>
        <v>#REF!</v>
      </c>
      <c r="AR162" s="14" t="e">
        <f t="shared" si="136"/>
        <v>#REF!</v>
      </c>
      <c r="AS162" s="14" t="e">
        <f t="shared" si="136"/>
        <v>#REF!</v>
      </c>
      <c r="AT162" s="14" t="e">
        <f t="shared" si="136"/>
        <v>#REF!</v>
      </c>
      <c r="AU162" s="14" t="e">
        <f t="shared" si="136"/>
        <v>#REF!</v>
      </c>
      <c r="AV162" s="14" t="e">
        <f t="shared" si="136"/>
        <v>#REF!</v>
      </c>
      <c r="AW162" s="14" t="e">
        <f t="shared" si="136"/>
        <v>#REF!</v>
      </c>
      <c r="AX162" s="14" t="e">
        <f t="shared" si="136"/>
        <v>#REF!</v>
      </c>
      <c r="AY162" s="14" t="e">
        <f t="shared" si="136"/>
        <v>#REF!</v>
      </c>
      <c r="AZ162" s="14" t="e">
        <f t="shared" si="136"/>
        <v>#REF!</v>
      </c>
      <c r="BA162" s="14" t="e">
        <f t="shared" si="136"/>
        <v>#REF!</v>
      </c>
      <c r="BB162" s="14" t="e">
        <f t="shared" si="136"/>
        <v>#REF!</v>
      </c>
      <c r="BC162" s="14" t="e">
        <f t="shared" si="136"/>
        <v>#REF!</v>
      </c>
      <c r="BD162" s="14" t="e">
        <f t="shared" si="136"/>
        <v>#REF!</v>
      </c>
      <c r="BE162" s="14" t="e">
        <f t="shared" si="136"/>
        <v>#REF!</v>
      </c>
      <c r="BF162" s="14" t="e">
        <f t="shared" si="136"/>
        <v>#REF!</v>
      </c>
      <c r="BG162" s="14" t="e">
        <f t="shared" si="136"/>
        <v>#REF!</v>
      </c>
      <c r="BH162" s="14" t="e">
        <f t="shared" si="136"/>
        <v>#REF!</v>
      </c>
      <c r="BI162" s="14" t="e">
        <f t="shared" si="136"/>
        <v>#REF!</v>
      </c>
      <c r="BJ162" s="14" t="e">
        <f t="shared" si="136"/>
        <v>#REF!</v>
      </c>
      <c r="BK162"/>
      <c r="BL162" s="5"/>
    </row>
    <row r="163" spans="1:64">
      <c r="A163"/>
      <c r="B163" t="s">
        <v>377</v>
      </c>
      <c r="C163" s="14">
        <f>-C55</f>
        <v>0</v>
      </c>
      <c r="D163" s="14">
        <f t="shared" ref="D163:BJ163" si="137">-D55</f>
        <v>0</v>
      </c>
      <c r="E163" s="14">
        <f t="shared" si="137"/>
        <v>0</v>
      </c>
      <c r="F163" s="14">
        <f t="shared" si="137"/>
        <v>0</v>
      </c>
      <c r="G163" s="14">
        <f t="shared" si="137"/>
        <v>0</v>
      </c>
      <c r="H163" s="14">
        <f t="shared" si="137"/>
        <v>0</v>
      </c>
      <c r="I163" s="14">
        <f t="shared" si="137"/>
        <v>0</v>
      </c>
      <c r="J163" s="14">
        <f t="shared" si="137"/>
        <v>0</v>
      </c>
      <c r="K163" s="14">
        <f t="shared" si="137"/>
        <v>0</v>
      </c>
      <c r="L163" s="14">
        <f t="shared" si="137"/>
        <v>0</v>
      </c>
      <c r="M163" s="14">
        <f t="shared" si="137"/>
        <v>0</v>
      </c>
      <c r="N163" s="14">
        <f t="shared" si="137"/>
        <v>0</v>
      </c>
      <c r="O163" s="14">
        <f t="shared" si="137"/>
        <v>0</v>
      </c>
      <c r="P163" s="14">
        <f t="shared" si="137"/>
        <v>0</v>
      </c>
      <c r="Q163" s="14">
        <f t="shared" si="137"/>
        <v>0</v>
      </c>
      <c r="R163" s="14">
        <f t="shared" si="137"/>
        <v>0</v>
      </c>
      <c r="S163" s="14">
        <f t="shared" si="137"/>
        <v>0</v>
      </c>
      <c r="T163" s="14">
        <f t="shared" si="137"/>
        <v>0</v>
      </c>
      <c r="U163" s="14">
        <f t="shared" si="137"/>
        <v>0</v>
      </c>
      <c r="V163" s="14">
        <f t="shared" si="137"/>
        <v>0</v>
      </c>
      <c r="W163" s="14">
        <f t="shared" si="137"/>
        <v>0</v>
      </c>
      <c r="X163" s="14">
        <f t="shared" si="137"/>
        <v>0</v>
      </c>
      <c r="Y163" s="14">
        <f t="shared" si="137"/>
        <v>0</v>
      </c>
      <c r="Z163" s="14">
        <f t="shared" si="137"/>
        <v>0</v>
      </c>
      <c r="AA163" s="14">
        <f t="shared" si="137"/>
        <v>0</v>
      </c>
      <c r="AB163" s="14">
        <f t="shared" si="137"/>
        <v>0</v>
      </c>
      <c r="AC163" s="14">
        <f t="shared" si="137"/>
        <v>0</v>
      </c>
      <c r="AD163" s="14">
        <f t="shared" si="137"/>
        <v>0</v>
      </c>
      <c r="AE163" s="14">
        <f t="shared" si="137"/>
        <v>0</v>
      </c>
      <c r="AF163" s="14">
        <f t="shared" si="137"/>
        <v>0</v>
      </c>
      <c r="AG163" s="14">
        <f t="shared" si="137"/>
        <v>0</v>
      </c>
      <c r="AH163" s="14">
        <f t="shared" si="137"/>
        <v>0</v>
      </c>
      <c r="AI163" s="14">
        <f t="shared" si="137"/>
        <v>0</v>
      </c>
      <c r="AJ163" s="14">
        <f t="shared" si="137"/>
        <v>0</v>
      </c>
      <c r="AK163" s="14">
        <f t="shared" si="137"/>
        <v>0</v>
      </c>
      <c r="AL163" s="14">
        <f t="shared" si="137"/>
        <v>0</v>
      </c>
      <c r="AM163" s="14">
        <f t="shared" si="137"/>
        <v>0</v>
      </c>
      <c r="AN163" s="14">
        <f t="shared" si="137"/>
        <v>0</v>
      </c>
      <c r="AO163" s="14">
        <f t="shared" si="137"/>
        <v>0</v>
      </c>
      <c r="AP163" s="14">
        <f t="shared" si="137"/>
        <v>0</v>
      </c>
      <c r="AQ163" s="14">
        <f t="shared" si="137"/>
        <v>0</v>
      </c>
      <c r="AR163" s="14">
        <f t="shared" si="137"/>
        <v>0</v>
      </c>
      <c r="AS163" s="14">
        <f t="shared" si="137"/>
        <v>0</v>
      </c>
      <c r="AT163" s="14">
        <f t="shared" si="137"/>
        <v>0</v>
      </c>
      <c r="AU163" s="14">
        <f t="shared" si="137"/>
        <v>0</v>
      </c>
      <c r="AV163" s="14">
        <f t="shared" si="137"/>
        <v>0</v>
      </c>
      <c r="AW163" s="14">
        <f t="shared" si="137"/>
        <v>0</v>
      </c>
      <c r="AX163" s="14">
        <f t="shared" si="137"/>
        <v>0</v>
      </c>
      <c r="AY163" s="14">
        <f t="shared" si="137"/>
        <v>0</v>
      </c>
      <c r="AZ163" s="14">
        <f t="shared" si="137"/>
        <v>0</v>
      </c>
      <c r="BA163" s="14">
        <f t="shared" si="137"/>
        <v>0</v>
      </c>
      <c r="BB163" s="14">
        <f t="shared" si="137"/>
        <v>0</v>
      </c>
      <c r="BC163" s="14">
        <f t="shared" si="137"/>
        <v>0</v>
      </c>
      <c r="BD163" s="14">
        <f t="shared" si="137"/>
        <v>0</v>
      </c>
      <c r="BE163" s="14">
        <f t="shared" si="137"/>
        <v>0</v>
      </c>
      <c r="BF163" s="14">
        <f t="shared" si="137"/>
        <v>0</v>
      </c>
      <c r="BG163" s="14">
        <f t="shared" si="137"/>
        <v>0</v>
      </c>
      <c r="BH163" s="14">
        <f t="shared" si="137"/>
        <v>0</v>
      </c>
      <c r="BI163" s="14">
        <f t="shared" si="137"/>
        <v>0</v>
      </c>
      <c r="BJ163" s="14">
        <f t="shared" si="137"/>
        <v>0</v>
      </c>
      <c r="BK163"/>
      <c r="BL163" s="5"/>
    </row>
    <row r="164" spans="1:64">
      <c r="A164"/>
      <c r="B164" t="s">
        <v>378</v>
      </c>
      <c r="C164" s="14" t="e">
        <f>-MAX(0,MIN(SUM(C162:C163),C159))</f>
        <v>#REF!</v>
      </c>
      <c r="D164" s="14" t="e">
        <f t="shared" ref="D164:BJ164" si="138">-MAX(0,MIN(SUM(D162:D163),D159))</f>
        <v>#REF!</v>
      </c>
      <c r="E164" s="14" t="e">
        <f t="shared" si="138"/>
        <v>#REF!</v>
      </c>
      <c r="F164" s="14" t="e">
        <f t="shared" si="138"/>
        <v>#REF!</v>
      </c>
      <c r="G164" s="14" t="e">
        <f t="shared" si="138"/>
        <v>#REF!</v>
      </c>
      <c r="H164" s="14" t="e">
        <f t="shared" si="138"/>
        <v>#REF!</v>
      </c>
      <c r="I164" s="14" t="e">
        <f t="shared" si="138"/>
        <v>#REF!</v>
      </c>
      <c r="J164" s="14" t="e">
        <f t="shared" si="138"/>
        <v>#REF!</v>
      </c>
      <c r="K164" s="14" t="e">
        <f t="shared" si="138"/>
        <v>#REF!</v>
      </c>
      <c r="L164" s="14" t="e">
        <f t="shared" si="138"/>
        <v>#REF!</v>
      </c>
      <c r="M164" s="14" t="e">
        <f t="shared" si="138"/>
        <v>#REF!</v>
      </c>
      <c r="N164" s="14" t="e">
        <f t="shared" si="138"/>
        <v>#REF!</v>
      </c>
      <c r="O164" s="14" t="e">
        <f t="shared" si="138"/>
        <v>#REF!</v>
      </c>
      <c r="P164" s="14" t="e">
        <f t="shared" si="138"/>
        <v>#REF!</v>
      </c>
      <c r="Q164" s="14" t="e">
        <f t="shared" si="138"/>
        <v>#REF!</v>
      </c>
      <c r="R164" s="14" t="e">
        <f t="shared" si="138"/>
        <v>#REF!</v>
      </c>
      <c r="S164" s="14" t="e">
        <f t="shared" si="138"/>
        <v>#REF!</v>
      </c>
      <c r="T164" s="14" t="e">
        <f t="shared" si="138"/>
        <v>#REF!</v>
      </c>
      <c r="U164" s="14" t="e">
        <f t="shared" si="138"/>
        <v>#REF!</v>
      </c>
      <c r="V164" s="14" t="e">
        <f t="shared" si="138"/>
        <v>#REF!</v>
      </c>
      <c r="W164" s="14" t="e">
        <f t="shared" si="138"/>
        <v>#REF!</v>
      </c>
      <c r="X164" s="14" t="e">
        <f t="shared" si="138"/>
        <v>#REF!</v>
      </c>
      <c r="Y164" s="14" t="e">
        <f t="shared" si="138"/>
        <v>#REF!</v>
      </c>
      <c r="Z164" s="14" t="e">
        <f t="shared" si="138"/>
        <v>#REF!</v>
      </c>
      <c r="AA164" s="14" t="e">
        <f t="shared" si="138"/>
        <v>#REF!</v>
      </c>
      <c r="AB164" s="14" t="e">
        <f t="shared" si="138"/>
        <v>#REF!</v>
      </c>
      <c r="AC164" s="14" t="e">
        <f t="shared" si="138"/>
        <v>#REF!</v>
      </c>
      <c r="AD164" s="14" t="e">
        <f t="shared" si="138"/>
        <v>#REF!</v>
      </c>
      <c r="AE164" s="14" t="e">
        <f t="shared" si="138"/>
        <v>#REF!</v>
      </c>
      <c r="AF164" s="14" t="e">
        <f t="shared" si="138"/>
        <v>#REF!</v>
      </c>
      <c r="AG164" s="14" t="e">
        <f t="shared" si="138"/>
        <v>#REF!</v>
      </c>
      <c r="AH164" s="14" t="e">
        <f t="shared" si="138"/>
        <v>#REF!</v>
      </c>
      <c r="AI164" s="14" t="e">
        <f t="shared" si="138"/>
        <v>#REF!</v>
      </c>
      <c r="AJ164" s="14" t="e">
        <f t="shared" si="138"/>
        <v>#REF!</v>
      </c>
      <c r="AK164" s="14" t="e">
        <f t="shared" si="138"/>
        <v>#REF!</v>
      </c>
      <c r="AL164" s="14" t="e">
        <f t="shared" si="138"/>
        <v>#REF!</v>
      </c>
      <c r="AM164" s="14" t="e">
        <f t="shared" si="138"/>
        <v>#REF!</v>
      </c>
      <c r="AN164" s="14" t="e">
        <f t="shared" si="138"/>
        <v>#REF!</v>
      </c>
      <c r="AO164" s="14" t="e">
        <f t="shared" si="138"/>
        <v>#REF!</v>
      </c>
      <c r="AP164" s="14" t="e">
        <f t="shared" si="138"/>
        <v>#REF!</v>
      </c>
      <c r="AQ164" s="14" t="e">
        <f t="shared" si="138"/>
        <v>#REF!</v>
      </c>
      <c r="AR164" s="14" t="e">
        <f t="shared" si="138"/>
        <v>#REF!</v>
      </c>
      <c r="AS164" s="14" t="e">
        <f t="shared" si="138"/>
        <v>#REF!</v>
      </c>
      <c r="AT164" s="14" t="e">
        <f t="shared" si="138"/>
        <v>#REF!</v>
      </c>
      <c r="AU164" s="14" t="e">
        <f t="shared" si="138"/>
        <v>#REF!</v>
      </c>
      <c r="AV164" s="14" t="e">
        <f t="shared" si="138"/>
        <v>#REF!</v>
      </c>
      <c r="AW164" s="14" t="e">
        <f t="shared" si="138"/>
        <v>#REF!</v>
      </c>
      <c r="AX164" s="14" t="e">
        <f t="shared" si="138"/>
        <v>#REF!</v>
      </c>
      <c r="AY164" s="14" t="e">
        <f t="shared" si="138"/>
        <v>#REF!</v>
      </c>
      <c r="AZ164" s="14" t="e">
        <f t="shared" si="138"/>
        <v>#REF!</v>
      </c>
      <c r="BA164" s="14" t="e">
        <f t="shared" si="138"/>
        <v>#REF!</v>
      </c>
      <c r="BB164" s="14" t="e">
        <f t="shared" si="138"/>
        <v>#REF!</v>
      </c>
      <c r="BC164" s="14" t="e">
        <f t="shared" si="138"/>
        <v>#REF!</v>
      </c>
      <c r="BD164" s="14" t="e">
        <f t="shared" si="138"/>
        <v>#REF!</v>
      </c>
      <c r="BE164" s="14" t="e">
        <f t="shared" si="138"/>
        <v>#REF!</v>
      </c>
      <c r="BF164" s="14" t="e">
        <f t="shared" si="138"/>
        <v>#REF!</v>
      </c>
      <c r="BG164" s="14" t="e">
        <f t="shared" si="138"/>
        <v>#REF!</v>
      </c>
      <c r="BH164" s="14" t="e">
        <f t="shared" si="138"/>
        <v>#REF!</v>
      </c>
      <c r="BI164" s="14" t="e">
        <f t="shared" si="138"/>
        <v>#REF!</v>
      </c>
      <c r="BJ164" s="14" t="e">
        <f t="shared" si="138"/>
        <v>#REF!</v>
      </c>
      <c r="BK164"/>
      <c r="BL164" s="5"/>
    </row>
    <row r="165" spans="1:64">
      <c r="A165"/>
      <c r="B165" s="3" t="s">
        <v>388</v>
      </c>
      <c r="C165" s="13" t="e">
        <f>SUM(C162:C164)</f>
        <v>#REF!</v>
      </c>
      <c r="D165" s="13" t="e">
        <f>SUM(D162:D164)</f>
        <v>#REF!</v>
      </c>
      <c r="E165" s="13" t="e">
        <f t="shared" ref="E165:BJ165" si="139">SUM(E162:E164)</f>
        <v>#REF!</v>
      </c>
      <c r="F165" s="13" t="e">
        <f t="shared" si="139"/>
        <v>#REF!</v>
      </c>
      <c r="G165" s="13" t="e">
        <f t="shared" si="139"/>
        <v>#REF!</v>
      </c>
      <c r="H165" s="13" t="e">
        <f t="shared" si="139"/>
        <v>#REF!</v>
      </c>
      <c r="I165" s="13" t="e">
        <f t="shared" si="139"/>
        <v>#REF!</v>
      </c>
      <c r="J165" s="13" t="e">
        <f t="shared" si="139"/>
        <v>#REF!</v>
      </c>
      <c r="K165" s="13" t="e">
        <f t="shared" si="139"/>
        <v>#REF!</v>
      </c>
      <c r="L165" s="13" t="e">
        <f t="shared" si="139"/>
        <v>#REF!</v>
      </c>
      <c r="M165" s="13" t="e">
        <f t="shared" si="139"/>
        <v>#REF!</v>
      </c>
      <c r="N165" s="13" t="e">
        <f t="shared" si="139"/>
        <v>#REF!</v>
      </c>
      <c r="O165" s="13" t="e">
        <f t="shared" si="139"/>
        <v>#REF!</v>
      </c>
      <c r="P165" s="13" t="e">
        <f t="shared" si="139"/>
        <v>#REF!</v>
      </c>
      <c r="Q165" s="13" t="e">
        <f t="shared" si="139"/>
        <v>#REF!</v>
      </c>
      <c r="R165" s="13" t="e">
        <f t="shared" si="139"/>
        <v>#REF!</v>
      </c>
      <c r="S165" s="13" t="e">
        <f t="shared" si="139"/>
        <v>#REF!</v>
      </c>
      <c r="T165" s="13" t="e">
        <f t="shared" si="139"/>
        <v>#REF!</v>
      </c>
      <c r="U165" s="13" t="e">
        <f t="shared" si="139"/>
        <v>#REF!</v>
      </c>
      <c r="V165" s="13" t="e">
        <f t="shared" si="139"/>
        <v>#REF!</v>
      </c>
      <c r="W165" s="13" t="e">
        <f t="shared" si="139"/>
        <v>#REF!</v>
      </c>
      <c r="X165" s="13" t="e">
        <f t="shared" si="139"/>
        <v>#REF!</v>
      </c>
      <c r="Y165" s="13" t="e">
        <f t="shared" si="139"/>
        <v>#REF!</v>
      </c>
      <c r="Z165" s="13" t="e">
        <f t="shared" si="139"/>
        <v>#REF!</v>
      </c>
      <c r="AA165" s="13" t="e">
        <f t="shared" si="139"/>
        <v>#REF!</v>
      </c>
      <c r="AB165" s="13" t="e">
        <f t="shared" si="139"/>
        <v>#REF!</v>
      </c>
      <c r="AC165" s="13" t="e">
        <f t="shared" si="139"/>
        <v>#REF!</v>
      </c>
      <c r="AD165" s="13" t="e">
        <f t="shared" si="139"/>
        <v>#REF!</v>
      </c>
      <c r="AE165" s="13" t="e">
        <f t="shared" si="139"/>
        <v>#REF!</v>
      </c>
      <c r="AF165" s="13" t="e">
        <f t="shared" si="139"/>
        <v>#REF!</v>
      </c>
      <c r="AG165" s="13" t="e">
        <f t="shared" si="139"/>
        <v>#REF!</v>
      </c>
      <c r="AH165" s="13" t="e">
        <f t="shared" si="139"/>
        <v>#REF!</v>
      </c>
      <c r="AI165" s="13" t="e">
        <f t="shared" si="139"/>
        <v>#REF!</v>
      </c>
      <c r="AJ165" s="13" t="e">
        <f t="shared" si="139"/>
        <v>#REF!</v>
      </c>
      <c r="AK165" s="13" t="e">
        <f t="shared" si="139"/>
        <v>#REF!</v>
      </c>
      <c r="AL165" s="13" t="e">
        <f t="shared" si="139"/>
        <v>#REF!</v>
      </c>
      <c r="AM165" s="13" t="e">
        <f t="shared" si="139"/>
        <v>#REF!</v>
      </c>
      <c r="AN165" s="13" t="e">
        <f t="shared" si="139"/>
        <v>#REF!</v>
      </c>
      <c r="AO165" s="13" t="e">
        <f t="shared" si="139"/>
        <v>#REF!</v>
      </c>
      <c r="AP165" s="13" t="e">
        <f t="shared" si="139"/>
        <v>#REF!</v>
      </c>
      <c r="AQ165" s="13" t="e">
        <f t="shared" si="139"/>
        <v>#REF!</v>
      </c>
      <c r="AR165" s="13" t="e">
        <f t="shared" si="139"/>
        <v>#REF!</v>
      </c>
      <c r="AS165" s="13" t="e">
        <f t="shared" si="139"/>
        <v>#REF!</v>
      </c>
      <c r="AT165" s="13" t="e">
        <f t="shared" si="139"/>
        <v>#REF!</v>
      </c>
      <c r="AU165" s="13" t="e">
        <f t="shared" si="139"/>
        <v>#REF!</v>
      </c>
      <c r="AV165" s="13" t="e">
        <f t="shared" si="139"/>
        <v>#REF!</v>
      </c>
      <c r="AW165" s="13" t="e">
        <f t="shared" si="139"/>
        <v>#REF!</v>
      </c>
      <c r="AX165" s="13" t="e">
        <f t="shared" si="139"/>
        <v>#REF!</v>
      </c>
      <c r="AY165" s="13" t="e">
        <f t="shared" si="139"/>
        <v>#REF!</v>
      </c>
      <c r="AZ165" s="13" t="e">
        <f t="shared" si="139"/>
        <v>#REF!</v>
      </c>
      <c r="BA165" s="13" t="e">
        <f t="shared" si="139"/>
        <v>#REF!</v>
      </c>
      <c r="BB165" s="13" t="e">
        <f t="shared" si="139"/>
        <v>#REF!</v>
      </c>
      <c r="BC165" s="13" t="e">
        <f t="shared" si="139"/>
        <v>#REF!</v>
      </c>
      <c r="BD165" s="13" t="e">
        <f t="shared" si="139"/>
        <v>#REF!</v>
      </c>
      <c r="BE165" s="13" t="e">
        <f t="shared" si="139"/>
        <v>#REF!</v>
      </c>
      <c r="BF165" s="13" t="e">
        <f t="shared" si="139"/>
        <v>#REF!</v>
      </c>
      <c r="BG165" s="13" t="e">
        <f t="shared" si="139"/>
        <v>#REF!</v>
      </c>
      <c r="BH165" s="13" t="e">
        <f t="shared" si="139"/>
        <v>#REF!</v>
      </c>
      <c r="BI165" s="13" t="e">
        <f t="shared" si="139"/>
        <v>#REF!</v>
      </c>
      <c r="BJ165" s="13" t="e">
        <f t="shared" si="139"/>
        <v>#REF!</v>
      </c>
      <c r="BK165"/>
      <c r="BL165" s="5"/>
    </row>
    <row r="166" spans="1:64">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s="5"/>
    </row>
    <row r="167" spans="1:64">
      <c r="A167"/>
      <c r="B167" t="s">
        <v>389</v>
      </c>
      <c r="C167" s="14">
        <v>0</v>
      </c>
      <c r="D167" s="14" t="e">
        <f>+C170</f>
        <v>#REF!</v>
      </c>
      <c r="E167" s="14" t="e">
        <f t="shared" ref="E167:U167" si="140">+D170</f>
        <v>#REF!</v>
      </c>
      <c r="F167" s="14" t="e">
        <f t="shared" si="140"/>
        <v>#REF!</v>
      </c>
      <c r="G167" s="14" t="e">
        <f t="shared" si="140"/>
        <v>#REF!</v>
      </c>
      <c r="H167" s="14" t="e">
        <f t="shared" si="140"/>
        <v>#REF!</v>
      </c>
      <c r="I167" s="14" t="e">
        <f t="shared" si="140"/>
        <v>#REF!</v>
      </c>
      <c r="J167" s="14" t="e">
        <f t="shared" si="140"/>
        <v>#REF!</v>
      </c>
      <c r="K167" s="14" t="e">
        <f t="shared" si="140"/>
        <v>#REF!</v>
      </c>
      <c r="L167" s="14" t="e">
        <f t="shared" si="140"/>
        <v>#REF!</v>
      </c>
      <c r="M167" s="14" t="e">
        <f t="shared" si="140"/>
        <v>#REF!</v>
      </c>
      <c r="N167" s="14" t="e">
        <f t="shared" si="140"/>
        <v>#REF!</v>
      </c>
      <c r="O167" s="14" t="e">
        <f t="shared" si="140"/>
        <v>#REF!</v>
      </c>
      <c r="P167" s="14" t="e">
        <f t="shared" si="140"/>
        <v>#REF!</v>
      </c>
      <c r="Q167" s="14" t="e">
        <f t="shared" si="140"/>
        <v>#REF!</v>
      </c>
      <c r="R167" s="14" t="e">
        <f t="shared" si="140"/>
        <v>#REF!</v>
      </c>
      <c r="S167" s="14" t="e">
        <f t="shared" si="140"/>
        <v>#REF!</v>
      </c>
      <c r="T167" s="14" t="e">
        <f t="shared" si="140"/>
        <v>#REF!</v>
      </c>
      <c r="U167" s="14" t="e">
        <f t="shared" si="140"/>
        <v>#REF!</v>
      </c>
      <c r="V167" s="14" t="e">
        <f>+U170</f>
        <v>#REF!</v>
      </c>
      <c r="W167" s="14" t="e">
        <f t="shared" ref="W167:BJ167" si="141">+V170</f>
        <v>#REF!</v>
      </c>
      <c r="X167" s="14" t="e">
        <f t="shared" si="141"/>
        <v>#REF!</v>
      </c>
      <c r="Y167" s="14" t="e">
        <f t="shared" si="141"/>
        <v>#REF!</v>
      </c>
      <c r="Z167" s="14" t="e">
        <f t="shared" si="141"/>
        <v>#REF!</v>
      </c>
      <c r="AA167" s="14" t="e">
        <f t="shared" si="141"/>
        <v>#REF!</v>
      </c>
      <c r="AB167" s="14" t="e">
        <f t="shared" si="141"/>
        <v>#REF!</v>
      </c>
      <c r="AC167" s="14" t="e">
        <f t="shared" si="141"/>
        <v>#REF!</v>
      </c>
      <c r="AD167" s="14" t="e">
        <f t="shared" si="141"/>
        <v>#REF!</v>
      </c>
      <c r="AE167" s="14" t="e">
        <f t="shared" si="141"/>
        <v>#REF!</v>
      </c>
      <c r="AF167" s="14" t="e">
        <f t="shared" si="141"/>
        <v>#REF!</v>
      </c>
      <c r="AG167" s="14" t="e">
        <f t="shared" si="141"/>
        <v>#REF!</v>
      </c>
      <c r="AH167" s="14" t="e">
        <f t="shared" si="141"/>
        <v>#REF!</v>
      </c>
      <c r="AI167" s="14" t="e">
        <f t="shared" si="141"/>
        <v>#REF!</v>
      </c>
      <c r="AJ167" s="14" t="e">
        <f t="shared" si="141"/>
        <v>#REF!</v>
      </c>
      <c r="AK167" s="14" t="e">
        <f t="shared" si="141"/>
        <v>#REF!</v>
      </c>
      <c r="AL167" s="14" t="e">
        <f t="shared" si="141"/>
        <v>#REF!</v>
      </c>
      <c r="AM167" s="14" t="e">
        <f t="shared" si="141"/>
        <v>#REF!</v>
      </c>
      <c r="AN167" s="14" t="e">
        <f t="shared" si="141"/>
        <v>#REF!</v>
      </c>
      <c r="AO167" s="14" t="e">
        <f t="shared" si="141"/>
        <v>#REF!</v>
      </c>
      <c r="AP167" s="14" t="e">
        <f t="shared" si="141"/>
        <v>#REF!</v>
      </c>
      <c r="AQ167" s="14" t="e">
        <f t="shared" si="141"/>
        <v>#REF!</v>
      </c>
      <c r="AR167" s="14" t="e">
        <f t="shared" si="141"/>
        <v>#REF!</v>
      </c>
      <c r="AS167" s="14" t="e">
        <f t="shared" si="141"/>
        <v>#REF!</v>
      </c>
      <c r="AT167" s="14" t="e">
        <f t="shared" si="141"/>
        <v>#REF!</v>
      </c>
      <c r="AU167" s="14" t="e">
        <f t="shared" si="141"/>
        <v>#REF!</v>
      </c>
      <c r="AV167" s="14" t="e">
        <f t="shared" si="141"/>
        <v>#REF!</v>
      </c>
      <c r="AW167" s="14" t="e">
        <f t="shared" si="141"/>
        <v>#REF!</v>
      </c>
      <c r="AX167" s="14" t="e">
        <f t="shared" si="141"/>
        <v>#REF!</v>
      </c>
      <c r="AY167" s="14" t="e">
        <f t="shared" si="141"/>
        <v>#REF!</v>
      </c>
      <c r="AZ167" s="14" t="e">
        <f t="shared" si="141"/>
        <v>#REF!</v>
      </c>
      <c r="BA167" s="14" t="e">
        <f t="shared" si="141"/>
        <v>#REF!</v>
      </c>
      <c r="BB167" s="14" t="e">
        <f t="shared" si="141"/>
        <v>#REF!</v>
      </c>
      <c r="BC167" s="14" t="e">
        <f t="shared" si="141"/>
        <v>#REF!</v>
      </c>
      <c r="BD167" s="14" t="e">
        <f t="shared" si="141"/>
        <v>#REF!</v>
      </c>
      <c r="BE167" s="14" t="e">
        <f t="shared" si="141"/>
        <v>#REF!</v>
      </c>
      <c r="BF167" s="14" t="e">
        <f t="shared" si="141"/>
        <v>#REF!</v>
      </c>
      <c r="BG167" s="14" t="e">
        <f t="shared" si="141"/>
        <v>#REF!</v>
      </c>
      <c r="BH167" s="14" t="e">
        <f t="shared" si="141"/>
        <v>#REF!</v>
      </c>
      <c r="BI167" s="14" t="e">
        <f t="shared" si="141"/>
        <v>#REF!</v>
      </c>
      <c r="BJ167" s="14" t="e">
        <f t="shared" si="141"/>
        <v>#REF!</v>
      </c>
      <c r="BK167"/>
      <c r="BL167" s="5"/>
    </row>
    <row r="168" spans="1:64">
      <c r="A168"/>
      <c r="B168" t="s">
        <v>377</v>
      </c>
      <c r="C168" s="14">
        <f>-C117</f>
        <v>0</v>
      </c>
      <c r="D168" s="14">
        <f t="shared" ref="D168:BJ168" si="142">-D117</f>
        <v>0</v>
      </c>
      <c r="E168" s="14">
        <f t="shared" si="142"/>
        <v>0</v>
      </c>
      <c r="F168" s="14">
        <f t="shared" si="142"/>
        <v>0</v>
      </c>
      <c r="G168" s="14">
        <f t="shared" si="142"/>
        <v>0</v>
      </c>
      <c r="H168" s="14">
        <f t="shared" si="142"/>
        <v>0</v>
      </c>
      <c r="I168" s="14">
        <f t="shared" si="142"/>
        <v>0</v>
      </c>
      <c r="J168" s="14">
        <f t="shared" si="142"/>
        <v>0</v>
      </c>
      <c r="K168" s="14">
        <f t="shared" si="142"/>
        <v>0</v>
      </c>
      <c r="L168" s="14">
        <f t="shared" si="142"/>
        <v>0</v>
      </c>
      <c r="M168" s="14">
        <f t="shared" si="142"/>
        <v>0</v>
      </c>
      <c r="N168" s="14">
        <f t="shared" si="142"/>
        <v>0</v>
      </c>
      <c r="O168" s="14">
        <f t="shared" si="142"/>
        <v>0</v>
      </c>
      <c r="P168" s="14">
        <f t="shared" si="142"/>
        <v>0</v>
      </c>
      <c r="Q168" s="14">
        <f t="shared" si="142"/>
        <v>0</v>
      </c>
      <c r="R168" s="14">
        <f t="shared" si="142"/>
        <v>0</v>
      </c>
      <c r="S168" s="14">
        <f t="shared" si="142"/>
        <v>0</v>
      </c>
      <c r="T168" s="14">
        <f t="shared" si="142"/>
        <v>0</v>
      </c>
      <c r="U168" s="14">
        <f t="shared" si="142"/>
        <v>0</v>
      </c>
      <c r="V168" s="14">
        <f t="shared" si="142"/>
        <v>0</v>
      </c>
      <c r="W168" s="14">
        <f t="shared" si="142"/>
        <v>0</v>
      </c>
      <c r="X168" s="14">
        <f t="shared" si="142"/>
        <v>0</v>
      </c>
      <c r="Y168" s="14">
        <f t="shared" si="142"/>
        <v>0</v>
      </c>
      <c r="Z168" s="14">
        <f t="shared" si="142"/>
        <v>0</v>
      </c>
      <c r="AA168" s="14">
        <f t="shared" si="142"/>
        <v>0</v>
      </c>
      <c r="AB168" s="14">
        <f t="shared" si="142"/>
        <v>0</v>
      </c>
      <c r="AC168" s="14">
        <f t="shared" si="142"/>
        <v>0</v>
      </c>
      <c r="AD168" s="14">
        <f t="shared" si="142"/>
        <v>0</v>
      </c>
      <c r="AE168" s="14">
        <f t="shared" si="142"/>
        <v>0</v>
      </c>
      <c r="AF168" s="14">
        <f t="shared" si="142"/>
        <v>0</v>
      </c>
      <c r="AG168" s="14">
        <f t="shared" si="142"/>
        <v>0</v>
      </c>
      <c r="AH168" s="14">
        <f t="shared" si="142"/>
        <v>0</v>
      </c>
      <c r="AI168" s="14">
        <f t="shared" si="142"/>
        <v>0</v>
      </c>
      <c r="AJ168" s="14">
        <f t="shared" si="142"/>
        <v>0</v>
      </c>
      <c r="AK168" s="14">
        <f t="shared" si="142"/>
        <v>0</v>
      </c>
      <c r="AL168" s="14">
        <f t="shared" si="142"/>
        <v>0</v>
      </c>
      <c r="AM168" s="14">
        <f t="shared" si="142"/>
        <v>0</v>
      </c>
      <c r="AN168" s="14">
        <f t="shared" si="142"/>
        <v>0</v>
      </c>
      <c r="AO168" s="14">
        <f t="shared" si="142"/>
        <v>0</v>
      </c>
      <c r="AP168" s="14">
        <f t="shared" si="142"/>
        <v>0</v>
      </c>
      <c r="AQ168" s="14">
        <f t="shared" si="142"/>
        <v>0</v>
      </c>
      <c r="AR168" s="14">
        <f t="shared" si="142"/>
        <v>0</v>
      </c>
      <c r="AS168" s="14">
        <f t="shared" si="142"/>
        <v>0</v>
      </c>
      <c r="AT168" s="14">
        <f t="shared" si="142"/>
        <v>0</v>
      </c>
      <c r="AU168" s="14">
        <f t="shared" si="142"/>
        <v>0</v>
      </c>
      <c r="AV168" s="14">
        <f t="shared" si="142"/>
        <v>0</v>
      </c>
      <c r="AW168" s="14">
        <f t="shared" si="142"/>
        <v>0</v>
      </c>
      <c r="AX168" s="14">
        <f t="shared" si="142"/>
        <v>0</v>
      </c>
      <c r="AY168" s="14">
        <f t="shared" si="142"/>
        <v>0</v>
      </c>
      <c r="AZ168" s="14">
        <f t="shared" si="142"/>
        <v>0</v>
      </c>
      <c r="BA168" s="14">
        <f t="shared" si="142"/>
        <v>0</v>
      </c>
      <c r="BB168" s="14">
        <f t="shared" si="142"/>
        <v>0</v>
      </c>
      <c r="BC168" s="14">
        <f t="shared" si="142"/>
        <v>0</v>
      </c>
      <c r="BD168" s="14">
        <f t="shared" si="142"/>
        <v>0</v>
      </c>
      <c r="BE168" s="14">
        <f t="shared" si="142"/>
        <v>0</v>
      </c>
      <c r="BF168" s="14">
        <f t="shared" si="142"/>
        <v>0</v>
      </c>
      <c r="BG168" s="14">
        <f t="shared" si="142"/>
        <v>0</v>
      </c>
      <c r="BH168" s="14">
        <f t="shared" si="142"/>
        <v>0</v>
      </c>
      <c r="BI168" s="14">
        <f t="shared" si="142"/>
        <v>0</v>
      </c>
      <c r="BJ168" s="14">
        <f t="shared" si="142"/>
        <v>0</v>
      </c>
      <c r="BK168"/>
      <c r="BL168" s="5"/>
    </row>
    <row r="169" spans="1:64">
      <c r="A169"/>
      <c r="B169" t="s">
        <v>378</v>
      </c>
      <c r="C169" s="14" t="e">
        <f>-MAX(0,MIN(SUM(C167:C168),C160))</f>
        <v>#REF!</v>
      </c>
      <c r="D169" s="14" t="e">
        <f t="shared" ref="D169:BJ169" si="143">-MAX(0,MIN(SUM(D167:D168),D160))</f>
        <v>#REF!</v>
      </c>
      <c r="E169" s="14" t="e">
        <f t="shared" si="143"/>
        <v>#REF!</v>
      </c>
      <c r="F169" s="14" t="e">
        <f t="shared" si="143"/>
        <v>#REF!</v>
      </c>
      <c r="G169" s="14" t="e">
        <f t="shared" si="143"/>
        <v>#REF!</v>
      </c>
      <c r="H169" s="14" t="e">
        <f t="shared" si="143"/>
        <v>#REF!</v>
      </c>
      <c r="I169" s="14" t="e">
        <f t="shared" si="143"/>
        <v>#REF!</v>
      </c>
      <c r="J169" s="14" t="e">
        <f t="shared" si="143"/>
        <v>#REF!</v>
      </c>
      <c r="K169" s="14" t="e">
        <f t="shared" si="143"/>
        <v>#REF!</v>
      </c>
      <c r="L169" s="14" t="e">
        <f t="shared" si="143"/>
        <v>#REF!</v>
      </c>
      <c r="M169" s="14" t="e">
        <f t="shared" si="143"/>
        <v>#REF!</v>
      </c>
      <c r="N169" s="14" t="e">
        <f t="shared" si="143"/>
        <v>#REF!</v>
      </c>
      <c r="O169" s="14" t="e">
        <f t="shared" si="143"/>
        <v>#REF!</v>
      </c>
      <c r="P169" s="14" t="e">
        <f t="shared" si="143"/>
        <v>#REF!</v>
      </c>
      <c r="Q169" s="14" t="e">
        <f t="shared" si="143"/>
        <v>#REF!</v>
      </c>
      <c r="R169" s="14" t="e">
        <f t="shared" si="143"/>
        <v>#REF!</v>
      </c>
      <c r="S169" s="14" t="e">
        <f t="shared" si="143"/>
        <v>#REF!</v>
      </c>
      <c r="T169" s="14" t="e">
        <f t="shared" si="143"/>
        <v>#REF!</v>
      </c>
      <c r="U169" s="14" t="e">
        <f t="shared" si="143"/>
        <v>#REF!</v>
      </c>
      <c r="V169" s="14" t="e">
        <f t="shared" si="143"/>
        <v>#REF!</v>
      </c>
      <c r="W169" s="14" t="e">
        <f t="shared" si="143"/>
        <v>#REF!</v>
      </c>
      <c r="X169" s="14" t="e">
        <f t="shared" si="143"/>
        <v>#REF!</v>
      </c>
      <c r="Y169" s="14" t="e">
        <f t="shared" si="143"/>
        <v>#REF!</v>
      </c>
      <c r="Z169" s="14" t="e">
        <f t="shared" si="143"/>
        <v>#REF!</v>
      </c>
      <c r="AA169" s="14" t="e">
        <f t="shared" si="143"/>
        <v>#REF!</v>
      </c>
      <c r="AB169" s="14" t="e">
        <f t="shared" si="143"/>
        <v>#REF!</v>
      </c>
      <c r="AC169" s="14" t="e">
        <f t="shared" si="143"/>
        <v>#REF!</v>
      </c>
      <c r="AD169" s="14" t="e">
        <f t="shared" si="143"/>
        <v>#REF!</v>
      </c>
      <c r="AE169" s="14" t="e">
        <f t="shared" si="143"/>
        <v>#REF!</v>
      </c>
      <c r="AF169" s="14" t="e">
        <f t="shared" si="143"/>
        <v>#REF!</v>
      </c>
      <c r="AG169" s="14" t="e">
        <f t="shared" si="143"/>
        <v>#REF!</v>
      </c>
      <c r="AH169" s="14" t="e">
        <f t="shared" si="143"/>
        <v>#REF!</v>
      </c>
      <c r="AI169" s="14" t="e">
        <f t="shared" si="143"/>
        <v>#REF!</v>
      </c>
      <c r="AJ169" s="14" t="e">
        <f t="shared" si="143"/>
        <v>#REF!</v>
      </c>
      <c r="AK169" s="14" t="e">
        <f t="shared" si="143"/>
        <v>#REF!</v>
      </c>
      <c r="AL169" s="14" t="e">
        <f t="shared" si="143"/>
        <v>#REF!</v>
      </c>
      <c r="AM169" s="14" t="e">
        <f t="shared" si="143"/>
        <v>#REF!</v>
      </c>
      <c r="AN169" s="14" t="e">
        <f t="shared" si="143"/>
        <v>#REF!</v>
      </c>
      <c r="AO169" s="14" t="e">
        <f t="shared" si="143"/>
        <v>#REF!</v>
      </c>
      <c r="AP169" s="14" t="e">
        <f t="shared" si="143"/>
        <v>#REF!</v>
      </c>
      <c r="AQ169" s="14" t="e">
        <f t="shared" si="143"/>
        <v>#REF!</v>
      </c>
      <c r="AR169" s="14" t="e">
        <f t="shared" si="143"/>
        <v>#REF!</v>
      </c>
      <c r="AS169" s="14" t="e">
        <f t="shared" si="143"/>
        <v>#REF!</v>
      </c>
      <c r="AT169" s="14" t="e">
        <f t="shared" si="143"/>
        <v>#REF!</v>
      </c>
      <c r="AU169" s="14" t="e">
        <f t="shared" si="143"/>
        <v>#REF!</v>
      </c>
      <c r="AV169" s="14" t="e">
        <f t="shared" si="143"/>
        <v>#REF!</v>
      </c>
      <c r="AW169" s="14" t="e">
        <f t="shared" si="143"/>
        <v>#REF!</v>
      </c>
      <c r="AX169" s="14" t="e">
        <f t="shared" si="143"/>
        <v>#REF!</v>
      </c>
      <c r="AY169" s="14" t="e">
        <f t="shared" si="143"/>
        <v>#REF!</v>
      </c>
      <c r="AZ169" s="14" t="e">
        <f t="shared" si="143"/>
        <v>#REF!</v>
      </c>
      <c r="BA169" s="14" t="e">
        <f t="shared" si="143"/>
        <v>#REF!</v>
      </c>
      <c r="BB169" s="14" t="e">
        <f t="shared" si="143"/>
        <v>#REF!</v>
      </c>
      <c r="BC169" s="14" t="e">
        <f t="shared" si="143"/>
        <v>#REF!</v>
      </c>
      <c r="BD169" s="14" t="e">
        <f t="shared" si="143"/>
        <v>#REF!</v>
      </c>
      <c r="BE169" s="14" t="e">
        <f t="shared" si="143"/>
        <v>#REF!</v>
      </c>
      <c r="BF169" s="14" t="e">
        <f t="shared" si="143"/>
        <v>#REF!</v>
      </c>
      <c r="BG169" s="14" t="e">
        <f t="shared" si="143"/>
        <v>#REF!</v>
      </c>
      <c r="BH169" s="14" t="e">
        <f t="shared" si="143"/>
        <v>#REF!</v>
      </c>
      <c r="BI169" s="14" t="e">
        <f t="shared" si="143"/>
        <v>#REF!</v>
      </c>
      <c r="BJ169" s="14" t="e">
        <f t="shared" si="143"/>
        <v>#REF!</v>
      </c>
      <c r="BK169"/>
      <c r="BL169" s="5"/>
    </row>
    <row r="170" spans="1:64">
      <c r="A170"/>
      <c r="B170" s="3" t="s">
        <v>390</v>
      </c>
      <c r="C170" s="13" t="e">
        <f>SUM(C167:C169)</f>
        <v>#REF!</v>
      </c>
      <c r="D170" s="13" t="e">
        <f>SUM(D167:D169)</f>
        <v>#REF!</v>
      </c>
      <c r="E170" s="13" t="e">
        <f t="shared" ref="E170" si="144">SUM(E167:E169)</f>
        <v>#REF!</v>
      </c>
      <c r="F170" s="13" t="e">
        <f t="shared" ref="F170" si="145">SUM(F167:F169)</f>
        <v>#REF!</v>
      </c>
      <c r="G170" s="13" t="e">
        <f t="shared" ref="G170" si="146">SUM(G167:G169)</f>
        <v>#REF!</v>
      </c>
      <c r="H170" s="13" t="e">
        <f t="shared" ref="H170" si="147">SUM(H167:H169)</f>
        <v>#REF!</v>
      </c>
      <c r="I170" s="13" t="e">
        <f t="shared" ref="I170" si="148">SUM(I167:I169)</f>
        <v>#REF!</v>
      </c>
      <c r="J170" s="13" t="e">
        <f t="shared" ref="J170" si="149">SUM(J167:J169)</f>
        <v>#REF!</v>
      </c>
      <c r="K170" s="13" t="e">
        <f t="shared" ref="K170" si="150">SUM(K167:K169)</f>
        <v>#REF!</v>
      </c>
      <c r="L170" s="13" t="e">
        <f t="shared" ref="L170" si="151">SUM(L167:L169)</f>
        <v>#REF!</v>
      </c>
      <c r="M170" s="13" t="e">
        <f t="shared" ref="M170" si="152">SUM(M167:M169)</f>
        <v>#REF!</v>
      </c>
      <c r="N170" s="13" t="e">
        <f t="shared" ref="N170" si="153">SUM(N167:N169)</f>
        <v>#REF!</v>
      </c>
      <c r="O170" s="13" t="e">
        <f t="shared" ref="O170" si="154">SUM(O167:O169)</f>
        <v>#REF!</v>
      </c>
      <c r="P170" s="13" t="e">
        <f t="shared" ref="P170" si="155">SUM(P167:P169)</f>
        <v>#REF!</v>
      </c>
      <c r="Q170" s="13" t="e">
        <f t="shared" ref="Q170" si="156">SUM(Q167:Q169)</f>
        <v>#REF!</v>
      </c>
      <c r="R170" s="13" t="e">
        <f t="shared" ref="R170" si="157">SUM(R167:R169)</f>
        <v>#REF!</v>
      </c>
      <c r="S170" s="13" t="e">
        <f t="shared" ref="S170" si="158">SUM(S167:S169)</f>
        <v>#REF!</v>
      </c>
      <c r="T170" s="13" t="e">
        <f t="shared" ref="T170" si="159">SUM(T167:T169)</f>
        <v>#REF!</v>
      </c>
      <c r="U170" s="13" t="e">
        <f t="shared" ref="U170" si="160">SUM(U167:U169)</f>
        <v>#REF!</v>
      </c>
      <c r="V170" s="13" t="e">
        <f t="shared" ref="V170" si="161">SUM(V167:V169)</f>
        <v>#REF!</v>
      </c>
      <c r="W170" s="13" t="e">
        <f t="shared" ref="W170" si="162">SUM(W167:W169)</f>
        <v>#REF!</v>
      </c>
      <c r="X170" s="13" t="e">
        <f t="shared" ref="X170" si="163">SUM(X167:X169)</f>
        <v>#REF!</v>
      </c>
      <c r="Y170" s="13" t="e">
        <f t="shared" ref="Y170" si="164">SUM(Y167:Y169)</f>
        <v>#REF!</v>
      </c>
      <c r="Z170" s="13" t="e">
        <f t="shared" ref="Z170" si="165">SUM(Z167:Z169)</f>
        <v>#REF!</v>
      </c>
      <c r="AA170" s="13" t="e">
        <f t="shared" ref="AA170" si="166">SUM(AA167:AA169)</f>
        <v>#REF!</v>
      </c>
      <c r="AB170" s="13" t="e">
        <f t="shared" ref="AB170" si="167">SUM(AB167:AB169)</f>
        <v>#REF!</v>
      </c>
      <c r="AC170" s="13" t="e">
        <f t="shared" ref="AC170" si="168">SUM(AC167:AC169)</f>
        <v>#REF!</v>
      </c>
      <c r="AD170" s="13" t="e">
        <f t="shared" ref="AD170" si="169">SUM(AD167:AD169)</f>
        <v>#REF!</v>
      </c>
      <c r="AE170" s="13" t="e">
        <f t="shared" ref="AE170" si="170">SUM(AE167:AE169)</f>
        <v>#REF!</v>
      </c>
      <c r="AF170" s="13" t="e">
        <f t="shared" ref="AF170" si="171">SUM(AF167:AF169)</f>
        <v>#REF!</v>
      </c>
      <c r="AG170" s="13" t="e">
        <f t="shared" ref="AG170" si="172">SUM(AG167:AG169)</f>
        <v>#REF!</v>
      </c>
      <c r="AH170" s="13" t="e">
        <f t="shared" ref="AH170" si="173">SUM(AH167:AH169)</f>
        <v>#REF!</v>
      </c>
      <c r="AI170" s="13" t="e">
        <f t="shared" ref="AI170" si="174">SUM(AI167:AI169)</f>
        <v>#REF!</v>
      </c>
      <c r="AJ170" s="13" t="e">
        <f t="shared" ref="AJ170" si="175">SUM(AJ167:AJ169)</f>
        <v>#REF!</v>
      </c>
      <c r="AK170" s="13" t="e">
        <f t="shared" ref="AK170" si="176">SUM(AK167:AK169)</f>
        <v>#REF!</v>
      </c>
      <c r="AL170" s="13" t="e">
        <f t="shared" ref="AL170" si="177">SUM(AL167:AL169)</f>
        <v>#REF!</v>
      </c>
      <c r="AM170" s="13" t="e">
        <f t="shared" ref="AM170" si="178">SUM(AM167:AM169)</f>
        <v>#REF!</v>
      </c>
      <c r="AN170" s="13" t="e">
        <f t="shared" ref="AN170" si="179">SUM(AN167:AN169)</f>
        <v>#REF!</v>
      </c>
      <c r="AO170" s="13" t="e">
        <f t="shared" ref="AO170" si="180">SUM(AO167:AO169)</f>
        <v>#REF!</v>
      </c>
      <c r="AP170" s="13" t="e">
        <f t="shared" ref="AP170" si="181">SUM(AP167:AP169)</f>
        <v>#REF!</v>
      </c>
      <c r="AQ170" s="13" t="e">
        <f t="shared" ref="AQ170" si="182">SUM(AQ167:AQ169)</f>
        <v>#REF!</v>
      </c>
      <c r="AR170" s="13" t="e">
        <f t="shared" ref="AR170" si="183">SUM(AR167:AR169)</f>
        <v>#REF!</v>
      </c>
      <c r="AS170" s="13" t="e">
        <f t="shared" ref="AS170" si="184">SUM(AS167:AS169)</f>
        <v>#REF!</v>
      </c>
      <c r="AT170" s="13" t="e">
        <f t="shared" ref="AT170" si="185">SUM(AT167:AT169)</f>
        <v>#REF!</v>
      </c>
      <c r="AU170" s="13" t="e">
        <f t="shared" ref="AU170" si="186">SUM(AU167:AU169)</f>
        <v>#REF!</v>
      </c>
      <c r="AV170" s="13" t="e">
        <f t="shared" ref="AV170" si="187">SUM(AV167:AV169)</f>
        <v>#REF!</v>
      </c>
      <c r="AW170" s="13" t="e">
        <f t="shared" ref="AW170" si="188">SUM(AW167:AW169)</f>
        <v>#REF!</v>
      </c>
      <c r="AX170" s="13" t="e">
        <f t="shared" ref="AX170" si="189">SUM(AX167:AX169)</f>
        <v>#REF!</v>
      </c>
      <c r="AY170" s="13" t="e">
        <f t="shared" ref="AY170" si="190">SUM(AY167:AY169)</f>
        <v>#REF!</v>
      </c>
      <c r="AZ170" s="13" t="e">
        <f t="shared" ref="AZ170" si="191">SUM(AZ167:AZ169)</f>
        <v>#REF!</v>
      </c>
      <c r="BA170" s="13" t="e">
        <f t="shared" ref="BA170" si="192">SUM(BA167:BA169)</f>
        <v>#REF!</v>
      </c>
      <c r="BB170" s="13" t="e">
        <f t="shared" ref="BB170" si="193">SUM(BB167:BB169)</f>
        <v>#REF!</v>
      </c>
      <c r="BC170" s="13" t="e">
        <f t="shared" ref="BC170" si="194">SUM(BC167:BC169)</f>
        <v>#REF!</v>
      </c>
      <c r="BD170" s="13" t="e">
        <f t="shared" ref="BD170" si="195">SUM(BD167:BD169)</f>
        <v>#REF!</v>
      </c>
      <c r="BE170" s="13" t="e">
        <f t="shared" ref="BE170" si="196">SUM(BE167:BE169)</f>
        <v>#REF!</v>
      </c>
      <c r="BF170" s="13" t="e">
        <f t="shared" ref="BF170" si="197">SUM(BF167:BF169)</f>
        <v>#REF!</v>
      </c>
      <c r="BG170" s="13" t="e">
        <f t="shared" ref="BG170" si="198">SUM(BG167:BG169)</f>
        <v>#REF!</v>
      </c>
      <c r="BH170" s="13" t="e">
        <f t="shared" ref="BH170" si="199">SUM(BH167:BH169)</f>
        <v>#REF!</v>
      </c>
      <c r="BI170" s="13" t="e">
        <f t="shared" ref="BI170" si="200">SUM(BI167:BI169)</f>
        <v>#REF!</v>
      </c>
      <c r="BJ170" s="13" t="e">
        <f t="shared" ref="BJ170" si="201">SUM(BJ167:BJ169)</f>
        <v>#REF!</v>
      </c>
      <c r="BK170"/>
      <c r="BL170" s="5"/>
    </row>
    <row r="171" spans="1:64">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s="5"/>
    </row>
    <row r="172" spans="1:64">
      <c r="A172"/>
      <c r="B172" t="s">
        <v>391</v>
      </c>
      <c r="C172" s="14" t="e">
        <f>-C164</f>
        <v>#REF!</v>
      </c>
      <c r="D172" s="14" t="e">
        <f t="shared" ref="D172:BJ172" si="202">-D164</f>
        <v>#REF!</v>
      </c>
      <c r="E172" s="14" t="e">
        <f t="shared" si="202"/>
        <v>#REF!</v>
      </c>
      <c r="F172" s="14" t="e">
        <f t="shared" si="202"/>
        <v>#REF!</v>
      </c>
      <c r="G172" s="14" t="e">
        <f t="shared" si="202"/>
        <v>#REF!</v>
      </c>
      <c r="H172" s="14" t="e">
        <f t="shared" si="202"/>
        <v>#REF!</v>
      </c>
      <c r="I172" s="14" t="e">
        <f t="shared" si="202"/>
        <v>#REF!</v>
      </c>
      <c r="J172" s="14" t="e">
        <f t="shared" si="202"/>
        <v>#REF!</v>
      </c>
      <c r="K172" s="14" t="e">
        <f t="shared" si="202"/>
        <v>#REF!</v>
      </c>
      <c r="L172" s="14" t="e">
        <f t="shared" si="202"/>
        <v>#REF!</v>
      </c>
      <c r="M172" s="14" t="e">
        <f t="shared" si="202"/>
        <v>#REF!</v>
      </c>
      <c r="N172" s="14" t="e">
        <f t="shared" si="202"/>
        <v>#REF!</v>
      </c>
      <c r="O172" s="14" t="e">
        <f t="shared" si="202"/>
        <v>#REF!</v>
      </c>
      <c r="P172" s="14" t="e">
        <f t="shared" si="202"/>
        <v>#REF!</v>
      </c>
      <c r="Q172" s="14" t="e">
        <f t="shared" si="202"/>
        <v>#REF!</v>
      </c>
      <c r="R172" s="14" t="e">
        <f t="shared" si="202"/>
        <v>#REF!</v>
      </c>
      <c r="S172" s="14" t="e">
        <f t="shared" si="202"/>
        <v>#REF!</v>
      </c>
      <c r="T172" s="14" t="e">
        <f t="shared" si="202"/>
        <v>#REF!</v>
      </c>
      <c r="U172" s="14" t="e">
        <f t="shared" si="202"/>
        <v>#REF!</v>
      </c>
      <c r="V172" s="14" t="e">
        <f t="shared" si="202"/>
        <v>#REF!</v>
      </c>
      <c r="W172" s="14" t="e">
        <f t="shared" si="202"/>
        <v>#REF!</v>
      </c>
      <c r="X172" s="14" t="e">
        <f t="shared" si="202"/>
        <v>#REF!</v>
      </c>
      <c r="Y172" s="14" t="e">
        <f t="shared" si="202"/>
        <v>#REF!</v>
      </c>
      <c r="Z172" s="14" t="e">
        <f t="shared" si="202"/>
        <v>#REF!</v>
      </c>
      <c r="AA172" s="14" t="e">
        <f t="shared" si="202"/>
        <v>#REF!</v>
      </c>
      <c r="AB172" s="14" t="e">
        <f t="shared" si="202"/>
        <v>#REF!</v>
      </c>
      <c r="AC172" s="14" t="e">
        <f t="shared" si="202"/>
        <v>#REF!</v>
      </c>
      <c r="AD172" s="14" t="e">
        <f t="shared" si="202"/>
        <v>#REF!</v>
      </c>
      <c r="AE172" s="14" t="e">
        <f t="shared" si="202"/>
        <v>#REF!</v>
      </c>
      <c r="AF172" s="14" t="e">
        <f t="shared" si="202"/>
        <v>#REF!</v>
      </c>
      <c r="AG172" s="14" t="e">
        <f t="shared" si="202"/>
        <v>#REF!</v>
      </c>
      <c r="AH172" s="14" t="e">
        <f t="shared" si="202"/>
        <v>#REF!</v>
      </c>
      <c r="AI172" s="14" t="e">
        <f t="shared" si="202"/>
        <v>#REF!</v>
      </c>
      <c r="AJ172" s="14" t="e">
        <f t="shared" si="202"/>
        <v>#REF!</v>
      </c>
      <c r="AK172" s="14" t="e">
        <f t="shared" si="202"/>
        <v>#REF!</v>
      </c>
      <c r="AL172" s="14" t="e">
        <f t="shared" si="202"/>
        <v>#REF!</v>
      </c>
      <c r="AM172" s="14" t="e">
        <f t="shared" si="202"/>
        <v>#REF!</v>
      </c>
      <c r="AN172" s="14" t="e">
        <f t="shared" si="202"/>
        <v>#REF!</v>
      </c>
      <c r="AO172" s="14" t="e">
        <f t="shared" si="202"/>
        <v>#REF!</v>
      </c>
      <c r="AP172" s="14" t="e">
        <f t="shared" si="202"/>
        <v>#REF!</v>
      </c>
      <c r="AQ172" s="14" t="e">
        <f t="shared" si="202"/>
        <v>#REF!</v>
      </c>
      <c r="AR172" s="14" t="e">
        <f t="shared" si="202"/>
        <v>#REF!</v>
      </c>
      <c r="AS172" s="14" t="e">
        <f t="shared" si="202"/>
        <v>#REF!</v>
      </c>
      <c r="AT172" s="14" t="e">
        <f t="shared" si="202"/>
        <v>#REF!</v>
      </c>
      <c r="AU172" s="14" t="e">
        <f t="shared" si="202"/>
        <v>#REF!</v>
      </c>
      <c r="AV172" s="14" t="e">
        <f t="shared" si="202"/>
        <v>#REF!</v>
      </c>
      <c r="AW172" s="14" t="e">
        <f t="shared" si="202"/>
        <v>#REF!</v>
      </c>
      <c r="AX172" s="14" t="e">
        <f t="shared" si="202"/>
        <v>#REF!</v>
      </c>
      <c r="AY172" s="14" t="e">
        <f t="shared" si="202"/>
        <v>#REF!</v>
      </c>
      <c r="AZ172" s="14" t="e">
        <f t="shared" si="202"/>
        <v>#REF!</v>
      </c>
      <c r="BA172" s="14" t="e">
        <f t="shared" si="202"/>
        <v>#REF!</v>
      </c>
      <c r="BB172" s="14" t="e">
        <f t="shared" si="202"/>
        <v>#REF!</v>
      </c>
      <c r="BC172" s="14" t="e">
        <f t="shared" si="202"/>
        <v>#REF!</v>
      </c>
      <c r="BD172" s="14" t="e">
        <f t="shared" si="202"/>
        <v>#REF!</v>
      </c>
      <c r="BE172" s="14" t="e">
        <f t="shared" si="202"/>
        <v>#REF!</v>
      </c>
      <c r="BF172" s="14" t="e">
        <f t="shared" si="202"/>
        <v>#REF!</v>
      </c>
      <c r="BG172" s="14" t="e">
        <f t="shared" si="202"/>
        <v>#REF!</v>
      </c>
      <c r="BH172" s="14" t="e">
        <f t="shared" si="202"/>
        <v>#REF!</v>
      </c>
      <c r="BI172" s="14" t="e">
        <f t="shared" si="202"/>
        <v>#REF!</v>
      </c>
      <c r="BJ172" s="14" t="e">
        <f t="shared" si="202"/>
        <v>#REF!</v>
      </c>
      <c r="BK172"/>
      <c r="BL172" s="5"/>
    </row>
    <row r="173" spans="1:64">
      <c r="A173"/>
      <c r="B173" t="s">
        <v>392</v>
      </c>
      <c r="C173" s="14" t="e">
        <f>-C169</f>
        <v>#REF!</v>
      </c>
      <c r="D173" s="14" t="e">
        <f t="shared" ref="D173:BJ173" si="203">-D169</f>
        <v>#REF!</v>
      </c>
      <c r="E173" s="14" t="e">
        <f t="shared" si="203"/>
        <v>#REF!</v>
      </c>
      <c r="F173" s="14" t="e">
        <f t="shared" si="203"/>
        <v>#REF!</v>
      </c>
      <c r="G173" s="14" t="e">
        <f t="shared" si="203"/>
        <v>#REF!</v>
      </c>
      <c r="H173" s="14" t="e">
        <f t="shared" si="203"/>
        <v>#REF!</v>
      </c>
      <c r="I173" s="14" t="e">
        <f t="shared" si="203"/>
        <v>#REF!</v>
      </c>
      <c r="J173" s="14" t="e">
        <f t="shared" si="203"/>
        <v>#REF!</v>
      </c>
      <c r="K173" s="14" t="e">
        <f t="shared" si="203"/>
        <v>#REF!</v>
      </c>
      <c r="L173" s="14" t="e">
        <f t="shared" si="203"/>
        <v>#REF!</v>
      </c>
      <c r="M173" s="14" t="e">
        <f t="shared" si="203"/>
        <v>#REF!</v>
      </c>
      <c r="N173" s="14" t="e">
        <f t="shared" si="203"/>
        <v>#REF!</v>
      </c>
      <c r="O173" s="14" t="e">
        <f t="shared" si="203"/>
        <v>#REF!</v>
      </c>
      <c r="P173" s="14" t="e">
        <f t="shared" si="203"/>
        <v>#REF!</v>
      </c>
      <c r="Q173" s="14" t="e">
        <f t="shared" si="203"/>
        <v>#REF!</v>
      </c>
      <c r="R173" s="14" t="e">
        <f t="shared" si="203"/>
        <v>#REF!</v>
      </c>
      <c r="S173" s="14" t="e">
        <f t="shared" si="203"/>
        <v>#REF!</v>
      </c>
      <c r="T173" s="14" t="e">
        <f t="shared" si="203"/>
        <v>#REF!</v>
      </c>
      <c r="U173" s="14" t="e">
        <f t="shared" si="203"/>
        <v>#REF!</v>
      </c>
      <c r="V173" s="14" t="e">
        <f t="shared" si="203"/>
        <v>#REF!</v>
      </c>
      <c r="W173" s="14" t="e">
        <f t="shared" si="203"/>
        <v>#REF!</v>
      </c>
      <c r="X173" s="14" t="e">
        <f t="shared" si="203"/>
        <v>#REF!</v>
      </c>
      <c r="Y173" s="14" t="e">
        <f t="shared" si="203"/>
        <v>#REF!</v>
      </c>
      <c r="Z173" s="14" t="e">
        <f t="shared" si="203"/>
        <v>#REF!</v>
      </c>
      <c r="AA173" s="14" t="e">
        <f t="shared" si="203"/>
        <v>#REF!</v>
      </c>
      <c r="AB173" s="14" t="e">
        <f t="shared" si="203"/>
        <v>#REF!</v>
      </c>
      <c r="AC173" s="14" t="e">
        <f t="shared" si="203"/>
        <v>#REF!</v>
      </c>
      <c r="AD173" s="14" t="e">
        <f t="shared" si="203"/>
        <v>#REF!</v>
      </c>
      <c r="AE173" s="14" t="e">
        <f t="shared" si="203"/>
        <v>#REF!</v>
      </c>
      <c r="AF173" s="14" t="e">
        <f t="shared" si="203"/>
        <v>#REF!</v>
      </c>
      <c r="AG173" s="14" t="e">
        <f t="shared" si="203"/>
        <v>#REF!</v>
      </c>
      <c r="AH173" s="14" t="e">
        <f t="shared" si="203"/>
        <v>#REF!</v>
      </c>
      <c r="AI173" s="14" t="e">
        <f t="shared" si="203"/>
        <v>#REF!</v>
      </c>
      <c r="AJ173" s="14" t="e">
        <f t="shared" si="203"/>
        <v>#REF!</v>
      </c>
      <c r="AK173" s="14" t="e">
        <f t="shared" si="203"/>
        <v>#REF!</v>
      </c>
      <c r="AL173" s="14" t="e">
        <f t="shared" si="203"/>
        <v>#REF!</v>
      </c>
      <c r="AM173" s="14" t="e">
        <f t="shared" si="203"/>
        <v>#REF!</v>
      </c>
      <c r="AN173" s="14" t="e">
        <f t="shared" si="203"/>
        <v>#REF!</v>
      </c>
      <c r="AO173" s="14" t="e">
        <f t="shared" si="203"/>
        <v>#REF!</v>
      </c>
      <c r="AP173" s="14" t="e">
        <f t="shared" si="203"/>
        <v>#REF!</v>
      </c>
      <c r="AQ173" s="14" t="e">
        <f t="shared" si="203"/>
        <v>#REF!</v>
      </c>
      <c r="AR173" s="14" t="e">
        <f t="shared" si="203"/>
        <v>#REF!</v>
      </c>
      <c r="AS173" s="14" t="e">
        <f t="shared" si="203"/>
        <v>#REF!</v>
      </c>
      <c r="AT173" s="14" t="e">
        <f t="shared" si="203"/>
        <v>#REF!</v>
      </c>
      <c r="AU173" s="14" t="e">
        <f t="shared" si="203"/>
        <v>#REF!</v>
      </c>
      <c r="AV173" s="14" t="e">
        <f t="shared" si="203"/>
        <v>#REF!</v>
      </c>
      <c r="AW173" s="14" t="e">
        <f t="shared" si="203"/>
        <v>#REF!</v>
      </c>
      <c r="AX173" s="14" t="e">
        <f t="shared" si="203"/>
        <v>#REF!</v>
      </c>
      <c r="AY173" s="14" t="e">
        <f t="shared" si="203"/>
        <v>#REF!</v>
      </c>
      <c r="AZ173" s="14" t="e">
        <f t="shared" si="203"/>
        <v>#REF!</v>
      </c>
      <c r="BA173" s="14" t="e">
        <f t="shared" si="203"/>
        <v>#REF!</v>
      </c>
      <c r="BB173" s="14" t="e">
        <f t="shared" si="203"/>
        <v>#REF!</v>
      </c>
      <c r="BC173" s="14" t="e">
        <f t="shared" si="203"/>
        <v>#REF!</v>
      </c>
      <c r="BD173" s="14" t="e">
        <f t="shared" si="203"/>
        <v>#REF!</v>
      </c>
      <c r="BE173" s="14" t="e">
        <f t="shared" si="203"/>
        <v>#REF!</v>
      </c>
      <c r="BF173" s="14" t="e">
        <f t="shared" si="203"/>
        <v>#REF!</v>
      </c>
      <c r="BG173" s="14" t="e">
        <f t="shared" si="203"/>
        <v>#REF!</v>
      </c>
      <c r="BH173" s="14" t="e">
        <f t="shared" si="203"/>
        <v>#REF!</v>
      </c>
      <c r="BI173" s="14" t="e">
        <f t="shared" si="203"/>
        <v>#REF!</v>
      </c>
      <c r="BJ173" s="14" t="e">
        <f t="shared" si="203"/>
        <v>#REF!</v>
      </c>
      <c r="BK173"/>
      <c r="BL173" s="5"/>
    </row>
    <row r="174" spans="1:64">
      <c r="A174"/>
      <c r="B174" s="3" t="s">
        <v>393</v>
      </c>
      <c r="C174" s="13" t="e">
        <f>SUM(C172:C173)</f>
        <v>#REF!</v>
      </c>
      <c r="D174" s="13" t="e">
        <f t="shared" ref="D174:BJ174" si="204">SUM(D172:D173)</f>
        <v>#REF!</v>
      </c>
      <c r="E174" s="13" t="e">
        <f t="shared" si="204"/>
        <v>#REF!</v>
      </c>
      <c r="F174" s="13" t="e">
        <f t="shared" si="204"/>
        <v>#REF!</v>
      </c>
      <c r="G174" s="13" t="e">
        <f t="shared" si="204"/>
        <v>#REF!</v>
      </c>
      <c r="H174" s="13" t="e">
        <f t="shared" si="204"/>
        <v>#REF!</v>
      </c>
      <c r="I174" s="13" t="e">
        <f t="shared" si="204"/>
        <v>#REF!</v>
      </c>
      <c r="J174" s="13" t="e">
        <f t="shared" si="204"/>
        <v>#REF!</v>
      </c>
      <c r="K174" s="13" t="e">
        <f t="shared" si="204"/>
        <v>#REF!</v>
      </c>
      <c r="L174" s="13" t="e">
        <f t="shared" si="204"/>
        <v>#REF!</v>
      </c>
      <c r="M174" s="13" t="e">
        <f t="shared" si="204"/>
        <v>#REF!</v>
      </c>
      <c r="N174" s="13" t="e">
        <f t="shared" si="204"/>
        <v>#REF!</v>
      </c>
      <c r="O174" s="13" t="e">
        <f t="shared" si="204"/>
        <v>#REF!</v>
      </c>
      <c r="P174" s="13" t="e">
        <f t="shared" si="204"/>
        <v>#REF!</v>
      </c>
      <c r="Q174" s="13" t="e">
        <f t="shared" si="204"/>
        <v>#REF!</v>
      </c>
      <c r="R174" s="13" t="e">
        <f t="shared" si="204"/>
        <v>#REF!</v>
      </c>
      <c r="S174" s="13" t="e">
        <f t="shared" si="204"/>
        <v>#REF!</v>
      </c>
      <c r="T174" s="13" t="e">
        <f t="shared" si="204"/>
        <v>#REF!</v>
      </c>
      <c r="U174" s="13" t="e">
        <f t="shared" si="204"/>
        <v>#REF!</v>
      </c>
      <c r="V174" s="13" t="e">
        <f t="shared" si="204"/>
        <v>#REF!</v>
      </c>
      <c r="W174" s="13" t="e">
        <f t="shared" si="204"/>
        <v>#REF!</v>
      </c>
      <c r="X174" s="13" t="e">
        <f t="shared" si="204"/>
        <v>#REF!</v>
      </c>
      <c r="Y174" s="13" t="e">
        <f t="shared" si="204"/>
        <v>#REF!</v>
      </c>
      <c r="Z174" s="13" t="e">
        <f t="shared" si="204"/>
        <v>#REF!</v>
      </c>
      <c r="AA174" s="13" t="e">
        <f t="shared" si="204"/>
        <v>#REF!</v>
      </c>
      <c r="AB174" s="13" t="e">
        <f t="shared" si="204"/>
        <v>#REF!</v>
      </c>
      <c r="AC174" s="13" t="e">
        <f t="shared" si="204"/>
        <v>#REF!</v>
      </c>
      <c r="AD174" s="13" t="e">
        <f t="shared" si="204"/>
        <v>#REF!</v>
      </c>
      <c r="AE174" s="13" t="e">
        <f t="shared" si="204"/>
        <v>#REF!</v>
      </c>
      <c r="AF174" s="13" t="e">
        <f t="shared" si="204"/>
        <v>#REF!</v>
      </c>
      <c r="AG174" s="13" t="e">
        <f t="shared" si="204"/>
        <v>#REF!</v>
      </c>
      <c r="AH174" s="13" t="e">
        <f t="shared" si="204"/>
        <v>#REF!</v>
      </c>
      <c r="AI174" s="13" t="e">
        <f t="shared" si="204"/>
        <v>#REF!</v>
      </c>
      <c r="AJ174" s="13" t="e">
        <f t="shared" si="204"/>
        <v>#REF!</v>
      </c>
      <c r="AK174" s="13" t="e">
        <f t="shared" si="204"/>
        <v>#REF!</v>
      </c>
      <c r="AL174" s="13" t="e">
        <f t="shared" si="204"/>
        <v>#REF!</v>
      </c>
      <c r="AM174" s="13" t="e">
        <f t="shared" si="204"/>
        <v>#REF!</v>
      </c>
      <c r="AN174" s="13" t="e">
        <f t="shared" si="204"/>
        <v>#REF!</v>
      </c>
      <c r="AO174" s="13" t="e">
        <f t="shared" si="204"/>
        <v>#REF!</v>
      </c>
      <c r="AP174" s="13" t="e">
        <f t="shared" si="204"/>
        <v>#REF!</v>
      </c>
      <c r="AQ174" s="13" t="e">
        <f t="shared" si="204"/>
        <v>#REF!</v>
      </c>
      <c r="AR174" s="13" t="e">
        <f t="shared" si="204"/>
        <v>#REF!</v>
      </c>
      <c r="AS174" s="13" t="e">
        <f t="shared" si="204"/>
        <v>#REF!</v>
      </c>
      <c r="AT174" s="13" t="e">
        <f t="shared" si="204"/>
        <v>#REF!</v>
      </c>
      <c r="AU174" s="13" t="e">
        <f t="shared" si="204"/>
        <v>#REF!</v>
      </c>
      <c r="AV174" s="13" t="e">
        <f t="shared" si="204"/>
        <v>#REF!</v>
      </c>
      <c r="AW174" s="13" t="e">
        <f t="shared" si="204"/>
        <v>#REF!</v>
      </c>
      <c r="AX174" s="13" t="e">
        <f t="shared" si="204"/>
        <v>#REF!</v>
      </c>
      <c r="AY174" s="13" t="e">
        <f t="shared" si="204"/>
        <v>#REF!</v>
      </c>
      <c r="AZ174" s="13" t="e">
        <f t="shared" si="204"/>
        <v>#REF!</v>
      </c>
      <c r="BA174" s="13" t="e">
        <f t="shared" si="204"/>
        <v>#REF!</v>
      </c>
      <c r="BB174" s="13" t="e">
        <f t="shared" si="204"/>
        <v>#REF!</v>
      </c>
      <c r="BC174" s="13" t="e">
        <f t="shared" si="204"/>
        <v>#REF!</v>
      </c>
      <c r="BD174" s="13" t="e">
        <f t="shared" si="204"/>
        <v>#REF!</v>
      </c>
      <c r="BE174" s="13" t="e">
        <f t="shared" si="204"/>
        <v>#REF!</v>
      </c>
      <c r="BF174" s="13" t="e">
        <f t="shared" si="204"/>
        <v>#REF!</v>
      </c>
      <c r="BG174" s="13" t="e">
        <f t="shared" si="204"/>
        <v>#REF!</v>
      </c>
      <c r="BH174" s="13" t="e">
        <f t="shared" si="204"/>
        <v>#REF!</v>
      </c>
      <c r="BI174" s="13" t="e">
        <f t="shared" si="204"/>
        <v>#REF!</v>
      </c>
      <c r="BJ174" s="13" t="e">
        <f t="shared" si="204"/>
        <v>#REF!</v>
      </c>
      <c r="BK174"/>
      <c r="BL174" s="5"/>
    </row>
    <row r="175" spans="1:64">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s="5"/>
    </row>
    <row r="176" spans="1:64">
      <c r="A176"/>
      <c r="B176" t="s">
        <v>394</v>
      </c>
      <c r="C176" s="30">
        <f>C55</f>
        <v>0</v>
      </c>
      <c r="D176" s="30">
        <f t="shared" ref="D176:BJ176" si="205">D55</f>
        <v>0</v>
      </c>
      <c r="E176" s="30">
        <f t="shared" si="205"/>
        <v>0</v>
      </c>
      <c r="F176" s="30">
        <f t="shared" si="205"/>
        <v>0</v>
      </c>
      <c r="G176" s="30">
        <f t="shared" si="205"/>
        <v>0</v>
      </c>
      <c r="H176" s="30">
        <f t="shared" si="205"/>
        <v>0</v>
      </c>
      <c r="I176" s="30">
        <f t="shared" si="205"/>
        <v>0</v>
      </c>
      <c r="J176" s="30">
        <f t="shared" si="205"/>
        <v>0</v>
      </c>
      <c r="K176" s="30">
        <f t="shared" si="205"/>
        <v>0</v>
      </c>
      <c r="L176" s="30">
        <f t="shared" si="205"/>
        <v>0</v>
      </c>
      <c r="M176" s="30">
        <f t="shared" si="205"/>
        <v>0</v>
      </c>
      <c r="N176" s="30">
        <f t="shared" si="205"/>
        <v>0</v>
      </c>
      <c r="O176" s="30">
        <f t="shared" si="205"/>
        <v>0</v>
      </c>
      <c r="P176" s="30">
        <f t="shared" si="205"/>
        <v>0</v>
      </c>
      <c r="Q176" s="30">
        <f t="shared" si="205"/>
        <v>0</v>
      </c>
      <c r="R176" s="30">
        <f t="shared" si="205"/>
        <v>0</v>
      </c>
      <c r="S176" s="30">
        <f t="shared" si="205"/>
        <v>0</v>
      </c>
      <c r="T176" s="30">
        <f t="shared" si="205"/>
        <v>0</v>
      </c>
      <c r="U176" s="30">
        <f t="shared" si="205"/>
        <v>0</v>
      </c>
      <c r="V176" s="30">
        <f t="shared" si="205"/>
        <v>0</v>
      </c>
      <c r="W176" s="30">
        <f t="shared" si="205"/>
        <v>0</v>
      </c>
      <c r="X176" s="30">
        <f t="shared" si="205"/>
        <v>0</v>
      </c>
      <c r="Y176" s="30">
        <f t="shared" si="205"/>
        <v>0</v>
      </c>
      <c r="Z176" s="30">
        <f t="shared" si="205"/>
        <v>0</v>
      </c>
      <c r="AA176" s="30">
        <f t="shared" si="205"/>
        <v>0</v>
      </c>
      <c r="AB176" s="30">
        <f t="shared" si="205"/>
        <v>0</v>
      </c>
      <c r="AC176" s="30">
        <f t="shared" si="205"/>
        <v>0</v>
      </c>
      <c r="AD176" s="30">
        <f t="shared" si="205"/>
        <v>0</v>
      </c>
      <c r="AE176" s="30">
        <f t="shared" si="205"/>
        <v>0</v>
      </c>
      <c r="AF176" s="30">
        <f t="shared" si="205"/>
        <v>0</v>
      </c>
      <c r="AG176" s="30">
        <f t="shared" si="205"/>
        <v>0</v>
      </c>
      <c r="AH176" s="30">
        <f t="shared" si="205"/>
        <v>0</v>
      </c>
      <c r="AI176" s="30">
        <f t="shared" si="205"/>
        <v>0</v>
      </c>
      <c r="AJ176" s="30">
        <f t="shared" si="205"/>
        <v>0</v>
      </c>
      <c r="AK176" s="30">
        <f t="shared" si="205"/>
        <v>0</v>
      </c>
      <c r="AL176" s="30">
        <f t="shared" si="205"/>
        <v>0</v>
      </c>
      <c r="AM176" s="30">
        <f t="shared" si="205"/>
        <v>0</v>
      </c>
      <c r="AN176" s="30">
        <f t="shared" si="205"/>
        <v>0</v>
      </c>
      <c r="AO176" s="30">
        <f t="shared" si="205"/>
        <v>0</v>
      </c>
      <c r="AP176" s="30">
        <f t="shared" si="205"/>
        <v>0</v>
      </c>
      <c r="AQ176" s="30">
        <f t="shared" si="205"/>
        <v>0</v>
      </c>
      <c r="AR176" s="30">
        <f t="shared" si="205"/>
        <v>0</v>
      </c>
      <c r="AS176" s="30">
        <f t="shared" si="205"/>
        <v>0</v>
      </c>
      <c r="AT176" s="30">
        <f t="shared" si="205"/>
        <v>0</v>
      </c>
      <c r="AU176" s="30">
        <f t="shared" si="205"/>
        <v>0</v>
      </c>
      <c r="AV176" s="30">
        <f t="shared" si="205"/>
        <v>0</v>
      </c>
      <c r="AW176" s="30">
        <f t="shared" si="205"/>
        <v>0</v>
      </c>
      <c r="AX176" s="30">
        <f t="shared" si="205"/>
        <v>0</v>
      </c>
      <c r="AY176" s="30">
        <f t="shared" si="205"/>
        <v>0</v>
      </c>
      <c r="AZ176" s="30">
        <f t="shared" si="205"/>
        <v>0</v>
      </c>
      <c r="BA176" s="30">
        <f t="shared" si="205"/>
        <v>0</v>
      </c>
      <c r="BB176" s="30">
        <f t="shared" si="205"/>
        <v>0</v>
      </c>
      <c r="BC176" s="30">
        <f t="shared" si="205"/>
        <v>0</v>
      </c>
      <c r="BD176" s="30">
        <f t="shared" si="205"/>
        <v>0</v>
      </c>
      <c r="BE176" s="30">
        <f t="shared" si="205"/>
        <v>0</v>
      </c>
      <c r="BF176" s="30">
        <f t="shared" si="205"/>
        <v>0</v>
      </c>
      <c r="BG176" s="30">
        <f t="shared" si="205"/>
        <v>0</v>
      </c>
      <c r="BH176" s="30">
        <f t="shared" si="205"/>
        <v>0</v>
      </c>
      <c r="BI176" s="30">
        <f t="shared" si="205"/>
        <v>0</v>
      </c>
      <c r="BJ176" s="30">
        <f t="shared" si="205"/>
        <v>0</v>
      </c>
      <c r="BK176"/>
      <c r="BL176" s="5"/>
    </row>
    <row r="177" spans="1:64">
      <c r="A177"/>
      <c r="B177" t="s">
        <v>384</v>
      </c>
      <c r="C177" s="30" t="e">
        <f>+C153</f>
        <v>#REF!</v>
      </c>
      <c r="D177" s="30" t="e">
        <f t="shared" ref="D177:BJ177" si="206">+D153</f>
        <v>#REF!</v>
      </c>
      <c r="E177" s="30" t="e">
        <f t="shared" si="206"/>
        <v>#REF!</v>
      </c>
      <c r="F177" s="30" t="e">
        <f t="shared" si="206"/>
        <v>#REF!</v>
      </c>
      <c r="G177" s="30" t="e">
        <f t="shared" si="206"/>
        <v>#REF!</v>
      </c>
      <c r="H177" s="30" t="e">
        <f t="shared" si="206"/>
        <v>#REF!</v>
      </c>
      <c r="I177" s="30" t="e">
        <f t="shared" si="206"/>
        <v>#REF!</v>
      </c>
      <c r="J177" s="30" t="e">
        <f t="shared" si="206"/>
        <v>#REF!</v>
      </c>
      <c r="K177" s="30" t="e">
        <f t="shared" si="206"/>
        <v>#REF!</v>
      </c>
      <c r="L177" s="30" t="e">
        <f t="shared" si="206"/>
        <v>#REF!</v>
      </c>
      <c r="M177" s="30" t="e">
        <f t="shared" si="206"/>
        <v>#REF!</v>
      </c>
      <c r="N177" s="30" t="e">
        <f t="shared" si="206"/>
        <v>#REF!</v>
      </c>
      <c r="O177" s="30" t="e">
        <f t="shared" si="206"/>
        <v>#REF!</v>
      </c>
      <c r="P177" s="30" t="e">
        <f t="shared" si="206"/>
        <v>#REF!</v>
      </c>
      <c r="Q177" s="30" t="e">
        <f t="shared" si="206"/>
        <v>#REF!</v>
      </c>
      <c r="R177" s="30" t="e">
        <f t="shared" si="206"/>
        <v>#REF!</v>
      </c>
      <c r="S177" s="30" t="e">
        <f t="shared" si="206"/>
        <v>#REF!</v>
      </c>
      <c r="T177" s="30" t="e">
        <f t="shared" si="206"/>
        <v>#REF!</v>
      </c>
      <c r="U177" s="30" t="e">
        <f t="shared" si="206"/>
        <v>#REF!</v>
      </c>
      <c r="V177" s="30" t="e">
        <f t="shared" si="206"/>
        <v>#REF!</v>
      </c>
      <c r="W177" s="30" t="e">
        <f t="shared" si="206"/>
        <v>#REF!</v>
      </c>
      <c r="X177" s="30" t="e">
        <f t="shared" si="206"/>
        <v>#REF!</v>
      </c>
      <c r="Y177" s="30" t="e">
        <f t="shared" si="206"/>
        <v>#REF!</v>
      </c>
      <c r="Z177" s="30" t="e">
        <f t="shared" si="206"/>
        <v>#REF!</v>
      </c>
      <c r="AA177" s="30" t="e">
        <f t="shared" si="206"/>
        <v>#REF!</v>
      </c>
      <c r="AB177" s="30" t="e">
        <f t="shared" si="206"/>
        <v>#REF!</v>
      </c>
      <c r="AC177" s="30" t="e">
        <f t="shared" si="206"/>
        <v>#REF!</v>
      </c>
      <c r="AD177" s="30" t="e">
        <f t="shared" si="206"/>
        <v>#REF!</v>
      </c>
      <c r="AE177" s="30" t="e">
        <f t="shared" si="206"/>
        <v>#REF!</v>
      </c>
      <c r="AF177" s="30" t="e">
        <f t="shared" si="206"/>
        <v>#REF!</v>
      </c>
      <c r="AG177" s="30" t="e">
        <f t="shared" si="206"/>
        <v>#REF!</v>
      </c>
      <c r="AH177" s="30" t="e">
        <f t="shared" si="206"/>
        <v>#REF!</v>
      </c>
      <c r="AI177" s="30" t="e">
        <f t="shared" si="206"/>
        <v>#REF!</v>
      </c>
      <c r="AJ177" s="30" t="e">
        <f t="shared" si="206"/>
        <v>#REF!</v>
      </c>
      <c r="AK177" s="30" t="e">
        <f t="shared" si="206"/>
        <v>#REF!</v>
      </c>
      <c r="AL177" s="30" t="e">
        <f t="shared" si="206"/>
        <v>#REF!</v>
      </c>
      <c r="AM177" s="30" t="e">
        <f t="shared" si="206"/>
        <v>#REF!</v>
      </c>
      <c r="AN177" s="30" t="e">
        <f t="shared" si="206"/>
        <v>#REF!</v>
      </c>
      <c r="AO177" s="30" t="e">
        <f t="shared" si="206"/>
        <v>#REF!</v>
      </c>
      <c r="AP177" s="30" t="e">
        <f t="shared" si="206"/>
        <v>#REF!</v>
      </c>
      <c r="AQ177" s="30" t="e">
        <f t="shared" si="206"/>
        <v>#REF!</v>
      </c>
      <c r="AR177" s="30" t="e">
        <f t="shared" si="206"/>
        <v>#REF!</v>
      </c>
      <c r="AS177" s="30" t="e">
        <f t="shared" si="206"/>
        <v>#REF!</v>
      </c>
      <c r="AT177" s="30" t="e">
        <f t="shared" si="206"/>
        <v>#REF!</v>
      </c>
      <c r="AU177" s="30" t="e">
        <f t="shared" si="206"/>
        <v>#REF!</v>
      </c>
      <c r="AV177" s="30" t="e">
        <f t="shared" si="206"/>
        <v>#REF!</v>
      </c>
      <c r="AW177" s="30" t="e">
        <f t="shared" si="206"/>
        <v>#REF!</v>
      </c>
      <c r="AX177" s="30" t="e">
        <f t="shared" si="206"/>
        <v>#REF!</v>
      </c>
      <c r="AY177" s="30" t="e">
        <f t="shared" si="206"/>
        <v>#REF!</v>
      </c>
      <c r="AZ177" s="30" t="e">
        <f t="shared" si="206"/>
        <v>#REF!</v>
      </c>
      <c r="BA177" s="30" t="e">
        <f t="shared" si="206"/>
        <v>#REF!</v>
      </c>
      <c r="BB177" s="30" t="e">
        <f t="shared" si="206"/>
        <v>#REF!</v>
      </c>
      <c r="BC177" s="30" t="e">
        <f t="shared" si="206"/>
        <v>#REF!</v>
      </c>
      <c r="BD177" s="30" t="e">
        <f t="shared" si="206"/>
        <v>#REF!</v>
      </c>
      <c r="BE177" s="30" t="e">
        <f t="shared" si="206"/>
        <v>#REF!</v>
      </c>
      <c r="BF177" s="30" t="e">
        <f t="shared" si="206"/>
        <v>#REF!</v>
      </c>
      <c r="BG177" s="30" t="e">
        <f t="shared" si="206"/>
        <v>#REF!</v>
      </c>
      <c r="BH177" s="30" t="e">
        <f t="shared" si="206"/>
        <v>#REF!</v>
      </c>
      <c r="BI177" s="30" t="e">
        <f t="shared" si="206"/>
        <v>#REF!</v>
      </c>
      <c r="BJ177" s="30" t="e">
        <f t="shared" si="206"/>
        <v>#REF!</v>
      </c>
      <c r="BK177"/>
      <c r="BL177" s="5"/>
    </row>
    <row r="178" spans="1:64">
      <c r="A178"/>
      <c r="B178" t="s">
        <v>391</v>
      </c>
      <c r="C178" s="30" t="e">
        <f>+C172</f>
        <v>#REF!</v>
      </c>
      <c r="D178" s="30" t="e">
        <f t="shared" ref="D178:BJ178" si="207">+D172</f>
        <v>#REF!</v>
      </c>
      <c r="E178" s="30" t="e">
        <f t="shared" si="207"/>
        <v>#REF!</v>
      </c>
      <c r="F178" s="30" t="e">
        <f t="shared" si="207"/>
        <v>#REF!</v>
      </c>
      <c r="G178" s="30" t="e">
        <f t="shared" si="207"/>
        <v>#REF!</v>
      </c>
      <c r="H178" s="30" t="e">
        <f t="shared" si="207"/>
        <v>#REF!</v>
      </c>
      <c r="I178" s="30" t="e">
        <f t="shared" si="207"/>
        <v>#REF!</v>
      </c>
      <c r="J178" s="30" t="e">
        <f t="shared" si="207"/>
        <v>#REF!</v>
      </c>
      <c r="K178" s="30" t="e">
        <f t="shared" si="207"/>
        <v>#REF!</v>
      </c>
      <c r="L178" s="30" t="e">
        <f t="shared" si="207"/>
        <v>#REF!</v>
      </c>
      <c r="M178" s="30" t="e">
        <f t="shared" si="207"/>
        <v>#REF!</v>
      </c>
      <c r="N178" s="30" t="e">
        <f t="shared" si="207"/>
        <v>#REF!</v>
      </c>
      <c r="O178" s="30" t="e">
        <f t="shared" si="207"/>
        <v>#REF!</v>
      </c>
      <c r="P178" s="30" t="e">
        <f t="shared" si="207"/>
        <v>#REF!</v>
      </c>
      <c r="Q178" s="30" t="e">
        <f t="shared" si="207"/>
        <v>#REF!</v>
      </c>
      <c r="R178" s="30" t="e">
        <f t="shared" si="207"/>
        <v>#REF!</v>
      </c>
      <c r="S178" s="30" t="e">
        <f t="shared" si="207"/>
        <v>#REF!</v>
      </c>
      <c r="T178" s="30" t="e">
        <f t="shared" si="207"/>
        <v>#REF!</v>
      </c>
      <c r="U178" s="30" t="e">
        <f t="shared" si="207"/>
        <v>#REF!</v>
      </c>
      <c r="V178" s="30" t="e">
        <f t="shared" si="207"/>
        <v>#REF!</v>
      </c>
      <c r="W178" s="30" t="e">
        <f t="shared" si="207"/>
        <v>#REF!</v>
      </c>
      <c r="X178" s="30" t="e">
        <f t="shared" si="207"/>
        <v>#REF!</v>
      </c>
      <c r="Y178" s="30" t="e">
        <f t="shared" si="207"/>
        <v>#REF!</v>
      </c>
      <c r="Z178" s="30" t="e">
        <f t="shared" si="207"/>
        <v>#REF!</v>
      </c>
      <c r="AA178" s="30" t="e">
        <f t="shared" si="207"/>
        <v>#REF!</v>
      </c>
      <c r="AB178" s="30" t="e">
        <f t="shared" si="207"/>
        <v>#REF!</v>
      </c>
      <c r="AC178" s="30" t="e">
        <f t="shared" si="207"/>
        <v>#REF!</v>
      </c>
      <c r="AD178" s="30" t="e">
        <f t="shared" si="207"/>
        <v>#REF!</v>
      </c>
      <c r="AE178" s="30" t="e">
        <f t="shared" si="207"/>
        <v>#REF!</v>
      </c>
      <c r="AF178" s="30" t="e">
        <f t="shared" si="207"/>
        <v>#REF!</v>
      </c>
      <c r="AG178" s="30" t="e">
        <f t="shared" si="207"/>
        <v>#REF!</v>
      </c>
      <c r="AH178" s="30" t="e">
        <f t="shared" si="207"/>
        <v>#REF!</v>
      </c>
      <c r="AI178" s="30" t="e">
        <f t="shared" si="207"/>
        <v>#REF!</v>
      </c>
      <c r="AJ178" s="30" t="e">
        <f t="shared" si="207"/>
        <v>#REF!</v>
      </c>
      <c r="AK178" s="30" t="e">
        <f t="shared" si="207"/>
        <v>#REF!</v>
      </c>
      <c r="AL178" s="30" t="e">
        <f t="shared" si="207"/>
        <v>#REF!</v>
      </c>
      <c r="AM178" s="30" t="e">
        <f t="shared" si="207"/>
        <v>#REF!</v>
      </c>
      <c r="AN178" s="30" t="e">
        <f t="shared" si="207"/>
        <v>#REF!</v>
      </c>
      <c r="AO178" s="30" t="e">
        <f t="shared" si="207"/>
        <v>#REF!</v>
      </c>
      <c r="AP178" s="30" t="e">
        <f t="shared" si="207"/>
        <v>#REF!</v>
      </c>
      <c r="AQ178" s="30" t="e">
        <f t="shared" si="207"/>
        <v>#REF!</v>
      </c>
      <c r="AR178" s="30" t="e">
        <f t="shared" si="207"/>
        <v>#REF!</v>
      </c>
      <c r="AS178" s="30" t="e">
        <f t="shared" si="207"/>
        <v>#REF!</v>
      </c>
      <c r="AT178" s="30" t="e">
        <f t="shared" si="207"/>
        <v>#REF!</v>
      </c>
      <c r="AU178" s="30" t="e">
        <f t="shared" si="207"/>
        <v>#REF!</v>
      </c>
      <c r="AV178" s="30" t="e">
        <f t="shared" si="207"/>
        <v>#REF!</v>
      </c>
      <c r="AW178" s="30" t="e">
        <f t="shared" si="207"/>
        <v>#REF!</v>
      </c>
      <c r="AX178" s="30" t="e">
        <f t="shared" si="207"/>
        <v>#REF!</v>
      </c>
      <c r="AY178" s="30" t="e">
        <f t="shared" si="207"/>
        <v>#REF!</v>
      </c>
      <c r="AZ178" s="30" t="e">
        <f t="shared" si="207"/>
        <v>#REF!</v>
      </c>
      <c r="BA178" s="30" t="e">
        <f t="shared" si="207"/>
        <v>#REF!</v>
      </c>
      <c r="BB178" s="30" t="e">
        <f t="shared" si="207"/>
        <v>#REF!</v>
      </c>
      <c r="BC178" s="30" t="e">
        <f t="shared" si="207"/>
        <v>#REF!</v>
      </c>
      <c r="BD178" s="30" t="e">
        <f t="shared" si="207"/>
        <v>#REF!</v>
      </c>
      <c r="BE178" s="30" t="e">
        <f t="shared" si="207"/>
        <v>#REF!</v>
      </c>
      <c r="BF178" s="30" t="e">
        <f t="shared" si="207"/>
        <v>#REF!</v>
      </c>
      <c r="BG178" s="30" t="e">
        <f t="shared" si="207"/>
        <v>#REF!</v>
      </c>
      <c r="BH178" s="30" t="e">
        <f t="shared" si="207"/>
        <v>#REF!</v>
      </c>
      <c r="BI178" s="30" t="e">
        <f t="shared" si="207"/>
        <v>#REF!</v>
      </c>
      <c r="BJ178" s="30" t="e">
        <f t="shared" si="207"/>
        <v>#REF!</v>
      </c>
      <c r="BK178"/>
      <c r="BL178" s="5"/>
    </row>
    <row r="179" spans="1:64">
      <c r="A179"/>
      <c r="B179" s="3" t="s">
        <v>395</v>
      </c>
      <c r="C179" s="29" t="e">
        <f>SUM(C176:C178)</f>
        <v>#REF!</v>
      </c>
      <c r="D179" s="29" t="e">
        <f t="shared" ref="D179:BJ179" si="208">SUM(D176:D178)</f>
        <v>#REF!</v>
      </c>
      <c r="E179" s="29" t="e">
        <f t="shared" si="208"/>
        <v>#REF!</v>
      </c>
      <c r="F179" s="29" t="e">
        <f t="shared" si="208"/>
        <v>#REF!</v>
      </c>
      <c r="G179" s="29" t="e">
        <f t="shared" si="208"/>
        <v>#REF!</v>
      </c>
      <c r="H179" s="29" t="e">
        <f t="shared" si="208"/>
        <v>#REF!</v>
      </c>
      <c r="I179" s="29" t="e">
        <f t="shared" si="208"/>
        <v>#REF!</v>
      </c>
      <c r="J179" s="29" t="e">
        <f t="shared" si="208"/>
        <v>#REF!</v>
      </c>
      <c r="K179" s="29" t="e">
        <f t="shared" si="208"/>
        <v>#REF!</v>
      </c>
      <c r="L179" s="29" t="e">
        <f t="shared" si="208"/>
        <v>#REF!</v>
      </c>
      <c r="M179" s="29" t="e">
        <f t="shared" si="208"/>
        <v>#REF!</v>
      </c>
      <c r="N179" s="29" t="e">
        <f t="shared" si="208"/>
        <v>#REF!</v>
      </c>
      <c r="O179" s="29" t="e">
        <f t="shared" si="208"/>
        <v>#REF!</v>
      </c>
      <c r="P179" s="29" t="e">
        <f t="shared" si="208"/>
        <v>#REF!</v>
      </c>
      <c r="Q179" s="29" t="e">
        <f t="shared" si="208"/>
        <v>#REF!</v>
      </c>
      <c r="R179" s="29" t="e">
        <f t="shared" si="208"/>
        <v>#REF!</v>
      </c>
      <c r="S179" s="29" t="e">
        <f t="shared" si="208"/>
        <v>#REF!</v>
      </c>
      <c r="T179" s="29" t="e">
        <f t="shared" si="208"/>
        <v>#REF!</v>
      </c>
      <c r="U179" s="29" t="e">
        <f t="shared" si="208"/>
        <v>#REF!</v>
      </c>
      <c r="V179" s="29" t="e">
        <f t="shared" si="208"/>
        <v>#REF!</v>
      </c>
      <c r="W179" s="29" t="e">
        <f t="shared" si="208"/>
        <v>#REF!</v>
      </c>
      <c r="X179" s="29" t="e">
        <f t="shared" si="208"/>
        <v>#REF!</v>
      </c>
      <c r="Y179" s="29" t="e">
        <f t="shared" si="208"/>
        <v>#REF!</v>
      </c>
      <c r="Z179" s="29" t="e">
        <f t="shared" si="208"/>
        <v>#REF!</v>
      </c>
      <c r="AA179" s="29" t="e">
        <f t="shared" si="208"/>
        <v>#REF!</v>
      </c>
      <c r="AB179" s="29" t="e">
        <f t="shared" si="208"/>
        <v>#REF!</v>
      </c>
      <c r="AC179" s="29" t="e">
        <f t="shared" si="208"/>
        <v>#REF!</v>
      </c>
      <c r="AD179" s="29" t="e">
        <f t="shared" si="208"/>
        <v>#REF!</v>
      </c>
      <c r="AE179" s="29" t="e">
        <f t="shared" si="208"/>
        <v>#REF!</v>
      </c>
      <c r="AF179" s="29" t="e">
        <f t="shared" si="208"/>
        <v>#REF!</v>
      </c>
      <c r="AG179" s="29" t="e">
        <f t="shared" si="208"/>
        <v>#REF!</v>
      </c>
      <c r="AH179" s="29" t="e">
        <f t="shared" si="208"/>
        <v>#REF!</v>
      </c>
      <c r="AI179" s="29" t="e">
        <f t="shared" si="208"/>
        <v>#REF!</v>
      </c>
      <c r="AJ179" s="29" t="e">
        <f t="shared" si="208"/>
        <v>#REF!</v>
      </c>
      <c r="AK179" s="29" t="e">
        <f t="shared" si="208"/>
        <v>#REF!</v>
      </c>
      <c r="AL179" s="29" t="e">
        <f t="shared" si="208"/>
        <v>#REF!</v>
      </c>
      <c r="AM179" s="29" t="e">
        <f t="shared" si="208"/>
        <v>#REF!</v>
      </c>
      <c r="AN179" s="29" t="e">
        <f t="shared" si="208"/>
        <v>#REF!</v>
      </c>
      <c r="AO179" s="29" t="e">
        <f t="shared" si="208"/>
        <v>#REF!</v>
      </c>
      <c r="AP179" s="29" t="e">
        <f t="shared" si="208"/>
        <v>#REF!</v>
      </c>
      <c r="AQ179" s="29" t="e">
        <f t="shared" si="208"/>
        <v>#REF!</v>
      </c>
      <c r="AR179" s="29" t="e">
        <f t="shared" si="208"/>
        <v>#REF!</v>
      </c>
      <c r="AS179" s="29" t="e">
        <f t="shared" si="208"/>
        <v>#REF!</v>
      </c>
      <c r="AT179" s="29" t="e">
        <f t="shared" si="208"/>
        <v>#REF!</v>
      </c>
      <c r="AU179" s="29" t="e">
        <f t="shared" si="208"/>
        <v>#REF!</v>
      </c>
      <c r="AV179" s="29" t="e">
        <f t="shared" si="208"/>
        <v>#REF!</v>
      </c>
      <c r="AW179" s="29" t="e">
        <f t="shared" si="208"/>
        <v>#REF!</v>
      </c>
      <c r="AX179" s="29" t="e">
        <f t="shared" si="208"/>
        <v>#REF!</v>
      </c>
      <c r="AY179" s="29" t="e">
        <f t="shared" si="208"/>
        <v>#REF!</v>
      </c>
      <c r="AZ179" s="29" t="e">
        <f t="shared" si="208"/>
        <v>#REF!</v>
      </c>
      <c r="BA179" s="29" t="e">
        <f t="shared" si="208"/>
        <v>#REF!</v>
      </c>
      <c r="BB179" s="29" t="e">
        <f t="shared" si="208"/>
        <v>#REF!</v>
      </c>
      <c r="BC179" s="29" t="e">
        <f t="shared" si="208"/>
        <v>#REF!</v>
      </c>
      <c r="BD179" s="29" t="e">
        <f t="shared" si="208"/>
        <v>#REF!</v>
      </c>
      <c r="BE179" s="29" t="e">
        <f t="shared" si="208"/>
        <v>#REF!</v>
      </c>
      <c r="BF179" s="29" t="e">
        <f t="shared" si="208"/>
        <v>#REF!</v>
      </c>
      <c r="BG179" s="29" t="e">
        <f t="shared" si="208"/>
        <v>#REF!</v>
      </c>
      <c r="BH179" s="29" t="e">
        <f t="shared" si="208"/>
        <v>#REF!</v>
      </c>
      <c r="BI179" s="29" t="e">
        <f t="shared" si="208"/>
        <v>#REF!</v>
      </c>
      <c r="BJ179" s="29" t="e">
        <f t="shared" si="208"/>
        <v>#REF!</v>
      </c>
      <c r="BK179"/>
      <c r="BL179" s="5"/>
    </row>
    <row r="180" spans="1:64">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s="5"/>
    </row>
    <row r="181" spans="1:64">
      <c r="A181"/>
      <c r="B181" t="s">
        <v>396</v>
      </c>
      <c r="C181" s="108">
        <f>IFERROR(XIRR(C179:BJ179,C6:BJ6,0),0)</f>
        <v>0</v>
      </c>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s="5"/>
    </row>
    <row r="182" spans="1:64">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s="5"/>
    </row>
    <row r="183" spans="1:64">
      <c r="A183"/>
      <c r="B183" t="s">
        <v>397</v>
      </c>
      <c r="C183" s="30">
        <f>+C56</f>
        <v>0</v>
      </c>
      <c r="D183" s="30">
        <f t="shared" ref="D183:BJ183" si="209">+D56</f>
        <v>0</v>
      </c>
      <c r="E183" s="30">
        <f t="shared" si="209"/>
        <v>0</v>
      </c>
      <c r="F183" s="30">
        <f t="shared" si="209"/>
        <v>0</v>
      </c>
      <c r="G183" s="30">
        <f t="shared" si="209"/>
        <v>0</v>
      </c>
      <c r="H183" s="30">
        <f t="shared" si="209"/>
        <v>0</v>
      </c>
      <c r="I183" s="30">
        <f t="shared" si="209"/>
        <v>0</v>
      </c>
      <c r="J183" s="30">
        <f t="shared" si="209"/>
        <v>0</v>
      </c>
      <c r="K183" s="30">
        <f t="shared" si="209"/>
        <v>0</v>
      </c>
      <c r="L183" s="30">
        <f t="shared" si="209"/>
        <v>0</v>
      </c>
      <c r="M183" s="30">
        <f t="shared" si="209"/>
        <v>0</v>
      </c>
      <c r="N183" s="30">
        <f t="shared" si="209"/>
        <v>0</v>
      </c>
      <c r="O183" s="30">
        <f t="shared" si="209"/>
        <v>0</v>
      </c>
      <c r="P183" s="30">
        <f t="shared" si="209"/>
        <v>0</v>
      </c>
      <c r="Q183" s="30">
        <f t="shared" si="209"/>
        <v>0</v>
      </c>
      <c r="R183" s="30">
        <f t="shared" si="209"/>
        <v>0</v>
      </c>
      <c r="S183" s="30">
        <f t="shared" si="209"/>
        <v>0</v>
      </c>
      <c r="T183" s="30">
        <f t="shared" si="209"/>
        <v>0</v>
      </c>
      <c r="U183" s="30">
        <f t="shared" si="209"/>
        <v>0</v>
      </c>
      <c r="V183" s="30">
        <f t="shared" si="209"/>
        <v>0</v>
      </c>
      <c r="W183" s="30">
        <f t="shared" si="209"/>
        <v>0</v>
      </c>
      <c r="X183" s="30">
        <f t="shared" si="209"/>
        <v>0</v>
      </c>
      <c r="Y183" s="30">
        <f t="shared" si="209"/>
        <v>0</v>
      </c>
      <c r="Z183" s="30">
        <f t="shared" si="209"/>
        <v>0</v>
      </c>
      <c r="AA183" s="30">
        <f t="shared" si="209"/>
        <v>0</v>
      </c>
      <c r="AB183" s="30">
        <f t="shared" si="209"/>
        <v>0</v>
      </c>
      <c r="AC183" s="30">
        <f t="shared" si="209"/>
        <v>0</v>
      </c>
      <c r="AD183" s="30">
        <f t="shared" si="209"/>
        <v>0</v>
      </c>
      <c r="AE183" s="30">
        <f t="shared" si="209"/>
        <v>0</v>
      </c>
      <c r="AF183" s="30">
        <f t="shared" si="209"/>
        <v>0</v>
      </c>
      <c r="AG183" s="30">
        <f t="shared" si="209"/>
        <v>0</v>
      </c>
      <c r="AH183" s="30">
        <f t="shared" si="209"/>
        <v>0</v>
      </c>
      <c r="AI183" s="30">
        <f t="shared" si="209"/>
        <v>0</v>
      </c>
      <c r="AJ183" s="30">
        <f t="shared" si="209"/>
        <v>0</v>
      </c>
      <c r="AK183" s="30">
        <f t="shared" si="209"/>
        <v>0</v>
      </c>
      <c r="AL183" s="30">
        <f t="shared" si="209"/>
        <v>0</v>
      </c>
      <c r="AM183" s="30">
        <f t="shared" si="209"/>
        <v>0</v>
      </c>
      <c r="AN183" s="30">
        <f t="shared" si="209"/>
        <v>0</v>
      </c>
      <c r="AO183" s="30">
        <f t="shared" si="209"/>
        <v>0</v>
      </c>
      <c r="AP183" s="30">
        <f t="shared" si="209"/>
        <v>0</v>
      </c>
      <c r="AQ183" s="30">
        <f t="shared" si="209"/>
        <v>0</v>
      </c>
      <c r="AR183" s="30">
        <f t="shared" si="209"/>
        <v>0</v>
      </c>
      <c r="AS183" s="30">
        <f t="shared" si="209"/>
        <v>0</v>
      </c>
      <c r="AT183" s="30">
        <f t="shared" si="209"/>
        <v>0</v>
      </c>
      <c r="AU183" s="30">
        <f t="shared" si="209"/>
        <v>0</v>
      </c>
      <c r="AV183" s="30">
        <f t="shared" si="209"/>
        <v>0</v>
      </c>
      <c r="AW183" s="30">
        <f t="shared" si="209"/>
        <v>0</v>
      </c>
      <c r="AX183" s="30">
        <f t="shared" si="209"/>
        <v>0</v>
      </c>
      <c r="AY183" s="30">
        <f t="shared" si="209"/>
        <v>0</v>
      </c>
      <c r="AZ183" s="30">
        <f t="shared" si="209"/>
        <v>0</v>
      </c>
      <c r="BA183" s="30">
        <f t="shared" si="209"/>
        <v>0</v>
      </c>
      <c r="BB183" s="30">
        <f t="shared" si="209"/>
        <v>0</v>
      </c>
      <c r="BC183" s="30">
        <f t="shared" si="209"/>
        <v>0</v>
      </c>
      <c r="BD183" s="30">
        <f t="shared" si="209"/>
        <v>0</v>
      </c>
      <c r="BE183" s="30">
        <f t="shared" si="209"/>
        <v>0</v>
      </c>
      <c r="BF183" s="30">
        <f t="shared" si="209"/>
        <v>0</v>
      </c>
      <c r="BG183" s="30">
        <f t="shared" si="209"/>
        <v>0</v>
      </c>
      <c r="BH183" s="30">
        <f t="shared" si="209"/>
        <v>0</v>
      </c>
      <c r="BI183" s="30">
        <f t="shared" si="209"/>
        <v>0</v>
      </c>
      <c r="BJ183" s="30">
        <f t="shared" si="209"/>
        <v>0</v>
      </c>
      <c r="BK183"/>
      <c r="BL183" s="5"/>
    </row>
    <row r="184" spans="1:64">
      <c r="A184"/>
      <c r="B184" t="s">
        <v>385</v>
      </c>
      <c r="C184" s="30" t="e">
        <f>+C154</f>
        <v>#REF!</v>
      </c>
      <c r="D184" s="30" t="e">
        <f t="shared" ref="D184:BJ184" si="210">+D154</f>
        <v>#REF!</v>
      </c>
      <c r="E184" s="30" t="e">
        <f t="shared" si="210"/>
        <v>#REF!</v>
      </c>
      <c r="F184" s="30" t="e">
        <f t="shared" si="210"/>
        <v>#REF!</v>
      </c>
      <c r="G184" s="30" t="e">
        <f t="shared" si="210"/>
        <v>#REF!</v>
      </c>
      <c r="H184" s="30" t="e">
        <f t="shared" si="210"/>
        <v>#REF!</v>
      </c>
      <c r="I184" s="30" t="e">
        <f t="shared" si="210"/>
        <v>#REF!</v>
      </c>
      <c r="J184" s="30" t="e">
        <f t="shared" si="210"/>
        <v>#REF!</v>
      </c>
      <c r="K184" s="30" t="e">
        <f t="shared" si="210"/>
        <v>#REF!</v>
      </c>
      <c r="L184" s="30" t="e">
        <f t="shared" si="210"/>
        <v>#REF!</v>
      </c>
      <c r="M184" s="30" t="e">
        <f t="shared" si="210"/>
        <v>#REF!</v>
      </c>
      <c r="N184" s="30" t="e">
        <f t="shared" si="210"/>
        <v>#REF!</v>
      </c>
      <c r="O184" s="30" t="e">
        <f t="shared" si="210"/>
        <v>#REF!</v>
      </c>
      <c r="P184" s="30" t="e">
        <f t="shared" si="210"/>
        <v>#REF!</v>
      </c>
      <c r="Q184" s="30" t="e">
        <f t="shared" si="210"/>
        <v>#REF!</v>
      </c>
      <c r="R184" s="30" t="e">
        <f t="shared" si="210"/>
        <v>#REF!</v>
      </c>
      <c r="S184" s="30" t="e">
        <f t="shared" si="210"/>
        <v>#REF!</v>
      </c>
      <c r="T184" s="30" t="e">
        <f t="shared" si="210"/>
        <v>#REF!</v>
      </c>
      <c r="U184" s="30" t="e">
        <f t="shared" si="210"/>
        <v>#REF!</v>
      </c>
      <c r="V184" s="30" t="e">
        <f t="shared" si="210"/>
        <v>#REF!</v>
      </c>
      <c r="W184" s="30" t="e">
        <f t="shared" si="210"/>
        <v>#REF!</v>
      </c>
      <c r="X184" s="30" t="e">
        <f t="shared" si="210"/>
        <v>#REF!</v>
      </c>
      <c r="Y184" s="30" t="e">
        <f t="shared" si="210"/>
        <v>#REF!</v>
      </c>
      <c r="Z184" s="30" t="e">
        <f t="shared" si="210"/>
        <v>#REF!</v>
      </c>
      <c r="AA184" s="30" t="e">
        <f t="shared" si="210"/>
        <v>#REF!</v>
      </c>
      <c r="AB184" s="30" t="e">
        <f t="shared" si="210"/>
        <v>#REF!</v>
      </c>
      <c r="AC184" s="30" t="e">
        <f t="shared" si="210"/>
        <v>#REF!</v>
      </c>
      <c r="AD184" s="30" t="e">
        <f t="shared" si="210"/>
        <v>#REF!</v>
      </c>
      <c r="AE184" s="30" t="e">
        <f t="shared" si="210"/>
        <v>#REF!</v>
      </c>
      <c r="AF184" s="30" t="e">
        <f t="shared" si="210"/>
        <v>#REF!</v>
      </c>
      <c r="AG184" s="30" t="e">
        <f t="shared" si="210"/>
        <v>#REF!</v>
      </c>
      <c r="AH184" s="30" t="e">
        <f t="shared" si="210"/>
        <v>#REF!</v>
      </c>
      <c r="AI184" s="30" t="e">
        <f t="shared" si="210"/>
        <v>#REF!</v>
      </c>
      <c r="AJ184" s="30" t="e">
        <f t="shared" si="210"/>
        <v>#REF!</v>
      </c>
      <c r="AK184" s="30" t="e">
        <f t="shared" si="210"/>
        <v>#REF!</v>
      </c>
      <c r="AL184" s="30" t="e">
        <f t="shared" si="210"/>
        <v>#REF!</v>
      </c>
      <c r="AM184" s="30" t="e">
        <f t="shared" si="210"/>
        <v>#REF!</v>
      </c>
      <c r="AN184" s="30" t="e">
        <f t="shared" si="210"/>
        <v>#REF!</v>
      </c>
      <c r="AO184" s="30" t="e">
        <f t="shared" si="210"/>
        <v>#REF!</v>
      </c>
      <c r="AP184" s="30" t="e">
        <f t="shared" si="210"/>
        <v>#REF!</v>
      </c>
      <c r="AQ184" s="30" t="e">
        <f t="shared" si="210"/>
        <v>#REF!</v>
      </c>
      <c r="AR184" s="30" t="e">
        <f t="shared" si="210"/>
        <v>#REF!</v>
      </c>
      <c r="AS184" s="30" t="e">
        <f t="shared" si="210"/>
        <v>#REF!</v>
      </c>
      <c r="AT184" s="30" t="e">
        <f t="shared" si="210"/>
        <v>#REF!</v>
      </c>
      <c r="AU184" s="30" t="e">
        <f t="shared" si="210"/>
        <v>#REF!</v>
      </c>
      <c r="AV184" s="30" t="e">
        <f t="shared" si="210"/>
        <v>#REF!</v>
      </c>
      <c r="AW184" s="30" t="e">
        <f t="shared" si="210"/>
        <v>#REF!</v>
      </c>
      <c r="AX184" s="30" t="e">
        <f t="shared" si="210"/>
        <v>#REF!</v>
      </c>
      <c r="AY184" s="30" t="e">
        <f t="shared" si="210"/>
        <v>#REF!</v>
      </c>
      <c r="AZ184" s="30" t="e">
        <f t="shared" si="210"/>
        <v>#REF!</v>
      </c>
      <c r="BA184" s="30" t="e">
        <f t="shared" si="210"/>
        <v>#REF!</v>
      </c>
      <c r="BB184" s="30" t="e">
        <f t="shared" si="210"/>
        <v>#REF!</v>
      </c>
      <c r="BC184" s="30" t="e">
        <f t="shared" si="210"/>
        <v>#REF!</v>
      </c>
      <c r="BD184" s="30" t="e">
        <f t="shared" si="210"/>
        <v>#REF!</v>
      </c>
      <c r="BE184" s="30" t="e">
        <f t="shared" si="210"/>
        <v>#REF!</v>
      </c>
      <c r="BF184" s="30" t="e">
        <f t="shared" si="210"/>
        <v>#REF!</v>
      </c>
      <c r="BG184" s="30" t="e">
        <f t="shared" si="210"/>
        <v>#REF!</v>
      </c>
      <c r="BH184" s="30" t="e">
        <f t="shared" si="210"/>
        <v>#REF!</v>
      </c>
      <c r="BI184" s="30" t="e">
        <f t="shared" si="210"/>
        <v>#REF!</v>
      </c>
      <c r="BJ184" s="30" t="e">
        <f t="shared" si="210"/>
        <v>#REF!</v>
      </c>
      <c r="BK184"/>
      <c r="BL184" s="5"/>
    </row>
    <row r="185" spans="1:64">
      <c r="A185"/>
      <c r="B185" t="s">
        <v>392</v>
      </c>
      <c r="C185" s="30" t="e">
        <f>+C173</f>
        <v>#REF!</v>
      </c>
      <c r="D185" s="30" t="e">
        <f t="shared" ref="D185:BJ185" si="211">+D173</f>
        <v>#REF!</v>
      </c>
      <c r="E185" s="30" t="e">
        <f t="shared" si="211"/>
        <v>#REF!</v>
      </c>
      <c r="F185" s="30" t="e">
        <f t="shared" si="211"/>
        <v>#REF!</v>
      </c>
      <c r="G185" s="30" t="e">
        <f t="shared" si="211"/>
        <v>#REF!</v>
      </c>
      <c r="H185" s="30" t="e">
        <f t="shared" si="211"/>
        <v>#REF!</v>
      </c>
      <c r="I185" s="30" t="e">
        <f t="shared" si="211"/>
        <v>#REF!</v>
      </c>
      <c r="J185" s="30" t="e">
        <f t="shared" si="211"/>
        <v>#REF!</v>
      </c>
      <c r="K185" s="30" t="e">
        <f t="shared" si="211"/>
        <v>#REF!</v>
      </c>
      <c r="L185" s="30" t="e">
        <f t="shared" si="211"/>
        <v>#REF!</v>
      </c>
      <c r="M185" s="30" t="e">
        <f t="shared" si="211"/>
        <v>#REF!</v>
      </c>
      <c r="N185" s="30" t="e">
        <f t="shared" si="211"/>
        <v>#REF!</v>
      </c>
      <c r="O185" s="30" t="e">
        <f t="shared" si="211"/>
        <v>#REF!</v>
      </c>
      <c r="P185" s="30" t="e">
        <f t="shared" si="211"/>
        <v>#REF!</v>
      </c>
      <c r="Q185" s="30" t="e">
        <f t="shared" si="211"/>
        <v>#REF!</v>
      </c>
      <c r="R185" s="30" t="e">
        <f t="shared" si="211"/>
        <v>#REF!</v>
      </c>
      <c r="S185" s="30" t="e">
        <f t="shared" si="211"/>
        <v>#REF!</v>
      </c>
      <c r="T185" s="30" t="e">
        <f t="shared" si="211"/>
        <v>#REF!</v>
      </c>
      <c r="U185" s="30" t="e">
        <f t="shared" si="211"/>
        <v>#REF!</v>
      </c>
      <c r="V185" s="30" t="e">
        <f t="shared" si="211"/>
        <v>#REF!</v>
      </c>
      <c r="W185" s="30" t="e">
        <f t="shared" si="211"/>
        <v>#REF!</v>
      </c>
      <c r="X185" s="30" t="e">
        <f t="shared" si="211"/>
        <v>#REF!</v>
      </c>
      <c r="Y185" s="30" t="e">
        <f t="shared" si="211"/>
        <v>#REF!</v>
      </c>
      <c r="Z185" s="30" t="e">
        <f t="shared" si="211"/>
        <v>#REF!</v>
      </c>
      <c r="AA185" s="30" t="e">
        <f t="shared" si="211"/>
        <v>#REF!</v>
      </c>
      <c r="AB185" s="30" t="e">
        <f t="shared" si="211"/>
        <v>#REF!</v>
      </c>
      <c r="AC185" s="30" t="e">
        <f t="shared" si="211"/>
        <v>#REF!</v>
      </c>
      <c r="AD185" s="30" t="e">
        <f t="shared" si="211"/>
        <v>#REF!</v>
      </c>
      <c r="AE185" s="30" t="e">
        <f t="shared" si="211"/>
        <v>#REF!</v>
      </c>
      <c r="AF185" s="30" t="e">
        <f t="shared" si="211"/>
        <v>#REF!</v>
      </c>
      <c r="AG185" s="30" t="e">
        <f t="shared" si="211"/>
        <v>#REF!</v>
      </c>
      <c r="AH185" s="30" t="e">
        <f t="shared" si="211"/>
        <v>#REF!</v>
      </c>
      <c r="AI185" s="30" t="e">
        <f t="shared" si="211"/>
        <v>#REF!</v>
      </c>
      <c r="AJ185" s="30" t="e">
        <f t="shared" si="211"/>
        <v>#REF!</v>
      </c>
      <c r="AK185" s="30" t="e">
        <f t="shared" si="211"/>
        <v>#REF!</v>
      </c>
      <c r="AL185" s="30" t="e">
        <f t="shared" si="211"/>
        <v>#REF!</v>
      </c>
      <c r="AM185" s="30" t="e">
        <f t="shared" si="211"/>
        <v>#REF!</v>
      </c>
      <c r="AN185" s="30" t="e">
        <f t="shared" si="211"/>
        <v>#REF!</v>
      </c>
      <c r="AO185" s="30" t="e">
        <f t="shared" si="211"/>
        <v>#REF!</v>
      </c>
      <c r="AP185" s="30" t="e">
        <f t="shared" si="211"/>
        <v>#REF!</v>
      </c>
      <c r="AQ185" s="30" t="e">
        <f t="shared" si="211"/>
        <v>#REF!</v>
      </c>
      <c r="AR185" s="30" t="e">
        <f t="shared" si="211"/>
        <v>#REF!</v>
      </c>
      <c r="AS185" s="30" t="e">
        <f t="shared" si="211"/>
        <v>#REF!</v>
      </c>
      <c r="AT185" s="30" t="e">
        <f t="shared" si="211"/>
        <v>#REF!</v>
      </c>
      <c r="AU185" s="30" t="e">
        <f t="shared" si="211"/>
        <v>#REF!</v>
      </c>
      <c r="AV185" s="30" t="e">
        <f t="shared" si="211"/>
        <v>#REF!</v>
      </c>
      <c r="AW185" s="30" t="e">
        <f t="shared" si="211"/>
        <v>#REF!</v>
      </c>
      <c r="AX185" s="30" t="e">
        <f t="shared" si="211"/>
        <v>#REF!</v>
      </c>
      <c r="AY185" s="30" t="e">
        <f t="shared" si="211"/>
        <v>#REF!</v>
      </c>
      <c r="AZ185" s="30" t="e">
        <f t="shared" si="211"/>
        <v>#REF!</v>
      </c>
      <c r="BA185" s="30" t="e">
        <f t="shared" si="211"/>
        <v>#REF!</v>
      </c>
      <c r="BB185" s="30" t="e">
        <f t="shared" si="211"/>
        <v>#REF!</v>
      </c>
      <c r="BC185" s="30" t="e">
        <f t="shared" si="211"/>
        <v>#REF!</v>
      </c>
      <c r="BD185" s="30" t="e">
        <f t="shared" si="211"/>
        <v>#REF!</v>
      </c>
      <c r="BE185" s="30" t="e">
        <f t="shared" si="211"/>
        <v>#REF!</v>
      </c>
      <c r="BF185" s="30" t="e">
        <f t="shared" si="211"/>
        <v>#REF!</v>
      </c>
      <c r="BG185" s="30" t="e">
        <f t="shared" si="211"/>
        <v>#REF!</v>
      </c>
      <c r="BH185" s="30" t="e">
        <f t="shared" si="211"/>
        <v>#REF!</v>
      </c>
      <c r="BI185" s="30" t="e">
        <f t="shared" si="211"/>
        <v>#REF!</v>
      </c>
      <c r="BJ185" s="30" t="e">
        <f t="shared" si="211"/>
        <v>#REF!</v>
      </c>
      <c r="BK185"/>
      <c r="BL185" s="5"/>
    </row>
    <row r="186" spans="1:64">
      <c r="A186"/>
      <c r="B186" s="3" t="s">
        <v>398</v>
      </c>
      <c r="C186" s="29" t="e">
        <f>SUM(C183:C185)</f>
        <v>#REF!</v>
      </c>
      <c r="D186" s="29" t="e">
        <f t="shared" ref="D186:E186" si="212">SUM(D183:D185)</f>
        <v>#REF!</v>
      </c>
      <c r="E186" s="29" t="e">
        <f t="shared" si="212"/>
        <v>#REF!</v>
      </c>
      <c r="F186" s="29" t="e">
        <f t="shared" ref="F186" si="213">SUM(F183:F185)</f>
        <v>#REF!</v>
      </c>
      <c r="G186" s="29" t="e">
        <f t="shared" ref="G186" si="214">SUM(G183:G185)</f>
        <v>#REF!</v>
      </c>
      <c r="H186" s="29" t="e">
        <f t="shared" ref="H186" si="215">SUM(H183:H185)</f>
        <v>#REF!</v>
      </c>
      <c r="I186" s="29" t="e">
        <f t="shared" ref="I186" si="216">SUM(I183:I185)</f>
        <v>#REF!</v>
      </c>
      <c r="J186" s="29" t="e">
        <f t="shared" ref="J186" si="217">SUM(J183:J185)</f>
        <v>#REF!</v>
      </c>
      <c r="K186" s="29" t="e">
        <f t="shared" ref="K186" si="218">SUM(K183:K185)</f>
        <v>#REF!</v>
      </c>
      <c r="L186" s="29" t="e">
        <f t="shared" ref="L186" si="219">SUM(L183:L185)</f>
        <v>#REF!</v>
      </c>
      <c r="M186" s="29" t="e">
        <f t="shared" ref="M186" si="220">SUM(M183:M185)</f>
        <v>#REF!</v>
      </c>
      <c r="N186" s="29" t="e">
        <f t="shared" ref="N186" si="221">SUM(N183:N185)</f>
        <v>#REF!</v>
      </c>
      <c r="O186" s="29" t="e">
        <f t="shared" ref="O186" si="222">SUM(O183:O185)</f>
        <v>#REF!</v>
      </c>
      <c r="P186" s="29" t="e">
        <f t="shared" ref="P186" si="223">SUM(P183:P185)</f>
        <v>#REF!</v>
      </c>
      <c r="Q186" s="29" t="e">
        <f t="shared" ref="Q186" si="224">SUM(Q183:Q185)</f>
        <v>#REF!</v>
      </c>
      <c r="R186" s="29" t="e">
        <f t="shared" ref="R186" si="225">SUM(R183:R185)</f>
        <v>#REF!</v>
      </c>
      <c r="S186" s="29" t="e">
        <f t="shared" ref="S186" si="226">SUM(S183:S185)</f>
        <v>#REF!</v>
      </c>
      <c r="T186" s="29" t="e">
        <f t="shared" ref="T186" si="227">SUM(T183:T185)</f>
        <v>#REF!</v>
      </c>
      <c r="U186" s="29" t="e">
        <f t="shared" ref="U186" si="228">SUM(U183:U185)</f>
        <v>#REF!</v>
      </c>
      <c r="V186" s="29" t="e">
        <f t="shared" ref="V186" si="229">SUM(V183:V185)</f>
        <v>#REF!</v>
      </c>
      <c r="W186" s="29" t="e">
        <f t="shared" ref="W186" si="230">SUM(W183:W185)</f>
        <v>#REF!</v>
      </c>
      <c r="X186" s="29" t="e">
        <f t="shared" ref="X186" si="231">SUM(X183:X185)</f>
        <v>#REF!</v>
      </c>
      <c r="Y186" s="29" t="e">
        <f t="shared" ref="Y186" si="232">SUM(Y183:Y185)</f>
        <v>#REF!</v>
      </c>
      <c r="Z186" s="29" t="e">
        <f t="shared" ref="Z186" si="233">SUM(Z183:Z185)</f>
        <v>#REF!</v>
      </c>
      <c r="AA186" s="29" t="e">
        <f t="shared" ref="AA186" si="234">SUM(AA183:AA185)</f>
        <v>#REF!</v>
      </c>
      <c r="AB186" s="29" t="e">
        <f t="shared" ref="AB186" si="235">SUM(AB183:AB185)</f>
        <v>#REF!</v>
      </c>
      <c r="AC186" s="29" t="e">
        <f t="shared" ref="AC186" si="236">SUM(AC183:AC185)</f>
        <v>#REF!</v>
      </c>
      <c r="AD186" s="29" t="e">
        <f t="shared" ref="AD186" si="237">SUM(AD183:AD185)</f>
        <v>#REF!</v>
      </c>
      <c r="AE186" s="29" t="e">
        <f t="shared" ref="AE186" si="238">SUM(AE183:AE185)</f>
        <v>#REF!</v>
      </c>
      <c r="AF186" s="29" t="e">
        <f t="shared" ref="AF186" si="239">SUM(AF183:AF185)</f>
        <v>#REF!</v>
      </c>
      <c r="AG186" s="29" t="e">
        <f t="shared" ref="AG186" si="240">SUM(AG183:AG185)</f>
        <v>#REF!</v>
      </c>
      <c r="AH186" s="29" t="e">
        <f t="shared" ref="AH186" si="241">SUM(AH183:AH185)</f>
        <v>#REF!</v>
      </c>
      <c r="AI186" s="29" t="e">
        <f t="shared" ref="AI186" si="242">SUM(AI183:AI185)</f>
        <v>#REF!</v>
      </c>
      <c r="AJ186" s="29" t="e">
        <f t="shared" ref="AJ186" si="243">SUM(AJ183:AJ185)</f>
        <v>#REF!</v>
      </c>
      <c r="AK186" s="29" t="e">
        <f t="shared" ref="AK186" si="244">SUM(AK183:AK185)</f>
        <v>#REF!</v>
      </c>
      <c r="AL186" s="29" t="e">
        <f t="shared" ref="AL186" si="245">SUM(AL183:AL185)</f>
        <v>#REF!</v>
      </c>
      <c r="AM186" s="29" t="e">
        <f t="shared" ref="AM186" si="246">SUM(AM183:AM185)</f>
        <v>#REF!</v>
      </c>
      <c r="AN186" s="29" t="e">
        <f t="shared" ref="AN186" si="247">SUM(AN183:AN185)</f>
        <v>#REF!</v>
      </c>
      <c r="AO186" s="29" t="e">
        <f t="shared" ref="AO186" si="248">SUM(AO183:AO185)</f>
        <v>#REF!</v>
      </c>
      <c r="AP186" s="29" t="e">
        <f t="shared" ref="AP186" si="249">SUM(AP183:AP185)</f>
        <v>#REF!</v>
      </c>
      <c r="AQ186" s="29" t="e">
        <f t="shared" ref="AQ186" si="250">SUM(AQ183:AQ185)</f>
        <v>#REF!</v>
      </c>
      <c r="AR186" s="29" t="e">
        <f t="shared" ref="AR186" si="251">SUM(AR183:AR185)</f>
        <v>#REF!</v>
      </c>
      <c r="AS186" s="29" t="e">
        <f t="shared" ref="AS186" si="252">SUM(AS183:AS185)</f>
        <v>#REF!</v>
      </c>
      <c r="AT186" s="29" t="e">
        <f t="shared" ref="AT186" si="253">SUM(AT183:AT185)</f>
        <v>#REF!</v>
      </c>
      <c r="AU186" s="29" t="e">
        <f t="shared" ref="AU186" si="254">SUM(AU183:AU185)</f>
        <v>#REF!</v>
      </c>
      <c r="AV186" s="29" t="e">
        <f t="shared" ref="AV186" si="255">SUM(AV183:AV185)</f>
        <v>#REF!</v>
      </c>
      <c r="AW186" s="29" t="e">
        <f t="shared" ref="AW186" si="256">SUM(AW183:AW185)</f>
        <v>#REF!</v>
      </c>
      <c r="AX186" s="29" t="e">
        <f t="shared" ref="AX186" si="257">SUM(AX183:AX185)</f>
        <v>#REF!</v>
      </c>
      <c r="AY186" s="29" t="e">
        <f t="shared" ref="AY186" si="258">SUM(AY183:AY185)</f>
        <v>#REF!</v>
      </c>
      <c r="AZ186" s="29" t="e">
        <f t="shared" ref="AZ186" si="259">SUM(AZ183:AZ185)</f>
        <v>#REF!</v>
      </c>
      <c r="BA186" s="29" t="e">
        <f t="shared" ref="BA186" si="260">SUM(BA183:BA185)</f>
        <v>#REF!</v>
      </c>
      <c r="BB186" s="29" t="e">
        <f t="shared" ref="BB186" si="261">SUM(BB183:BB185)</f>
        <v>#REF!</v>
      </c>
      <c r="BC186" s="29" t="e">
        <f t="shared" ref="BC186" si="262">SUM(BC183:BC185)</f>
        <v>#REF!</v>
      </c>
      <c r="BD186" s="29" t="e">
        <f t="shared" ref="BD186" si="263">SUM(BD183:BD185)</f>
        <v>#REF!</v>
      </c>
      <c r="BE186" s="29" t="e">
        <f t="shared" ref="BE186" si="264">SUM(BE183:BE185)</f>
        <v>#REF!</v>
      </c>
      <c r="BF186" s="29" t="e">
        <f t="shared" ref="BF186" si="265">SUM(BF183:BF185)</f>
        <v>#REF!</v>
      </c>
      <c r="BG186" s="29" t="e">
        <f t="shared" ref="BG186" si="266">SUM(BG183:BG185)</f>
        <v>#REF!</v>
      </c>
      <c r="BH186" s="29" t="e">
        <f t="shared" ref="BH186" si="267">SUM(BH183:BH185)</f>
        <v>#REF!</v>
      </c>
      <c r="BI186" s="29" t="e">
        <f t="shared" ref="BI186" si="268">SUM(BI183:BI185)</f>
        <v>#REF!</v>
      </c>
      <c r="BJ186" s="29" t="e">
        <f t="shared" ref="BJ186" si="269">SUM(BJ183:BJ185)</f>
        <v>#REF!</v>
      </c>
      <c r="BK186"/>
      <c r="BL186" s="5"/>
    </row>
    <row r="187" spans="1:64">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s="5"/>
    </row>
    <row r="188" spans="1:64">
      <c r="A188"/>
      <c r="B188" t="s">
        <v>396</v>
      </c>
      <c r="C188" s="108">
        <f>IFERROR(XIRR(C186:BJ186,C6:BJ6,0),0)</f>
        <v>0</v>
      </c>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s="5"/>
    </row>
    <row r="189" spans="1:64">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s="5"/>
    </row>
    <row r="190" spans="1:64">
      <c r="A190"/>
      <c r="B190" s="28" t="e">
        <f>TEXT($B$26,"")</f>
        <v>#REF!</v>
      </c>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s="5"/>
    </row>
    <row r="191" spans="1:64">
      <c r="A191"/>
      <c r="B191" t="s">
        <v>349</v>
      </c>
      <c r="C191" s="30" t="e">
        <f>+C158-C174</f>
        <v>#REF!</v>
      </c>
      <c r="D191" s="30" t="e">
        <f t="shared" ref="D191:E191" si="270">+D158-D174</f>
        <v>#REF!</v>
      </c>
      <c r="E191" s="30" t="e">
        <f t="shared" si="270"/>
        <v>#REF!</v>
      </c>
      <c r="F191" s="30" t="e">
        <f t="shared" ref="F191:BJ191" si="271">+F158-F174</f>
        <v>#REF!</v>
      </c>
      <c r="G191" s="30" t="e">
        <f t="shared" si="271"/>
        <v>#REF!</v>
      </c>
      <c r="H191" s="30" t="e">
        <f t="shared" si="271"/>
        <v>#REF!</v>
      </c>
      <c r="I191" s="30" t="e">
        <f t="shared" si="271"/>
        <v>#REF!</v>
      </c>
      <c r="J191" s="30" t="e">
        <f t="shared" si="271"/>
        <v>#REF!</v>
      </c>
      <c r="K191" s="30" t="e">
        <f t="shared" si="271"/>
        <v>#REF!</v>
      </c>
      <c r="L191" s="30" t="e">
        <f t="shared" si="271"/>
        <v>#REF!</v>
      </c>
      <c r="M191" s="30" t="e">
        <f t="shared" si="271"/>
        <v>#REF!</v>
      </c>
      <c r="N191" s="30" t="e">
        <f t="shared" si="271"/>
        <v>#REF!</v>
      </c>
      <c r="O191" s="30" t="e">
        <f t="shared" si="271"/>
        <v>#REF!</v>
      </c>
      <c r="P191" s="30" t="e">
        <f t="shared" si="271"/>
        <v>#REF!</v>
      </c>
      <c r="Q191" s="30" t="e">
        <f t="shared" si="271"/>
        <v>#REF!</v>
      </c>
      <c r="R191" s="30" t="e">
        <f t="shared" si="271"/>
        <v>#REF!</v>
      </c>
      <c r="S191" s="30" t="e">
        <f t="shared" si="271"/>
        <v>#REF!</v>
      </c>
      <c r="T191" s="30" t="e">
        <f t="shared" si="271"/>
        <v>#REF!</v>
      </c>
      <c r="U191" s="30" t="e">
        <f t="shared" si="271"/>
        <v>#REF!</v>
      </c>
      <c r="V191" s="30" t="e">
        <f t="shared" si="271"/>
        <v>#REF!</v>
      </c>
      <c r="W191" s="30" t="e">
        <f t="shared" si="271"/>
        <v>#REF!</v>
      </c>
      <c r="X191" s="30" t="e">
        <f t="shared" si="271"/>
        <v>#REF!</v>
      </c>
      <c r="Y191" s="30" t="e">
        <f t="shared" si="271"/>
        <v>#REF!</v>
      </c>
      <c r="Z191" s="30" t="e">
        <f t="shared" si="271"/>
        <v>#REF!</v>
      </c>
      <c r="AA191" s="30" t="e">
        <f t="shared" si="271"/>
        <v>#REF!</v>
      </c>
      <c r="AB191" s="30" t="e">
        <f t="shared" si="271"/>
        <v>#REF!</v>
      </c>
      <c r="AC191" s="30" t="e">
        <f t="shared" si="271"/>
        <v>#REF!</v>
      </c>
      <c r="AD191" s="30" t="e">
        <f t="shared" si="271"/>
        <v>#REF!</v>
      </c>
      <c r="AE191" s="30" t="e">
        <f t="shared" si="271"/>
        <v>#REF!</v>
      </c>
      <c r="AF191" s="30" t="e">
        <f t="shared" si="271"/>
        <v>#REF!</v>
      </c>
      <c r="AG191" s="30" t="e">
        <f t="shared" si="271"/>
        <v>#REF!</v>
      </c>
      <c r="AH191" s="30" t="e">
        <f t="shared" si="271"/>
        <v>#REF!</v>
      </c>
      <c r="AI191" s="30" t="e">
        <f t="shared" si="271"/>
        <v>#REF!</v>
      </c>
      <c r="AJ191" s="30" t="e">
        <f t="shared" si="271"/>
        <v>#REF!</v>
      </c>
      <c r="AK191" s="30" t="e">
        <f t="shared" si="271"/>
        <v>#REF!</v>
      </c>
      <c r="AL191" s="30" t="e">
        <f t="shared" si="271"/>
        <v>#REF!</v>
      </c>
      <c r="AM191" s="30" t="e">
        <f t="shared" si="271"/>
        <v>#REF!</v>
      </c>
      <c r="AN191" s="30" t="e">
        <f t="shared" si="271"/>
        <v>#REF!</v>
      </c>
      <c r="AO191" s="30" t="e">
        <f t="shared" si="271"/>
        <v>#REF!</v>
      </c>
      <c r="AP191" s="30" t="e">
        <f t="shared" si="271"/>
        <v>#REF!</v>
      </c>
      <c r="AQ191" s="30" t="e">
        <f t="shared" si="271"/>
        <v>#REF!</v>
      </c>
      <c r="AR191" s="30" t="e">
        <f t="shared" si="271"/>
        <v>#REF!</v>
      </c>
      <c r="AS191" s="30" t="e">
        <f t="shared" si="271"/>
        <v>#REF!</v>
      </c>
      <c r="AT191" s="30" t="e">
        <f t="shared" si="271"/>
        <v>#REF!</v>
      </c>
      <c r="AU191" s="30" t="e">
        <f t="shared" si="271"/>
        <v>#REF!</v>
      </c>
      <c r="AV191" s="30" t="e">
        <f t="shared" si="271"/>
        <v>#REF!</v>
      </c>
      <c r="AW191" s="30" t="e">
        <f t="shared" si="271"/>
        <v>#REF!</v>
      </c>
      <c r="AX191" s="30" t="e">
        <f t="shared" si="271"/>
        <v>#REF!</v>
      </c>
      <c r="AY191" s="30" t="e">
        <f t="shared" si="271"/>
        <v>#REF!</v>
      </c>
      <c r="AZ191" s="30" t="e">
        <f t="shared" si="271"/>
        <v>#REF!</v>
      </c>
      <c r="BA191" s="30" t="e">
        <f t="shared" si="271"/>
        <v>#REF!</v>
      </c>
      <c r="BB191" s="30" t="e">
        <f t="shared" si="271"/>
        <v>#REF!</v>
      </c>
      <c r="BC191" s="30" t="e">
        <f t="shared" si="271"/>
        <v>#REF!</v>
      </c>
      <c r="BD191" s="30" t="e">
        <f t="shared" si="271"/>
        <v>#REF!</v>
      </c>
      <c r="BE191" s="30" t="e">
        <f t="shared" si="271"/>
        <v>#REF!</v>
      </c>
      <c r="BF191" s="30" t="e">
        <f t="shared" si="271"/>
        <v>#REF!</v>
      </c>
      <c r="BG191" s="30" t="e">
        <f t="shared" si="271"/>
        <v>#REF!</v>
      </c>
      <c r="BH191" s="30" t="e">
        <f t="shared" si="271"/>
        <v>#REF!</v>
      </c>
      <c r="BI191" s="30" t="e">
        <f t="shared" si="271"/>
        <v>#REF!</v>
      </c>
      <c r="BJ191" s="30" t="e">
        <f t="shared" si="271"/>
        <v>#REF!</v>
      </c>
      <c r="BK191"/>
      <c r="BL191" s="5"/>
    </row>
    <row r="192" spans="1:64">
      <c r="A192"/>
      <c r="B192" s="75" t="s">
        <v>372</v>
      </c>
      <c r="C192" s="107" t="e">
        <f>C191*$F$26</f>
        <v>#REF!</v>
      </c>
      <c r="D192" s="107" t="e">
        <f t="shared" ref="D192:BJ192" si="272">D191*$F$26</f>
        <v>#REF!</v>
      </c>
      <c r="E192" s="107" t="e">
        <f t="shared" si="272"/>
        <v>#REF!</v>
      </c>
      <c r="F192" s="107" t="e">
        <f t="shared" si="272"/>
        <v>#REF!</v>
      </c>
      <c r="G192" s="107" t="e">
        <f t="shared" si="272"/>
        <v>#REF!</v>
      </c>
      <c r="H192" s="107" t="e">
        <f t="shared" si="272"/>
        <v>#REF!</v>
      </c>
      <c r="I192" s="107" t="e">
        <f t="shared" si="272"/>
        <v>#REF!</v>
      </c>
      <c r="J192" s="107" t="e">
        <f t="shared" si="272"/>
        <v>#REF!</v>
      </c>
      <c r="K192" s="107" t="e">
        <f t="shared" si="272"/>
        <v>#REF!</v>
      </c>
      <c r="L192" s="107" t="e">
        <f t="shared" si="272"/>
        <v>#REF!</v>
      </c>
      <c r="M192" s="107" t="e">
        <f t="shared" si="272"/>
        <v>#REF!</v>
      </c>
      <c r="N192" s="107" t="e">
        <f t="shared" si="272"/>
        <v>#REF!</v>
      </c>
      <c r="O192" s="107" t="e">
        <f t="shared" si="272"/>
        <v>#REF!</v>
      </c>
      <c r="P192" s="107" t="e">
        <f t="shared" si="272"/>
        <v>#REF!</v>
      </c>
      <c r="Q192" s="107" t="e">
        <f t="shared" si="272"/>
        <v>#REF!</v>
      </c>
      <c r="R192" s="107" t="e">
        <f t="shared" si="272"/>
        <v>#REF!</v>
      </c>
      <c r="S192" s="107" t="e">
        <f t="shared" si="272"/>
        <v>#REF!</v>
      </c>
      <c r="T192" s="107" t="e">
        <f t="shared" si="272"/>
        <v>#REF!</v>
      </c>
      <c r="U192" s="107" t="e">
        <f t="shared" si="272"/>
        <v>#REF!</v>
      </c>
      <c r="V192" s="107" t="e">
        <f t="shared" si="272"/>
        <v>#REF!</v>
      </c>
      <c r="W192" s="107" t="e">
        <f t="shared" si="272"/>
        <v>#REF!</v>
      </c>
      <c r="X192" s="107" t="e">
        <f t="shared" si="272"/>
        <v>#REF!</v>
      </c>
      <c r="Y192" s="107" t="e">
        <f t="shared" si="272"/>
        <v>#REF!</v>
      </c>
      <c r="Z192" s="107" t="e">
        <f t="shared" si="272"/>
        <v>#REF!</v>
      </c>
      <c r="AA192" s="107" t="e">
        <f t="shared" si="272"/>
        <v>#REF!</v>
      </c>
      <c r="AB192" s="107" t="e">
        <f t="shared" si="272"/>
        <v>#REF!</v>
      </c>
      <c r="AC192" s="107" t="e">
        <f t="shared" si="272"/>
        <v>#REF!</v>
      </c>
      <c r="AD192" s="107" t="e">
        <f t="shared" si="272"/>
        <v>#REF!</v>
      </c>
      <c r="AE192" s="107" t="e">
        <f t="shared" si="272"/>
        <v>#REF!</v>
      </c>
      <c r="AF192" s="107" t="e">
        <f t="shared" si="272"/>
        <v>#REF!</v>
      </c>
      <c r="AG192" s="107" t="e">
        <f t="shared" si="272"/>
        <v>#REF!</v>
      </c>
      <c r="AH192" s="107" t="e">
        <f t="shared" si="272"/>
        <v>#REF!</v>
      </c>
      <c r="AI192" s="107" t="e">
        <f t="shared" si="272"/>
        <v>#REF!</v>
      </c>
      <c r="AJ192" s="107" t="e">
        <f t="shared" si="272"/>
        <v>#REF!</v>
      </c>
      <c r="AK192" s="107" t="e">
        <f t="shared" si="272"/>
        <v>#REF!</v>
      </c>
      <c r="AL192" s="107" t="e">
        <f t="shared" si="272"/>
        <v>#REF!</v>
      </c>
      <c r="AM192" s="107" t="e">
        <f t="shared" si="272"/>
        <v>#REF!</v>
      </c>
      <c r="AN192" s="107" t="e">
        <f t="shared" si="272"/>
        <v>#REF!</v>
      </c>
      <c r="AO192" s="107" t="e">
        <f t="shared" si="272"/>
        <v>#REF!</v>
      </c>
      <c r="AP192" s="107" t="e">
        <f t="shared" si="272"/>
        <v>#REF!</v>
      </c>
      <c r="AQ192" s="107" t="e">
        <f t="shared" si="272"/>
        <v>#REF!</v>
      </c>
      <c r="AR192" s="107" t="e">
        <f t="shared" si="272"/>
        <v>#REF!</v>
      </c>
      <c r="AS192" s="107" t="e">
        <f t="shared" si="272"/>
        <v>#REF!</v>
      </c>
      <c r="AT192" s="107" t="e">
        <f t="shared" si="272"/>
        <v>#REF!</v>
      </c>
      <c r="AU192" s="107" t="e">
        <f t="shared" si="272"/>
        <v>#REF!</v>
      </c>
      <c r="AV192" s="107" t="e">
        <f t="shared" si="272"/>
        <v>#REF!</v>
      </c>
      <c r="AW192" s="107" t="e">
        <f t="shared" si="272"/>
        <v>#REF!</v>
      </c>
      <c r="AX192" s="107" t="e">
        <f t="shared" si="272"/>
        <v>#REF!</v>
      </c>
      <c r="AY192" s="107" t="e">
        <f t="shared" si="272"/>
        <v>#REF!</v>
      </c>
      <c r="AZ192" s="107" t="e">
        <f t="shared" si="272"/>
        <v>#REF!</v>
      </c>
      <c r="BA192" s="107" t="e">
        <f t="shared" si="272"/>
        <v>#REF!</v>
      </c>
      <c r="BB192" s="107" t="e">
        <f t="shared" si="272"/>
        <v>#REF!</v>
      </c>
      <c r="BC192" s="107" t="e">
        <f t="shared" si="272"/>
        <v>#REF!</v>
      </c>
      <c r="BD192" s="107" t="e">
        <f t="shared" si="272"/>
        <v>#REF!</v>
      </c>
      <c r="BE192" s="107" t="e">
        <f t="shared" si="272"/>
        <v>#REF!</v>
      </c>
      <c r="BF192" s="107" t="e">
        <f t="shared" si="272"/>
        <v>#REF!</v>
      </c>
      <c r="BG192" s="107" t="e">
        <f t="shared" si="272"/>
        <v>#REF!</v>
      </c>
      <c r="BH192" s="107" t="e">
        <f t="shared" si="272"/>
        <v>#REF!</v>
      </c>
      <c r="BI192" s="107" t="e">
        <f t="shared" si="272"/>
        <v>#REF!</v>
      </c>
      <c r="BJ192" s="107" t="e">
        <f t="shared" si="272"/>
        <v>#REF!</v>
      </c>
      <c r="BK192"/>
      <c r="BL192" s="5"/>
    </row>
    <row r="193" spans="1:64">
      <c r="A193"/>
      <c r="B193" s="75" t="s">
        <v>373</v>
      </c>
      <c r="C193" s="107" t="e">
        <f>+C191*$G$26</f>
        <v>#REF!</v>
      </c>
      <c r="D193" s="107" t="e">
        <f t="shared" ref="D193" si="273">+D191*$G$26</f>
        <v>#REF!</v>
      </c>
      <c r="E193" s="107" t="e">
        <f t="shared" ref="E193:BJ193" si="274">+E191*$G$26</f>
        <v>#REF!</v>
      </c>
      <c r="F193" s="107" t="e">
        <f t="shared" si="274"/>
        <v>#REF!</v>
      </c>
      <c r="G193" s="107" t="e">
        <f t="shared" si="274"/>
        <v>#REF!</v>
      </c>
      <c r="H193" s="107" t="e">
        <f t="shared" si="274"/>
        <v>#REF!</v>
      </c>
      <c r="I193" s="107" t="e">
        <f t="shared" si="274"/>
        <v>#REF!</v>
      </c>
      <c r="J193" s="107" t="e">
        <f t="shared" si="274"/>
        <v>#REF!</v>
      </c>
      <c r="K193" s="107" t="e">
        <f t="shared" si="274"/>
        <v>#REF!</v>
      </c>
      <c r="L193" s="107" t="e">
        <f t="shared" si="274"/>
        <v>#REF!</v>
      </c>
      <c r="M193" s="107" t="e">
        <f t="shared" si="274"/>
        <v>#REF!</v>
      </c>
      <c r="N193" s="107" t="e">
        <f t="shared" si="274"/>
        <v>#REF!</v>
      </c>
      <c r="O193" s="107" t="e">
        <f t="shared" si="274"/>
        <v>#REF!</v>
      </c>
      <c r="P193" s="107" t="e">
        <f t="shared" si="274"/>
        <v>#REF!</v>
      </c>
      <c r="Q193" s="107" t="e">
        <f t="shared" si="274"/>
        <v>#REF!</v>
      </c>
      <c r="R193" s="107" t="e">
        <f t="shared" si="274"/>
        <v>#REF!</v>
      </c>
      <c r="S193" s="107" t="e">
        <f t="shared" si="274"/>
        <v>#REF!</v>
      </c>
      <c r="T193" s="107" t="e">
        <f t="shared" si="274"/>
        <v>#REF!</v>
      </c>
      <c r="U193" s="107" t="e">
        <f t="shared" si="274"/>
        <v>#REF!</v>
      </c>
      <c r="V193" s="107" t="e">
        <f t="shared" si="274"/>
        <v>#REF!</v>
      </c>
      <c r="W193" s="107" t="e">
        <f t="shared" si="274"/>
        <v>#REF!</v>
      </c>
      <c r="X193" s="107" t="e">
        <f t="shared" si="274"/>
        <v>#REF!</v>
      </c>
      <c r="Y193" s="107" t="e">
        <f t="shared" si="274"/>
        <v>#REF!</v>
      </c>
      <c r="Z193" s="107" t="e">
        <f t="shared" si="274"/>
        <v>#REF!</v>
      </c>
      <c r="AA193" s="107" t="e">
        <f t="shared" si="274"/>
        <v>#REF!</v>
      </c>
      <c r="AB193" s="107" t="e">
        <f t="shared" si="274"/>
        <v>#REF!</v>
      </c>
      <c r="AC193" s="107" t="e">
        <f t="shared" si="274"/>
        <v>#REF!</v>
      </c>
      <c r="AD193" s="107" t="e">
        <f t="shared" si="274"/>
        <v>#REF!</v>
      </c>
      <c r="AE193" s="107" t="e">
        <f t="shared" si="274"/>
        <v>#REF!</v>
      </c>
      <c r="AF193" s="107" t="e">
        <f t="shared" si="274"/>
        <v>#REF!</v>
      </c>
      <c r="AG193" s="107" t="e">
        <f t="shared" si="274"/>
        <v>#REF!</v>
      </c>
      <c r="AH193" s="107" t="e">
        <f t="shared" si="274"/>
        <v>#REF!</v>
      </c>
      <c r="AI193" s="107" t="e">
        <f t="shared" si="274"/>
        <v>#REF!</v>
      </c>
      <c r="AJ193" s="107" t="e">
        <f t="shared" si="274"/>
        <v>#REF!</v>
      </c>
      <c r="AK193" s="107" t="e">
        <f t="shared" si="274"/>
        <v>#REF!</v>
      </c>
      <c r="AL193" s="107" t="e">
        <f t="shared" si="274"/>
        <v>#REF!</v>
      </c>
      <c r="AM193" s="107" t="e">
        <f t="shared" si="274"/>
        <v>#REF!</v>
      </c>
      <c r="AN193" s="107" t="e">
        <f t="shared" si="274"/>
        <v>#REF!</v>
      </c>
      <c r="AO193" s="107" t="e">
        <f t="shared" si="274"/>
        <v>#REF!</v>
      </c>
      <c r="AP193" s="107" t="e">
        <f t="shared" si="274"/>
        <v>#REF!</v>
      </c>
      <c r="AQ193" s="107" t="e">
        <f t="shared" si="274"/>
        <v>#REF!</v>
      </c>
      <c r="AR193" s="107" t="e">
        <f t="shared" si="274"/>
        <v>#REF!</v>
      </c>
      <c r="AS193" s="107" t="e">
        <f t="shared" si="274"/>
        <v>#REF!</v>
      </c>
      <c r="AT193" s="107" t="e">
        <f t="shared" si="274"/>
        <v>#REF!</v>
      </c>
      <c r="AU193" s="107" t="e">
        <f t="shared" si="274"/>
        <v>#REF!</v>
      </c>
      <c r="AV193" s="107" t="e">
        <f t="shared" si="274"/>
        <v>#REF!</v>
      </c>
      <c r="AW193" s="107" t="e">
        <f t="shared" si="274"/>
        <v>#REF!</v>
      </c>
      <c r="AX193" s="107" t="e">
        <f t="shared" si="274"/>
        <v>#REF!</v>
      </c>
      <c r="AY193" s="107" t="e">
        <f t="shared" si="274"/>
        <v>#REF!</v>
      </c>
      <c r="AZ193" s="107" t="e">
        <f t="shared" si="274"/>
        <v>#REF!</v>
      </c>
      <c r="BA193" s="107" t="e">
        <f t="shared" si="274"/>
        <v>#REF!</v>
      </c>
      <c r="BB193" s="107" t="e">
        <f t="shared" si="274"/>
        <v>#REF!</v>
      </c>
      <c r="BC193" s="107" t="e">
        <f t="shared" si="274"/>
        <v>#REF!</v>
      </c>
      <c r="BD193" s="107" t="e">
        <f t="shared" si="274"/>
        <v>#REF!</v>
      </c>
      <c r="BE193" s="107" t="e">
        <f t="shared" si="274"/>
        <v>#REF!</v>
      </c>
      <c r="BF193" s="107" t="e">
        <f t="shared" si="274"/>
        <v>#REF!</v>
      </c>
      <c r="BG193" s="107" t="e">
        <f t="shared" si="274"/>
        <v>#REF!</v>
      </c>
      <c r="BH193" s="107" t="e">
        <f t="shared" si="274"/>
        <v>#REF!</v>
      </c>
      <c r="BI193" s="107" t="e">
        <f t="shared" si="274"/>
        <v>#REF!</v>
      </c>
      <c r="BJ193" s="107" t="e">
        <f t="shared" si="274"/>
        <v>#REF!</v>
      </c>
      <c r="BK193"/>
      <c r="BL193" s="5"/>
    </row>
    <row r="194" spans="1:64">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s="5"/>
    </row>
    <row r="195" spans="1:64">
      <c r="A195"/>
      <c r="B195" t="s">
        <v>399</v>
      </c>
      <c r="C195" s="14">
        <v>0</v>
      </c>
      <c r="D195" s="14" t="e">
        <f>+C201</f>
        <v>#REF!</v>
      </c>
      <c r="E195" s="14" t="e">
        <f t="shared" ref="E195:BJ195" si="275">+D201</f>
        <v>#REF!</v>
      </c>
      <c r="F195" s="14" t="e">
        <f t="shared" si="275"/>
        <v>#REF!</v>
      </c>
      <c r="G195" s="14" t="e">
        <f t="shared" si="275"/>
        <v>#REF!</v>
      </c>
      <c r="H195" s="14" t="e">
        <f t="shared" si="275"/>
        <v>#REF!</v>
      </c>
      <c r="I195" s="14" t="e">
        <f t="shared" si="275"/>
        <v>#REF!</v>
      </c>
      <c r="J195" s="14" t="e">
        <f t="shared" si="275"/>
        <v>#REF!</v>
      </c>
      <c r="K195" s="14" t="e">
        <f t="shared" si="275"/>
        <v>#REF!</v>
      </c>
      <c r="L195" s="14" t="e">
        <f t="shared" si="275"/>
        <v>#REF!</v>
      </c>
      <c r="M195" s="14" t="e">
        <f t="shared" si="275"/>
        <v>#REF!</v>
      </c>
      <c r="N195" s="14" t="e">
        <f t="shared" si="275"/>
        <v>#REF!</v>
      </c>
      <c r="O195" s="14" t="e">
        <f t="shared" si="275"/>
        <v>#REF!</v>
      </c>
      <c r="P195" s="14" t="e">
        <f t="shared" si="275"/>
        <v>#REF!</v>
      </c>
      <c r="Q195" s="14" t="e">
        <f t="shared" si="275"/>
        <v>#REF!</v>
      </c>
      <c r="R195" s="14" t="e">
        <f t="shared" si="275"/>
        <v>#REF!</v>
      </c>
      <c r="S195" s="14" t="e">
        <f t="shared" si="275"/>
        <v>#REF!</v>
      </c>
      <c r="T195" s="14" t="e">
        <f t="shared" si="275"/>
        <v>#REF!</v>
      </c>
      <c r="U195" s="14" t="e">
        <f t="shared" si="275"/>
        <v>#REF!</v>
      </c>
      <c r="V195" s="14" t="e">
        <f t="shared" si="275"/>
        <v>#REF!</v>
      </c>
      <c r="W195" s="14" t="e">
        <f t="shared" si="275"/>
        <v>#REF!</v>
      </c>
      <c r="X195" s="14" t="e">
        <f t="shared" si="275"/>
        <v>#REF!</v>
      </c>
      <c r="Y195" s="14" t="e">
        <f t="shared" si="275"/>
        <v>#REF!</v>
      </c>
      <c r="Z195" s="14" t="e">
        <f t="shared" si="275"/>
        <v>#REF!</v>
      </c>
      <c r="AA195" s="14" t="e">
        <f t="shared" si="275"/>
        <v>#REF!</v>
      </c>
      <c r="AB195" s="14" t="e">
        <f t="shared" si="275"/>
        <v>#REF!</v>
      </c>
      <c r="AC195" s="14" t="e">
        <f t="shared" si="275"/>
        <v>#REF!</v>
      </c>
      <c r="AD195" s="14" t="e">
        <f t="shared" si="275"/>
        <v>#REF!</v>
      </c>
      <c r="AE195" s="14" t="e">
        <f t="shared" si="275"/>
        <v>#REF!</v>
      </c>
      <c r="AF195" s="14" t="e">
        <f t="shared" si="275"/>
        <v>#REF!</v>
      </c>
      <c r="AG195" s="14" t="e">
        <f t="shared" si="275"/>
        <v>#REF!</v>
      </c>
      <c r="AH195" s="14" t="e">
        <f t="shared" si="275"/>
        <v>#REF!</v>
      </c>
      <c r="AI195" s="14" t="e">
        <f t="shared" si="275"/>
        <v>#REF!</v>
      </c>
      <c r="AJ195" s="14" t="e">
        <f t="shared" si="275"/>
        <v>#REF!</v>
      </c>
      <c r="AK195" s="14" t="e">
        <f t="shared" si="275"/>
        <v>#REF!</v>
      </c>
      <c r="AL195" s="14" t="e">
        <f t="shared" si="275"/>
        <v>#REF!</v>
      </c>
      <c r="AM195" s="14" t="e">
        <f t="shared" si="275"/>
        <v>#REF!</v>
      </c>
      <c r="AN195" s="14" t="e">
        <f t="shared" si="275"/>
        <v>#REF!</v>
      </c>
      <c r="AO195" s="14" t="e">
        <f t="shared" si="275"/>
        <v>#REF!</v>
      </c>
      <c r="AP195" s="14" t="e">
        <f t="shared" si="275"/>
        <v>#REF!</v>
      </c>
      <c r="AQ195" s="14" t="e">
        <f t="shared" si="275"/>
        <v>#REF!</v>
      </c>
      <c r="AR195" s="14" t="e">
        <f t="shared" si="275"/>
        <v>#REF!</v>
      </c>
      <c r="AS195" s="14" t="e">
        <f t="shared" si="275"/>
        <v>#REF!</v>
      </c>
      <c r="AT195" s="14" t="e">
        <f t="shared" si="275"/>
        <v>#REF!</v>
      </c>
      <c r="AU195" s="14" t="e">
        <f t="shared" si="275"/>
        <v>#REF!</v>
      </c>
      <c r="AV195" s="14" t="e">
        <f t="shared" si="275"/>
        <v>#REF!</v>
      </c>
      <c r="AW195" s="14" t="e">
        <f t="shared" si="275"/>
        <v>#REF!</v>
      </c>
      <c r="AX195" s="14" t="e">
        <f t="shared" si="275"/>
        <v>#REF!</v>
      </c>
      <c r="AY195" s="14" t="e">
        <f t="shared" si="275"/>
        <v>#REF!</v>
      </c>
      <c r="AZ195" s="14" t="e">
        <f t="shared" si="275"/>
        <v>#REF!</v>
      </c>
      <c r="BA195" s="14" t="e">
        <f t="shared" si="275"/>
        <v>#REF!</v>
      </c>
      <c r="BB195" s="14" t="e">
        <f t="shared" si="275"/>
        <v>#REF!</v>
      </c>
      <c r="BC195" s="14" t="e">
        <f t="shared" si="275"/>
        <v>#REF!</v>
      </c>
      <c r="BD195" s="14" t="e">
        <f t="shared" si="275"/>
        <v>#REF!</v>
      </c>
      <c r="BE195" s="14" t="e">
        <f t="shared" si="275"/>
        <v>#REF!</v>
      </c>
      <c r="BF195" s="14" t="e">
        <f t="shared" si="275"/>
        <v>#REF!</v>
      </c>
      <c r="BG195" s="14" t="e">
        <f t="shared" si="275"/>
        <v>#REF!</v>
      </c>
      <c r="BH195" s="14" t="e">
        <f t="shared" si="275"/>
        <v>#REF!</v>
      </c>
      <c r="BI195" s="14" t="e">
        <f t="shared" si="275"/>
        <v>#REF!</v>
      </c>
      <c r="BJ195" s="14" t="e">
        <f t="shared" si="275"/>
        <v>#REF!</v>
      </c>
      <c r="BK195"/>
      <c r="BL195" s="5"/>
    </row>
    <row r="196" spans="1:64">
      <c r="A196"/>
      <c r="B196" t="s">
        <v>400</v>
      </c>
      <c r="C196" s="14">
        <f>IFERROR(IF($C$26="On",((1+$D$26)^(C$8)-1)*C195,0),0)</f>
        <v>0</v>
      </c>
      <c r="D196" s="14">
        <f>IFERROR(IF($C$26="On",((1+$D$26)^(D$8)-1)*D195,0),0)</f>
        <v>0</v>
      </c>
      <c r="E196" s="14">
        <f t="shared" ref="E196:BJ196" si="276">IFERROR(IF($C$26="On",((1+$D$26)^(E$8)-1)*E195,0),0)</f>
        <v>0</v>
      </c>
      <c r="F196" s="14">
        <f t="shared" si="276"/>
        <v>0</v>
      </c>
      <c r="G196" s="14">
        <f t="shared" si="276"/>
        <v>0</v>
      </c>
      <c r="H196" s="14">
        <f t="shared" si="276"/>
        <v>0</v>
      </c>
      <c r="I196" s="14">
        <f t="shared" si="276"/>
        <v>0</v>
      </c>
      <c r="J196" s="14">
        <f t="shared" si="276"/>
        <v>0</v>
      </c>
      <c r="K196" s="14">
        <f t="shared" si="276"/>
        <v>0</v>
      </c>
      <c r="L196" s="14">
        <f t="shared" si="276"/>
        <v>0</v>
      </c>
      <c r="M196" s="14">
        <f t="shared" si="276"/>
        <v>0</v>
      </c>
      <c r="N196" s="14">
        <f t="shared" si="276"/>
        <v>0</v>
      </c>
      <c r="O196" s="14">
        <f t="shared" si="276"/>
        <v>0</v>
      </c>
      <c r="P196" s="14">
        <f t="shared" si="276"/>
        <v>0</v>
      </c>
      <c r="Q196" s="14">
        <f t="shared" si="276"/>
        <v>0</v>
      </c>
      <c r="R196" s="14">
        <f t="shared" si="276"/>
        <v>0</v>
      </c>
      <c r="S196" s="14">
        <f t="shared" si="276"/>
        <v>0</v>
      </c>
      <c r="T196" s="14">
        <f t="shared" si="276"/>
        <v>0</v>
      </c>
      <c r="U196" s="14">
        <f t="shared" si="276"/>
        <v>0</v>
      </c>
      <c r="V196" s="14">
        <f t="shared" si="276"/>
        <v>0</v>
      </c>
      <c r="W196" s="14">
        <f t="shared" si="276"/>
        <v>0</v>
      </c>
      <c r="X196" s="14">
        <f t="shared" si="276"/>
        <v>0</v>
      </c>
      <c r="Y196" s="14">
        <f t="shared" si="276"/>
        <v>0</v>
      </c>
      <c r="Z196" s="14">
        <f t="shared" si="276"/>
        <v>0</v>
      </c>
      <c r="AA196" s="14">
        <f t="shared" si="276"/>
        <v>0</v>
      </c>
      <c r="AB196" s="14">
        <f t="shared" si="276"/>
        <v>0</v>
      </c>
      <c r="AC196" s="14">
        <f t="shared" si="276"/>
        <v>0</v>
      </c>
      <c r="AD196" s="14">
        <f t="shared" si="276"/>
        <v>0</v>
      </c>
      <c r="AE196" s="14">
        <f t="shared" si="276"/>
        <v>0</v>
      </c>
      <c r="AF196" s="14">
        <f t="shared" si="276"/>
        <v>0</v>
      </c>
      <c r="AG196" s="14">
        <f t="shared" si="276"/>
        <v>0</v>
      </c>
      <c r="AH196" s="14">
        <f t="shared" si="276"/>
        <v>0</v>
      </c>
      <c r="AI196" s="14">
        <f t="shared" si="276"/>
        <v>0</v>
      </c>
      <c r="AJ196" s="14">
        <f t="shared" si="276"/>
        <v>0</v>
      </c>
      <c r="AK196" s="14">
        <f t="shared" si="276"/>
        <v>0</v>
      </c>
      <c r="AL196" s="14">
        <f t="shared" si="276"/>
        <v>0</v>
      </c>
      <c r="AM196" s="14">
        <f t="shared" si="276"/>
        <v>0</v>
      </c>
      <c r="AN196" s="14">
        <f t="shared" si="276"/>
        <v>0</v>
      </c>
      <c r="AO196" s="14">
        <f t="shared" si="276"/>
        <v>0</v>
      </c>
      <c r="AP196" s="14">
        <f t="shared" si="276"/>
        <v>0</v>
      </c>
      <c r="AQ196" s="14">
        <f t="shared" si="276"/>
        <v>0</v>
      </c>
      <c r="AR196" s="14">
        <f t="shared" si="276"/>
        <v>0</v>
      </c>
      <c r="AS196" s="14">
        <f t="shared" si="276"/>
        <v>0</v>
      </c>
      <c r="AT196" s="14">
        <f t="shared" si="276"/>
        <v>0</v>
      </c>
      <c r="AU196" s="14">
        <f t="shared" si="276"/>
        <v>0</v>
      </c>
      <c r="AV196" s="14">
        <f t="shared" si="276"/>
        <v>0</v>
      </c>
      <c r="AW196" s="14">
        <f t="shared" si="276"/>
        <v>0</v>
      </c>
      <c r="AX196" s="14">
        <f t="shared" si="276"/>
        <v>0</v>
      </c>
      <c r="AY196" s="14">
        <f t="shared" si="276"/>
        <v>0</v>
      </c>
      <c r="AZ196" s="14">
        <f t="shared" si="276"/>
        <v>0</v>
      </c>
      <c r="BA196" s="14">
        <f t="shared" si="276"/>
        <v>0</v>
      </c>
      <c r="BB196" s="14">
        <f t="shared" si="276"/>
        <v>0</v>
      </c>
      <c r="BC196" s="14">
        <f t="shared" si="276"/>
        <v>0</v>
      </c>
      <c r="BD196" s="14">
        <f t="shared" si="276"/>
        <v>0</v>
      </c>
      <c r="BE196" s="14">
        <f t="shared" si="276"/>
        <v>0</v>
      </c>
      <c r="BF196" s="14">
        <f t="shared" si="276"/>
        <v>0</v>
      </c>
      <c r="BG196" s="14">
        <f t="shared" si="276"/>
        <v>0</v>
      </c>
      <c r="BH196" s="14">
        <f t="shared" si="276"/>
        <v>0</v>
      </c>
      <c r="BI196" s="14">
        <f t="shared" si="276"/>
        <v>0</v>
      </c>
      <c r="BJ196" s="14">
        <f t="shared" si="276"/>
        <v>0</v>
      </c>
      <c r="BK196"/>
      <c r="BL196" s="5"/>
    </row>
    <row r="197" spans="1:64">
      <c r="A197"/>
      <c r="B197" t="s">
        <v>377</v>
      </c>
      <c r="C197" s="14">
        <f>-C56</f>
        <v>0</v>
      </c>
      <c r="D197" s="14">
        <f t="shared" ref="D197" si="277">-D56</f>
        <v>0</v>
      </c>
      <c r="E197" s="14">
        <f t="shared" ref="E197:BJ197" si="278">-E56</f>
        <v>0</v>
      </c>
      <c r="F197" s="14">
        <f t="shared" si="278"/>
        <v>0</v>
      </c>
      <c r="G197" s="14">
        <f t="shared" si="278"/>
        <v>0</v>
      </c>
      <c r="H197" s="14">
        <f t="shared" si="278"/>
        <v>0</v>
      </c>
      <c r="I197" s="14">
        <f t="shared" si="278"/>
        <v>0</v>
      </c>
      <c r="J197" s="14">
        <f t="shared" si="278"/>
        <v>0</v>
      </c>
      <c r="K197" s="14">
        <f t="shared" si="278"/>
        <v>0</v>
      </c>
      <c r="L197" s="14">
        <f t="shared" si="278"/>
        <v>0</v>
      </c>
      <c r="M197" s="14">
        <f t="shared" si="278"/>
        <v>0</v>
      </c>
      <c r="N197" s="14">
        <f t="shared" si="278"/>
        <v>0</v>
      </c>
      <c r="O197" s="14">
        <f t="shared" si="278"/>
        <v>0</v>
      </c>
      <c r="P197" s="14">
        <f t="shared" si="278"/>
        <v>0</v>
      </c>
      <c r="Q197" s="14">
        <f t="shared" si="278"/>
        <v>0</v>
      </c>
      <c r="R197" s="14">
        <f t="shared" si="278"/>
        <v>0</v>
      </c>
      <c r="S197" s="14">
        <f t="shared" si="278"/>
        <v>0</v>
      </c>
      <c r="T197" s="14">
        <f t="shared" si="278"/>
        <v>0</v>
      </c>
      <c r="U197" s="14">
        <f t="shared" si="278"/>
        <v>0</v>
      </c>
      <c r="V197" s="14">
        <f t="shared" si="278"/>
        <v>0</v>
      </c>
      <c r="W197" s="14">
        <f t="shared" si="278"/>
        <v>0</v>
      </c>
      <c r="X197" s="14">
        <f t="shared" si="278"/>
        <v>0</v>
      </c>
      <c r="Y197" s="14">
        <f t="shared" si="278"/>
        <v>0</v>
      </c>
      <c r="Z197" s="14">
        <f t="shared" si="278"/>
        <v>0</v>
      </c>
      <c r="AA197" s="14">
        <f t="shared" si="278"/>
        <v>0</v>
      </c>
      <c r="AB197" s="14">
        <f t="shared" si="278"/>
        <v>0</v>
      </c>
      <c r="AC197" s="14">
        <f t="shared" si="278"/>
        <v>0</v>
      </c>
      <c r="AD197" s="14">
        <f t="shared" si="278"/>
        <v>0</v>
      </c>
      <c r="AE197" s="14">
        <f t="shared" si="278"/>
        <v>0</v>
      </c>
      <c r="AF197" s="14">
        <f t="shared" si="278"/>
        <v>0</v>
      </c>
      <c r="AG197" s="14">
        <f t="shared" si="278"/>
        <v>0</v>
      </c>
      <c r="AH197" s="14">
        <f t="shared" si="278"/>
        <v>0</v>
      </c>
      <c r="AI197" s="14">
        <f t="shared" si="278"/>
        <v>0</v>
      </c>
      <c r="AJ197" s="14">
        <f t="shared" si="278"/>
        <v>0</v>
      </c>
      <c r="AK197" s="14">
        <f t="shared" si="278"/>
        <v>0</v>
      </c>
      <c r="AL197" s="14">
        <f t="shared" si="278"/>
        <v>0</v>
      </c>
      <c r="AM197" s="14">
        <f t="shared" si="278"/>
        <v>0</v>
      </c>
      <c r="AN197" s="14">
        <f t="shared" si="278"/>
        <v>0</v>
      </c>
      <c r="AO197" s="14">
        <f t="shared" si="278"/>
        <v>0</v>
      </c>
      <c r="AP197" s="14">
        <f t="shared" si="278"/>
        <v>0</v>
      </c>
      <c r="AQ197" s="14">
        <f t="shared" si="278"/>
        <v>0</v>
      </c>
      <c r="AR197" s="14">
        <f t="shared" si="278"/>
        <v>0</v>
      </c>
      <c r="AS197" s="14">
        <f t="shared" si="278"/>
        <v>0</v>
      </c>
      <c r="AT197" s="14">
        <f t="shared" si="278"/>
        <v>0</v>
      </c>
      <c r="AU197" s="14">
        <f t="shared" si="278"/>
        <v>0</v>
      </c>
      <c r="AV197" s="14">
        <f t="shared" si="278"/>
        <v>0</v>
      </c>
      <c r="AW197" s="14">
        <f t="shared" si="278"/>
        <v>0</v>
      </c>
      <c r="AX197" s="14">
        <f t="shared" si="278"/>
        <v>0</v>
      </c>
      <c r="AY197" s="14">
        <f t="shared" si="278"/>
        <v>0</v>
      </c>
      <c r="AZ197" s="14">
        <f t="shared" si="278"/>
        <v>0</v>
      </c>
      <c r="BA197" s="14">
        <f t="shared" si="278"/>
        <v>0</v>
      </c>
      <c r="BB197" s="14">
        <f t="shared" si="278"/>
        <v>0</v>
      </c>
      <c r="BC197" s="14">
        <f t="shared" si="278"/>
        <v>0</v>
      </c>
      <c r="BD197" s="14">
        <f t="shared" si="278"/>
        <v>0</v>
      </c>
      <c r="BE197" s="14">
        <f t="shared" si="278"/>
        <v>0</v>
      </c>
      <c r="BF197" s="14">
        <f t="shared" si="278"/>
        <v>0</v>
      </c>
      <c r="BG197" s="14">
        <f t="shared" si="278"/>
        <v>0</v>
      </c>
      <c r="BH197" s="14">
        <f t="shared" si="278"/>
        <v>0</v>
      </c>
      <c r="BI197" s="14">
        <f t="shared" si="278"/>
        <v>0</v>
      </c>
      <c r="BJ197" s="14">
        <f t="shared" si="278"/>
        <v>0</v>
      </c>
      <c r="BK197"/>
      <c r="BL197" s="5"/>
    </row>
    <row r="198" spans="1:64">
      <c r="A198"/>
      <c r="B198" t="s">
        <v>358</v>
      </c>
      <c r="C198" s="14" t="e">
        <f>-C154</f>
        <v>#REF!</v>
      </c>
      <c r="D198" s="14" t="e">
        <f t="shared" ref="D198" si="279">-D154</f>
        <v>#REF!</v>
      </c>
      <c r="E198" s="14" t="e">
        <f t="shared" ref="E198:BJ198" si="280">-E154</f>
        <v>#REF!</v>
      </c>
      <c r="F198" s="14" t="e">
        <f t="shared" si="280"/>
        <v>#REF!</v>
      </c>
      <c r="G198" s="14" t="e">
        <f t="shared" si="280"/>
        <v>#REF!</v>
      </c>
      <c r="H198" s="14" t="e">
        <f t="shared" si="280"/>
        <v>#REF!</v>
      </c>
      <c r="I198" s="14" t="e">
        <f t="shared" si="280"/>
        <v>#REF!</v>
      </c>
      <c r="J198" s="14" t="e">
        <f t="shared" si="280"/>
        <v>#REF!</v>
      </c>
      <c r="K198" s="14" t="e">
        <f t="shared" si="280"/>
        <v>#REF!</v>
      </c>
      <c r="L198" s="14" t="e">
        <f t="shared" si="280"/>
        <v>#REF!</v>
      </c>
      <c r="M198" s="14" t="e">
        <f t="shared" si="280"/>
        <v>#REF!</v>
      </c>
      <c r="N198" s="14" t="e">
        <f t="shared" si="280"/>
        <v>#REF!</v>
      </c>
      <c r="O198" s="14" t="e">
        <f t="shared" si="280"/>
        <v>#REF!</v>
      </c>
      <c r="P198" s="14" t="e">
        <f t="shared" si="280"/>
        <v>#REF!</v>
      </c>
      <c r="Q198" s="14" t="e">
        <f t="shared" si="280"/>
        <v>#REF!</v>
      </c>
      <c r="R198" s="14" t="e">
        <f t="shared" si="280"/>
        <v>#REF!</v>
      </c>
      <c r="S198" s="14" t="e">
        <f t="shared" si="280"/>
        <v>#REF!</v>
      </c>
      <c r="T198" s="14" t="e">
        <f t="shared" si="280"/>
        <v>#REF!</v>
      </c>
      <c r="U198" s="14" t="e">
        <f t="shared" si="280"/>
        <v>#REF!</v>
      </c>
      <c r="V198" s="14" t="e">
        <f t="shared" si="280"/>
        <v>#REF!</v>
      </c>
      <c r="W198" s="14" t="e">
        <f t="shared" si="280"/>
        <v>#REF!</v>
      </c>
      <c r="X198" s="14" t="e">
        <f t="shared" si="280"/>
        <v>#REF!</v>
      </c>
      <c r="Y198" s="14" t="e">
        <f t="shared" si="280"/>
        <v>#REF!</v>
      </c>
      <c r="Z198" s="14" t="e">
        <f t="shared" si="280"/>
        <v>#REF!</v>
      </c>
      <c r="AA198" s="14" t="e">
        <f t="shared" si="280"/>
        <v>#REF!</v>
      </c>
      <c r="AB198" s="14" t="e">
        <f t="shared" si="280"/>
        <v>#REF!</v>
      </c>
      <c r="AC198" s="14" t="e">
        <f t="shared" si="280"/>
        <v>#REF!</v>
      </c>
      <c r="AD198" s="14" t="e">
        <f t="shared" si="280"/>
        <v>#REF!</v>
      </c>
      <c r="AE198" s="14" t="e">
        <f t="shared" si="280"/>
        <v>#REF!</v>
      </c>
      <c r="AF198" s="14" t="e">
        <f t="shared" si="280"/>
        <v>#REF!</v>
      </c>
      <c r="AG198" s="14" t="e">
        <f t="shared" si="280"/>
        <v>#REF!</v>
      </c>
      <c r="AH198" s="14" t="e">
        <f t="shared" si="280"/>
        <v>#REF!</v>
      </c>
      <c r="AI198" s="14" t="e">
        <f t="shared" si="280"/>
        <v>#REF!</v>
      </c>
      <c r="AJ198" s="14" t="e">
        <f t="shared" si="280"/>
        <v>#REF!</v>
      </c>
      <c r="AK198" s="14" t="e">
        <f t="shared" si="280"/>
        <v>#REF!</v>
      </c>
      <c r="AL198" s="14" t="e">
        <f t="shared" si="280"/>
        <v>#REF!</v>
      </c>
      <c r="AM198" s="14" t="e">
        <f t="shared" si="280"/>
        <v>#REF!</v>
      </c>
      <c r="AN198" s="14" t="e">
        <f t="shared" si="280"/>
        <v>#REF!</v>
      </c>
      <c r="AO198" s="14" t="e">
        <f t="shared" si="280"/>
        <v>#REF!</v>
      </c>
      <c r="AP198" s="14" t="e">
        <f t="shared" si="280"/>
        <v>#REF!</v>
      </c>
      <c r="AQ198" s="14" t="e">
        <f t="shared" si="280"/>
        <v>#REF!</v>
      </c>
      <c r="AR198" s="14" t="e">
        <f t="shared" si="280"/>
        <v>#REF!</v>
      </c>
      <c r="AS198" s="14" t="e">
        <f t="shared" si="280"/>
        <v>#REF!</v>
      </c>
      <c r="AT198" s="14" t="e">
        <f t="shared" si="280"/>
        <v>#REF!</v>
      </c>
      <c r="AU198" s="14" t="e">
        <f t="shared" si="280"/>
        <v>#REF!</v>
      </c>
      <c r="AV198" s="14" t="e">
        <f t="shared" si="280"/>
        <v>#REF!</v>
      </c>
      <c r="AW198" s="14" t="e">
        <f t="shared" si="280"/>
        <v>#REF!</v>
      </c>
      <c r="AX198" s="14" t="e">
        <f t="shared" si="280"/>
        <v>#REF!</v>
      </c>
      <c r="AY198" s="14" t="e">
        <f t="shared" si="280"/>
        <v>#REF!</v>
      </c>
      <c r="AZ198" s="14" t="e">
        <f t="shared" si="280"/>
        <v>#REF!</v>
      </c>
      <c r="BA198" s="14" t="e">
        <f t="shared" si="280"/>
        <v>#REF!</v>
      </c>
      <c r="BB198" s="14" t="e">
        <f t="shared" si="280"/>
        <v>#REF!</v>
      </c>
      <c r="BC198" s="14" t="e">
        <f t="shared" si="280"/>
        <v>#REF!</v>
      </c>
      <c r="BD198" s="14" t="e">
        <f t="shared" si="280"/>
        <v>#REF!</v>
      </c>
      <c r="BE198" s="14" t="e">
        <f t="shared" si="280"/>
        <v>#REF!</v>
      </c>
      <c r="BF198" s="14" t="e">
        <f t="shared" si="280"/>
        <v>#REF!</v>
      </c>
      <c r="BG198" s="14" t="e">
        <f t="shared" si="280"/>
        <v>#REF!</v>
      </c>
      <c r="BH198" s="14" t="e">
        <f t="shared" si="280"/>
        <v>#REF!</v>
      </c>
      <c r="BI198" s="14" t="e">
        <f t="shared" si="280"/>
        <v>#REF!</v>
      </c>
      <c r="BJ198" s="14" t="e">
        <f t="shared" si="280"/>
        <v>#REF!</v>
      </c>
      <c r="BK198"/>
      <c r="BL198" s="5"/>
    </row>
    <row r="199" spans="1:64">
      <c r="A199"/>
      <c r="B199" t="s">
        <v>362</v>
      </c>
      <c r="C199" s="14" t="e">
        <f>-C173</f>
        <v>#REF!</v>
      </c>
      <c r="D199" s="14" t="e">
        <f t="shared" ref="D199:BJ199" si="281">-D173</f>
        <v>#REF!</v>
      </c>
      <c r="E199" s="14" t="e">
        <f t="shared" si="281"/>
        <v>#REF!</v>
      </c>
      <c r="F199" s="14" t="e">
        <f t="shared" si="281"/>
        <v>#REF!</v>
      </c>
      <c r="G199" s="14" t="e">
        <f t="shared" si="281"/>
        <v>#REF!</v>
      </c>
      <c r="H199" s="14" t="e">
        <f t="shared" si="281"/>
        <v>#REF!</v>
      </c>
      <c r="I199" s="14" t="e">
        <f t="shared" si="281"/>
        <v>#REF!</v>
      </c>
      <c r="J199" s="14" t="e">
        <f t="shared" si="281"/>
        <v>#REF!</v>
      </c>
      <c r="K199" s="14" t="e">
        <f t="shared" si="281"/>
        <v>#REF!</v>
      </c>
      <c r="L199" s="14" t="e">
        <f t="shared" si="281"/>
        <v>#REF!</v>
      </c>
      <c r="M199" s="14" t="e">
        <f t="shared" si="281"/>
        <v>#REF!</v>
      </c>
      <c r="N199" s="14" t="e">
        <f t="shared" si="281"/>
        <v>#REF!</v>
      </c>
      <c r="O199" s="14" t="e">
        <f t="shared" si="281"/>
        <v>#REF!</v>
      </c>
      <c r="P199" s="14" t="e">
        <f t="shared" si="281"/>
        <v>#REF!</v>
      </c>
      <c r="Q199" s="14" t="e">
        <f t="shared" si="281"/>
        <v>#REF!</v>
      </c>
      <c r="R199" s="14" t="e">
        <f t="shared" si="281"/>
        <v>#REF!</v>
      </c>
      <c r="S199" s="14" t="e">
        <f t="shared" si="281"/>
        <v>#REF!</v>
      </c>
      <c r="T199" s="14" t="e">
        <f t="shared" si="281"/>
        <v>#REF!</v>
      </c>
      <c r="U199" s="14" t="e">
        <f t="shared" si="281"/>
        <v>#REF!</v>
      </c>
      <c r="V199" s="14" t="e">
        <f t="shared" si="281"/>
        <v>#REF!</v>
      </c>
      <c r="W199" s="14" t="e">
        <f t="shared" si="281"/>
        <v>#REF!</v>
      </c>
      <c r="X199" s="14" t="e">
        <f t="shared" si="281"/>
        <v>#REF!</v>
      </c>
      <c r="Y199" s="14" t="e">
        <f t="shared" si="281"/>
        <v>#REF!</v>
      </c>
      <c r="Z199" s="14" t="e">
        <f t="shared" si="281"/>
        <v>#REF!</v>
      </c>
      <c r="AA199" s="14" t="e">
        <f t="shared" si="281"/>
        <v>#REF!</v>
      </c>
      <c r="AB199" s="14" t="e">
        <f t="shared" si="281"/>
        <v>#REF!</v>
      </c>
      <c r="AC199" s="14" t="e">
        <f t="shared" si="281"/>
        <v>#REF!</v>
      </c>
      <c r="AD199" s="14" t="e">
        <f t="shared" si="281"/>
        <v>#REF!</v>
      </c>
      <c r="AE199" s="14" t="e">
        <f t="shared" si="281"/>
        <v>#REF!</v>
      </c>
      <c r="AF199" s="14" t="e">
        <f t="shared" si="281"/>
        <v>#REF!</v>
      </c>
      <c r="AG199" s="14" t="e">
        <f t="shared" si="281"/>
        <v>#REF!</v>
      </c>
      <c r="AH199" s="14" t="e">
        <f t="shared" si="281"/>
        <v>#REF!</v>
      </c>
      <c r="AI199" s="14" t="e">
        <f t="shared" si="281"/>
        <v>#REF!</v>
      </c>
      <c r="AJ199" s="14" t="e">
        <f t="shared" si="281"/>
        <v>#REF!</v>
      </c>
      <c r="AK199" s="14" t="e">
        <f t="shared" si="281"/>
        <v>#REF!</v>
      </c>
      <c r="AL199" s="14" t="e">
        <f t="shared" si="281"/>
        <v>#REF!</v>
      </c>
      <c r="AM199" s="14" t="e">
        <f t="shared" si="281"/>
        <v>#REF!</v>
      </c>
      <c r="AN199" s="14" t="e">
        <f t="shared" si="281"/>
        <v>#REF!</v>
      </c>
      <c r="AO199" s="14" t="e">
        <f t="shared" si="281"/>
        <v>#REF!</v>
      </c>
      <c r="AP199" s="14" t="e">
        <f t="shared" si="281"/>
        <v>#REF!</v>
      </c>
      <c r="AQ199" s="14" t="e">
        <f t="shared" si="281"/>
        <v>#REF!</v>
      </c>
      <c r="AR199" s="14" t="e">
        <f t="shared" si="281"/>
        <v>#REF!</v>
      </c>
      <c r="AS199" s="14" t="e">
        <f t="shared" si="281"/>
        <v>#REF!</v>
      </c>
      <c r="AT199" s="14" t="e">
        <f t="shared" si="281"/>
        <v>#REF!</v>
      </c>
      <c r="AU199" s="14" t="e">
        <f t="shared" si="281"/>
        <v>#REF!</v>
      </c>
      <c r="AV199" s="14" t="e">
        <f t="shared" si="281"/>
        <v>#REF!</v>
      </c>
      <c r="AW199" s="14" t="e">
        <f t="shared" si="281"/>
        <v>#REF!</v>
      </c>
      <c r="AX199" s="14" t="e">
        <f t="shared" si="281"/>
        <v>#REF!</v>
      </c>
      <c r="AY199" s="14" t="e">
        <f t="shared" si="281"/>
        <v>#REF!</v>
      </c>
      <c r="AZ199" s="14" t="e">
        <f t="shared" si="281"/>
        <v>#REF!</v>
      </c>
      <c r="BA199" s="14" t="e">
        <f t="shared" si="281"/>
        <v>#REF!</v>
      </c>
      <c r="BB199" s="14" t="e">
        <f t="shared" si="281"/>
        <v>#REF!</v>
      </c>
      <c r="BC199" s="14" t="e">
        <f t="shared" si="281"/>
        <v>#REF!</v>
      </c>
      <c r="BD199" s="14" t="e">
        <f t="shared" si="281"/>
        <v>#REF!</v>
      </c>
      <c r="BE199" s="14" t="e">
        <f t="shared" si="281"/>
        <v>#REF!</v>
      </c>
      <c r="BF199" s="14" t="e">
        <f t="shared" si="281"/>
        <v>#REF!</v>
      </c>
      <c r="BG199" s="14" t="e">
        <f t="shared" si="281"/>
        <v>#REF!</v>
      </c>
      <c r="BH199" s="14" t="e">
        <f t="shared" si="281"/>
        <v>#REF!</v>
      </c>
      <c r="BI199" s="14" t="e">
        <f t="shared" si="281"/>
        <v>#REF!</v>
      </c>
      <c r="BJ199" s="14" t="e">
        <f t="shared" si="281"/>
        <v>#REF!</v>
      </c>
      <c r="BK199"/>
      <c r="BL199" s="5"/>
    </row>
    <row r="200" spans="1:64">
      <c r="A200"/>
      <c r="B200" t="s">
        <v>364</v>
      </c>
      <c r="C200" s="14" t="e">
        <f>-MAX(0,MIN(SUM(C195:C199),C193))</f>
        <v>#REF!</v>
      </c>
      <c r="D200" s="14" t="e">
        <f t="shared" ref="D200:BJ200" si="282">-MAX(0,MIN(SUM(D195:D199),D193))</f>
        <v>#REF!</v>
      </c>
      <c r="E200" s="14" t="e">
        <f t="shared" si="282"/>
        <v>#REF!</v>
      </c>
      <c r="F200" s="14" t="e">
        <f t="shared" si="282"/>
        <v>#REF!</v>
      </c>
      <c r="G200" s="14" t="e">
        <f t="shared" si="282"/>
        <v>#REF!</v>
      </c>
      <c r="H200" s="14" t="e">
        <f t="shared" si="282"/>
        <v>#REF!</v>
      </c>
      <c r="I200" s="14" t="e">
        <f t="shared" si="282"/>
        <v>#REF!</v>
      </c>
      <c r="J200" s="14" t="e">
        <f t="shared" si="282"/>
        <v>#REF!</v>
      </c>
      <c r="K200" s="14" t="e">
        <f t="shared" si="282"/>
        <v>#REF!</v>
      </c>
      <c r="L200" s="14" t="e">
        <f t="shared" si="282"/>
        <v>#REF!</v>
      </c>
      <c r="M200" s="14" t="e">
        <f t="shared" si="282"/>
        <v>#REF!</v>
      </c>
      <c r="N200" s="14" t="e">
        <f t="shared" si="282"/>
        <v>#REF!</v>
      </c>
      <c r="O200" s="14" t="e">
        <f t="shared" si="282"/>
        <v>#REF!</v>
      </c>
      <c r="P200" s="14" t="e">
        <f t="shared" si="282"/>
        <v>#REF!</v>
      </c>
      <c r="Q200" s="14" t="e">
        <f t="shared" si="282"/>
        <v>#REF!</v>
      </c>
      <c r="R200" s="14" t="e">
        <f t="shared" si="282"/>
        <v>#REF!</v>
      </c>
      <c r="S200" s="14" t="e">
        <f t="shared" si="282"/>
        <v>#REF!</v>
      </c>
      <c r="T200" s="14" t="e">
        <f t="shared" si="282"/>
        <v>#REF!</v>
      </c>
      <c r="U200" s="14" t="e">
        <f t="shared" si="282"/>
        <v>#REF!</v>
      </c>
      <c r="V200" s="14" t="e">
        <f t="shared" si="282"/>
        <v>#REF!</v>
      </c>
      <c r="W200" s="14" t="e">
        <f t="shared" si="282"/>
        <v>#REF!</v>
      </c>
      <c r="X200" s="14" t="e">
        <f t="shared" si="282"/>
        <v>#REF!</v>
      </c>
      <c r="Y200" s="14" t="e">
        <f t="shared" si="282"/>
        <v>#REF!</v>
      </c>
      <c r="Z200" s="14" t="e">
        <f t="shared" si="282"/>
        <v>#REF!</v>
      </c>
      <c r="AA200" s="14" t="e">
        <f t="shared" si="282"/>
        <v>#REF!</v>
      </c>
      <c r="AB200" s="14" t="e">
        <f t="shared" si="282"/>
        <v>#REF!</v>
      </c>
      <c r="AC200" s="14" t="e">
        <f t="shared" si="282"/>
        <v>#REF!</v>
      </c>
      <c r="AD200" s="14" t="e">
        <f t="shared" si="282"/>
        <v>#REF!</v>
      </c>
      <c r="AE200" s="14" t="e">
        <f t="shared" si="282"/>
        <v>#REF!</v>
      </c>
      <c r="AF200" s="14" t="e">
        <f t="shared" si="282"/>
        <v>#REF!</v>
      </c>
      <c r="AG200" s="14" t="e">
        <f t="shared" si="282"/>
        <v>#REF!</v>
      </c>
      <c r="AH200" s="14" t="e">
        <f t="shared" si="282"/>
        <v>#REF!</v>
      </c>
      <c r="AI200" s="14" t="e">
        <f t="shared" si="282"/>
        <v>#REF!</v>
      </c>
      <c r="AJ200" s="14" t="e">
        <f t="shared" si="282"/>
        <v>#REF!</v>
      </c>
      <c r="AK200" s="14" t="e">
        <f t="shared" si="282"/>
        <v>#REF!</v>
      </c>
      <c r="AL200" s="14" t="e">
        <f t="shared" si="282"/>
        <v>#REF!</v>
      </c>
      <c r="AM200" s="14" t="e">
        <f t="shared" si="282"/>
        <v>#REF!</v>
      </c>
      <c r="AN200" s="14" t="e">
        <f t="shared" si="282"/>
        <v>#REF!</v>
      </c>
      <c r="AO200" s="14" t="e">
        <f t="shared" si="282"/>
        <v>#REF!</v>
      </c>
      <c r="AP200" s="14" t="e">
        <f t="shared" si="282"/>
        <v>#REF!</v>
      </c>
      <c r="AQ200" s="14" t="e">
        <f t="shared" si="282"/>
        <v>#REF!</v>
      </c>
      <c r="AR200" s="14" t="e">
        <f t="shared" si="282"/>
        <v>#REF!</v>
      </c>
      <c r="AS200" s="14" t="e">
        <f t="shared" si="282"/>
        <v>#REF!</v>
      </c>
      <c r="AT200" s="14" t="e">
        <f t="shared" si="282"/>
        <v>#REF!</v>
      </c>
      <c r="AU200" s="14" t="e">
        <f t="shared" si="282"/>
        <v>#REF!</v>
      </c>
      <c r="AV200" s="14" t="e">
        <f t="shared" si="282"/>
        <v>#REF!</v>
      </c>
      <c r="AW200" s="14" t="e">
        <f t="shared" si="282"/>
        <v>#REF!</v>
      </c>
      <c r="AX200" s="14" t="e">
        <f t="shared" si="282"/>
        <v>#REF!</v>
      </c>
      <c r="AY200" s="14" t="e">
        <f t="shared" si="282"/>
        <v>#REF!</v>
      </c>
      <c r="AZ200" s="14" t="e">
        <f t="shared" si="282"/>
        <v>#REF!</v>
      </c>
      <c r="BA200" s="14" t="e">
        <f t="shared" si="282"/>
        <v>#REF!</v>
      </c>
      <c r="BB200" s="14" t="e">
        <f t="shared" si="282"/>
        <v>#REF!</v>
      </c>
      <c r="BC200" s="14" t="e">
        <f t="shared" si="282"/>
        <v>#REF!</v>
      </c>
      <c r="BD200" s="14" t="e">
        <f t="shared" si="282"/>
        <v>#REF!</v>
      </c>
      <c r="BE200" s="14" t="e">
        <f t="shared" si="282"/>
        <v>#REF!</v>
      </c>
      <c r="BF200" s="14" t="e">
        <f t="shared" si="282"/>
        <v>#REF!</v>
      </c>
      <c r="BG200" s="14" t="e">
        <f t="shared" si="282"/>
        <v>#REF!</v>
      </c>
      <c r="BH200" s="14" t="e">
        <f t="shared" si="282"/>
        <v>#REF!</v>
      </c>
      <c r="BI200" s="14" t="e">
        <f t="shared" si="282"/>
        <v>#REF!</v>
      </c>
      <c r="BJ200" s="14" t="e">
        <f t="shared" si="282"/>
        <v>#REF!</v>
      </c>
      <c r="BK200"/>
      <c r="BL200" s="5"/>
    </row>
    <row r="201" spans="1:64">
      <c r="A201"/>
      <c r="B201" s="3" t="s">
        <v>401</v>
      </c>
      <c r="C201" s="13" t="e">
        <f>SUM(C195:C200)</f>
        <v>#REF!</v>
      </c>
      <c r="D201" s="13" t="e">
        <f t="shared" ref="D201:BJ201" si="283">SUM(D195:D200)</f>
        <v>#REF!</v>
      </c>
      <c r="E201" s="13" t="e">
        <f t="shared" si="283"/>
        <v>#REF!</v>
      </c>
      <c r="F201" s="13" t="e">
        <f t="shared" si="283"/>
        <v>#REF!</v>
      </c>
      <c r="G201" s="13" t="e">
        <f t="shared" si="283"/>
        <v>#REF!</v>
      </c>
      <c r="H201" s="13" t="e">
        <f t="shared" si="283"/>
        <v>#REF!</v>
      </c>
      <c r="I201" s="13" t="e">
        <f t="shared" si="283"/>
        <v>#REF!</v>
      </c>
      <c r="J201" s="13" t="e">
        <f t="shared" si="283"/>
        <v>#REF!</v>
      </c>
      <c r="K201" s="13" t="e">
        <f t="shared" si="283"/>
        <v>#REF!</v>
      </c>
      <c r="L201" s="13" t="e">
        <f t="shared" si="283"/>
        <v>#REF!</v>
      </c>
      <c r="M201" s="13" t="e">
        <f t="shared" si="283"/>
        <v>#REF!</v>
      </c>
      <c r="N201" s="13" t="e">
        <f t="shared" si="283"/>
        <v>#REF!</v>
      </c>
      <c r="O201" s="13" t="e">
        <f t="shared" si="283"/>
        <v>#REF!</v>
      </c>
      <c r="P201" s="13" t="e">
        <f t="shared" si="283"/>
        <v>#REF!</v>
      </c>
      <c r="Q201" s="13" t="e">
        <f t="shared" si="283"/>
        <v>#REF!</v>
      </c>
      <c r="R201" s="13" t="e">
        <f t="shared" si="283"/>
        <v>#REF!</v>
      </c>
      <c r="S201" s="13" t="e">
        <f t="shared" si="283"/>
        <v>#REF!</v>
      </c>
      <c r="T201" s="13" t="e">
        <f t="shared" si="283"/>
        <v>#REF!</v>
      </c>
      <c r="U201" s="13" t="e">
        <f t="shared" si="283"/>
        <v>#REF!</v>
      </c>
      <c r="V201" s="13" t="e">
        <f t="shared" si="283"/>
        <v>#REF!</v>
      </c>
      <c r="W201" s="13" t="e">
        <f t="shared" si="283"/>
        <v>#REF!</v>
      </c>
      <c r="X201" s="13" t="e">
        <f t="shared" si="283"/>
        <v>#REF!</v>
      </c>
      <c r="Y201" s="13" t="e">
        <f t="shared" si="283"/>
        <v>#REF!</v>
      </c>
      <c r="Z201" s="13" t="e">
        <f t="shared" si="283"/>
        <v>#REF!</v>
      </c>
      <c r="AA201" s="13" t="e">
        <f t="shared" si="283"/>
        <v>#REF!</v>
      </c>
      <c r="AB201" s="13" t="e">
        <f t="shared" si="283"/>
        <v>#REF!</v>
      </c>
      <c r="AC201" s="13" t="e">
        <f t="shared" si="283"/>
        <v>#REF!</v>
      </c>
      <c r="AD201" s="13" t="e">
        <f t="shared" si="283"/>
        <v>#REF!</v>
      </c>
      <c r="AE201" s="13" t="e">
        <f t="shared" si="283"/>
        <v>#REF!</v>
      </c>
      <c r="AF201" s="13" t="e">
        <f t="shared" si="283"/>
        <v>#REF!</v>
      </c>
      <c r="AG201" s="13" t="e">
        <f t="shared" si="283"/>
        <v>#REF!</v>
      </c>
      <c r="AH201" s="13" t="e">
        <f t="shared" si="283"/>
        <v>#REF!</v>
      </c>
      <c r="AI201" s="13" t="e">
        <f t="shared" si="283"/>
        <v>#REF!</v>
      </c>
      <c r="AJ201" s="13" t="e">
        <f t="shared" si="283"/>
        <v>#REF!</v>
      </c>
      <c r="AK201" s="13" t="e">
        <f t="shared" si="283"/>
        <v>#REF!</v>
      </c>
      <c r="AL201" s="13" t="e">
        <f t="shared" si="283"/>
        <v>#REF!</v>
      </c>
      <c r="AM201" s="13" t="e">
        <f t="shared" si="283"/>
        <v>#REF!</v>
      </c>
      <c r="AN201" s="13" t="e">
        <f t="shared" si="283"/>
        <v>#REF!</v>
      </c>
      <c r="AO201" s="13" t="e">
        <f t="shared" si="283"/>
        <v>#REF!</v>
      </c>
      <c r="AP201" s="13" t="e">
        <f t="shared" si="283"/>
        <v>#REF!</v>
      </c>
      <c r="AQ201" s="13" t="e">
        <f t="shared" si="283"/>
        <v>#REF!</v>
      </c>
      <c r="AR201" s="13" t="e">
        <f t="shared" si="283"/>
        <v>#REF!</v>
      </c>
      <c r="AS201" s="13" t="e">
        <f t="shared" si="283"/>
        <v>#REF!</v>
      </c>
      <c r="AT201" s="13" t="e">
        <f t="shared" si="283"/>
        <v>#REF!</v>
      </c>
      <c r="AU201" s="13" t="e">
        <f t="shared" si="283"/>
        <v>#REF!</v>
      </c>
      <c r="AV201" s="13" t="e">
        <f t="shared" si="283"/>
        <v>#REF!</v>
      </c>
      <c r="AW201" s="13" t="e">
        <f t="shared" si="283"/>
        <v>#REF!</v>
      </c>
      <c r="AX201" s="13" t="e">
        <f t="shared" si="283"/>
        <v>#REF!</v>
      </c>
      <c r="AY201" s="13" t="e">
        <f t="shared" si="283"/>
        <v>#REF!</v>
      </c>
      <c r="AZ201" s="13" t="e">
        <f t="shared" si="283"/>
        <v>#REF!</v>
      </c>
      <c r="BA201" s="13" t="e">
        <f t="shared" si="283"/>
        <v>#REF!</v>
      </c>
      <c r="BB201" s="13" t="e">
        <f t="shared" si="283"/>
        <v>#REF!</v>
      </c>
      <c r="BC201" s="13" t="e">
        <f t="shared" si="283"/>
        <v>#REF!</v>
      </c>
      <c r="BD201" s="13" t="e">
        <f t="shared" si="283"/>
        <v>#REF!</v>
      </c>
      <c r="BE201" s="13" t="e">
        <f t="shared" si="283"/>
        <v>#REF!</v>
      </c>
      <c r="BF201" s="13" t="e">
        <f t="shared" si="283"/>
        <v>#REF!</v>
      </c>
      <c r="BG201" s="13" t="e">
        <f t="shared" si="283"/>
        <v>#REF!</v>
      </c>
      <c r="BH201" s="13" t="e">
        <f t="shared" si="283"/>
        <v>#REF!</v>
      </c>
      <c r="BI201" s="13" t="e">
        <f t="shared" si="283"/>
        <v>#REF!</v>
      </c>
      <c r="BJ201" s="13" t="e">
        <f t="shared" si="283"/>
        <v>#REF!</v>
      </c>
      <c r="BK201"/>
      <c r="BL201" s="5"/>
    </row>
    <row r="202" spans="1:64">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s="5"/>
    </row>
    <row r="203" spans="1:64">
      <c r="A203"/>
      <c r="B203" t="s">
        <v>402</v>
      </c>
      <c r="C203" s="30">
        <f>IFERROR(MAX(0,MIN(C192,(C204/$G$26)*$F$26)),0)</f>
        <v>0</v>
      </c>
      <c r="D203" s="30">
        <f t="shared" ref="D203:BJ203" si="284">IFERROR(MAX(0,MIN(D192,(D204/$G$26)*$F$26)),0)</f>
        <v>0</v>
      </c>
      <c r="E203" s="30">
        <f t="shared" si="284"/>
        <v>0</v>
      </c>
      <c r="F203" s="30">
        <f t="shared" si="284"/>
        <v>0</v>
      </c>
      <c r="G203" s="30">
        <f t="shared" si="284"/>
        <v>0</v>
      </c>
      <c r="H203" s="30">
        <f t="shared" si="284"/>
        <v>0</v>
      </c>
      <c r="I203" s="30">
        <f t="shared" si="284"/>
        <v>0</v>
      </c>
      <c r="J203" s="30">
        <f t="shared" si="284"/>
        <v>0</v>
      </c>
      <c r="K203" s="30">
        <f t="shared" si="284"/>
        <v>0</v>
      </c>
      <c r="L203" s="30">
        <f t="shared" si="284"/>
        <v>0</v>
      </c>
      <c r="M203" s="30">
        <f t="shared" si="284"/>
        <v>0</v>
      </c>
      <c r="N203" s="30">
        <f t="shared" si="284"/>
        <v>0</v>
      </c>
      <c r="O203" s="30">
        <f t="shared" si="284"/>
        <v>0</v>
      </c>
      <c r="P203" s="30">
        <f t="shared" si="284"/>
        <v>0</v>
      </c>
      <c r="Q203" s="30">
        <f t="shared" si="284"/>
        <v>0</v>
      </c>
      <c r="R203" s="30">
        <f t="shared" si="284"/>
        <v>0</v>
      </c>
      <c r="S203" s="30">
        <f t="shared" si="284"/>
        <v>0</v>
      </c>
      <c r="T203" s="30">
        <f t="shared" si="284"/>
        <v>0</v>
      </c>
      <c r="U203" s="30">
        <f t="shared" si="284"/>
        <v>0</v>
      </c>
      <c r="V203" s="30">
        <f t="shared" si="284"/>
        <v>0</v>
      </c>
      <c r="W203" s="30">
        <f t="shared" si="284"/>
        <v>0</v>
      </c>
      <c r="X203" s="30">
        <f t="shared" si="284"/>
        <v>0</v>
      </c>
      <c r="Y203" s="30">
        <f t="shared" si="284"/>
        <v>0</v>
      </c>
      <c r="Z203" s="30">
        <f t="shared" si="284"/>
        <v>0</v>
      </c>
      <c r="AA203" s="30">
        <f t="shared" si="284"/>
        <v>0</v>
      </c>
      <c r="AB203" s="30">
        <f t="shared" si="284"/>
        <v>0</v>
      </c>
      <c r="AC203" s="30">
        <f t="shared" si="284"/>
        <v>0</v>
      </c>
      <c r="AD203" s="30">
        <f t="shared" si="284"/>
        <v>0</v>
      </c>
      <c r="AE203" s="30">
        <f t="shared" si="284"/>
        <v>0</v>
      </c>
      <c r="AF203" s="30">
        <f t="shared" si="284"/>
        <v>0</v>
      </c>
      <c r="AG203" s="30">
        <f t="shared" si="284"/>
        <v>0</v>
      </c>
      <c r="AH203" s="30">
        <f t="shared" si="284"/>
        <v>0</v>
      </c>
      <c r="AI203" s="30">
        <f t="shared" si="284"/>
        <v>0</v>
      </c>
      <c r="AJ203" s="30">
        <f t="shared" si="284"/>
        <v>0</v>
      </c>
      <c r="AK203" s="30">
        <f t="shared" si="284"/>
        <v>0</v>
      </c>
      <c r="AL203" s="30">
        <f t="shared" si="284"/>
        <v>0</v>
      </c>
      <c r="AM203" s="30">
        <f t="shared" si="284"/>
        <v>0</v>
      </c>
      <c r="AN203" s="30">
        <f t="shared" si="284"/>
        <v>0</v>
      </c>
      <c r="AO203" s="30">
        <f t="shared" si="284"/>
        <v>0</v>
      </c>
      <c r="AP203" s="30">
        <f t="shared" si="284"/>
        <v>0</v>
      </c>
      <c r="AQ203" s="30">
        <f t="shared" si="284"/>
        <v>0</v>
      </c>
      <c r="AR203" s="30">
        <f t="shared" si="284"/>
        <v>0</v>
      </c>
      <c r="AS203" s="30">
        <f t="shared" si="284"/>
        <v>0</v>
      </c>
      <c r="AT203" s="30">
        <f t="shared" si="284"/>
        <v>0</v>
      </c>
      <c r="AU203" s="30">
        <f t="shared" si="284"/>
        <v>0</v>
      </c>
      <c r="AV203" s="30">
        <f t="shared" si="284"/>
        <v>0</v>
      </c>
      <c r="AW203" s="30">
        <f t="shared" si="284"/>
        <v>0</v>
      </c>
      <c r="AX203" s="30">
        <f t="shared" si="284"/>
        <v>0</v>
      </c>
      <c r="AY203" s="30">
        <f t="shared" si="284"/>
        <v>0</v>
      </c>
      <c r="AZ203" s="30">
        <f t="shared" si="284"/>
        <v>0</v>
      </c>
      <c r="BA203" s="30">
        <f t="shared" si="284"/>
        <v>0</v>
      </c>
      <c r="BB203" s="30">
        <f t="shared" si="284"/>
        <v>0</v>
      </c>
      <c r="BC203" s="30">
        <f t="shared" si="284"/>
        <v>0</v>
      </c>
      <c r="BD203" s="30">
        <f t="shared" si="284"/>
        <v>0</v>
      </c>
      <c r="BE203" s="30">
        <f t="shared" si="284"/>
        <v>0</v>
      </c>
      <c r="BF203" s="30">
        <f t="shared" si="284"/>
        <v>0</v>
      </c>
      <c r="BG203" s="30">
        <f t="shared" si="284"/>
        <v>0</v>
      </c>
      <c r="BH203" s="30">
        <f t="shared" si="284"/>
        <v>0</v>
      </c>
      <c r="BI203" s="30">
        <f t="shared" si="284"/>
        <v>0</v>
      </c>
      <c r="BJ203" s="30">
        <f t="shared" si="284"/>
        <v>0</v>
      </c>
      <c r="BK203"/>
      <c r="BL203" s="5"/>
    </row>
    <row r="204" spans="1:64">
      <c r="A204"/>
      <c r="B204" t="s">
        <v>403</v>
      </c>
      <c r="C204" s="30" t="e">
        <f>-C200</f>
        <v>#REF!</v>
      </c>
      <c r="D204" s="30" t="e">
        <f t="shared" ref="D204:BJ204" si="285">-D200</f>
        <v>#REF!</v>
      </c>
      <c r="E204" s="30" t="e">
        <f t="shared" si="285"/>
        <v>#REF!</v>
      </c>
      <c r="F204" s="30" t="e">
        <f t="shared" si="285"/>
        <v>#REF!</v>
      </c>
      <c r="G204" s="30" t="e">
        <f t="shared" si="285"/>
        <v>#REF!</v>
      </c>
      <c r="H204" s="30" t="e">
        <f t="shared" si="285"/>
        <v>#REF!</v>
      </c>
      <c r="I204" s="30" t="e">
        <f t="shared" si="285"/>
        <v>#REF!</v>
      </c>
      <c r="J204" s="30" t="e">
        <f t="shared" si="285"/>
        <v>#REF!</v>
      </c>
      <c r="K204" s="30" t="e">
        <f t="shared" si="285"/>
        <v>#REF!</v>
      </c>
      <c r="L204" s="30" t="e">
        <f t="shared" si="285"/>
        <v>#REF!</v>
      </c>
      <c r="M204" s="30" t="e">
        <f t="shared" si="285"/>
        <v>#REF!</v>
      </c>
      <c r="N204" s="30" t="e">
        <f t="shared" si="285"/>
        <v>#REF!</v>
      </c>
      <c r="O204" s="30" t="e">
        <f t="shared" si="285"/>
        <v>#REF!</v>
      </c>
      <c r="P204" s="30" t="e">
        <f t="shared" si="285"/>
        <v>#REF!</v>
      </c>
      <c r="Q204" s="30" t="e">
        <f t="shared" si="285"/>
        <v>#REF!</v>
      </c>
      <c r="R204" s="30" t="e">
        <f t="shared" si="285"/>
        <v>#REF!</v>
      </c>
      <c r="S204" s="30" t="e">
        <f t="shared" si="285"/>
        <v>#REF!</v>
      </c>
      <c r="T204" s="30" t="e">
        <f t="shared" si="285"/>
        <v>#REF!</v>
      </c>
      <c r="U204" s="30" t="e">
        <f t="shared" si="285"/>
        <v>#REF!</v>
      </c>
      <c r="V204" s="30" t="e">
        <f t="shared" si="285"/>
        <v>#REF!</v>
      </c>
      <c r="W204" s="30" t="e">
        <f t="shared" si="285"/>
        <v>#REF!</v>
      </c>
      <c r="X204" s="30" t="e">
        <f t="shared" si="285"/>
        <v>#REF!</v>
      </c>
      <c r="Y204" s="30" t="e">
        <f t="shared" si="285"/>
        <v>#REF!</v>
      </c>
      <c r="Z204" s="30" t="e">
        <f t="shared" si="285"/>
        <v>#REF!</v>
      </c>
      <c r="AA204" s="30" t="e">
        <f t="shared" si="285"/>
        <v>#REF!</v>
      </c>
      <c r="AB204" s="30" t="e">
        <f t="shared" si="285"/>
        <v>#REF!</v>
      </c>
      <c r="AC204" s="30" t="e">
        <f t="shared" si="285"/>
        <v>#REF!</v>
      </c>
      <c r="AD204" s="30" t="e">
        <f t="shared" si="285"/>
        <v>#REF!</v>
      </c>
      <c r="AE204" s="30" t="e">
        <f t="shared" si="285"/>
        <v>#REF!</v>
      </c>
      <c r="AF204" s="30" t="e">
        <f t="shared" si="285"/>
        <v>#REF!</v>
      </c>
      <c r="AG204" s="30" t="e">
        <f t="shared" si="285"/>
        <v>#REF!</v>
      </c>
      <c r="AH204" s="30" t="e">
        <f t="shared" si="285"/>
        <v>#REF!</v>
      </c>
      <c r="AI204" s="30" t="e">
        <f t="shared" si="285"/>
        <v>#REF!</v>
      </c>
      <c r="AJ204" s="30" t="e">
        <f t="shared" si="285"/>
        <v>#REF!</v>
      </c>
      <c r="AK204" s="30" t="e">
        <f t="shared" si="285"/>
        <v>#REF!</v>
      </c>
      <c r="AL204" s="30" t="e">
        <f t="shared" si="285"/>
        <v>#REF!</v>
      </c>
      <c r="AM204" s="30" t="e">
        <f t="shared" si="285"/>
        <v>#REF!</v>
      </c>
      <c r="AN204" s="30" t="e">
        <f t="shared" si="285"/>
        <v>#REF!</v>
      </c>
      <c r="AO204" s="30" t="e">
        <f t="shared" si="285"/>
        <v>#REF!</v>
      </c>
      <c r="AP204" s="30" t="e">
        <f t="shared" si="285"/>
        <v>#REF!</v>
      </c>
      <c r="AQ204" s="30" t="e">
        <f t="shared" si="285"/>
        <v>#REF!</v>
      </c>
      <c r="AR204" s="30" t="e">
        <f t="shared" si="285"/>
        <v>#REF!</v>
      </c>
      <c r="AS204" s="30" t="e">
        <f t="shared" si="285"/>
        <v>#REF!</v>
      </c>
      <c r="AT204" s="30" t="e">
        <f t="shared" si="285"/>
        <v>#REF!</v>
      </c>
      <c r="AU204" s="30" t="e">
        <f t="shared" si="285"/>
        <v>#REF!</v>
      </c>
      <c r="AV204" s="30" t="e">
        <f t="shared" si="285"/>
        <v>#REF!</v>
      </c>
      <c r="AW204" s="30" t="e">
        <f t="shared" si="285"/>
        <v>#REF!</v>
      </c>
      <c r="AX204" s="30" t="e">
        <f t="shared" si="285"/>
        <v>#REF!</v>
      </c>
      <c r="AY204" s="30" t="e">
        <f t="shared" si="285"/>
        <v>#REF!</v>
      </c>
      <c r="AZ204" s="30" t="e">
        <f t="shared" si="285"/>
        <v>#REF!</v>
      </c>
      <c r="BA204" s="30" t="e">
        <f t="shared" si="285"/>
        <v>#REF!</v>
      </c>
      <c r="BB204" s="30" t="e">
        <f t="shared" si="285"/>
        <v>#REF!</v>
      </c>
      <c r="BC204" s="30" t="e">
        <f t="shared" si="285"/>
        <v>#REF!</v>
      </c>
      <c r="BD204" s="30" t="e">
        <f t="shared" si="285"/>
        <v>#REF!</v>
      </c>
      <c r="BE204" s="30" t="e">
        <f t="shared" si="285"/>
        <v>#REF!</v>
      </c>
      <c r="BF204" s="30" t="e">
        <f t="shared" si="285"/>
        <v>#REF!</v>
      </c>
      <c r="BG204" s="30" t="e">
        <f t="shared" si="285"/>
        <v>#REF!</v>
      </c>
      <c r="BH204" s="30" t="e">
        <f t="shared" si="285"/>
        <v>#REF!</v>
      </c>
      <c r="BI204" s="30" t="e">
        <f t="shared" si="285"/>
        <v>#REF!</v>
      </c>
      <c r="BJ204" s="30" t="e">
        <f t="shared" si="285"/>
        <v>#REF!</v>
      </c>
      <c r="BK204"/>
      <c r="BL204" s="5"/>
    </row>
    <row r="205" spans="1:64">
      <c r="A205"/>
      <c r="B205" s="3" t="s">
        <v>404</v>
      </c>
      <c r="C205" s="13" t="e">
        <f>SUM(C203:C204)</f>
        <v>#REF!</v>
      </c>
      <c r="D205" s="13" t="e">
        <f>SUM(D203:D204)</f>
        <v>#REF!</v>
      </c>
      <c r="E205" s="13" t="e">
        <f t="shared" ref="E205:BJ205" si="286">SUM(E203:E204)</f>
        <v>#REF!</v>
      </c>
      <c r="F205" s="13" t="e">
        <f t="shared" si="286"/>
        <v>#REF!</v>
      </c>
      <c r="G205" s="13" t="e">
        <f t="shared" si="286"/>
        <v>#REF!</v>
      </c>
      <c r="H205" s="13" t="e">
        <f t="shared" si="286"/>
        <v>#REF!</v>
      </c>
      <c r="I205" s="13" t="e">
        <f t="shared" si="286"/>
        <v>#REF!</v>
      </c>
      <c r="J205" s="13" t="e">
        <f t="shared" si="286"/>
        <v>#REF!</v>
      </c>
      <c r="K205" s="13" t="e">
        <f t="shared" si="286"/>
        <v>#REF!</v>
      </c>
      <c r="L205" s="13" t="e">
        <f t="shared" si="286"/>
        <v>#REF!</v>
      </c>
      <c r="M205" s="13" t="e">
        <f t="shared" si="286"/>
        <v>#REF!</v>
      </c>
      <c r="N205" s="13" t="e">
        <f t="shared" si="286"/>
        <v>#REF!</v>
      </c>
      <c r="O205" s="13" t="e">
        <f t="shared" si="286"/>
        <v>#REF!</v>
      </c>
      <c r="P205" s="13" t="e">
        <f t="shared" si="286"/>
        <v>#REF!</v>
      </c>
      <c r="Q205" s="13" t="e">
        <f t="shared" si="286"/>
        <v>#REF!</v>
      </c>
      <c r="R205" s="13" t="e">
        <f t="shared" si="286"/>
        <v>#REF!</v>
      </c>
      <c r="S205" s="13" t="e">
        <f t="shared" si="286"/>
        <v>#REF!</v>
      </c>
      <c r="T205" s="13" t="e">
        <f t="shared" si="286"/>
        <v>#REF!</v>
      </c>
      <c r="U205" s="13" t="e">
        <f t="shared" si="286"/>
        <v>#REF!</v>
      </c>
      <c r="V205" s="13" t="e">
        <f t="shared" si="286"/>
        <v>#REF!</v>
      </c>
      <c r="W205" s="13" t="e">
        <f t="shared" si="286"/>
        <v>#REF!</v>
      </c>
      <c r="X205" s="13" t="e">
        <f t="shared" si="286"/>
        <v>#REF!</v>
      </c>
      <c r="Y205" s="13" t="e">
        <f t="shared" si="286"/>
        <v>#REF!</v>
      </c>
      <c r="Z205" s="13" t="e">
        <f t="shared" si="286"/>
        <v>#REF!</v>
      </c>
      <c r="AA205" s="13" t="e">
        <f t="shared" si="286"/>
        <v>#REF!</v>
      </c>
      <c r="AB205" s="13" t="e">
        <f t="shared" si="286"/>
        <v>#REF!</v>
      </c>
      <c r="AC205" s="13" t="e">
        <f t="shared" si="286"/>
        <v>#REF!</v>
      </c>
      <c r="AD205" s="13" t="e">
        <f t="shared" si="286"/>
        <v>#REF!</v>
      </c>
      <c r="AE205" s="13" t="e">
        <f t="shared" si="286"/>
        <v>#REF!</v>
      </c>
      <c r="AF205" s="13" t="e">
        <f t="shared" si="286"/>
        <v>#REF!</v>
      </c>
      <c r="AG205" s="13" t="e">
        <f t="shared" si="286"/>
        <v>#REF!</v>
      </c>
      <c r="AH205" s="13" t="e">
        <f t="shared" si="286"/>
        <v>#REF!</v>
      </c>
      <c r="AI205" s="13" t="e">
        <f t="shared" si="286"/>
        <v>#REF!</v>
      </c>
      <c r="AJ205" s="13" t="e">
        <f t="shared" si="286"/>
        <v>#REF!</v>
      </c>
      <c r="AK205" s="13" t="e">
        <f t="shared" si="286"/>
        <v>#REF!</v>
      </c>
      <c r="AL205" s="13" t="e">
        <f t="shared" si="286"/>
        <v>#REF!</v>
      </c>
      <c r="AM205" s="13" t="e">
        <f t="shared" si="286"/>
        <v>#REF!</v>
      </c>
      <c r="AN205" s="13" t="e">
        <f t="shared" si="286"/>
        <v>#REF!</v>
      </c>
      <c r="AO205" s="13" t="e">
        <f t="shared" si="286"/>
        <v>#REF!</v>
      </c>
      <c r="AP205" s="13" t="e">
        <f t="shared" si="286"/>
        <v>#REF!</v>
      </c>
      <c r="AQ205" s="13" t="e">
        <f t="shared" si="286"/>
        <v>#REF!</v>
      </c>
      <c r="AR205" s="13" t="e">
        <f t="shared" si="286"/>
        <v>#REF!</v>
      </c>
      <c r="AS205" s="13" t="e">
        <f t="shared" si="286"/>
        <v>#REF!</v>
      </c>
      <c r="AT205" s="13" t="e">
        <f t="shared" si="286"/>
        <v>#REF!</v>
      </c>
      <c r="AU205" s="13" t="e">
        <f t="shared" si="286"/>
        <v>#REF!</v>
      </c>
      <c r="AV205" s="13" t="e">
        <f t="shared" si="286"/>
        <v>#REF!</v>
      </c>
      <c r="AW205" s="13" t="e">
        <f t="shared" si="286"/>
        <v>#REF!</v>
      </c>
      <c r="AX205" s="13" t="e">
        <f t="shared" si="286"/>
        <v>#REF!</v>
      </c>
      <c r="AY205" s="13" t="e">
        <f t="shared" si="286"/>
        <v>#REF!</v>
      </c>
      <c r="AZ205" s="13" t="e">
        <f t="shared" si="286"/>
        <v>#REF!</v>
      </c>
      <c r="BA205" s="13" t="e">
        <f t="shared" si="286"/>
        <v>#REF!</v>
      </c>
      <c r="BB205" s="13" t="e">
        <f t="shared" si="286"/>
        <v>#REF!</v>
      </c>
      <c r="BC205" s="13" t="e">
        <f t="shared" si="286"/>
        <v>#REF!</v>
      </c>
      <c r="BD205" s="13" t="e">
        <f t="shared" si="286"/>
        <v>#REF!</v>
      </c>
      <c r="BE205" s="13" t="e">
        <f t="shared" si="286"/>
        <v>#REF!</v>
      </c>
      <c r="BF205" s="13" t="e">
        <f t="shared" si="286"/>
        <v>#REF!</v>
      </c>
      <c r="BG205" s="13" t="e">
        <f t="shared" si="286"/>
        <v>#REF!</v>
      </c>
      <c r="BH205" s="13" t="e">
        <f t="shared" si="286"/>
        <v>#REF!</v>
      </c>
      <c r="BI205" s="13" t="e">
        <f t="shared" si="286"/>
        <v>#REF!</v>
      </c>
      <c r="BJ205" s="13" t="e">
        <f t="shared" si="286"/>
        <v>#REF!</v>
      </c>
      <c r="BK205"/>
      <c r="BL205" s="5"/>
    </row>
    <row r="206" spans="1:64">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s="5"/>
    </row>
    <row r="207" spans="1:64">
      <c r="A207"/>
      <c r="B207" t="s">
        <v>405</v>
      </c>
      <c r="C207" s="30" t="e">
        <f>C205*$E$26</f>
        <v>#REF!</v>
      </c>
      <c r="D207" s="30" t="e">
        <f t="shared" ref="D207:BJ207" si="287">D205*$E$26</f>
        <v>#REF!</v>
      </c>
      <c r="E207" s="30" t="e">
        <f t="shared" si="287"/>
        <v>#REF!</v>
      </c>
      <c r="F207" s="30" t="e">
        <f t="shared" si="287"/>
        <v>#REF!</v>
      </c>
      <c r="G207" s="30" t="e">
        <f t="shared" si="287"/>
        <v>#REF!</v>
      </c>
      <c r="H207" s="30" t="e">
        <f t="shared" si="287"/>
        <v>#REF!</v>
      </c>
      <c r="I207" s="30" t="e">
        <f t="shared" si="287"/>
        <v>#REF!</v>
      </c>
      <c r="J207" s="30" t="e">
        <f t="shared" si="287"/>
        <v>#REF!</v>
      </c>
      <c r="K207" s="30" t="e">
        <f t="shared" si="287"/>
        <v>#REF!</v>
      </c>
      <c r="L207" s="30" t="e">
        <f t="shared" si="287"/>
        <v>#REF!</v>
      </c>
      <c r="M207" s="30" t="e">
        <f t="shared" si="287"/>
        <v>#REF!</v>
      </c>
      <c r="N207" s="30" t="e">
        <f t="shared" si="287"/>
        <v>#REF!</v>
      </c>
      <c r="O207" s="30" t="e">
        <f t="shared" si="287"/>
        <v>#REF!</v>
      </c>
      <c r="P207" s="30" t="e">
        <f t="shared" si="287"/>
        <v>#REF!</v>
      </c>
      <c r="Q207" s="30" t="e">
        <f t="shared" si="287"/>
        <v>#REF!</v>
      </c>
      <c r="R207" s="30" t="e">
        <f t="shared" si="287"/>
        <v>#REF!</v>
      </c>
      <c r="S207" s="30" t="e">
        <f t="shared" si="287"/>
        <v>#REF!</v>
      </c>
      <c r="T207" s="30" t="e">
        <f t="shared" si="287"/>
        <v>#REF!</v>
      </c>
      <c r="U207" s="30" t="e">
        <f t="shared" si="287"/>
        <v>#REF!</v>
      </c>
      <c r="V207" s="30" t="e">
        <f t="shared" si="287"/>
        <v>#REF!</v>
      </c>
      <c r="W207" s="30" t="e">
        <f t="shared" si="287"/>
        <v>#REF!</v>
      </c>
      <c r="X207" s="30" t="e">
        <f t="shared" si="287"/>
        <v>#REF!</v>
      </c>
      <c r="Y207" s="30" t="e">
        <f t="shared" si="287"/>
        <v>#REF!</v>
      </c>
      <c r="Z207" s="30" t="e">
        <f t="shared" si="287"/>
        <v>#REF!</v>
      </c>
      <c r="AA207" s="30" t="e">
        <f t="shared" si="287"/>
        <v>#REF!</v>
      </c>
      <c r="AB207" s="30" t="e">
        <f t="shared" si="287"/>
        <v>#REF!</v>
      </c>
      <c r="AC207" s="30" t="e">
        <f t="shared" si="287"/>
        <v>#REF!</v>
      </c>
      <c r="AD207" s="30" t="e">
        <f t="shared" si="287"/>
        <v>#REF!</v>
      </c>
      <c r="AE207" s="30" t="e">
        <f t="shared" si="287"/>
        <v>#REF!</v>
      </c>
      <c r="AF207" s="30" t="e">
        <f t="shared" si="287"/>
        <v>#REF!</v>
      </c>
      <c r="AG207" s="30" t="e">
        <f t="shared" si="287"/>
        <v>#REF!</v>
      </c>
      <c r="AH207" s="30" t="e">
        <f t="shared" si="287"/>
        <v>#REF!</v>
      </c>
      <c r="AI207" s="30" t="e">
        <f t="shared" si="287"/>
        <v>#REF!</v>
      </c>
      <c r="AJ207" s="30" t="e">
        <f t="shared" si="287"/>
        <v>#REF!</v>
      </c>
      <c r="AK207" s="30" t="e">
        <f t="shared" si="287"/>
        <v>#REF!</v>
      </c>
      <c r="AL207" s="30" t="e">
        <f t="shared" si="287"/>
        <v>#REF!</v>
      </c>
      <c r="AM207" s="30" t="e">
        <f t="shared" si="287"/>
        <v>#REF!</v>
      </c>
      <c r="AN207" s="30" t="e">
        <f t="shared" si="287"/>
        <v>#REF!</v>
      </c>
      <c r="AO207" s="30" t="e">
        <f t="shared" si="287"/>
        <v>#REF!</v>
      </c>
      <c r="AP207" s="30" t="e">
        <f t="shared" si="287"/>
        <v>#REF!</v>
      </c>
      <c r="AQ207" s="30" t="e">
        <f t="shared" si="287"/>
        <v>#REF!</v>
      </c>
      <c r="AR207" s="30" t="e">
        <f t="shared" si="287"/>
        <v>#REF!</v>
      </c>
      <c r="AS207" s="30" t="e">
        <f t="shared" si="287"/>
        <v>#REF!</v>
      </c>
      <c r="AT207" s="30" t="e">
        <f t="shared" si="287"/>
        <v>#REF!</v>
      </c>
      <c r="AU207" s="30" t="e">
        <f t="shared" si="287"/>
        <v>#REF!</v>
      </c>
      <c r="AV207" s="30" t="e">
        <f t="shared" si="287"/>
        <v>#REF!</v>
      </c>
      <c r="AW207" s="30" t="e">
        <f t="shared" si="287"/>
        <v>#REF!</v>
      </c>
      <c r="AX207" s="30" t="e">
        <f t="shared" si="287"/>
        <v>#REF!</v>
      </c>
      <c r="AY207" s="30" t="e">
        <f t="shared" si="287"/>
        <v>#REF!</v>
      </c>
      <c r="AZ207" s="30" t="e">
        <f t="shared" si="287"/>
        <v>#REF!</v>
      </c>
      <c r="BA207" s="30" t="e">
        <f t="shared" si="287"/>
        <v>#REF!</v>
      </c>
      <c r="BB207" s="30" t="e">
        <f t="shared" si="287"/>
        <v>#REF!</v>
      </c>
      <c r="BC207" s="30" t="e">
        <f t="shared" si="287"/>
        <v>#REF!</v>
      </c>
      <c r="BD207" s="30" t="e">
        <f t="shared" si="287"/>
        <v>#REF!</v>
      </c>
      <c r="BE207" s="30" t="e">
        <f t="shared" si="287"/>
        <v>#REF!</v>
      </c>
      <c r="BF207" s="30" t="e">
        <f t="shared" si="287"/>
        <v>#REF!</v>
      </c>
      <c r="BG207" s="30" t="e">
        <f t="shared" si="287"/>
        <v>#REF!</v>
      </c>
      <c r="BH207" s="30" t="e">
        <f t="shared" si="287"/>
        <v>#REF!</v>
      </c>
      <c r="BI207" s="30" t="e">
        <f t="shared" si="287"/>
        <v>#REF!</v>
      </c>
      <c r="BJ207" s="30" t="e">
        <f t="shared" si="287"/>
        <v>#REF!</v>
      </c>
      <c r="BK207"/>
      <c r="BL207" s="5"/>
    </row>
    <row r="208" spans="1:64">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s="5"/>
    </row>
    <row r="209" spans="1:64">
      <c r="A209"/>
      <c r="B209" s="28" t="e">
        <f>TEXT($B$27,"")</f>
        <v>#REF!</v>
      </c>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s="5"/>
    </row>
    <row r="210" spans="1:64">
      <c r="A210"/>
      <c r="B210" t="s">
        <v>349</v>
      </c>
      <c r="C210" s="30" t="e">
        <f>+C191-C205</f>
        <v>#REF!</v>
      </c>
      <c r="D210" s="30" t="e">
        <f t="shared" ref="D210:BJ210" si="288">+D191-D205</f>
        <v>#REF!</v>
      </c>
      <c r="E210" s="30" t="e">
        <f t="shared" si="288"/>
        <v>#REF!</v>
      </c>
      <c r="F210" s="30" t="e">
        <f t="shared" si="288"/>
        <v>#REF!</v>
      </c>
      <c r="G210" s="30" t="e">
        <f t="shared" si="288"/>
        <v>#REF!</v>
      </c>
      <c r="H210" s="30" t="e">
        <f t="shared" si="288"/>
        <v>#REF!</v>
      </c>
      <c r="I210" s="30" t="e">
        <f t="shared" si="288"/>
        <v>#REF!</v>
      </c>
      <c r="J210" s="30" t="e">
        <f t="shared" si="288"/>
        <v>#REF!</v>
      </c>
      <c r="K210" s="30" t="e">
        <f t="shared" si="288"/>
        <v>#REF!</v>
      </c>
      <c r="L210" s="30" t="e">
        <f t="shared" si="288"/>
        <v>#REF!</v>
      </c>
      <c r="M210" s="30" t="e">
        <f t="shared" si="288"/>
        <v>#REF!</v>
      </c>
      <c r="N210" s="30" t="e">
        <f t="shared" si="288"/>
        <v>#REF!</v>
      </c>
      <c r="O210" s="30" t="e">
        <f t="shared" si="288"/>
        <v>#REF!</v>
      </c>
      <c r="P210" s="30" t="e">
        <f t="shared" si="288"/>
        <v>#REF!</v>
      </c>
      <c r="Q210" s="30" t="e">
        <f t="shared" si="288"/>
        <v>#REF!</v>
      </c>
      <c r="R210" s="30" t="e">
        <f t="shared" si="288"/>
        <v>#REF!</v>
      </c>
      <c r="S210" s="30" t="e">
        <f t="shared" si="288"/>
        <v>#REF!</v>
      </c>
      <c r="T210" s="30" t="e">
        <f t="shared" si="288"/>
        <v>#REF!</v>
      </c>
      <c r="U210" s="30" t="e">
        <f t="shared" si="288"/>
        <v>#REF!</v>
      </c>
      <c r="V210" s="30" t="e">
        <f t="shared" si="288"/>
        <v>#REF!</v>
      </c>
      <c r="W210" s="30" t="e">
        <f t="shared" si="288"/>
        <v>#REF!</v>
      </c>
      <c r="X210" s="30" t="e">
        <f t="shared" si="288"/>
        <v>#REF!</v>
      </c>
      <c r="Y210" s="30" t="e">
        <f t="shared" si="288"/>
        <v>#REF!</v>
      </c>
      <c r="Z210" s="30" t="e">
        <f t="shared" si="288"/>
        <v>#REF!</v>
      </c>
      <c r="AA210" s="30" t="e">
        <f t="shared" si="288"/>
        <v>#REF!</v>
      </c>
      <c r="AB210" s="30" t="e">
        <f t="shared" si="288"/>
        <v>#REF!</v>
      </c>
      <c r="AC210" s="30" t="e">
        <f t="shared" si="288"/>
        <v>#REF!</v>
      </c>
      <c r="AD210" s="30" t="e">
        <f t="shared" si="288"/>
        <v>#REF!</v>
      </c>
      <c r="AE210" s="30" t="e">
        <f t="shared" si="288"/>
        <v>#REF!</v>
      </c>
      <c r="AF210" s="30" t="e">
        <f t="shared" si="288"/>
        <v>#REF!</v>
      </c>
      <c r="AG210" s="30" t="e">
        <f t="shared" si="288"/>
        <v>#REF!</v>
      </c>
      <c r="AH210" s="30" t="e">
        <f t="shared" si="288"/>
        <v>#REF!</v>
      </c>
      <c r="AI210" s="30" t="e">
        <f t="shared" si="288"/>
        <v>#REF!</v>
      </c>
      <c r="AJ210" s="30" t="e">
        <f t="shared" si="288"/>
        <v>#REF!</v>
      </c>
      <c r="AK210" s="30" t="e">
        <f t="shared" si="288"/>
        <v>#REF!</v>
      </c>
      <c r="AL210" s="30" t="e">
        <f t="shared" si="288"/>
        <v>#REF!</v>
      </c>
      <c r="AM210" s="30" t="e">
        <f t="shared" si="288"/>
        <v>#REF!</v>
      </c>
      <c r="AN210" s="30" t="e">
        <f t="shared" si="288"/>
        <v>#REF!</v>
      </c>
      <c r="AO210" s="30" t="e">
        <f t="shared" si="288"/>
        <v>#REF!</v>
      </c>
      <c r="AP210" s="30" t="e">
        <f t="shared" si="288"/>
        <v>#REF!</v>
      </c>
      <c r="AQ210" s="30" t="e">
        <f t="shared" si="288"/>
        <v>#REF!</v>
      </c>
      <c r="AR210" s="30" t="e">
        <f t="shared" si="288"/>
        <v>#REF!</v>
      </c>
      <c r="AS210" s="30" t="e">
        <f t="shared" si="288"/>
        <v>#REF!</v>
      </c>
      <c r="AT210" s="30" t="e">
        <f t="shared" si="288"/>
        <v>#REF!</v>
      </c>
      <c r="AU210" s="30" t="e">
        <f t="shared" si="288"/>
        <v>#REF!</v>
      </c>
      <c r="AV210" s="30" t="e">
        <f t="shared" si="288"/>
        <v>#REF!</v>
      </c>
      <c r="AW210" s="30" t="e">
        <f t="shared" si="288"/>
        <v>#REF!</v>
      </c>
      <c r="AX210" s="30" t="e">
        <f t="shared" si="288"/>
        <v>#REF!</v>
      </c>
      <c r="AY210" s="30" t="e">
        <f t="shared" si="288"/>
        <v>#REF!</v>
      </c>
      <c r="AZ210" s="30" t="e">
        <f t="shared" si="288"/>
        <v>#REF!</v>
      </c>
      <c r="BA210" s="30" t="e">
        <f t="shared" si="288"/>
        <v>#REF!</v>
      </c>
      <c r="BB210" s="30" t="e">
        <f t="shared" si="288"/>
        <v>#REF!</v>
      </c>
      <c r="BC210" s="30" t="e">
        <f t="shared" si="288"/>
        <v>#REF!</v>
      </c>
      <c r="BD210" s="30" t="e">
        <f t="shared" si="288"/>
        <v>#REF!</v>
      </c>
      <c r="BE210" s="30" t="e">
        <f t="shared" si="288"/>
        <v>#REF!</v>
      </c>
      <c r="BF210" s="30" t="e">
        <f t="shared" si="288"/>
        <v>#REF!</v>
      </c>
      <c r="BG210" s="30" t="e">
        <f t="shared" si="288"/>
        <v>#REF!</v>
      </c>
      <c r="BH210" s="30" t="e">
        <f t="shared" si="288"/>
        <v>#REF!</v>
      </c>
      <c r="BI210" s="30" t="e">
        <f t="shared" si="288"/>
        <v>#REF!</v>
      </c>
      <c r="BJ210" s="30" t="e">
        <f t="shared" si="288"/>
        <v>#REF!</v>
      </c>
      <c r="BK210"/>
      <c r="BL210" s="5"/>
    </row>
    <row r="211" spans="1:64">
      <c r="A211"/>
      <c r="B211" s="75" t="s">
        <v>372</v>
      </c>
      <c r="C211" s="107" t="e">
        <f>C210*$F$27</f>
        <v>#REF!</v>
      </c>
      <c r="D211" s="107" t="e">
        <f t="shared" ref="D211:BJ211" si="289">D210*$F$27</f>
        <v>#REF!</v>
      </c>
      <c r="E211" s="107" t="e">
        <f t="shared" si="289"/>
        <v>#REF!</v>
      </c>
      <c r="F211" s="107" t="e">
        <f t="shared" si="289"/>
        <v>#REF!</v>
      </c>
      <c r="G211" s="107" t="e">
        <f t="shared" si="289"/>
        <v>#REF!</v>
      </c>
      <c r="H211" s="107" t="e">
        <f t="shared" si="289"/>
        <v>#REF!</v>
      </c>
      <c r="I211" s="107" t="e">
        <f t="shared" si="289"/>
        <v>#REF!</v>
      </c>
      <c r="J211" s="107" t="e">
        <f t="shared" si="289"/>
        <v>#REF!</v>
      </c>
      <c r="K211" s="107" t="e">
        <f t="shared" si="289"/>
        <v>#REF!</v>
      </c>
      <c r="L211" s="107" t="e">
        <f t="shared" si="289"/>
        <v>#REF!</v>
      </c>
      <c r="M211" s="107" t="e">
        <f t="shared" si="289"/>
        <v>#REF!</v>
      </c>
      <c r="N211" s="107" t="e">
        <f t="shared" si="289"/>
        <v>#REF!</v>
      </c>
      <c r="O211" s="107" t="e">
        <f t="shared" si="289"/>
        <v>#REF!</v>
      </c>
      <c r="P211" s="107" t="e">
        <f t="shared" si="289"/>
        <v>#REF!</v>
      </c>
      <c r="Q211" s="107" t="e">
        <f t="shared" si="289"/>
        <v>#REF!</v>
      </c>
      <c r="R211" s="107" t="e">
        <f t="shared" si="289"/>
        <v>#REF!</v>
      </c>
      <c r="S211" s="107" t="e">
        <f t="shared" si="289"/>
        <v>#REF!</v>
      </c>
      <c r="T211" s="107" t="e">
        <f t="shared" si="289"/>
        <v>#REF!</v>
      </c>
      <c r="U211" s="107" t="e">
        <f t="shared" si="289"/>
        <v>#REF!</v>
      </c>
      <c r="V211" s="107" t="e">
        <f t="shared" si="289"/>
        <v>#REF!</v>
      </c>
      <c r="W211" s="107" t="e">
        <f t="shared" si="289"/>
        <v>#REF!</v>
      </c>
      <c r="X211" s="107" t="e">
        <f t="shared" si="289"/>
        <v>#REF!</v>
      </c>
      <c r="Y211" s="107" t="e">
        <f t="shared" si="289"/>
        <v>#REF!</v>
      </c>
      <c r="Z211" s="107" t="e">
        <f t="shared" si="289"/>
        <v>#REF!</v>
      </c>
      <c r="AA211" s="107" t="e">
        <f t="shared" si="289"/>
        <v>#REF!</v>
      </c>
      <c r="AB211" s="107" t="e">
        <f t="shared" si="289"/>
        <v>#REF!</v>
      </c>
      <c r="AC211" s="107" t="e">
        <f t="shared" si="289"/>
        <v>#REF!</v>
      </c>
      <c r="AD211" s="107" t="e">
        <f t="shared" si="289"/>
        <v>#REF!</v>
      </c>
      <c r="AE211" s="107" t="e">
        <f t="shared" si="289"/>
        <v>#REF!</v>
      </c>
      <c r="AF211" s="107" t="e">
        <f t="shared" si="289"/>
        <v>#REF!</v>
      </c>
      <c r="AG211" s="107" t="e">
        <f t="shared" si="289"/>
        <v>#REF!</v>
      </c>
      <c r="AH211" s="107" t="e">
        <f t="shared" si="289"/>
        <v>#REF!</v>
      </c>
      <c r="AI211" s="107" t="e">
        <f t="shared" si="289"/>
        <v>#REF!</v>
      </c>
      <c r="AJ211" s="107" t="e">
        <f t="shared" si="289"/>
        <v>#REF!</v>
      </c>
      <c r="AK211" s="107" t="e">
        <f t="shared" si="289"/>
        <v>#REF!</v>
      </c>
      <c r="AL211" s="107" t="e">
        <f t="shared" si="289"/>
        <v>#REF!</v>
      </c>
      <c r="AM211" s="107" t="e">
        <f t="shared" si="289"/>
        <v>#REF!</v>
      </c>
      <c r="AN211" s="107" t="e">
        <f t="shared" si="289"/>
        <v>#REF!</v>
      </c>
      <c r="AO211" s="107" t="e">
        <f t="shared" si="289"/>
        <v>#REF!</v>
      </c>
      <c r="AP211" s="107" t="e">
        <f t="shared" si="289"/>
        <v>#REF!</v>
      </c>
      <c r="AQ211" s="107" t="e">
        <f t="shared" si="289"/>
        <v>#REF!</v>
      </c>
      <c r="AR211" s="107" t="e">
        <f t="shared" si="289"/>
        <v>#REF!</v>
      </c>
      <c r="AS211" s="107" t="e">
        <f t="shared" si="289"/>
        <v>#REF!</v>
      </c>
      <c r="AT211" s="107" t="e">
        <f t="shared" si="289"/>
        <v>#REF!</v>
      </c>
      <c r="AU211" s="107" t="e">
        <f t="shared" si="289"/>
        <v>#REF!</v>
      </c>
      <c r="AV211" s="107" t="e">
        <f t="shared" si="289"/>
        <v>#REF!</v>
      </c>
      <c r="AW211" s="107" t="e">
        <f t="shared" si="289"/>
        <v>#REF!</v>
      </c>
      <c r="AX211" s="107" t="e">
        <f t="shared" si="289"/>
        <v>#REF!</v>
      </c>
      <c r="AY211" s="107" t="e">
        <f t="shared" si="289"/>
        <v>#REF!</v>
      </c>
      <c r="AZ211" s="107" t="e">
        <f t="shared" si="289"/>
        <v>#REF!</v>
      </c>
      <c r="BA211" s="107" t="e">
        <f t="shared" si="289"/>
        <v>#REF!</v>
      </c>
      <c r="BB211" s="107" t="e">
        <f t="shared" si="289"/>
        <v>#REF!</v>
      </c>
      <c r="BC211" s="107" t="e">
        <f t="shared" si="289"/>
        <v>#REF!</v>
      </c>
      <c r="BD211" s="107" t="e">
        <f t="shared" si="289"/>
        <v>#REF!</v>
      </c>
      <c r="BE211" s="107" t="e">
        <f t="shared" si="289"/>
        <v>#REF!</v>
      </c>
      <c r="BF211" s="107" t="e">
        <f t="shared" si="289"/>
        <v>#REF!</v>
      </c>
      <c r="BG211" s="107" t="e">
        <f t="shared" si="289"/>
        <v>#REF!</v>
      </c>
      <c r="BH211" s="107" t="e">
        <f t="shared" si="289"/>
        <v>#REF!</v>
      </c>
      <c r="BI211" s="107" t="e">
        <f t="shared" si="289"/>
        <v>#REF!</v>
      </c>
      <c r="BJ211" s="107" t="e">
        <f t="shared" si="289"/>
        <v>#REF!</v>
      </c>
      <c r="BK211"/>
      <c r="BL211" s="5"/>
    </row>
    <row r="212" spans="1:64">
      <c r="A212"/>
      <c r="B212" s="75" t="s">
        <v>373</v>
      </c>
      <c r="C212" s="107" t="e">
        <f>+C210*$G$27</f>
        <v>#REF!</v>
      </c>
      <c r="D212" s="107" t="e">
        <f t="shared" ref="D212:BJ212" si="290">+D210*$G$27</f>
        <v>#REF!</v>
      </c>
      <c r="E212" s="107" t="e">
        <f t="shared" si="290"/>
        <v>#REF!</v>
      </c>
      <c r="F212" s="107" t="e">
        <f t="shared" si="290"/>
        <v>#REF!</v>
      </c>
      <c r="G212" s="107" t="e">
        <f t="shared" si="290"/>
        <v>#REF!</v>
      </c>
      <c r="H212" s="107" t="e">
        <f t="shared" si="290"/>
        <v>#REF!</v>
      </c>
      <c r="I212" s="107" t="e">
        <f t="shared" si="290"/>
        <v>#REF!</v>
      </c>
      <c r="J212" s="107" t="e">
        <f t="shared" si="290"/>
        <v>#REF!</v>
      </c>
      <c r="K212" s="107" t="e">
        <f t="shared" si="290"/>
        <v>#REF!</v>
      </c>
      <c r="L212" s="107" t="e">
        <f t="shared" si="290"/>
        <v>#REF!</v>
      </c>
      <c r="M212" s="107" t="e">
        <f t="shared" si="290"/>
        <v>#REF!</v>
      </c>
      <c r="N212" s="107" t="e">
        <f t="shared" si="290"/>
        <v>#REF!</v>
      </c>
      <c r="O212" s="107" t="e">
        <f t="shared" si="290"/>
        <v>#REF!</v>
      </c>
      <c r="P212" s="107" t="e">
        <f t="shared" si="290"/>
        <v>#REF!</v>
      </c>
      <c r="Q212" s="107" t="e">
        <f t="shared" si="290"/>
        <v>#REF!</v>
      </c>
      <c r="R212" s="107" t="e">
        <f t="shared" si="290"/>
        <v>#REF!</v>
      </c>
      <c r="S212" s="107" t="e">
        <f t="shared" si="290"/>
        <v>#REF!</v>
      </c>
      <c r="T212" s="107" t="e">
        <f t="shared" si="290"/>
        <v>#REF!</v>
      </c>
      <c r="U212" s="107" t="e">
        <f t="shared" si="290"/>
        <v>#REF!</v>
      </c>
      <c r="V212" s="107" t="e">
        <f t="shared" si="290"/>
        <v>#REF!</v>
      </c>
      <c r="W212" s="107" t="e">
        <f t="shared" si="290"/>
        <v>#REF!</v>
      </c>
      <c r="X212" s="107" t="e">
        <f t="shared" si="290"/>
        <v>#REF!</v>
      </c>
      <c r="Y212" s="107" t="e">
        <f t="shared" si="290"/>
        <v>#REF!</v>
      </c>
      <c r="Z212" s="107" t="e">
        <f t="shared" si="290"/>
        <v>#REF!</v>
      </c>
      <c r="AA212" s="107" t="e">
        <f t="shared" si="290"/>
        <v>#REF!</v>
      </c>
      <c r="AB212" s="107" t="e">
        <f t="shared" si="290"/>
        <v>#REF!</v>
      </c>
      <c r="AC212" s="107" t="e">
        <f t="shared" si="290"/>
        <v>#REF!</v>
      </c>
      <c r="AD212" s="107" t="e">
        <f t="shared" si="290"/>
        <v>#REF!</v>
      </c>
      <c r="AE212" s="107" t="e">
        <f t="shared" si="290"/>
        <v>#REF!</v>
      </c>
      <c r="AF212" s="107" t="e">
        <f t="shared" si="290"/>
        <v>#REF!</v>
      </c>
      <c r="AG212" s="107" t="e">
        <f t="shared" si="290"/>
        <v>#REF!</v>
      </c>
      <c r="AH212" s="107" t="e">
        <f t="shared" si="290"/>
        <v>#REF!</v>
      </c>
      <c r="AI212" s="107" t="e">
        <f t="shared" si="290"/>
        <v>#REF!</v>
      </c>
      <c r="AJ212" s="107" t="e">
        <f t="shared" si="290"/>
        <v>#REF!</v>
      </c>
      <c r="AK212" s="107" t="e">
        <f t="shared" si="290"/>
        <v>#REF!</v>
      </c>
      <c r="AL212" s="107" t="e">
        <f t="shared" si="290"/>
        <v>#REF!</v>
      </c>
      <c r="AM212" s="107" t="e">
        <f t="shared" si="290"/>
        <v>#REF!</v>
      </c>
      <c r="AN212" s="107" t="e">
        <f t="shared" si="290"/>
        <v>#REF!</v>
      </c>
      <c r="AO212" s="107" t="e">
        <f t="shared" si="290"/>
        <v>#REF!</v>
      </c>
      <c r="AP212" s="107" t="e">
        <f t="shared" si="290"/>
        <v>#REF!</v>
      </c>
      <c r="AQ212" s="107" t="e">
        <f t="shared" si="290"/>
        <v>#REF!</v>
      </c>
      <c r="AR212" s="107" t="e">
        <f t="shared" si="290"/>
        <v>#REF!</v>
      </c>
      <c r="AS212" s="107" t="e">
        <f t="shared" si="290"/>
        <v>#REF!</v>
      </c>
      <c r="AT212" s="107" t="e">
        <f t="shared" si="290"/>
        <v>#REF!</v>
      </c>
      <c r="AU212" s="107" t="e">
        <f t="shared" si="290"/>
        <v>#REF!</v>
      </c>
      <c r="AV212" s="107" t="e">
        <f t="shared" si="290"/>
        <v>#REF!</v>
      </c>
      <c r="AW212" s="107" t="e">
        <f t="shared" si="290"/>
        <v>#REF!</v>
      </c>
      <c r="AX212" s="107" t="e">
        <f t="shared" si="290"/>
        <v>#REF!</v>
      </c>
      <c r="AY212" s="107" t="e">
        <f t="shared" si="290"/>
        <v>#REF!</v>
      </c>
      <c r="AZ212" s="107" t="e">
        <f t="shared" si="290"/>
        <v>#REF!</v>
      </c>
      <c r="BA212" s="107" t="e">
        <f t="shared" si="290"/>
        <v>#REF!</v>
      </c>
      <c r="BB212" s="107" t="e">
        <f t="shared" si="290"/>
        <v>#REF!</v>
      </c>
      <c r="BC212" s="107" t="e">
        <f t="shared" si="290"/>
        <v>#REF!</v>
      </c>
      <c r="BD212" s="107" t="e">
        <f t="shared" si="290"/>
        <v>#REF!</v>
      </c>
      <c r="BE212" s="107" t="e">
        <f t="shared" si="290"/>
        <v>#REF!</v>
      </c>
      <c r="BF212" s="107" t="e">
        <f t="shared" si="290"/>
        <v>#REF!</v>
      </c>
      <c r="BG212" s="107" t="e">
        <f t="shared" si="290"/>
        <v>#REF!</v>
      </c>
      <c r="BH212" s="107" t="e">
        <f t="shared" si="290"/>
        <v>#REF!</v>
      </c>
      <c r="BI212" s="107" t="e">
        <f t="shared" si="290"/>
        <v>#REF!</v>
      </c>
      <c r="BJ212" s="107" t="e">
        <f t="shared" si="290"/>
        <v>#REF!</v>
      </c>
      <c r="BK212"/>
      <c r="BL212" s="5"/>
    </row>
    <row r="213" spans="1:64">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s="5"/>
    </row>
    <row r="214" spans="1:64">
      <c r="A214"/>
      <c r="B214" t="s">
        <v>406</v>
      </c>
      <c r="C214" s="14">
        <v>0</v>
      </c>
      <c r="D214" s="14" t="e">
        <f>+C221</f>
        <v>#REF!</v>
      </c>
      <c r="E214" s="14" t="e">
        <f t="shared" ref="E214" si="291">+D221</f>
        <v>#REF!</v>
      </c>
      <c r="F214" s="14" t="e">
        <f t="shared" ref="F214" si="292">+E221</f>
        <v>#REF!</v>
      </c>
      <c r="G214" s="14" t="e">
        <f t="shared" ref="G214" si="293">+F221</f>
        <v>#REF!</v>
      </c>
      <c r="H214" s="14" t="e">
        <f t="shared" ref="H214" si="294">+G221</f>
        <v>#REF!</v>
      </c>
      <c r="I214" s="14" t="e">
        <f t="shared" ref="I214" si="295">+H221</f>
        <v>#REF!</v>
      </c>
      <c r="J214" s="14" t="e">
        <f t="shared" ref="J214" si="296">+I221</f>
        <v>#REF!</v>
      </c>
      <c r="K214" s="14" t="e">
        <f t="shared" ref="K214" si="297">+J221</f>
        <v>#REF!</v>
      </c>
      <c r="L214" s="14" t="e">
        <f t="shared" ref="L214" si="298">+K221</f>
        <v>#REF!</v>
      </c>
      <c r="M214" s="14" t="e">
        <f t="shared" ref="M214" si="299">+L221</f>
        <v>#REF!</v>
      </c>
      <c r="N214" s="14" t="e">
        <f t="shared" ref="N214" si="300">+M221</f>
        <v>#REF!</v>
      </c>
      <c r="O214" s="14" t="e">
        <f t="shared" ref="O214" si="301">+N221</f>
        <v>#REF!</v>
      </c>
      <c r="P214" s="14" t="e">
        <f t="shared" ref="P214" si="302">+O221</f>
        <v>#REF!</v>
      </c>
      <c r="Q214" s="14" t="e">
        <f t="shared" ref="Q214" si="303">+P221</f>
        <v>#REF!</v>
      </c>
      <c r="R214" s="14" t="e">
        <f t="shared" ref="R214" si="304">+Q221</f>
        <v>#REF!</v>
      </c>
      <c r="S214" s="14" t="e">
        <f t="shared" ref="S214" si="305">+R221</f>
        <v>#REF!</v>
      </c>
      <c r="T214" s="14" t="e">
        <f t="shared" ref="T214" si="306">+S221</f>
        <v>#REF!</v>
      </c>
      <c r="U214" s="14" t="e">
        <f t="shared" ref="U214" si="307">+T221</f>
        <v>#REF!</v>
      </c>
      <c r="V214" s="14" t="e">
        <f t="shared" ref="V214" si="308">+U221</f>
        <v>#REF!</v>
      </c>
      <c r="W214" s="14" t="e">
        <f t="shared" ref="W214" si="309">+V221</f>
        <v>#REF!</v>
      </c>
      <c r="X214" s="14" t="e">
        <f t="shared" ref="X214" si="310">+W221</f>
        <v>#REF!</v>
      </c>
      <c r="Y214" s="14" t="e">
        <f t="shared" ref="Y214" si="311">+X221</f>
        <v>#REF!</v>
      </c>
      <c r="Z214" s="14" t="e">
        <f t="shared" ref="Z214" si="312">+Y221</f>
        <v>#REF!</v>
      </c>
      <c r="AA214" s="14" t="e">
        <f t="shared" ref="AA214" si="313">+Z221</f>
        <v>#REF!</v>
      </c>
      <c r="AB214" s="14" t="e">
        <f t="shared" ref="AB214" si="314">+AA221</f>
        <v>#REF!</v>
      </c>
      <c r="AC214" s="14" t="e">
        <f t="shared" ref="AC214" si="315">+AB221</f>
        <v>#REF!</v>
      </c>
      <c r="AD214" s="14" t="e">
        <f t="shared" ref="AD214" si="316">+AC221</f>
        <v>#REF!</v>
      </c>
      <c r="AE214" s="14" t="e">
        <f t="shared" ref="AE214" si="317">+AD221</f>
        <v>#REF!</v>
      </c>
      <c r="AF214" s="14" t="e">
        <f t="shared" ref="AF214" si="318">+AE221</f>
        <v>#REF!</v>
      </c>
      <c r="AG214" s="14" t="e">
        <f t="shared" ref="AG214" si="319">+AF221</f>
        <v>#REF!</v>
      </c>
      <c r="AH214" s="14" t="e">
        <f t="shared" ref="AH214" si="320">+AG221</f>
        <v>#REF!</v>
      </c>
      <c r="AI214" s="14" t="e">
        <f t="shared" ref="AI214" si="321">+AH221</f>
        <v>#REF!</v>
      </c>
      <c r="AJ214" s="14" t="e">
        <f t="shared" ref="AJ214" si="322">+AI221</f>
        <v>#REF!</v>
      </c>
      <c r="AK214" s="14" t="e">
        <f t="shared" ref="AK214" si="323">+AJ221</f>
        <v>#REF!</v>
      </c>
      <c r="AL214" s="14" t="e">
        <f t="shared" ref="AL214" si="324">+AK221</f>
        <v>#REF!</v>
      </c>
      <c r="AM214" s="14" t="e">
        <f t="shared" ref="AM214" si="325">+AL221</f>
        <v>#REF!</v>
      </c>
      <c r="AN214" s="14" t="e">
        <f t="shared" ref="AN214" si="326">+AM221</f>
        <v>#REF!</v>
      </c>
      <c r="AO214" s="14" t="e">
        <f t="shared" ref="AO214" si="327">+AN221</f>
        <v>#REF!</v>
      </c>
      <c r="AP214" s="14" t="e">
        <f t="shared" ref="AP214" si="328">+AO221</f>
        <v>#REF!</v>
      </c>
      <c r="AQ214" s="14" t="e">
        <f t="shared" ref="AQ214" si="329">+AP221</f>
        <v>#REF!</v>
      </c>
      <c r="AR214" s="14" t="e">
        <f t="shared" ref="AR214" si="330">+AQ221</f>
        <v>#REF!</v>
      </c>
      <c r="AS214" s="14" t="e">
        <f t="shared" ref="AS214" si="331">+AR221</f>
        <v>#REF!</v>
      </c>
      <c r="AT214" s="14" t="e">
        <f t="shared" ref="AT214" si="332">+AS221</f>
        <v>#REF!</v>
      </c>
      <c r="AU214" s="14" t="e">
        <f t="shared" ref="AU214" si="333">+AT221</f>
        <v>#REF!</v>
      </c>
      <c r="AV214" s="14" t="e">
        <f t="shared" ref="AV214" si="334">+AU221</f>
        <v>#REF!</v>
      </c>
      <c r="AW214" s="14" t="e">
        <f t="shared" ref="AW214" si="335">+AV221</f>
        <v>#REF!</v>
      </c>
      <c r="AX214" s="14" t="e">
        <f t="shared" ref="AX214" si="336">+AW221</f>
        <v>#REF!</v>
      </c>
      <c r="AY214" s="14" t="e">
        <f t="shared" ref="AY214" si="337">+AX221</f>
        <v>#REF!</v>
      </c>
      <c r="AZ214" s="14" t="e">
        <f t="shared" ref="AZ214" si="338">+AY221</f>
        <v>#REF!</v>
      </c>
      <c r="BA214" s="14" t="e">
        <f t="shared" ref="BA214" si="339">+AZ221</f>
        <v>#REF!</v>
      </c>
      <c r="BB214" s="14" t="e">
        <f t="shared" ref="BB214" si="340">+BA221</f>
        <v>#REF!</v>
      </c>
      <c r="BC214" s="14" t="e">
        <f t="shared" ref="BC214" si="341">+BB221</f>
        <v>#REF!</v>
      </c>
      <c r="BD214" s="14" t="e">
        <f t="shared" ref="BD214" si="342">+BC221</f>
        <v>#REF!</v>
      </c>
      <c r="BE214" s="14" t="e">
        <f t="shared" ref="BE214" si="343">+BD221</f>
        <v>#REF!</v>
      </c>
      <c r="BF214" s="14" t="e">
        <f t="shared" ref="BF214" si="344">+BE221</f>
        <v>#REF!</v>
      </c>
      <c r="BG214" s="14" t="e">
        <f t="shared" ref="BG214" si="345">+BF221</f>
        <v>#REF!</v>
      </c>
      <c r="BH214" s="14" t="e">
        <f t="shared" ref="BH214" si="346">+BG221</f>
        <v>#REF!</v>
      </c>
      <c r="BI214" s="14" t="e">
        <f t="shared" ref="BI214" si="347">+BH221</f>
        <v>#REF!</v>
      </c>
      <c r="BJ214" s="14" t="e">
        <f t="shared" ref="BJ214" si="348">+BI221</f>
        <v>#REF!</v>
      </c>
      <c r="BK214"/>
      <c r="BL214" s="5"/>
    </row>
    <row r="215" spans="1:64">
      <c r="A215"/>
      <c r="B215" t="s">
        <v>400</v>
      </c>
      <c r="C215" s="14">
        <f>IFERROR(IF($C$27="On",((1+$D$27)^(C$8)-1)*C214,0),0)</f>
        <v>0</v>
      </c>
      <c r="D215" s="14">
        <f t="shared" ref="D215:BJ215" si="349">IFERROR(IF($C$27="On",((1+$D$27)^(D$8)-1)*D214,0),0)</f>
        <v>0</v>
      </c>
      <c r="E215" s="14">
        <f t="shared" si="349"/>
        <v>0</v>
      </c>
      <c r="F215" s="14">
        <f t="shared" si="349"/>
        <v>0</v>
      </c>
      <c r="G215" s="14">
        <f t="shared" si="349"/>
        <v>0</v>
      </c>
      <c r="H215" s="14">
        <f t="shared" si="349"/>
        <v>0</v>
      </c>
      <c r="I215" s="14">
        <f t="shared" si="349"/>
        <v>0</v>
      </c>
      <c r="J215" s="14">
        <f t="shared" si="349"/>
        <v>0</v>
      </c>
      <c r="K215" s="14">
        <f t="shared" si="349"/>
        <v>0</v>
      </c>
      <c r="L215" s="14">
        <f t="shared" si="349"/>
        <v>0</v>
      </c>
      <c r="M215" s="14">
        <f t="shared" si="349"/>
        <v>0</v>
      </c>
      <c r="N215" s="14">
        <f t="shared" si="349"/>
        <v>0</v>
      </c>
      <c r="O215" s="14">
        <f t="shared" si="349"/>
        <v>0</v>
      </c>
      <c r="P215" s="14">
        <f t="shared" si="349"/>
        <v>0</v>
      </c>
      <c r="Q215" s="14">
        <f t="shared" si="349"/>
        <v>0</v>
      </c>
      <c r="R215" s="14">
        <f t="shared" si="349"/>
        <v>0</v>
      </c>
      <c r="S215" s="14">
        <f t="shared" si="349"/>
        <v>0</v>
      </c>
      <c r="T215" s="14">
        <f t="shared" si="349"/>
        <v>0</v>
      </c>
      <c r="U215" s="14">
        <f t="shared" si="349"/>
        <v>0</v>
      </c>
      <c r="V215" s="14">
        <f t="shared" si="349"/>
        <v>0</v>
      </c>
      <c r="W215" s="14">
        <f t="shared" si="349"/>
        <v>0</v>
      </c>
      <c r="X215" s="14">
        <f t="shared" si="349"/>
        <v>0</v>
      </c>
      <c r="Y215" s="14">
        <f t="shared" si="349"/>
        <v>0</v>
      </c>
      <c r="Z215" s="14">
        <f t="shared" si="349"/>
        <v>0</v>
      </c>
      <c r="AA215" s="14">
        <f t="shared" si="349"/>
        <v>0</v>
      </c>
      <c r="AB215" s="14">
        <f t="shared" si="349"/>
        <v>0</v>
      </c>
      <c r="AC215" s="14">
        <f t="shared" si="349"/>
        <v>0</v>
      </c>
      <c r="AD215" s="14">
        <f t="shared" si="349"/>
        <v>0</v>
      </c>
      <c r="AE215" s="14">
        <f t="shared" si="349"/>
        <v>0</v>
      </c>
      <c r="AF215" s="14">
        <f t="shared" si="349"/>
        <v>0</v>
      </c>
      <c r="AG215" s="14">
        <f t="shared" si="349"/>
        <v>0</v>
      </c>
      <c r="AH215" s="14">
        <f t="shared" si="349"/>
        <v>0</v>
      </c>
      <c r="AI215" s="14">
        <f t="shared" si="349"/>
        <v>0</v>
      </c>
      <c r="AJ215" s="14">
        <f t="shared" si="349"/>
        <v>0</v>
      </c>
      <c r="AK215" s="14">
        <f t="shared" si="349"/>
        <v>0</v>
      </c>
      <c r="AL215" s="14">
        <f t="shared" si="349"/>
        <v>0</v>
      </c>
      <c r="AM215" s="14">
        <f t="shared" si="349"/>
        <v>0</v>
      </c>
      <c r="AN215" s="14">
        <f t="shared" si="349"/>
        <v>0</v>
      </c>
      <c r="AO215" s="14">
        <f t="shared" si="349"/>
        <v>0</v>
      </c>
      <c r="AP215" s="14">
        <f t="shared" si="349"/>
        <v>0</v>
      </c>
      <c r="AQ215" s="14">
        <f t="shared" si="349"/>
        <v>0</v>
      </c>
      <c r="AR215" s="14">
        <f t="shared" si="349"/>
        <v>0</v>
      </c>
      <c r="AS215" s="14">
        <f t="shared" si="349"/>
        <v>0</v>
      </c>
      <c r="AT215" s="14">
        <f t="shared" si="349"/>
        <v>0</v>
      </c>
      <c r="AU215" s="14">
        <f t="shared" si="349"/>
        <v>0</v>
      </c>
      <c r="AV215" s="14">
        <f t="shared" si="349"/>
        <v>0</v>
      </c>
      <c r="AW215" s="14">
        <f t="shared" si="349"/>
        <v>0</v>
      </c>
      <c r="AX215" s="14">
        <f t="shared" si="349"/>
        <v>0</v>
      </c>
      <c r="AY215" s="14">
        <f t="shared" si="349"/>
        <v>0</v>
      </c>
      <c r="AZ215" s="14">
        <f t="shared" si="349"/>
        <v>0</v>
      </c>
      <c r="BA215" s="14">
        <f t="shared" si="349"/>
        <v>0</v>
      </c>
      <c r="BB215" s="14">
        <f t="shared" si="349"/>
        <v>0</v>
      </c>
      <c r="BC215" s="14">
        <f t="shared" si="349"/>
        <v>0</v>
      </c>
      <c r="BD215" s="14">
        <f t="shared" si="349"/>
        <v>0</v>
      </c>
      <c r="BE215" s="14">
        <f t="shared" si="349"/>
        <v>0</v>
      </c>
      <c r="BF215" s="14">
        <f t="shared" si="349"/>
        <v>0</v>
      </c>
      <c r="BG215" s="14">
        <f t="shared" si="349"/>
        <v>0</v>
      </c>
      <c r="BH215" s="14">
        <f t="shared" si="349"/>
        <v>0</v>
      </c>
      <c r="BI215" s="14">
        <f t="shared" si="349"/>
        <v>0</v>
      </c>
      <c r="BJ215" s="14">
        <f t="shared" si="349"/>
        <v>0</v>
      </c>
      <c r="BK215"/>
      <c r="BL215" s="5"/>
    </row>
    <row r="216" spans="1:64">
      <c r="A216"/>
      <c r="B216" t="s">
        <v>377</v>
      </c>
      <c r="C216" s="14">
        <f>+C197</f>
        <v>0</v>
      </c>
      <c r="D216" s="14">
        <f t="shared" ref="D216:BJ218" si="350">+D197</f>
        <v>0</v>
      </c>
      <c r="E216" s="14">
        <f t="shared" si="350"/>
        <v>0</v>
      </c>
      <c r="F216" s="14">
        <f t="shared" si="350"/>
        <v>0</v>
      </c>
      <c r="G216" s="14">
        <f t="shared" si="350"/>
        <v>0</v>
      </c>
      <c r="H216" s="14">
        <f t="shared" si="350"/>
        <v>0</v>
      </c>
      <c r="I216" s="14">
        <f t="shared" si="350"/>
        <v>0</v>
      </c>
      <c r="J216" s="14">
        <f t="shared" si="350"/>
        <v>0</v>
      </c>
      <c r="K216" s="14">
        <f t="shared" si="350"/>
        <v>0</v>
      </c>
      <c r="L216" s="14">
        <f t="shared" si="350"/>
        <v>0</v>
      </c>
      <c r="M216" s="14">
        <f t="shared" si="350"/>
        <v>0</v>
      </c>
      <c r="N216" s="14">
        <f t="shared" si="350"/>
        <v>0</v>
      </c>
      <c r="O216" s="14">
        <f t="shared" si="350"/>
        <v>0</v>
      </c>
      <c r="P216" s="14">
        <f t="shared" si="350"/>
        <v>0</v>
      </c>
      <c r="Q216" s="14">
        <f t="shared" si="350"/>
        <v>0</v>
      </c>
      <c r="R216" s="14">
        <f t="shared" si="350"/>
        <v>0</v>
      </c>
      <c r="S216" s="14">
        <f t="shared" si="350"/>
        <v>0</v>
      </c>
      <c r="T216" s="14">
        <f t="shared" si="350"/>
        <v>0</v>
      </c>
      <c r="U216" s="14">
        <f t="shared" si="350"/>
        <v>0</v>
      </c>
      <c r="V216" s="14">
        <f t="shared" si="350"/>
        <v>0</v>
      </c>
      <c r="W216" s="14">
        <f t="shared" si="350"/>
        <v>0</v>
      </c>
      <c r="X216" s="14">
        <f t="shared" si="350"/>
        <v>0</v>
      </c>
      <c r="Y216" s="14">
        <f t="shared" si="350"/>
        <v>0</v>
      </c>
      <c r="Z216" s="14">
        <f t="shared" si="350"/>
        <v>0</v>
      </c>
      <c r="AA216" s="14">
        <f t="shared" si="350"/>
        <v>0</v>
      </c>
      <c r="AB216" s="14">
        <f t="shared" si="350"/>
        <v>0</v>
      </c>
      <c r="AC216" s="14">
        <f t="shared" si="350"/>
        <v>0</v>
      </c>
      <c r="AD216" s="14">
        <f t="shared" si="350"/>
        <v>0</v>
      </c>
      <c r="AE216" s="14">
        <f t="shared" si="350"/>
        <v>0</v>
      </c>
      <c r="AF216" s="14">
        <f t="shared" si="350"/>
        <v>0</v>
      </c>
      <c r="AG216" s="14">
        <f t="shared" si="350"/>
        <v>0</v>
      </c>
      <c r="AH216" s="14">
        <f t="shared" si="350"/>
        <v>0</v>
      </c>
      <c r="AI216" s="14">
        <f t="shared" si="350"/>
        <v>0</v>
      </c>
      <c r="AJ216" s="14">
        <f t="shared" si="350"/>
        <v>0</v>
      </c>
      <c r="AK216" s="14">
        <f t="shared" si="350"/>
        <v>0</v>
      </c>
      <c r="AL216" s="14">
        <f t="shared" si="350"/>
        <v>0</v>
      </c>
      <c r="AM216" s="14">
        <f t="shared" si="350"/>
        <v>0</v>
      </c>
      <c r="AN216" s="14">
        <f t="shared" si="350"/>
        <v>0</v>
      </c>
      <c r="AO216" s="14">
        <f t="shared" si="350"/>
        <v>0</v>
      </c>
      <c r="AP216" s="14">
        <f t="shared" si="350"/>
        <v>0</v>
      </c>
      <c r="AQ216" s="14">
        <f t="shared" si="350"/>
        <v>0</v>
      </c>
      <c r="AR216" s="14">
        <f t="shared" si="350"/>
        <v>0</v>
      </c>
      <c r="AS216" s="14">
        <f t="shared" si="350"/>
        <v>0</v>
      </c>
      <c r="AT216" s="14">
        <f t="shared" si="350"/>
        <v>0</v>
      </c>
      <c r="AU216" s="14">
        <f t="shared" si="350"/>
        <v>0</v>
      </c>
      <c r="AV216" s="14">
        <f t="shared" si="350"/>
        <v>0</v>
      </c>
      <c r="AW216" s="14">
        <f t="shared" si="350"/>
        <v>0</v>
      </c>
      <c r="AX216" s="14">
        <f t="shared" si="350"/>
        <v>0</v>
      </c>
      <c r="AY216" s="14">
        <f t="shared" si="350"/>
        <v>0</v>
      </c>
      <c r="AZ216" s="14">
        <f t="shared" si="350"/>
        <v>0</v>
      </c>
      <c r="BA216" s="14">
        <f t="shared" si="350"/>
        <v>0</v>
      </c>
      <c r="BB216" s="14">
        <f t="shared" si="350"/>
        <v>0</v>
      </c>
      <c r="BC216" s="14">
        <f t="shared" si="350"/>
        <v>0</v>
      </c>
      <c r="BD216" s="14">
        <f t="shared" si="350"/>
        <v>0</v>
      </c>
      <c r="BE216" s="14">
        <f t="shared" si="350"/>
        <v>0</v>
      </c>
      <c r="BF216" s="14">
        <f t="shared" si="350"/>
        <v>0</v>
      </c>
      <c r="BG216" s="14">
        <f t="shared" si="350"/>
        <v>0</v>
      </c>
      <c r="BH216" s="14">
        <f t="shared" si="350"/>
        <v>0</v>
      </c>
      <c r="BI216" s="14">
        <f t="shared" si="350"/>
        <v>0</v>
      </c>
      <c r="BJ216" s="14">
        <f t="shared" si="350"/>
        <v>0</v>
      </c>
      <c r="BK216"/>
      <c r="BL216" s="5"/>
    </row>
    <row r="217" spans="1:64">
      <c r="A217"/>
      <c r="B217" t="s">
        <v>358</v>
      </c>
      <c r="C217" s="14" t="e">
        <f t="shared" ref="C217:R219" si="351">+C198</f>
        <v>#REF!</v>
      </c>
      <c r="D217" s="14" t="e">
        <f>+D198</f>
        <v>#REF!</v>
      </c>
      <c r="E217" s="14" t="e">
        <f t="shared" si="351"/>
        <v>#REF!</v>
      </c>
      <c r="F217" s="14" t="e">
        <f t="shared" si="351"/>
        <v>#REF!</v>
      </c>
      <c r="G217" s="14" t="e">
        <f t="shared" si="351"/>
        <v>#REF!</v>
      </c>
      <c r="H217" s="14" t="e">
        <f t="shared" si="351"/>
        <v>#REF!</v>
      </c>
      <c r="I217" s="14" t="e">
        <f t="shared" si="351"/>
        <v>#REF!</v>
      </c>
      <c r="J217" s="14" t="e">
        <f t="shared" si="351"/>
        <v>#REF!</v>
      </c>
      <c r="K217" s="14" t="e">
        <f t="shared" si="351"/>
        <v>#REF!</v>
      </c>
      <c r="L217" s="14" t="e">
        <f t="shared" si="351"/>
        <v>#REF!</v>
      </c>
      <c r="M217" s="14" t="e">
        <f t="shared" si="351"/>
        <v>#REF!</v>
      </c>
      <c r="N217" s="14" t="e">
        <f t="shared" si="351"/>
        <v>#REF!</v>
      </c>
      <c r="O217" s="14" t="e">
        <f t="shared" si="351"/>
        <v>#REF!</v>
      </c>
      <c r="P217" s="14" t="e">
        <f t="shared" si="351"/>
        <v>#REF!</v>
      </c>
      <c r="Q217" s="14" t="e">
        <f t="shared" si="351"/>
        <v>#REF!</v>
      </c>
      <c r="R217" s="14" t="e">
        <f t="shared" si="351"/>
        <v>#REF!</v>
      </c>
      <c r="S217" s="14" t="e">
        <f t="shared" si="350"/>
        <v>#REF!</v>
      </c>
      <c r="T217" s="14" t="e">
        <f t="shared" si="350"/>
        <v>#REF!</v>
      </c>
      <c r="U217" s="14" t="e">
        <f t="shared" si="350"/>
        <v>#REF!</v>
      </c>
      <c r="V217" s="14" t="e">
        <f t="shared" si="350"/>
        <v>#REF!</v>
      </c>
      <c r="W217" s="14" t="e">
        <f t="shared" si="350"/>
        <v>#REF!</v>
      </c>
      <c r="X217" s="14" t="e">
        <f t="shared" si="350"/>
        <v>#REF!</v>
      </c>
      <c r="Y217" s="14" t="e">
        <f t="shared" si="350"/>
        <v>#REF!</v>
      </c>
      <c r="Z217" s="14" t="e">
        <f t="shared" si="350"/>
        <v>#REF!</v>
      </c>
      <c r="AA217" s="14" t="e">
        <f t="shared" si="350"/>
        <v>#REF!</v>
      </c>
      <c r="AB217" s="14" t="e">
        <f t="shared" si="350"/>
        <v>#REF!</v>
      </c>
      <c r="AC217" s="14" t="e">
        <f t="shared" si="350"/>
        <v>#REF!</v>
      </c>
      <c r="AD217" s="14" t="e">
        <f t="shared" si="350"/>
        <v>#REF!</v>
      </c>
      <c r="AE217" s="14" t="e">
        <f t="shared" si="350"/>
        <v>#REF!</v>
      </c>
      <c r="AF217" s="14" t="e">
        <f t="shared" si="350"/>
        <v>#REF!</v>
      </c>
      <c r="AG217" s="14" t="e">
        <f t="shared" si="350"/>
        <v>#REF!</v>
      </c>
      <c r="AH217" s="14" t="e">
        <f t="shared" si="350"/>
        <v>#REF!</v>
      </c>
      <c r="AI217" s="14" t="e">
        <f t="shared" si="350"/>
        <v>#REF!</v>
      </c>
      <c r="AJ217" s="14" t="e">
        <f t="shared" si="350"/>
        <v>#REF!</v>
      </c>
      <c r="AK217" s="14" t="e">
        <f t="shared" si="350"/>
        <v>#REF!</v>
      </c>
      <c r="AL217" s="14" t="e">
        <f t="shared" si="350"/>
        <v>#REF!</v>
      </c>
      <c r="AM217" s="14" t="e">
        <f t="shared" si="350"/>
        <v>#REF!</v>
      </c>
      <c r="AN217" s="14" t="e">
        <f t="shared" si="350"/>
        <v>#REF!</v>
      </c>
      <c r="AO217" s="14" t="e">
        <f t="shared" si="350"/>
        <v>#REF!</v>
      </c>
      <c r="AP217" s="14" t="e">
        <f t="shared" si="350"/>
        <v>#REF!</v>
      </c>
      <c r="AQ217" s="14" t="e">
        <f t="shared" si="350"/>
        <v>#REF!</v>
      </c>
      <c r="AR217" s="14" t="e">
        <f t="shared" si="350"/>
        <v>#REF!</v>
      </c>
      <c r="AS217" s="14" t="e">
        <f t="shared" si="350"/>
        <v>#REF!</v>
      </c>
      <c r="AT217" s="14" t="e">
        <f t="shared" si="350"/>
        <v>#REF!</v>
      </c>
      <c r="AU217" s="14" t="e">
        <f t="shared" si="350"/>
        <v>#REF!</v>
      </c>
      <c r="AV217" s="14" t="e">
        <f t="shared" si="350"/>
        <v>#REF!</v>
      </c>
      <c r="AW217" s="14" t="e">
        <f t="shared" si="350"/>
        <v>#REF!</v>
      </c>
      <c r="AX217" s="14" t="e">
        <f t="shared" si="350"/>
        <v>#REF!</v>
      </c>
      <c r="AY217" s="14" t="e">
        <f t="shared" si="350"/>
        <v>#REF!</v>
      </c>
      <c r="AZ217" s="14" t="e">
        <f t="shared" si="350"/>
        <v>#REF!</v>
      </c>
      <c r="BA217" s="14" t="e">
        <f t="shared" si="350"/>
        <v>#REF!</v>
      </c>
      <c r="BB217" s="14" t="e">
        <f t="shared" si="350"/>
        <v>#REF!</v>
      </c>
      <c r="BC217" s="14" t="e">
        <f t="shared" si="350"/>
        <v>#REF!</v>
      </c>
      <c r="BD217" s="14" t="e">
        <f t="shared" si="350"/>
        <v>#REF!</v>
      </c>
      <c r="BE217" s="14" t="e">
        <f t="shared" si="350"/>
        <v>#REF!</v>
      </c>
      <c r="BF217" s="14" t="e">
        <f t="shared" si="350"/>
        <v>#REF!</v>
      </c>
      <c r="BG217" s="14" t="e">
        <f t="shared" si="350"/>
        <v>#REF!</v>
      </c>
      <c r="BH217" s="14" t="e">
        <f t="shared" si="350"/>
        <v>#REF!</v>
      </c>
      <c r="BI217" s="14" t="e">
        <f t="shared" si="350"/>
        <v>#REF!</v>
      </c>
      <c r="BJ217" s="14" t="e">
        <f t="shared" si="350"/>
        <v>#REF!</v>
      </c>
      <c r="BK217"/>
      <c r="BL217" s="5"/>
    </row>
    <row r="218" spans="1:64">
      <c r="A218"/>
      <c r="B218" t="s">
        <v>362</v>
      </c>
      <c r="C218" s="14" t="e">
        <f t="shared" si="351"/>
        <v>#REF!</v>
      </c>
      <c r="D218" s="14" t="e">
        <f>+D199</f>
        <v>#REF!</v>
      </c>
      <c r="E218" s="14" t="e">
        <f t="shared" si="350"/>
        <v>#REF!</v>
      </c>
      <c r="F218" s="14" t="e">
        <f t="shared" si="350"/>
        <v>#REF!</v>
      </c>
      <c r="G218" s="14" t="e">
        <f t="shared" si="350"/>
        <v>#REF!</v>
      </c>
      <c r="H218" s="14" t="e">
        <f t="shared" si="350"/>
        <v>#REF!</v>
      </c>
      <c r="I218" s="14" t="e">
        <f t="shared" si="350"/>
        <v>#REF!</v>
      </c>
      <c r="J218" s="14" t="e">
        <f t="shared" si="350"/>
        <v>#REF!</v>
      </c>
      <c r="K218" s="14" t="e">
        <f t="shared" si="350"/>
        <v>#REF!</v>
      </c>
      <c r="L218" s="14" t="e">
        <f t="shared" si="350"/>
        <v>#REF!</v>
      </c>
      <c r="M218" s="14" t="e">
        <f t="shared" si="350"/>
        <v>#REF!</v>
      </c>
      <c r="N218" s="14" t="e">
        <f t="shared" si="350"/>
        <v>#REF!</v>
      </c>
      <c r="O218" s="14" t="e">
        <f t="shared" si="350"/>
        <v>#REF!</v>
      </c>
      <c r="P218" s="14" t="e">
        <f t="shared" si="350"/>
        <v>#REF!</v>
      </c>
      <c r="Q218" s="14" t="e">
        <f t="shared" si="350"/>
        <v>#REF!</v>
      </c>
      <c r="R218" s="14" t="e">
        <f t="shared" si="350"/>
        <v>#REF!</v>
      </c>
      <c r="S218" s="14" t="e">
        <f t="shared" si="350"/>
        <v>#REF!</v>
      </c>
      <c r="T218" s="14" t="e">
        <f t="shared" si="350"/>
        <v>#REF!</v>
      </c>
      <c r="U218" s="14" t="e">
        <f t="shared" si="350"/>
        <v>#REF!</v>
      </c>
      <c r="V218" s="14" t="e">
        <f t="shared" si="350"/>
        <v>#REF!</v>
      </c>
      <c r="W218" s="14" t="e">
        <f t="shared" si="350"/>
        <v>#REF!</v>
      </c>
      <c r="X218" s="14" t="e">
        <f t="shared" si="350"/>
        <v>#REF!</v>
      </c>
      <c r="Y218" s="14" t="e">
        <f t="shared" si="350"/>
        <v>#REF!</v>
      </c>
      <c r="Z218" s="14" t="e">
        <f t="shared" si="350"/>
        <v>#REF!</v>
      </c>
      <c r="AA218" s="14" t="e">
        <f t="shared" si="350"/>
        <v>#REF!</v>
      </c>
      <c r="AB218" s="14" t="e">
        <f t="shared" si="350"/>
        <v>#REF!</v>
      </c>
      <c r="AC218" s="14" t="e">
        <f t="shared" si="350"/>
        <v>#REF!</v>
      </c>
      <c r="AD218" s="14" t="e">
        <f t="shared" si="350"/>
        <v>#REF!</v>
      </c>
      <c r="AE218" s="14" t="e">
        <f t="shared" si="350"/>
        <v>#REF!</v>
      </c>
      <c r="AF218" s="14" t="e">
        <f t="shared" si="350"/>
        <v>#REF!</v>
      </c>
      <c r="AG218" s="14" t="e">
        <f t="shared" si="350"/>
        <v>#REF!</v>
      </c>
      <c r="AH218" s="14" t="e">
        <f t="shared" si="350"/>
        <v>#REF!</v>
      </c>
      <c r="AI218" s="14" t="e">
        <f t="shared" si="350"/>
        <v>#REF!</v>
      </c>
      <c r="AJ218" s="14" t="e">
        <f t="shared" si="350"/>
        <v>#REF!</v>
      </c>
      <c r="AK218" s="14" t="e">
        <f t="shared" si="350"/>
        <v>#REF!</v>
      </c>
      <c r="AL218" s="14" t="e">
        <f t="shared" si="350"/>
        <v>#REF!</v>
      </c>
      <c r="AM218" s="14" t="e">
        <f t="shared" si="350"/>
        <v>#REF!</v>
      </c>
      <c r="AN218" s="14" t="e">
        <f t="shared" si="350"/>
        <v>#REF!</v>
      </c>
      <c r="AO218" s="14" t="e">
        <f t="shared" si="350"/>
        <v>#REF!</v>
      </c>
      <c r="AP218" s="14" t="e">
        <f t="shared" si="350"/>
        <v>#REF!</v>
      </c>
      <c r="AQ218" s="14" t="e">
        <f t="shared" si="350"/>
        <v>#REF!</v>
      </c>
      <c r="AR218" s="14" t="e">
        <f t="shared" si="350"/>
        <v>#REF!</v>
      </c>
      <c r="AS218" s="14" t="e">
        <f t="shared" si="350"/>
        <v>#REF!</v>
      </c>
      <c r="AT218" s="14" t="e">
        <f t="shared" si="350"/>
        <v>#REF!</v>
      </c>
      <c r="AU218" s="14" t="e">
        <f t="shared" si="350"/>
        <v>#REF!</v>
      </c>
      <c r="AV218" s="14" t="e">
        <f t="shared" si="350"/>
        <v>#REF!</v>
      </c>
      <c r="AW218" s="14" t="e">
        <f t="shared" si="350"/>
        <v>#REF!</v>
      </c>
      <c r="AX218" s="14" t="e">
        <f t="shared" si="350"/>
        <v>#REF!</v>
      </c>
      <c r="AY218" s="14" t="e">
        <f t="shared" si="350"/>
        <v>#REF!</v>
      </c>
      <c r="AZ218" s="14" t="e">
        <f t="shared" si="350"/>
        <v>#REF!</v>
      </c>
      <c r="BA218" s="14" t="e">
        <f t="shared" si="350"/>
        <v>#REF!</v>
      </c>
      <c r="BB218" s="14" t="e">
        <f t="shared" si="350"/>
        <v>#REF!</v>
      </c>
      <c r="BC218" s="14" t="e">
        <f t="shared" si="350"/>
        <v>#REF!</v>
      </c>
      <c r="BD218" s="14" t="e">
        <f t="shared" si="350"/>
        <v>#REF!</v>
      </c>
      <c r="BE218" s="14" t="e">
        <f t="shared" si="350"/>
        <v>#REF!</v>
      </c>
      <c r="BF218" s="14" t="e">
        <f t="shared" si="350"/>
        <v>#REF!</v>
      </c>
      <c r="BG218" s="14" t="e">
        <f t="shared" si="350"/>
        <v>#REF!</v>
      </c>
      <c r="BH218" s="14" t="e">
        <f t="shared" si="350"/>
        <v>#REF!</v>
      </c>
      <c r="BI218" s="14" t="e">
        <f t="shared" si="350"/>
        <v>#REF!</v>
      </c>
      <c r="BJ218" s="14" t="e">
        <f t="shared" si="350"/>
        <v>#REF!</v>
      </c>
      <c r="BK218"/>
      <c r="BL218" s="5"/>
    </row>
    <row r="219" spans="1:64">
      <c r="A219"/>
      <c r="B219" t="s">
        <v>364</v>
      </c>
      <c r="C219" s="14" t="e">
        <f t="shared" si="351"/>
        <v>#REF!</v>
      </c>
      <c r="D219" s="14" t="e">
        <f t="shared" ref="D219:BJ219" si="352">+D200</f>
        <v>#REF!</v>
      </c>
      <c r="E219" s="14" t="e">
        <f t="shared" si="352"/>
        <v>#REF!</v>
      </c>
      <c r="F219" s="14" t="e">
        <f t="shared" si="352"/>
        <v>#REF!</v>
      </c>
      <c r="G219" s="14" t="e">
        <f t="shared" si="352"/>
        <v>#REF!</v>
      </c>
      <c r="H219" s="14" t="e">
        <f t="shared" si="352"/>
        <v>#REF!</v>
      </c>
      <c r="I219" s="14" t="e">
        <f t="shared" si="352"/>
        <v>#REF!</v>
      </c>
      <c r="J219" s="14" t="e">
        <f t="shared" si="352"/>
        <v>#REF!</v>
      </c>
      <c r="K219" s="14" t="e">
        <f t="shared" si="352"/>
        <v>#REF!</v>
      </c>
      <c r="L219" s="14" t="e">
        <f t="shared" si="352"/>
        <v>#REF!</v>
      </c>
      <c r="M219" s="14" t="e">
        <f t="shared" si="352"/>
        <v>#REF!</v>
      </c>
      <c r="N219" s="14" t="e">
        <f t="shared" si="352"/>
        <v>#REF!</v>
      </c>
      <c r="O219" s="14" t="e">
        <f t="shared" si="352"/>
        <v>#REF!</v>
      </c>
      <c r="P219" s="14" t="e">
        <f t="shared" si="352"/>
        <v>#REF!</v>
      </c>
      <c r="Q219" s="14" t="e">
        <f t="shared" si="352"/>
        <v>#REF!</v>
      </c>
      <c r="R219" s="14" t="e">
        <f t="shared" si="352"/>
        <v>#REF!</v>
      </c>
      <c r="S219" s="14" t="e">
        <f t="shared" si="352"/>
        <v>#REF!</v>
      </c>
      <c r="T219" s="14" t="e">
        <f t="shared" si="352"/>
        <v>#REF!</v>
      </c>
      <c r="U219" s="14" t="e">
        <f t="shared" si="352"/>
        <v>#REF!</v>
      </c>
      <c r="V219" s="14" t="e">
        <f t="shared" si="352"/>
        <v>#REF!</v>
      </c>
      <c r="W219" s="14" t="e">
        <f t="shared" si="352"/>
        <v>#REF!</v>
      </c>
      <c r="X219" s="14" t="e">
        <f t="shared" si="352"/>
        <v>#REF!</v>
      </c>
      <c r="Y219" s="14" t="e">
        <f t="shared" si="352"/>
        <v>#REF!</v>
      </c>
      <c r="Z219" s="14" t="e">
        <f t="shared" si="352"/>
        <v>#REF!</v>
      </c>
      <c r="AA219" s="14" t="e">
        <f t="shared" si="352"/>
        <v>#REF!</v>
      </c>
      <c r="AB219" s="14" t="e">
        <f t="shared" si="352"/>
        <v>#REF!</v>
      </c>
      <c r="AC219" s="14" t="e">
        <f t="shared" si="352"/>
        <v>#REF!</v>
      </c>
      <c r="AD219" s="14" t="e">
        <f t="shared" si="352"/>
        <v>#REF!</v>
      </c>
      <c r="AE219" s="14" t="e">
        <f t="shared" si="352"/>
        <v>#REF!</v>
      </c>
      <c r="AF219" s="14" t="e">
        <f t="shared" si="352"/>
        <v>#REF!</v>
      </c>
      <c r="AG219" s="14" t="e">
        <f t="shared" si="352"/>
        <v>#REF!</v>
      </c>
      <c r="AH219" s="14" t="e">
        <f t="shared" si="352"/>
        <v>#REF!</v>
      </c>
      <c r="AI219" s="14" t="e">
        <f t="shared" si="352"/>
        <v>#REF!</v>
      </c>
      <c r="AJ219" s="14" t="e">
        <f t="shared" si="352"/>
        <v>#REF!</v>
      </c>
      <c r="AK219" s="14" t="e">
        <f t="shared" si="352"/>
        <v>#REF!</v>
      </c>
      <c r="AL219" s="14" t="e">
        <f t="shared" si="352"/>
        <v>#REF!</v>
      </c>
      <c r="AM219" s="14" t="e">
        <f t="shared" si="352"/>
        <v>#REF!</v>
      </c>
      <c r="AN219" s="14" t="e">
        <f t="shared" si="352"/>
        <v>#REF!</v>
      </c>
      <c r="AO219" s="14" t="e">
        <f t="shared" si="352"/>
        <v>#REF!</v>
      </c>
      <c r="AP219" s="14" t="e">
        <f t="shared" si="352"/>
        <v>#REF!</v>
      </c>
      <c r="AQ219" s="14" t="e">
        <f t="shared" si="352"/>
        <v>#REF!</v>
      </c>
      <c r="AR219" s="14" t="e">
        <f t="shared" si="352"/>
        <v>#REF!</v>
      </c>
      <c r="AS219" s="14" t="e">
        <f t="shared" si="352"/>
        <v>#REF!</v>
      </c>
      <c r="AT219" s="14" t="e">
        <f t="shared" si="352"/>
        <v>#REF!</v>
      </c>
      <c r="AU219" s="14" t="e">
        <f t="shared" si="352"/>
        <v>#REF!</v>
      </c>
      <c r="AV219" s="14" t="e">
        <f t="shared" si="352"/>
        <v>#REF!</v>
      </c>
      <c r="AW219" s="14" t="e">
        <f t="shared" si="352"/>
        <v>#REF!</v>
      </c>
      <c r="AX219" s="14" t="e">
        <f t="shared" si="352"/>
        <v>#REF!</v>
      </c>
      <c r="AY219" s="14" t="e">
        <f t="shared" si="352"/>
        <v>#REF!</v>
      </c>
      <c r="AZ219" s="14" t="e">
        <f t="shared" si="352"/>
        <v>#REF!</v>
      </c>
      <c r="BA219" s="14" t="e">
        <f t="shared" si="352"/>
        <v>#REF!</v>
      </c>
      <c r="BB219" s="14" t="e">
        <f t="shared" si="352"/>
        <v>#REF!</v>
      </c>
      <c r="BC219" s="14" t="e">
        <f t="shared" si="352"/>
        <v>#REF!</v>
      </c>
      <c r="BD219" s="14" t="e">
        <f t="shared" si="352"/>
        <v>#REF!</v>
      </c>
      <c r="BE219" s="14" t="e">
        <f t="shared" si="352"/>
        <v>#REF!</v>
      </c>
      <c r="BF219" s="14" t="e">
        <f t="shared" si="352"/>
        <v>#REF!</v>
      </c>
      <c r="BG219" s="14" t="e">
        <f t="shared" si="352"/>
        <v>#REF!</v>
      </c>
      <c r="BH219" s="14" t="e">
        <f t="shared" si="352"/>
        <v>#REF!</v>
      </c>
      <c r="BI219" s="14" t="e">
        <f t="shared" si="352"/>
        <v>#REF!</v>
      </c>
      <c r="BJ219" s="14" t="e">
        <f t="shared" si="352"/>
        <v>#REF!</v>
      </c>
      <c r="BK219"/>
      <c r="BL219" s="5"/>
    </row>
    <row r="220" spans="1:64">
      <c r="A220"/>
      <c r="B220" t="s">
        <v>407</v>
      </c>
      <c r="C220" s="14" t="e">
        <f>-MAX(0,MIN(SUM(C214:C219),C212))</f>
        <v>#REF!</v>
      </c>
      <c r="D220" s="14" t="e">
        <f t="shared" ref="D220:BJ220" si="353">-MAX(0,MIN(SUM(D214:D219),D212))</f>
        <v>#REF!</v>
      </c>
      <c r="E220" s="14" t="e">
        <f t="shared" si="353"/>
        <v>#REF!</v>
      </c>
      <c r="F220" s="14" t="e">
        <f t="shared" si="353"/>
        <v>#REF!</v>
      </c>
      <c r="G220" s="14" t="e">
        <f t="shared" si="353"/>
        <v>#REF!</v>
      </c>
      <c r="H220" s="14" t="e">
        <f t="shared" si="353"/>
        <v>#REF!</v>
      </c>
      <c r="I220" s="14" t="e">
        <f t="shared" si="353"/>
        <v>#REF!</v>
      </c>
      <c r="J220" s="14" t="e">
        <f t="shared" si="353"/>
        <v>#REF!</v>
      </c>
      <c r="K220" s="14" t="e">
        <f t="shared" si="353"/>
        <v>#REF!</v>
      </c>
      <c r="L220" s="14" t="e">
        <f t="shared" si="353"/>
        <v>#REF!</v>
      </c>
      <c r="M220" s="14" t="e">
        <f t="shared" si="353"/>
        <v>#REF!</v>
      </c>
      <c r="N220" s="14" t="e">
        <f t="shared" si="353"/>
        <v>#REF!</v>
      </c>
      <c r="O220" s="14" t="e">
        <f t="shared" si="353"/>
        <v>#REF!</v>
      </c>
      <c r="P220" s="14" t="e">
        <f t="shared" si="353"/>
        <v>#REF!</v>
      </c>
      <c r="Q220" s="14" t="e">
        <f t="shared" si="353"/>
        <v>#REF!</v>
      </c>
      <c r="R220" s="14" t="e">
        <f t="shared" si="353"/>
        <v>#REF!</v>
      </c>
      <c r="S220" s="14" t="e">
        <f t="shared" si="353"/>
        <v>#REF!</v>
      </c>
      <c r="T220" s="14" t="e">
        <f t="shared" si="353"/>
        <v>#REF!</v>
      </c>
      <c r="U220" s="14" t="e">
        <f t="shared" si="353"/>
        <v>#REF!</v>
      </c>
      <c r="V220" s="14" t="e">
        <f t="shared" si="353"/>
        <v>#REF!</v>
      </c>
      <c r="W220" s="14" t="e">
        <f t="shared" si="353"/>
        <v>#REF!</v>
      </c>
      <c r="X220" s="14" t="e">
        <f t="shared" si="353"/>
        <v>#REF!</v>
      </c>
      <c r="Y220" s="14" t="e">
        <f t="shared" si="353"/>
        <v>#REF!</v>
      </c>
      <c r="Z220" s="14" t="e">
        <f t="shared" si="353"/>
        <v>#REF!</v>
      </c>
      <c r="AA220" s="14" t="e">
        <f t="shared" si="353"/>
        <v>#REF!</v>
      </c>
      <c r="AB220" s="14" t="e">
        <f t="shared" si="353"/>
        <v>#REF!</v>
      </c>
      <c r="AC220" s="14" t="e">
        <f t="shared" si="353"/>
        <v>#REF!</v>
      </c>
      <c r="AD220" s="14" t="e">
        <f t="shared" si="353"/>
        <v>#REF!</v>
      </c>
      <c r="AE220" s="14" t="e">
        <f t="shared" si="353"/>
        <v>#REF!</v>
      </c>
      <c r="AF220" s="14" t="e">
        <f t="shared" si="353"/>
        <v>#REF!</v>
      </c>
      <c r="AG220" s="14" t="e">
        <f t="shared" si="353"/>
        <v>#REF!</v>
      </c>
      <c r="AH220" s="14" t="e">
        <f t="shared" si="353"/>
        <v>#REF!</v>
      </c>
      <c r="AI220" s="14" t="e">
        <f t="shared" si="353"/>
        <v>#REF!</v>
      </c>
      <c r="AJ220" s="14" t="e">
        <f t="shared" si="353"/>
        <v>#REF!</v>
      </c>
      <c r="AK220" s="14" t="e">
        <f t="shared" si="353"/>
        <v>#REF!</v>
      </c>
      <c r="AL220" s="14" t="e">
        <f t="shared" si="353"/>
        <v>#REF!</v>
      </c>
      <c r="AM220" s="14" t="e">
        <f t="shared" si="353"/>
        <v>#REF!</v>
      </c>
      <c r="AN220" s="14" t="e">
        <f t="shared" si="353"/>
        <v>#REF!</v>
      </c>
      <c r="AO220" s="14" t="e">
        <f t="shared" si="353"/>
        <v>#REF!</v>
      </c>
      <c r="AP220" s="14" t="e">
        <f t="shared" si="353"/>
        <v>#REF!</v>
      </c>
      <c r="AQ220" s="14" t="e">
        <f t="shared" si="353"/>
        <v>#REF!</v>
      </c>
      <c r="AR220" s="14" t="e">
        <f t="shared" si="353"/>
        <v>#REF!</v>
      </c>
      <c r="AS220" s="14" t="e">
        <f t="shared" si="353"/>
        <v>#REF!</v>
      </c>
      <c r="AT220" s="14" t="e">
        <f t="shared" si="353"/>
        <v>#REF!</v>
      </c>
      <c r="AU220" s="14" t="e">
        <f t="shared" si="353"/>
        <v>#REF!</v>
      </c>
      <c r="AV220" s="14" t="e">
        <f t="shared" si="353"/>
        <v>#REF!</v>
      </c>
      <c r="AW220" s="14" t="e">
        <f t="shared" si="353"/>
        <v>#REF!</v>
      </c>
      <c r="AX220" s="14" t="e">
        <f t="shared" si="353"/>
        <v>#REF!</v>
      </c>
      <c r="AY220" s="14" t="e">
        <f t="shared" si="353"/>
        <v>#REF!</v>
      </c>
      <c r="AZ220" s="14" t="e">
        <f t="shared" si="353"/>
        <v>#REF!</v>
      </c>
      <c r="BA220" s="14" t="e">
        <f t="shared" si="353"/>
        <v>#REF!</v>
      </c>
      <c r="BB220" s="14" t="e">
        <f t="shared" si="353"/>
        <v>#REF!</v>
      </c>
      <c r="BC220" s="14" t="e">
        <f t="shared" si="353"/>
        <v>#REF!</v>
      </c>
      <c r="BD220" s="14" t="e">
        <f t="shared" si="353"/>
        <v>#REF!</v>
      </c>
      <c r="BE220" s="14" t="e">
        <f t="shared" si="353"/>
        <v>#REF!</v>
      </c>
      <c r="BF220" s="14" t="e">
        <f t="shared" si="353"/>
        <v>#REF!</v>
      </c>
      <c r="BG220" s="14" t="e">
        <f t="shared" si="353"/>
        <v>#REF!</v>
      </c>
      <c r="BH220" s="14" t="e">
        <f t="shared" si="353"/>
        <v>#REF!</v>
      </c>
      <c r="BI220" s="14" t="e">
        <f t="shared" si="353"/>
        <v>#REF!</v>
      </c>
      <c r="BJ220" s="14" t="e">
        <f t="shared" si="353"/>
        <v>#REF!</v>
      </c>
      <c r="BK220"/>
      <c r="BL220" s="5"/>
    </row>
    <row r="221" spans="1:64">
      <c r="A221"/>
      <c r="B221" s="3" t="s">
        <v>401</v>
      </c>
      <c r="C221" s="13" t="e">
        <f>SUM(C214:C220)</f>
        <v>#REF!</v>
      </c>
      <c r="D221" s="13" t="e">
        <f t="shared" ref="D221:BJ221" si="354">SUM(D214:D220)</f>
        <v>#REF!</v>
      </c>
      <c r="E221" s="13" t="e">
        <f t="shared" si="354"/>
        <v>#REF!</v>
      </c>
      <c r="F221" s="13" t="e">
        <f t="shared" si="354"/>
        <v>#REF!</v>
      </c>
      <c r="G221" s="13" t="e">
        <f t="shared" si="354"/>
        <v>#REF!</v>
      </c>
      <c r="H221" s="13" t="e">
        <f t="shared" si="354"/>
        <v>#REF!</v>
      </c>
      <c r="I221" s="13" t="e">
        <f t="shared" si="354"/>
        <v>#REF!</v>
      </c>
      <c r="J221" s="13" t="e">
        <f t="shared" si="354"/>
        <v>#REF!</v>
      </c>
      <c r="K221" s="13" t="e">
        <f t="shared" si="354"/>
        <v>#REF!</v>
      </c>
      <c r="L221" s="13" t="e">
        <f t="shared" si="354"/>
        <v>#REF!</v>
      </c>
      <c r="M221" s="13" t="e">
        <f t="shared" si="354"/>
        <v>#REF!</v>
      </c>
      <c r="N221" s="13" t="e">
        <f t="shared" si="354"/>
        <v>#REF!</v>
      </c>
      <c r="O221" s="13" t="e">
        <f t="shared" si="354"/>
        <v>#REF!</v>
      </c>
      <c r="P221" s="13" t="e">
        <f t="shared" si="354"/>
        <v>#REF!</v>
      </c>
      <c r="Q221" s="13" t="e">
        <f t="shared" si="354"/>
        <v>#REF!</v>
      </c>
      <c r="R221" s="13" t="e">
        <f t="shared" si="354"/>
        <v>#REF!</v>
      </c>
      <c r="S221" s="13" t="e">
        <f t="shared" si="354"/>
        <v>#REF!</v>
      </c>
      <c r="T221" s="13" t="e">
        <f t="shared" si="354"/>
        <v>#REF!</v>
      </c>
      <c r="U221" s="13" t="e">
        <f t="shared" si="354"/>
        <v>#REF!</v>
      </c>
      <c r="V221" s="13" t="e">
        <f t="shared" si="354"/>
        <v>#REF!</v>
      </c>
      <c r="W221" s="13" t="e">
        <f t="shared" si="354"/>
        <v>#REF!</v>
      </c>
      <c r="X221" s="13" t="e">
        <f t="shared" si="354"/>
        <v>#REF!</v>
      </c>
      <c r="Y221" s="13" t="e">
        <f t="shared" si="354"/>
        <v>#REF!</v>
      </c>
      <c r="Z221" s="13" t="e">
        <f t="shared" si="354"/>
        <v>#REF!</v>
      </c>
      <c r="AA221" s="13" t="e">
        <f t="shared" si="354"/>
        <v>#REF!</v>
      </c>
      <c r="AB221" s="13" t="e">
        <f t="shared" si="354"/>
        <v>#REF!</v>
      </c>
      <c r="AC221" s="13" t="e">
        <f t="shared" si="354"/>
        <v>#REF!</v>
      </c>
      <c r="AD221" s="13" t="e">
        <f t="shared" si="354"/>
        <v>#REF!</v>
      </c>
      <c r="AE221" s="13" t="e">
        <f t="shared" si="354"/>
        <v>#REF!</v>
      </c>
      <c r="AF221" s="13" t="e">
        <f t="shared" si="354"/>
        <v>#REF!</v>
      </c>
      <c r="AG221" s="13" t="e">
        <f t="shared" si="354"/>
        <v>#REF!</v>
      </c>
      <c r="AH221" s="13" t="e">
        <f t="shared" si="354"/>
        <v>#REF!</v>
      </c>
      <c r="AI221" s="13" t="e">
        <f t="shared" si="354"/>
        <v>#REF!</v>
      </c>
      <c r="AJ221" s="13" t="e">
        <f t="shared" si="354"/>
        <v>#REF!</v>
      </c>
      <c r="AK221" s="13" t="e">
        <f t="shared" si="354"/>
        <v>#REF!</v>
      </c>
      <c r="AL221" s="13" t="e">
        <f t="shared" si="354"/>
        <v>#REF!</v>
      </c>
      <c r="AM221" s="13" t="e">
        <f t="shared" si="354"/>
        <v>#REF!</v>
      </c>
      <c r="AN221" s="13" t="e">
        <f t="shared" si="354"/>
        <v>#REF!</v>
      </c>
      <c r="AO221" s="13" t="e">
        <f t="shared" si="354"/>
        <v>#REF!</v>
      </c>
      <c r="AP221" s="13" t="e">
        <f t="shared" si="354"/>
        <v>#REF!</v>
      </c>
      <c r="AQ221" s="13" t="e">
        <f t="shared" si="354"/>
        <v>#REF!</v>
      </c>
      <c r="AR221" s="13" t="e">
        <f t="shared" si="354"/>
        <v>#REF!</v>
      </c>
      <c r="AS221" s="13" t="e">
        <f t="shared" si="354"/>
        <v>#REF!</v>
      </c>
      <c r="AT221" s="13" t="e">
        <f t="shared" si="354"/>
        <v>#REF!</v>
      </c>
      <c r="AU221" s="13" t="e">
        <f t="shared" si="354"/>
        <v>#REF!</v>
      </c>
      <c r="AV221" s="13" t="e">
        <f t="shared" si="354"/>
        <v>#REF!</v>
      </c>
      <c r="AW221" s="13" t="e">
        <f t="shared" si="354"/>
        <v>#REF!</v>
      </c>
      <c r="AX221" s="13" t="e">
        <f t="shared" si="354"/>
        <v>#REF!</v>
      </c>
      <c r="AY221" s="13" t="e">
        <f t="shared" si="354"/>
        <v>#REF!</v>
      </c>
      <c r="AZ221" s="13" t="e">
        <f t="shared" si="354"/>
        <v>#REF!</v>
      </c>
      <c r="BA221" s="13" t="e">
        <f t="shared" si="354"/>
        <v>#REF!</v>
      </c>
      <c r="BB221" s="13" t="e">
        <f t="shared" si="354"/>
        <v>#REF!</v>
      </c>
      <c r="BC221" s="13" t="e">
        <f t="shared" si="354"/>
        <v>#REF!</v>
      </c>
      <c r="BD221" s="13" t="e">
        <f t="shared" si="354"/>
        <v>#REF!</v>
      </c>
      <c r="BE221" s="13" t="e">
        <f t="shared" si="354"/>
        <v>#REF!</v>
      </c>
      <c r="BF221" s="13" t="e">
        <f t="shared" si="354"/>
        <v>#REF!</v>
      </c>
      <c r="BG221" s="13" t="e">
        <f t="shared" si="354"/>
        <v>#REF!</v>
      </c>
      <c r="BH221" s="13" t="e">
        <f t="shared" si="354"/>
        <v>#REF!</v>
      </c>
      <c r="BI221" s="13" t="e">
        <f t="shared" si="354"/>
        <v>#REF!</v>
      </c>
      <c r="BJ221" s="13" t="e">
        <f t="shared" si="354"/>
        <v>#REF!</v>
      </c>
      <c r="BK221"/>
      <c r="BL221" s="5"/>
    </row>
    <row r="222" spans="1:64">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s="5"/>
    </row>
    <row r="223" spans="1:64">
      <c r="A223"/>
      <c r="B223" t="s">
        <v>408</v>
      </c>
      <c r="C223" s="30">
        <f>IFERROR(MAX(0,MIN(C211,(C224/$G$27)*$F$27)),0)</f>
        <v>0</v>
      </c>
      <c r="D223" s="30">
        <f t="shared" ref="D223:BJ223" si="355">IFERROR(MAX(0,MIN(D211,(D224/$G$27)*$F$27)),0)</f>
        <v>0</v>
      </c>
      <c r="E223" s="30">
        <f t="shared" si="355"/>
        <v>0</v>
      </c>
      <c r="F223" s="30">
        <f t="shared" si="355"/>
        <v>0</v>
      </c>
      <c r="G223" s="30">
        <f t="shared" si="355"/>
        <v>0</v>
      </c>
      <c r="H223" s="30">
        <f t="shared" si="355"/>
        <v>0</v>
      </c>
      <c r="I223" s="30">
        <f t="shared" si="355"/>
        <v>0</v>
      </c>
      <c r="J223" s="30">
        <f t="shared" si="355"/>
        <v>0</v>
      </c>
      <c r="K223" s="30">
        <f t="shared" si="355"/>
        <v>0</v>
      </c>
      <c r="L223" s="30">
        <f t="shared" si="355"/>
        <v>0</v>
      </c>
      <c r="M223" s="30">
        <f t="shared" si="355"/>
        <v>0</v>
      </c>
      <c r="N223" s="30">
        <f t="shared" si="355"/>
        <v>0</v>
      </c>
      <c r="O223" s="30">
        <f t="shared" si="355"/>
        <v>0</v>
      </c>
      <c r="P223" s="30">
        <f t="shared" si="355"/>
        <v>0</v>
      </c>
      <c r="Q223" s="30">
        <f t="shared" si="355"/>
        <v>0</v>
      </c>
      <c r="R223" s="30">
        <f t="shared" si="355"/>
        <v>0</v>
      </c>
      <c r="S223" s="30">
        <f t="shared" si="355"/>
        <v>0</v>
      </c>
      <c r="T223" s="30">
        <f t="shared" si="355"/>
        <v>0</v>
      </c>
      <c r="U223" s="30">
        <f t="shared" si="355"/>
        <v>0</v>
      </c>
      <c r="V223" s="30">
        <f t="shared" si="355"/>
        <v>0</v>
      </c>
      <c r="W223" s="30">
        <f t="shared" si="355"/>
        <v>0</v>
      </c>
      <c r="X223" s="30">
        <f t="shared" si="355"/>
        <v>0</v>
      </c>
      <c r="Y223" s="30">
        <f t="shared" si="355"/>
        <v>0</v>
      </c>
      <c r="Z223" s="30">
        <f t="shared" si="355"/>
        <v>0</v>
      </c>
      <c r="AA223" s="30">
        <f t="shared" si="355"/>
        <v>0</v>
      </c>
      <c r="AB223" s="30">
        <f t="shared" si="355"/>
        <v>0</v>
      </c>
      <c r="AC223" s="30">
        <f t="shared" si="355"/>
        <v>0</v>
      </c>
      <c r="AD223" s="30">
        <f t="shared" si="355"/>
        <v>0</v>
      </c>
      <c r="AE223" s="30">
        <f t="shared" si="355"/>
        <v>0</v>
      </c>
      <c r="AF223" s="30">
        <f t="shared" si="355"/>
        <v>0</v>
      </c>
      <c r="AG223" s="30">
        <f t="shared" si="355"/>
        <v>0</v>
      </c>
      <c r="AH223" s="30">
        <f t="shared" si="355"/>
        <v>0</v>
      </c>
      <c r="AI223" s="30">
        <f t="shared" si="355"/>
        <v>0</v>
      </c>
      <c r="AJ223" s="30">
        <f t="shared" si="355"/>
        <v>0</v>
      </c>
      <c r="AK223" s="30">
        <f t="shared" si="355"/>
        <v>0</v>
      </c>
      <c r="AL223" s="30">
        <f t="shared" si="355"/>
        <v>0</v>
      </c>
      <c r="AM223" s="30">
        <f t="shared" si="355"/>
        <v>0</v>
      </c>
      <c r="AN223" s="30">
        <f t="shared" si="355"/>
        <v>0</v>
      </c>
      <c r="AO223" s="30">
        <f t="shared" si="355"/>
        <v>0</v>
      </c>
      <c r="AP223" s="30">
        <f t="shared" si="355"/>
        <v>0</v>
      </c>
      <c r="AQ223" s="30">
        <f t="shared" si="355"/>
        <v>0</v>
      </c>
      <c r="AR223" s="30">
        <f t="shared" si="355"/>
        <v>0</v>
      </c>
      <c r="AS223" s="30">
        <f t="shared" si="355"/>
        <v>0</v>
      </c>
      <c r="AT223" s="30">
        <f t="shared" si="355"/>
        <v>0</v>
      </c>
      <c r="AU223" s="30">
        <f t="shared" si="355"/>
        <v>0</v>
      </c>
      <c r="AV223" s="30">
        <f t="shared" si="355"/>
        <v>0</v>
      </c>
      <c r="AW223" s="30">
        <f t="shared" si="355"/>
        <v>0</v>
      </c>
      <c r="AX223" s="30">
        <f t="shared" si="355"/>
        <v>0</v>
      </c>
      <c r="AY223" s="30">
        <f t="shared" si="355"/>
        <v>0</v>
      </c>
      <c r="AZ223" s="30">
        <f t="shared" si="355"/>
        <v>0</v>
      </c>
      <c r="BA223" s="30">
        <f t="shared" si="355"/>
        <v>0</v>
      </c>
      <c r="BB223" s="30">
        <f t="shared" si="355"/>
        <v>0</v>
      </c>
      <c r="BC223" s="30">
        <f t="shared" si="355"/>
        <v>0</v>
      </c>
      <c r="BD223" s="30">
        <f t="shared" si="355"/>
        <v>0</v>
      </c>
      <c r="BE223" s="30">
        <f t="shared" si="355"/>
        <v>0</v>
      </c>
      <c r="BF223" s="30">
        <f t="shared" si="355"/>
        <v>0</v>
      </c>
      <c r="BG223" s="30">
        <f t="shared" si="355"/>
        <v>0</v>
      </c>
      <c r="BH223" s="30">
        <f t="shared" si="355"/>
        <v>0</v>
      </c>
      <c r="BI223" s="30">
        <f t="shared" si="355"/>
        <v>0</v>
      </c>
      <c r="BJ223" s="30">
        <f t="shared" si="355"/>
        <v>0</v>
      </c>
      <c r="BK223"/>
      <c r="BL223" s="5"/>
    </row>
    <row r="224" spans="1:64">
      <c r="A224"/>
      <c r="B224" t="s">
        <v>409</v>
      </c>
      <c r="C224" s="30" t="e">
        <f>-C220</f>
        <v>#REF!</v>
      </c>
      <c r="D224" s="30" t="e">
        <f t="shared" ref="D224:BJ224" si="356">-D220</f>
        <v>#REF!</v>
      </c>
      <c r="E224" s="30" t="e">
        <f t="shared" si="356"/>
        <v>#REF!</v>
      </c>
      <c r="F224" s="30" t="e">
        <f t="shared" si="356"/>
        <v>#REF!</v>
      </c>
      <c r="G224" s="30" t="e">
        <f t="shared" si="356"/>
        <v>#REF!</v>
      </c>
      <c r="H224" s="30" t="e">
        <f t="shared" si="356"/>
        <v>#REF!</v>
      </c>
      <c r="I224" s="30" t="e">
        <f t="shared" si="356"/>
        <v>#REF!</v>
      </c>
      <c r="J224" s="30" t="e">
        <f t="shared" si="356"/>
        <v>#REF!</v>
      </c>
      <c r="K224" s="30" t="e">
        <f t="shared" si="356"/>
        <v>#REF!</v>
      </c>
      <c r="L224" s="30" t="e">
        <f t="shared" si="356"/>
        <v>#REF!</v>
      </c>
      <c r="M224" s="30" t="e">
        <f t="shared" si="356"/>
        <v>#REF!</v>
      </c>
      <c r="N224" s="30" t="e">
        <f t="shared" si="356"/>
        <v>#REF!</v>
      </c>
      <c r="O224" s="30" t="e">
        <f t="shared" si="356"/>
        <v>#REF!</v>
      </c>
      <c r="P224" s="30" t="e">
        <f t="shared" si="356"/>
        <v>#REF!</v>
      </c>
      <c r="Q224" s="30" t="e">
        <f t="shared" si="356"/>
        <v>#REF!</v>
      </c>
      <c r="R224" s="30" t="e">
        <f t="shared" si="356"/>
        <v>#REF!</v>
      </c>
      <c r="S224" s="30" t="e">
        <f t="shared" si="356"/>
        <v>#REF!</v>
      </c>
      <c r="T224" s="30" t="e">
        <f t="shared" si="356"/>
        <v>#REF!</v>
      </c>
      <c r="U224" s="30" t="e">
        <f t="shared" si="356"/>
        <v>#REF!</v>
      </c>
      <c r="V224" s="30" t="e">
        <f t="shared" si="356"/>
        <v>#REF!</v>
      </c>
      <c r="W224" s="30" t="e">
        <f t="shared" si="356"/>
        <v>#REF!</v>
      </c>
      <c r="X224" s="30" t="e">
        <f t="shared" si="356"/>
        <v>#REF!</v>
      </c>
      <c r="Y224" s="30" t="e">
        <f t="shared" si="356"/>
        <v>#REF!</v>
      </c>
      <c r="Z224" s="30" t="e">
        <f t="shared" si="356"/>
        <v>#REF!</v>
      </c>
      <c r="AA224" s="30" t="e">
        <f t="shared" si="356"/>
        <v>#REF!</v>
      </c>
      <c r="AB224" s="30" t="e">
        <f t="shared" si="356"/>
        <v>#REF!</v>
      </c>
      <c r="AC224" s="30" t="e">
        <f t="shared" si="356"/>
        <v>#REF!</v>
      </c>
      <c r="AD224" s="30" t="e">
        <f t="shared" si="356"/>
        <v>#REF!</v>
      </c>
      <c r="AE224" s="30" t="e">
        <f t="shared" si="356"/>
        <v>#REF!</v>
      </c>
      <c r="AF224" s="30" t="e">
        <f t="shared" si="356"/>
        <v>#REF!</v>
      </c>
      <c r="AG224" s="30" t="e">
        <f t="shared" si="356"/>
        <v>#REF!</v>
      </c>
      <c r="AH224" s="30" t="e">
        <f t="shared" si="356"/>
        <v>#REF!</v>
      </c>
      <c r="AI224" s="30" t="e">
        <f t="shared" si="356"/>
        <v>#REF!</v>
      </c>
      <c r="AJ224" s="30" t="e">
        <f t="shared" si="356"/>
        <v>#REF!</v>
      </c>
      <c r="AK224" s="30" t="e">
        <f t="shared" si="356"/>
        <v>#REF!</v>
      </c>
      <c r="AL224" s="30" t="e">
        <f t="shared" si="356"/>
        <v>#REF!</v>
      </c>
      <c r="AM224" s="30" t="e">
        <f t="shared" si="356"/>
        <v>#REF!</v>
      </c>
      <c r="AN224" s="30" t="e">
        <f t="shared" si="356"/>
        <v>#REF!</v>
      </c>
      <c r="AO224" s="30" t="e">
        <f t="shared" si="356"/>
        <v>#REF!</v>
      </c>
      <c r="AP224" s="30" t="e">
        <f t="shared" si="356"/>
        <v>#REF!</v>
      </c>
      <c r="AQ224" s="30" t="e">
        <f t="shared" si="356"/>
        <v>#REF!</v>
      </c>
      <c r="AR224" s="30" t="e">
        <f t="shared" si="356"/>
        <v>#REF!</v>
      </c>
      <c r="AS224" s="30" t="e">
        <f t="shared" si="356"/>
        <v>#REF!</v>
      </c>
      <c r="AT224" s="30" t="e">
        <f t="shared" si="356"/>
        <v>#REF!</v>
      </c>
      <c r="AU224" s="30" t="e">
        <f t="shared" si="356"/>
        <v>#REF!</v>
      </c>
      <c r="AV224" s="30" t="e">
        <f t="shared" si="356"/>
        <v>#REF!</v>
      </c>
      <c r="AW224" s="30" t="e">
        <f t="shared" si="356"/>
        <v>#REF!</v>
      </c>
      <c r="AX224" s="30" t="e">
        <f t="shared" si="356"/>
        <v>#REF!</v>
      </c>
      <c r="AY224" s="30" t="e">
        <f t="shared" si="356"/>
        <v>#REF!</v>
      </c>
      <c r="AZ224" s="30" t="e">
        <f t="shared" si="356"/>
        <v>#REF!</v>
      </c>
      <c r="BA224" s="30" t="e">
        <f t="shared" si="356"/>
        <v>#REF!</v>
      </c>
      <c r="BB224" s="30" t="e">
        <f t="shared" si="356"/>
        <v>#REF!</v>
      </c>
      <c r="BC224" s="30" t="e">
        <f t="shared" si="356"/>
        <v>#REF!</v>
      </c>
      <c r="BD224" s="30" t="e">
        <f t="shared" si="356"/>
        <v>#REF!</v>
      </c>
      <c r="BE224" s="30" t="e">
        <f t="shared" si="356"/>
        <v>#REF!</v>
      </c>
      <c r="BF224" s="30" t="e">
        <f t="shared" si="356"/>
        <v>#REF!</v>
      </c>
      <c r="BG224" s="30" t="e">
        <f t="shared" si="356"/>
        <v>#REF!</v>
      </c>
      <c r="BH224" s="30" t="e">
        <f t="shared" si="356"/>
        <v>#REF!</v>
      </c>
      <c r="BI224" s="30" t="e">
        <f t="shared" si="356"/>
        <v>#REF!</v>
      </c>
      <c r="BJ224" s="30" t="e">
        <f t="shared" si="356"/>
        <v>#REF!</v>
      </c>
      <c r="BK224"/>
      <c r="BL224" s="5"/>
    </row>
    <row r="225" spans="1:64">
      <c r="A225"/>
      <c r="B225" s="3" t="s">
        <v>410</v>
      </c>
      <c r="C225" s="13" t="e">
        <f>SUM(C223:C224)</f>
        <v>#REF!</v>
      </c>
      <c r="D225" s="13" t="e">
        <f>SUM(D223:D224)</f>
        <v>#REF!</v>
      </c>
      <c r="E225" s="13" t="e">
        <f t="shared" ref="E225" si="357">SUM(E223:E224)</f>
        <v>#REF!</v>
      </c>
      <c r="F225" s="13" t="e">
        <f t="shared" ref="F225" si="358">SUM(F223:F224)</f>
        <v>#REF!</v>
      </c>
      <c r="G225" s="13" t="e">
        <f t="shared" ref="G225" si="359">SUM(G223:G224)</f>
        <v>#REF!</v>
      </c>
      <c r="H225" s="13" t="e">
        <f t="shared" ref="H225" si="360">SUM(H223:H224)</f>
        <v>#REF!</v>
      </c>
      <c r="I225" s="13" t="e">
        <f t="shared" ref="I225" si="361">SUM(I223:I224)</f>
        <v>#REF!</v>
      </c>
      <c r="J225" s="13" t="e">
        <f t="shared" ref="J225" si="362">SUM(J223:J224)</f>
        <v>#REF!</v>
      </c>
      <c r="K225" s="13" t="e">
        <f t="shared" ref="K225" si="363">SUM(K223:K224)</f>
        <v>#REF!</v>
      </c>
      <c r="L225" s="13" t="e">
        <f t="shared" ref="L225" si="364">SUM(L223:L224)</f>
        <v>#REF!</v>
      </c>
      <c r="M225" s="13" t="e">
        <f t="shared" ref="M225" si="365">SUM(M223:M224)</f>
        <v>#REF!</v>
      </c>
      <c r="N225" s="13" t="e">
        <f t="shared" ref="N225" si="366">SUM(N223:N224)</f>
        <v>#REF!</v>
      </c>
      <c r="O225" s="13" t="e">
        <f t="shared" ref="O225" si="367">SUM(O223:O224)</f>
        <v>#REF!</v>
      </c>
      <c r="P225" s="13" t="e">
        <f t="shared" ref="P225" si="368">SUM(P223:P224)</f>
        <v>#REF!</v>
      </c>
      <c r="Q225" s="13" t="e">
        <f t="shared" ref="Q225" si="369">SUM(Q223:Q224)</f>
        <v>#REF!</v>
      </c>
      <c r="R225" s="13" t="e">
        <f t="shared" ref="R225" si="370">SUM(R223:R224)</f>
        <v>#REF!</v>
      </c>
      <c r="S225" s="13" t="e">
        <f t="shared" ref="S225" si="371">SUM(S223:S224)</f>
        <v>#REF!</v>
      </c>
      <c r="T225" s="13" t="e">
        <f t="shared" ref="T225" si="372">SUM(T223:T224)</f>
        <v>#REF!</v>
      </c>
      <c r="U225" s="13" t="e">
        <f t="shared" ref="U225" si="373">SUM(U223:U224)</f>
        <v>#REF!</v>
      </c>
      <c r="V225" s="13" t="e">
        <f t="shared" ref="V225" si="374">SUM(V223:V224)</f>
        <v>#REF!</v>
      </c>
      <c r="W225" s="13" t="e">
        <f t="shared" ref="W225" si="375">SUM(W223:W224)</f>
        <v>#REF!</v>
      </c>
      <c r="X225" s="13" t="e">
        <f t="shared" ref="X225" si="376">SUM(X223:X224)</f>
        <v>#REF!</v>
      </c>
      <c r="Y225" s="13" t="e">
        <f t="shared" ref="Y225" si="377">SUM(Y223:Y224)</f>
        <v>#REF!</v>
      </c>
      <c r="Z225" s="13" t="e">
        <f t="shared" ref="Z225" si="378">SUM(Z223:Z224)</f>
        <v>#REF!</v>
      </c>
      <c r="AA225" s="13" t="e">
        <f t="shared" ref="AA225" si="379">SUM(AA223:AA224)</f>
        <v>#REF!</v>
      </c>
      <c r="AB225" s="13" t="e">
        <f t="shared" ref="AB225" si="380">SUM(AB223:AB224)</f>
        <v>#REF!</v>
      </c>
      <c r="AC225" s="13" t="e">
        <f t="shared" ref="AC225" si="381">SUM(AC223:AC224)</f>
        <v>#REF!</v>
      </c>
      <c r="AD225" s="13" t="e">
        <f t="shared" ref="AD225" si="382">SUM(AD223:AD224)</f>
        <v>#REF!</v>
      </c>
      <c r="AE225" s="13" t="e">
        <f t="shared" ref="AE225" si="383">SUM(AE223:AE224)</f>
        <v>#REF!</v>
      </c>
      <c r="AF225" s="13" t="e">
        <f t="shared" ref="AF225" si="384">SUM(AF223:AF224)</f>
        <v>#REF!</v>
      </c>
      <c r="AG225" s="13" t="e">
        <f t="shared" ref="AG225" si="385">SUM(AG223:AG224)</f>
        <v>#REF!</v>
      </c>
      <c r="AH225" s="13" t="e">
        <f t="shared" ref="AH225" si="386">SUM(AH223:AH224)</f>
        <v>#REF!</v>
      </c>
      <c r="AI225" s="13" t="e">
        <f t="shared" ref="AI225" si="387">SUM(AI223:AI224)</f>
        <v>#REF!</v>
      </c>
      <c r="AJ225" s="13" t="e">
        <f t="shared" ref="AJ225" si="388">SUM(AJ223:AJ224)</f>
        <v>#REF!</v>
      </c>
      <c r="AK225" s="13" t="e">
        <f t="shared" ref="AK225" si="389">SUM(AK223:AK224)</f>
        <v>#REF!</v>
      </c>
      <c r="AL225" s="13" t="e">
        <f t="shared" ref="AL225" si="390">SUM(AL223:AL224)</f>
        <v>#REF!</v>
      </c>
      <c r="AM225" s="13" t="e">
        <f t="shared" ref="AM225" si="391">SUM(AM223:AM224)</f>
        <v>#REF!</v>
      </c>
      <c r="AN225" s="13" t="e">
        <f t="shared" ref="AN225" si="392">SUM(AN223:AN224)</f>
        <v>#REF!</v>
      </c>
      <c r="AO225" s="13" t="e">
        <f t="shared" ref="AO225" si="393">SUM(AO223:AO224)</f>
        <v>#REF!</v>
      </c>
      <c r="AP225" s="13" t="e">
        <f t="shared" ref="AP225" si="394">SUM(AP223:AP224)</f>
        <v>#REF!</v>
      </c>
      <c r="AQ225" s="13" t="e">
        <f t="shared" ref="AQ225" si="395">SUM(AQ223:AQ224)</f>
        <v>#REF!</v>
      </c>
      <c r="AR225" s="13" t="e">
        <f t="shared" ref="AR225" si="396">SUM(AR223:AR224)</f>
        <v>#REF!</v>
      </c>
      <c r="AS225" s="13" t="e">
        <f t="shared" ref="AS225" si="397">SUM(AS223:AS224)</f>
        <v>#REF!</v>
      </c>
      <c r="AT225" s="13" t="e">
        <f t="shared" ref="AT225" si="398">SUM(AT223:AT224)</f>
        <v>#REF!</v>
      </c>
      <c r="AU225" s="13" t="e">
        <f t="shared" ref="AU225" si="399">SUM(AU223:AU224)</f>
        <v>#REF!</v>
      </c>
      <c r="AV225" s="13" t="e">
        <f t="shared" ref="AV225" si="400">SUM(AV223:AV224)</f>
        <v>#REF!</v>
      </c>
      <c r="AW225" s="13" t="e">
        <f t="shared" ref="AW225" si="401">SUM(AW223:AW224)</f>
        <v>#REF!</v>
      </c>
      <c r="AX225" s="13" t="e">
        <f t="shared" ref="AX225" si="402">SUM(AX223:AX224)</f>
        <v>#REF!</v>
      </c>
      <c r="AY225" s="13" t="e">
        <f t="shared" ref="AY225" si="403">SUM(AY223:AY224)</f>
        <v>#REF!</v>
      </c>
      <c r="AZ225" s="13" t="e">
        <f t="shared" ref="AZ225" si="404">SUM(AZ223:AZ224)</f>
        <v>#REF!</v>
      </c>
      <c r="BA225" s="13" t="e">
        <f t="shared" ref="BA225" si="405">SUM(BA223:BA224)</f>
        <v>#REF!</v>
      </c>
      <c r="BB225" s="13" t="e">
        <f t="shared" ref="BB225" si="406">SUM(BB223:BB224)</f>
        <v>#REF!</v>
      </c>
      <c r="BC225" s="13" t="e">
        <f t="shared" ref="BC225" si="407">SUM(BC223:BC224)</f>
        <v>#REF!</v>
      </c>
      <c r="BD225" s="13" t="e">
        <f t="shared" ref="BD225" si="408">SUM(BD223:BD224)</f>
        <v>#REF!</v>
      </c>
      <c r="BE225" s="13" t="e">
        <f t="shared" ref="BE225" si="409">SUM(BE223:BE224)</f>
        <v>#REF!</v>
      </c>
      <c r="BF225" s="13" t="e">
        <f t="shared" ref="BF225" si="410">SUM(BF223:BF224)</f>
        <v>#REF!</v>
      </c>
      <c r="BG225" s="13" t="e">
        <f t="shared" ref="BG225" si="411">SUM(BG223:BG224)</f>
        <v>#REF!</v>
      </c>
      <c r="BH225" s="13" t="e">
        <f t="shared" ref="BH225" si="412">SUM(BH223:BH224)</f>
        <v>#REF!</v>
      </c>
      <c r="BI225" s="13" t="e">
        <f t="shared" ref="BI225" si="413">SUM(BI223:BI224)</f>
        <v>#REF!</v>
      </c>
      <c r="BJ225" s="13" t="e">
        <f t="shared" ref="BJ225" si="414">SUM(BJ223:BJ224)</f>
        <v>#REF!</v>
      </c>
      <c r="BK225"/>
      <c r="BL225" s="5"/>
    </row>
    <row r="226" spans="1:64">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s="5"/>
    </row>
    <row r="227" spans="1:64">
      <c r="A227"/>
      <c r="B227" t="s">
        <v>411</v>
      </c>
      <c r="C227" s="30" t="e">
        <f>C225*$E$27</f>
        <v>#REF!</v>
      </c>
      <c r="D227" s="30" t="e">
        <f t="shared" ref="D227:BJ227" si="415">D225*$E$27</f>
        <v>#REF!</v>
      </c>
      <c r="E227" s="30" t="e">
        <f t="shared" si="415"/>
        <v>#REF!</v>
      </c>
      <c r="F227" s="30" t="e">
        <f t="shared" si="415"/>
        <v>#REF!</v>
      </c>
      <c r="G227" s="30" t="e">
        <f t="shared" si="415"/>
        <v>#REF!</v>
      </c>
      <c r="H227" s="30" t="e">
        <f t="shared" si="415"/>
        <v>#REF!</v>
      </c>
      <c r="I227" s="30" t="e">
        <f t="shared" si="415"/>
        <v>#REF!</v>
      </c>
      <c r="J227" s="30" t="e">
        <f t="shared" si="415"/>
        <v>#REF!</v>
      </c>
      <c r="K227" s="30" t="e">
        <f t="shared" si="415"/>
        <v>#REF!</v>
      </c>
      <c r="L227" s="30" t="e">
        <f t="shared" si="415"/>
        <v>#REF!</v>
      </c>
      <c r="M227" s="30" t="e">
        <f t="shared" si="415"/>
        <v>#REF!</v>
      </c>
      <c r="N227" s="30" t="e">
        <f t="shared" si="415"/>
        <v>#REF!</v>
      </c>
      <c r="O227" s="30" t="e">
        <f t="shared" si="415"/>
        <v>#REF!</v>
      </c>
      <c r="P227" s="30" t="e">
        <f t="shared" si="415"/>
        <v>#REF!</v>
      </c>
      <c r="Q227" s="30" t="e">
        <f t="shared" si="415"/>
        <v>#REF!</v>
      </c>
      <c r="R227" s="30" t="e">
        <f t="shared" si="415"/>
        <v>#REF!</v>
      </c>
      <c r="S227" s="30" t="e">
        <f t="shared" si="415"/>
        <v>#REF!</v>
      </c>
      <c r="T227" s="30" t="e">
        <f t="shared" si="415"/>
        <v>#REF!</v>
      </c>
      <c r="U227" s="30" t="e">
        <f t="shared" si="415"/>
        <v>#REF!</v>
      </c>
      <c r="V227" s="30" t="e">
        <f t="shared" si="415"/>
        <v>#REF!</v>
      </c>
      <c r="W227" s="30" t="e">
        <f t="shared" si="415"/>
        <v>#REF!</v>
      </c>
      <c r="X227" s="30" t="e">
        <f t="shared" si="415"/>
        <v>#REF!</v>
      </c>
      <c r="Y227" s="30" t="e">
        <f t="shared" si="415"/>
        <v>#REF!</v>
      </c>
      <c r="Z227" s="30" t="e">
        <f t="shared" si="415"/>
        <v>#REF!</v>
      </c>
      <c r="AA227" s="30" t="e">
        <f t="shared" si="415"/>
        <v>#REF!</v>
      </c>
      <c r="AB227" s="30" t="e">
        <f t="shared" si="415"/>
        <v>#REF!</v>
      </c>
      <c r="AC227" s="30" t="e">
        <f t="shared" si="415"/>
        <v>#REF!</v>
      </c>
      <c r="AD227" s="30" t="e">
        <f t="shared" si="415"/>
        <v>#REF!</v>
      </c>
      <c r="AE227" s="30" t="e">
        <f t="shared" si="415"/>
        <v>#REF!</v>
      </c>
      <c r="AF227" s="30" t="e">
        <f t="shared" si="415"/>
        <v>#REF!</v>
      </c>
      <c r="AG227" s="30" t="e">
        <f t="shared" si="415"/>
        <v>#REF!</v>
      </c>
      <c r="AH227" s="30" t="e">
        <f t="shared" si="415"/>
        <v>#REF!</v>
      </c>
      <c r="AI227" s="30" t="e">
        <f t="shared" si="415"/>
        <v>#REF!</v>
      </c>
      <c r="AJ227" s="30" t="e">
        <f t="shared" si="415"/>
        <v>#REF!</v>
      </c>
      <c r="AK227" s="30" t="e">
        <f t="shared" si="415"/>
        <v>#REF!</v>
      </c>
      <c r="AL227" s="30" t="e">
        <f t="shared" si="415"/>
        <v>#REF!</v>
      </c>
      <c r="AM227" s="30" t="e">
        <f t="shared" si="415"/>
        <v>#REF!</v>
      </c>
      <c r="AN227" s="30" t="e">
        <f t="shared" si="415"/>
        <v>#REF!</v>
      </c>
      <c r="AO227" s="30" t="e">
        <f t="shared" si="415"/>
        <v>#REF!</v>
      </c>
      <c r="AP227" s="30" t="e">
        <f t="shared" si="415"/>
        <v>#REF!</v>
      </c>
      <c r="AQ227" s="30" t="e">
        <f t="shared" si="415"/>
        <v>#REF!</v>
      </c>
      <c r="AR227" s="30" t="e">
        <f t="shared" si="415"/>
        <v>#REF!</v>
      </c>
      <c r="AS227" s="30" t="e">
        <f t="shared" si="415"/>
        <v>#REF!</v>
      </c>
      <c r="AT227" s="30" t="e">
        <f t="shared" si="415"/>
        <v>#REF!</v>
      </c>
      <c r="AU227" s="30" t="e">
        <f t="shared" si="415"/>
        <v>#REF!</v>
      </c>
      <c r="AV227" s="30" t="e">
        <f t="shared" si="415"/>
        <v>#REF!</v>
      </c>
      <c r="AW227" s="30" t="e">
        <f t="shared" si="415"/>
        <v>#REF!</v>
      </c>
      <c r="AX227" s="30" t="e">
        <f t="shared" si="415"/>
        <v>#REF!</v>
      </c>
      <c r="AY227" s="30" t="e">
        <f t="shared" si="415"/>
        <v>#REF!</v>
      </c>
      <c r="AZ227" s="30" t="e">
        <f t="shared" si="415"/>
        <v>#REF!</v>
      </c>
      <c r="BA227" s="30" t="e">
        <f t="shared" si="415"/>
        <v>#REF!</v>
      </c>
      <c r="BB227" s="30" t="e">
        <f t="shared" si="415"/>
        <v>#REF!</v>
      </c>
      <c r="BC227" s="30" t="e">
        <f t="shared" si="415"/>
        <v>#REF!</v>
      </c>
      <c r="BD227" s="30" t="e">
        <f t="shared" si="415"/>
        <v>#REF!</v>
      </c>
      <c r="BE227" s="30" t="e">
        <f t="shared" si="415"/>
        <v>#REF!</v>
      </c>
      <c r="BF227" s="30" t="e">
        <f t="shared" si="415"/>
        <v>#REF!</v>
      </c>
      <c r="BG227" s="30" t="e">
        <f t="shared" si="415"/>
        <v>#REF!</v>
      </c>
      <c r="BH227" s="30" t="e">
        <f t="shared" si="415"/>
        <v>#REF!</v>
      </c>
      <c r="BI227" s="30" t="e">
        <f t="shared" si="415"/>
        <v>#REF!</v>
      </c>
      <c r="BJ227" s="30" t="e">
        <f t="shared" si="415"/>
        <v>#REF!</v>
      </c>
      <c r="BK227"/>
      <c r="BL227" s="5"/>
    </row>
    <row r="228" spans="1:64">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s="5"/>
    </row>
    <row r="229" spans="1:64">
      <c r="A229"/>
      <c r="B229" s="28" t="e">
        <f>TEXT($B$28,"")</f>
        <v>#REF!</v>
      </c>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s="5"/>
    </row>
    <row r="230" spans="1:64">
      <c r="A230"/>
      <c r="B230" t="s">
        <v>349</v>
      </c>
      <c r="C230" s="30" t="e">
        <f>+C210-C225</f>
        <v>#REF!</v>
      </c>
      <c r="D230" s="30" t="e">
        <f t="shared" ref="D230:BJ230" si="416">+D210-D225</f>
        <v>#REF!</v>
      </c>
      <c r="E230" s="30" t="e">
        <f t="shared" si="416"/>
        <v>#REF!</v>
      </c>
      <c r="F230" s="30" t="e">
        <f t="shared" si="416"/>
        <v>#REF!</v>
      </c>
      <c r="G230" s="30" t="e">
        <f t="shared" si="416"/>
        <v>#REF!</v>
      </c>
      <c r="H230" s="30" t="e">
        <f t="shared" si="416"/>
        <v>#REF!</v>
      </c>
      <c r="I230" s="30" t="e">
        <f t="shared" si="416"/>
        <v>#REF!</v>
      </c>
      <c r="J230" s="30" t="e">
        <f t="shared" si="416"/>
        <v>#REF!</v>
      </c>
      <c r="K230" s="30" t="e">
        <f t="shared" si="416"/>
        <v>#REF!</v>
      </c>
      <c r="L230" s="30" t="e">
        <f t="shared" si="416"/>
        <v>#REF!</v>
      </c>
      <c r="M230" s="30" t="e">
        <f t="shared" si="416"/>
        <v>#REF!</v>
      </c>
      <c r="N230" s="30" t="e">
        <f t="shared" si="416"/>
        <v>#REF!</v>
      </c>
      <c r="O230" s="30" t="e">
        <f t="shared" si="416"/>
        <v>#REF!</v>
      </c>
      <c r="P230" s="30" t="e">
        <f t="shared" si="416"/>
        <v>#REF!</v>
      </c>
      <c r="Q230" s="30" t="e">
        <f t="shared" si="416"/>
        <v>#REF!</v>
      </c>
      <c r="R230" s="30" t="e">
        <f t="shared" si="416"/>
        <v>#REF!</v>
      </c>
      <c r="S230" s="30" t="e">
        <f t="shared" si="416"/>
        <v>#REF!</v>
      </c>
      <c r="T230" s="30" t="e">
        <f t="shared" si="416"/>
        <v>#REF!</v>
      </c>
      <c r="U230" s="30" t="e">
        <f t="shared" si="416"/>
        <v>#REF!</v>
      </c>
      <c r="V230" s="30" t="e">
        <f t="shared" si="416"/>
        <v>#REF!</v>
      </c>
      <c r="W230" s="30" t="e">
        <f t="shared" si="416"/>
        <v>#REF!</v>
      </c>
      <c r="X230" s="30" t="e">
        <f t="shared" si="416"/>
        <v>#REF!</v>
      </c>
      <c r="Y230" s="30" t="e">
        <f t="shared" si="416"/>
        <v>#REF!</v>
      </c>
      <c r="Z230" s="30" t="e">
        <f t="shared" si="416"/>
        <v>#REF!</v>
      </c>
      <c r="AA230" s="30" t="e">
        <f t="shared" si="416"/>
        <v>#REF!</v>
      </c>
      <c r="AB230" s="30" t="e">
        <f t="shared" si="416"/>
        <v>#REF!</v>
      </c>
      <c r="AC230" s="30" t="e">
        <f t="shared" si="416"/>
        <v>#REF!</v>
      </c>
      <c r="AD230" s="30" t="e">
        <f t="shared" si="416"/>
        <v>#REF!</v>
      </c>
      <c r="AE230" s="30" t="e">
        <f t="shared" si="416"/>
        <v>#REF!</v>
      </c>
      <c r="AF230" s="30" t="e">
        <f t="shared" si="416"/>
        <v>#REF!</v>
      </c>
      <c r="AG230" s="30" t="e">
        <f t="shared" si="416"/>
        <v>#REF!</v>
      </c>
      <c r="AH230" s="30" t="e">
        <f t="shared" si="416"/>
        <v>#REF!</v>
      </c>
      <c r="AI230" s="30" t="e">
        <f t="shared" si="416"/>
        <v>#REF!</v>
      </c>
      <c r="AJ230" s="30" t="e">
        <f t="shared" si="416"/>
        <v>#REF!</v>
      </c>
      <c r="AK230" s="30" t="e">
        <f t="shared" si="416"/>
        <v>#REF!</v>
      </c>
      <c r="AL230" s="30" t="e">
        <f t="shared" si="416"/>
        <v>#REF!</v>
      </c>
      <c r="AM230" s="30" t="e">
        <f t="shared" si="416"/>
        <v>#REF!</v>
      </c>
      <c r="AN230" s="30" t="e">
        <f t="shared" si="416"/>
        <v>#REF!</v>
      </c>
      <c r="AO230" s="30" t="e">
        <f t="shared" si="416"/>
        <v>#REF!</v>
      </c>
      <c r="AP230" s="30" t="e">
        <f t="shared" si="416"/>
        <v>#REF!</v>
      </c>
      <c r="AQ230" s="30" t="e">
        <f t="shared" si="416"/>
        <v>#REF!</v>
      </c>
      <c r="AR230" s="30" t="e">
        <f t="shared" si="416"/>
        <v>#REF!</v>
      </c>
      <c r="AS230" s="30" t="e">
        <f t="shared" si="416"/>
        <v>#REF!</v>
      </c>
      <c r="AT230" s="30" t="e">
        <f t="shared" si="416"/>
        <v>#REF!</v>
      </c>
      <c r="AU230" s="30" t="e">
        <f t="shared" si="416"/>
        <v>#REF!</v>
      </c>
      <c r="AV230" s="30" t="e">
        <f t="shared" si="416"/>
        <v>#REF!</v>
      </c>
      <c r="AW230" s="30" t="e">
        <f t="shared" si="416"/>
        <v>#REF!</v>
      </c>
      <c r="AX230" s="30" t="e">
        <f t="shared" si="416"/>
        <v>#REF!</v>
      </c>
      <c r="AY230" s="30" t="e">
        <f t="shared" si="416"/>
        <v>#REF!</v>
      </c>
      <c r="AZ230" s="30" t="e">
        <f t="shared" si="416"/>
        <v>#REF!</v>
      </c>
      <c r="BA230" s="30" t="e">
        <f t="shared" si="416"/>
        <v>#REF!</v>
      </c>
      <c r="BB230" s="30" t="e">
        <f t="shared" si="416"/>
        <v>#REF!</v>
      </c>
      <c r="BC230" s="30" t="e">
        <f t="shared" si="416"/>
        <v>#REF!</v>
      </c>
      <c r="BD230" s="30" t="e">
        <f t="shared" si="416"/>
        <v>#REF!</v>
      </c>
      <c r="BE230" s="30" t="e">
        <f t="shared" si="416"/>
        <v>#REF!</v>
      </c>
      <c r="BF230" s="30" t="e">
        <f t="shared" si="416"/>
        <v>#REF!</v>
      </c>
      <c r="BG230" s="30" t="e">
        <f t="shared" si="416"/>
        <v>#REF!</v>
      </c>
      <c r="BH230" s="30" t="e">
        <f t="shared" si="416"/>
        <v>#REF!</v>
      </c>
      <c r="BI230" s="30" t="e">
        <f t="shared" si="416"/>
        <v>#REF!</v>
      </c>
      <c r="BJ230" s="30" t="e">
        <f t="shared" si="416"/>
        <v>#REF!</v>
      </c>
      <c r="BK230"/>
      <c r="BL230" s="5"/>
    </row>
    <row r="231" spans="1:64">
      <c r="A231"/>
      <c r="B231" s="75" t="s">
        <v>372</v>
      </c>
      <c r="C231" s="107" t="e">
        <f>C230*$F$28</f>
        <v>#REF!</v>
      </c>
      <c r="D231" s="107" t="e">
        <f t="shared" ref="D231:BJ231" si="417">D230*$F$28</f>
        <v>#REF!</v>
      </c>
      <c r="E231" s="107" t="e">
        <f t="shared" si="417"/>
        <v>#REF!</v>
      </c>
      <c r="F231" s="107" t="e">
        <f t="shared" si="417"/>
        <v>#REF!</v>
      </c>
      <c r="G231" s="107" t="e">
        <f t="shared" si="417"/>
        <v>#REF!</v>
      </c>
      <c r="H231" s="107" t="e">
        <f t="shared" si="417"/>
        <v>#REF!</v>
      </c>
      <c r="I231" s="107" t="e">
        <f t="shared" si="417"/>
        <v>#REF!</v>
      </c>
      <c r="J231" s="107" t="e">
        <f t="shared" si="417"/>
        <v>#REF!</v>
      </c>
      <c r="K231" s="107" t="e">
        <f t="shared" si="417"/>
        <v>#REF!</v>
      </c>
      <c r="L231" s="107" t="e">
        <f t="shared" si="417"/>
        <v>#REF!</v>
      </c>
      <c r="M231" s="107" t="e">
        <f t="shared" si="417"/>
        <v>#REF!</v>
      </c>
      <c r="N231" s="107" t="e">
        <f t="shared" si="417"/>
        <v>#REF!</v>
      </c>
      <c r="O231" s="107" t="e">
        <f t="shared" si="417"/>
        <v>#REF!</v>
      </c>
      <c r="P231" s="107" t="e">
        <f t="shared" si="417"/>
        <v>#REF!</v>
      </c>
      <c r="Q231" s="107" t="e">
        <f t="shared" si="417"/>
        <v>#REF!</v>
      </c>
      <c r="R231" s="107" t="e">
        <f t="shared" si="417"/>
        <v>#REF!</v>
      </c>
      <c r="S231" s="107" t="e">
        <f t="shared" si="417"/>
        <v>#REF!</v>
      </c>
      <c r="T231" s="107" t="e">
        <f t="shared" si="417"/>
        <v>#REF!</v>
      </c>
      <c r="U231" s="107" t="e">
        <f t="shared" si="417"/>
        <v>#REF!</v>
      </c>
      <c r="V231" s="107" t="e">
        <f t="shared" si="417"/>
        <v>#REF!</v>
      </c>
      <c r="W231" s="107" t="e">
        <f t="shared" si="417"/>
        <v>#REF!</v>
      </c>
      <c r="X231" s="107" t="e">
        <f t="shared" si="417"/>
        <v>#REF!</v>
      </c>
      <c r="Y231" s="107" t="e">
        <f t="shared" si="417"/>
        <v>#REF!</v>
      </c>
      <c r="Z231" s="107" t="e">
        <f t="shared" si="417"/>
        <v>#REF!</v>
      </c>
      <c r="AA231" s="107" t="e">
        <f t="shared" si="417"/>
        <v>#REF!</v>
      </c>
      <c r="AB231" s="107" t="e">
        <f t="shared" si="417"/>
        <v>#REF!</v>
      </c>
      <c r="AC231" s="107" t="e">
        <f t="shared" si="417"/>
        <v>#REF!</v>
      </c>
      <c r="AD231" s="107" t="e">
        <f t="shared" si="417"/>
        <v>#REF!</v>
      </c>
      <c r="AE231" s="107" t="e">
        <f t="shared" si="417"/>
        <v>#REF!</v>
      </c>
      <c r="AF231" s="107" t="e">
        <f t="shared" si="417"/>
        <v>#REF!</v>
      </c>
      <c r="AG231" s="107" t="e">
        <f t="shared" si="417"/>
        <v>#REF!</v>
      </c>
      <c r="AH231" s="107" t="e">
        <f t="shared" si="417"/>
        <v>#REF!</v>
      </c>
      <c r="AI231" s="107" t="e">
        <f t="shared" si="417"/>
        <v>#REF!</v>
      </c>
      <c r="AJ231" s="107" t="e">
        <f t="shared" si="417"/>
        <v>#REF!</v>
      </c>
      <c r="AK231" s="107" t="e">
        <f t="shared" si="417"/>
        <v>#REF!</v>
      </c>
      <c r="AL231" s="107" t="e">
        <f t="shared" si="417"/>
        <v>#REF!</v>
      </c>
      <c r="AM231" s="107" t="e">
        <f t="shared" si="417"/>
        <v>#REF!</v>
      </c>
      <c r="AN231" s="107" t="e">
        <f t="shared" si="417"/>
        <v>#REF!</v>
      </c>
      <c r="AO231" s="107" t="e">
        <f t="shared" si="417"/>
        <v>#REF!</v>
      </c>
      <c r="AP231" s="107" t="e">
        <f t="shared" si="417"/>
        <v>#REF!</v>
      </c>
      <c r="AQ231" s="107" t="e">
        <f t="shared" si="417"/>
        <v>#REF!</v>
      </c>
      <c r="AR231" s="107" t="e">
        <f t="shared" si="417"/>
        <v>#REF!</v>
      </c>
      <c r="AS231" s="107" t="e">
        <f t="shared" si="417"/>
        <v>#REF!</v>
      </c>
      <c r="AT231" s="107" t="e">
        <f t="shared" si="417"/>
        <v>#REF!</v>
      </c>
      <c r="AU231" s="107" t="e">
        <f t="shared" si="417"/>
        <v>#REF!</v>
      </c>
      <c r="AV231" s="107" t="e">
        <f t="shared" si="417"/>
        <v>#REF!</v>
      </c>
      <c r="AW231" s="107" t="e">
        <f t="shared" si="417"/>
        <v>#REF!</v>
      </c>
      <c r="AX231" s="107" t="e">
        <f t="shared" si="417"/>
        <v>#REF!</v>
      </c>
      <c r="AY231" s="107" t="e">
        <f t="shared" si="417"/>
        <v>#REF!</v>
      </c>
      <c r="AZ231" s="107" t="e">
        <f t="shared" si="417"/>
        <v>#REF!</v>
      </c>
      <c r="BA231" s="107" t="e">
        <f t="shared" si="417"/>
        <v>#REF!</v>
      </c>
      <c r="BB231" s="107" t="e">
        <f t="shared" si="417"/>
        <v>#REF!</v>
      </c>
      <c r="BC231" s="107" t="e">
        <f t="shared" si="417"/>
        <v>#REF!</v>
      </c>
      <c r="BD231" s="107" t="e">
        <f t="shared" si="417"/>
        <v>#REF!</v>
      </c>
      <c r="BE231" s="107" t="e">
        <f t="shared" si="417"/>
        <v>#REF!</v>
      </c>
      <c r="BF231" s="107" t="e">
        <f t="shared" si="417"/>
        <v>#REF!</v>
      </c>
      <c r="BG231" s="107" t="e">
        <f t="shared" si="417"/>
        <v>#REF!</v>
      </c>
      <c r="BH231" s="107" t="e">
        <f t="shared" si="417"/>
        <v>#REF!</v>
      </c>
      <c r="BI231" s="107" t="e">
        <f t="shared" si="417"/>
        <v>#REF!</v>
      </c>
      <c r="BJ231" s="107" t="e">
        <f t="shared" si="417"/>
        <v>#REF!</v>
      </c>
      <c r="BK231"/>
      <c r="BL231" s="5"/>
    </row>
    <row r="232" spans="1:64">
      <c r="A232"/>
      <c r="B232" s="75" t="s">
        <v>373</v>
      </c>
      <c r="C232" s="107" t="e">
        <f>+C230*$G$28</f>
        <v>#REF!</v>
      </c>
      <c r="D232" s="107" t="e">
        <f t="shared" ref="D232:BJ232" si="418">+D230*$G$28</f>
        <v>#REF!</v>
      </c>
      <c r="E232" s="107" t="e">
        <f t="shared" si="418"/>
        <v>#REF!</v>
      </c>
      <c r="F232" s="107" t="e">
        <f t="shared" si="418"/>
        <v>#REF!</v>
      </c>
      <c r="G232" s="107" t="e">
        <f t="shared" si="418"/>
        <v>#REF!</v>
      </c>
      <c r="H232" s="107" t="e">
        <f t="shared" si="418"/>
        <v>#REF!</v>
      </c>
      <c r="I232" s="107" t="e">
        <f t="shared" si="418"/>
        <v>#REF!</v>
      </c>
      <c r="J232" s="107" t="e">
        <f t="shared" si="418"/>
        <v>#REF!</v>
      </c>
      <c r="K232" s="107" t="e">
        <f t="shared" si="418"/>
        <v>#REF!</v>
      </c>
      <c r="L232" s="107" t="e">
        <f t="shared" si="418"/>
        <v>#REF!</v>
      </c>
      <c r="M232" s="107" t="e">
        <f t="shared" si="418"/>
        <v>#REF!</v>
      </c>
      <c r="N232" s="107" t="e">
        <f t="shared" si="418"/>
        <v>#REF!</v>
      </c>
      <c r="O232" s="107" t="e">
        <f t="shared" si="418"/>
        <v>#REF!</v>
      </c>
      <c r="P232" s="107" t="e">
        <f t="shared" si="418"/>
        <v>#REF!</v>
      </c>
      <c r="Q232" s="107" t="e">
        <f t="shared" si="418"/>
        <v>#REF!</v>
      </c>
      <c r="R232" s="107" t="e">
        <f t="shared" si="418"/>
        <v>#REF!</v>
      </c>
      <c r="S232" s="107" t="e">
        <f t="shared" si="418"/>
        <v>#REF!</v>
      </c>
      <c r="T232" s="107" t="e">
        <f t="shared" si="418"/>
        <v>#REF!</v>
      </c>
      <c r="U232" s="107" t="e">
        <f t="shared" si="418"/>
        <v>#REF!</v>
      </c>
      <c r="V232" s="107" t="e">
        <f t="shared" si="418"/>
        <v>#REF!</v>
      </c>
      <c r="W232" s="107" t="e">
        <f t="shared" si="418"/>
        <v>#REF!</v>
      </c>
      <c r="X232" s="107" t="e">
        <f t="shared" si="418"/>
        <v>#REF!</v>
      </c>
      <c r="Y232" s="107" t="e">
        <f t="shared" si="418"/>
        <v>#REF!</v>
      </c>
      <c r="Z232" s="107" t="e">
        <f t="shared" si="418"/>
        <v>#REF!</v>
      </c>
      <c r="AA232" s="107" t="e">
        <f t="shared" si="418"/>
        <v>#REF!</v>
      </c>
      <c r="AB232" s="107" t="e">
        <f t="shared" si="418"/>
        <v>#REF!</v>
      </c>
      <c r="AC232" s="107" t="e">
        <f t="shared" si="418"/>
        <v>#REF!</v>
      </c>
      <c r="AD232" s="107" t="e">
        <f t="shared" si="418"/>
        <v>#REF!</v>
      </c>
      <c r="AE232" s="107" t="e">
        <f t="shared" si="418"/>
        <v>#REF!</v>
      </c>
      <c r="AF232" s="107" t="e">
        <f t="shared" si="418"/>
        <v>#REF!</v>
      </c>
      <c r="AG232" s="107" t="e">
        <f t="shared" si="418"/>
        <v>#REF!</v>
      </c>
      <c r="AH232" s="107" t="e">
        <f t="shared" si="418"/>
        <v>#REF!</v>
      </c>
      <c r="AI232" s="107" t="e">
        <f t="shared" si="418"/>
        <v>#REF!</v>
      </c>
      <c r="AJ232" s="107" t="e">
        <f t="shared" si="418"/>
        <v>#REF!</v>
      </c>
      <c r="AK232" s="107" t="e">
        <f t="shared" si="418"/>
        <v>#REF!</v>
      </c>
      <c r="AL232" s="107" t="e">
        <f t="shared" si="418"/>
        <v>#REF!</v>
      </c>
      <c r="AM232" s="107" t="e">
        <f t="shared" si="418"/>
        <v>#REF!</v>
      </c>
      <c r="AN232" s="107" t="e">
        <f t="shared" si="418"/>
        <v>#REF!</v>
      </c>
      <c r="AO232" s="107" t="e">
        <f t="shared" si="418"/>
        <v>#REF!</v>
      </c>
      <c r="AP232" s="107" t="e">
        <f t="shared" si="418"/>
        <v>#REF!</v>
      </c>
      <c r="AQ232" s="107" t="e">
        <f t="shared" si="418"/>
        <v>#REF!</v>
      </c>
      <c r="AR232" s="107" t="e">
        <f t="shared" si="418"/>
        <v>#REF!</v>
      </c>
      <c r="AS232" s="107" t="e">
        <f t="shared" si="418"/>
        <v>#REF!</v>
      </c>
      <c r="AT232" s="107" t="e">
        <f t="shared" si="418"/>
        <v>#REF!</v>
      </c>
      <c r="AU232" s="107" t="e">
        <f t="shared" si="418"/>
        <v>#REF!</v>
      </c>
      <c r="AV232" s="107" t="e">
        <f t="shared" si="418"/>
        <v>#REF!</v>
      </c>
      <c r="AW232" s="107" t="e">
        <f t="shared" si="418"/>
        <v>#REF!</v>
      </c>
      <c r="AX232" s="107" t="e">
        <f t="shared" si="418"/>
        <v>#REF!</v>
      </c>
      <c r="AY232" s="107" t="e">
        <f t="shared" si="418"/>
        <v>#REF!</v>
      </c>
      <c r="AZ232" s="107" t="e">
        <f t="shared" si="418"/>
        <v>#REF!</v>
      </c>
      <c r="BA232" s="107" t="e">
        <f t="shared" si="418"/>
        <v>#REF!</v>
      </c>
      <c r="BB232" s="107" t="e">
        <f t="shared" si="418"/>
        <v>#REF!</v>
      </c>
      <c r="BC232" s="107" t="e">
        <f t="shared" si="418"/>
        <v>#REF!</v>
      </c>
      <c r="BD232" s="107" t="e">
        <f t="shared" si="418"/>
        <v>#REF!</v>
      </c>
      <c r="BE232" s="107" t="e">
        <f t="shared" si="418"/>
        <v>#REF!</v>
      </c>
      <c r="BF232" s="107" t="e">
        <f t="shared" si="418"/>
        <v>#REF!</v>
      </c>
      <c r="BG232" s="107" t="e">
        <f t="shared" si="418"/>
        <v>#REF!</v>
      </c>
      <c r="BH232" s="107" t="e">
        <f t="shared" si="418"/>
        <v>#REF!</v>
      </c>
      <c r="BI232" s="107" t="e">
        <f t="shared" si="418"/>
        <v>#REF!</v>
      </c>
      <c r="BJ232" s="107" t="e">
        <f t="shared" si="418"/>
        <v>#REF!</v>
      </c>
      <c r="BK232"/>
      <c r="BL232" s="5"/>
    </row>
    <row r="233" spans="1:64">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s="5"/>
    </row>
    <row r="234" spans="1:64">
      <c r="A234"/>
      <c r="B234" t="s">
        <v>412</v>
      </c>
      <c r="C234" s="30" t="e">
        <f>+C231</f>
        <v>#REF!</v>
      </c>
      <c r="D234" s="30" t="e">
        <f t="shared" ref="D234:BJ234" si="419">+D231</f>
        <v>#REF!</v>
      </c>
      <c r="E234" s="30" t="e">
        <f t="shared" si="419"/>
        <v>#REF!</v>
      </c>
      <c r="F234" s="30" t="e">
        <f t="shared" si="419"/>
        <v>#REF!</v>
      </c>
      <c r="G234" s="30" t="e">
        <f t="shared" si="419"/>
        <v>#REF!</v>
      </c>
      <c r="H234" s="30" t="e">
        <f t="shared" si="419"/>
        <v>#REF!</v>
      </c>
      <c r="I234" s="30" t="e">
        <f t="shared" si="419"/>
        <v>#REF!</v>
      </c>
      <c r="J234" s="30" t="e">
        <f t="shared" si="419"/>
        <v>#REF!</v>
      </c>
      <c r="K234" s="30" t="e">
        <f t="shared" si="419"/>
        <v>#REF!</v>
      </c>
      <c r="L234" s="30" t="e">
        <f t="shared" si="419"/>
        <v>#REF!</v>
      </c>
      <c r="M234" s="30" t="e">
        <f t="shared" si="419"/>
        <v>#REF!</v>
      </c>
      <c r="N234" s="30" t="e">
        <f t="shared" si="419"/>
        <v>#REF!</v>
      </c>
      <c r="O234" s="30" t="e">
        <f t="shared" si="419"/>
        <v>#REF!</v>
      </c>
      <c r="P234" s="30" t="e">
        <f t="shared" si="419"/>
        <v>#REF!</v>
      </c>
      <c r="Q234" s="30" t="e">
        <f t="shared" si="419"/>
        <v>#REF!</v>
      </c>
      <c r="R234" s="30" t="e">
        <f t="shared" si="419"/>
        <v>#REF!</v>
      </c>
      <c r="S234" s="30" t="e">
        <f t="shared" si="419"/>
        <v>#REF!</v>
      </c>
      <c r="T234" s="30" t="e">
        <f t="shared" si="419"/>
        <v>#REF!</v>
      </c>
      <c r="U234" s="30" t="e">
        <f t="shared" si="419"/>
        <v>#REF!</v>
      </c>
      <c r="V234" s="30" t="e">
        <f t="shared" si="419"/>
        <v>#REF!</v>
      </c>
      <c r="W234" s="30" t="e">
        <f t="shared" si="419"/>
        <v>#REF!</v>
      </c>
      <c r="X234" s="30" t="e">
        <f t="shared" si="419"/>
        <v>#REF!</v>
      </c>
      <c r="Y234" s="30" t="e">
        <f t="shared" si="419"/>
        <v>#REF!</v>
      </c>
      <c r="Z234" s="30" t="e">
        <f t="shared" si="419"/>
        <v>#REF!</v>
      </c>
      <c r="AA234" s="30" t="e">
        <f t="shared" si="419"/>
        <v>#REF!</v>
      </c>
      <c r="AB234" s="30" t="e">
        <f t="shared" si="419"/>
        <v>#REF!</v>
      </c>
      <c r="AC234" s="30" t="e">
        <f t="shared" si="419"/>
        <v>#REF!</v>
      </c>
      <c r="AD234" s="30" t="e">
        <f t="shared" si="419"/>
        <v>#REF!</v>
      </c>
      <c r="AE234" s="30" t="e">
        <f t="shared" si="419"/>
        <v>#REF!</v>
      </c>
      <c r="AF234" s="30" t="e">
        <f t="shared" si="419"/>
        <v>#REF!</v>
      </c>
      <c r="AG234" s="30" t="e">
        <f t="shared" si="419"/>
        <v>#REF!</v>
      </c>
      <c r="AH234" s="30" t="e">
        <f t="shared" si="419"/>
        <v>#REF!</v>
      </c>
      <c r="AI234" s="30" t="e">
        <f t="shared" si="419"/>
        <v>#REF!</v>
      </c>
      <c r="AJ234" s="30" t="e">
        <f t="shared" si="419"/>
        <v>#REF!</v>
      </c>
      <c r="AK234" s="30" t="e">
        <f t="shared" si="419"/>
        <v>#REF!</v>
      </c>
      <c r="AL234" s="30" t="e">
        <f t="shared" si="419"/>
        <v>#REF!</v>
      </c>
      <c r="AM234" s="30" t="e">
        <f t="shared" si="419"/>
        <v>#REF!</v>
      </c>
      <c r="AN234" s="30" t="e">
        <f t="shared" si="419"/>
        <v>#REF!</v>
      </c>
      <c r="AO234" s="30" t="e">
        <f t="shared" si="419"/>
        <v>#REF!</v>
      </c>
      <c r="AP234" s="30" t="e">
        <f t="shared" si="419"/>
        <v>#REF!</v>
      </c>
      <c r="AQ234" s="30" t="e">
        <f t="shared" si="419"/>
        <v>#REF!</v>
      </c>
      <c r="AR234" s="30" t="e">
        <f t="shared" si="419"/>
        <v>#REF!</v>
      </c>
      <c r="AS234" s="30" t="e">
        <f t="shared" si="419"/>
        <v>#REF!</v>
      </c>
      <c r="AT234" s="30" t="e">
        <f t="shared" si="419"/>
        <v>#REF!</v>
      </c>
      <c r="AU234" s="30" t="e">
        <f t="shared" si="419"/>
        <v>#REF!</v>
      </c>
      <c r="AV234" s="30" t="e">
        <f t="shared" si="419"/>
        <v>#REF!</v>
      </c>
      <c r="AW234" s="30" t="e">
        <f t="shared" si="419"/>
        <v>#REF!</v>
      </c>
      <c r="AX234" s="30" t="e">
        <f t="shared" si="419"/>
        <v>#REF!</v>
      </c>
      <c r="AY234" s="30" t="e">
        <f t="shared" si="419"/>
        <v>#REF!</v>
      </c>
      <c r="AZ234" s="30" t="e">
        <f t="shared" si="419"/>
        <v>#REF!</v>
      </c>
      <c r="BA234" s="30" t="e">
        <f t="shared" si="419"/>
        <v>#REF!</v>
      </c>
      <c r="BB234" s="30" t="e">
        <f t="shared" si="419"/>
        <v>#REF!</v>
      </c>
      <c r="BC234" s="30" t="e">
        <f t="shared" si="419"/>
        <v>#REF!</v>
      </c>
      <c r="BD234" s="30" t="e">
        <f t="shared" si="419"/>
        <v>#REF!</v>
      </c>
      <c r="BE234" s="30" t="e">
        <f t="shared" si="419"/>
        <v>#REF!</v>
      </c>
      <c r="BF234" s="30" t="e">
        <f t="shared" si="419"/>
        <v>#REF!</v>
      </c>
      <c r="BG234" s="30" t="e">
        <f t="shared" si="419"/>
        <v>#REF!</v>
      </c>
      <c r="BH234" s="30" t="e">
        <f t="shared" si="419"/>
        <v>#REF!</v>
      </c>
      <c r="BI234" s="30" t="e">
        <f t="shared" si="419"/>
        <v>#REF!</v>
      </c>
      <c r="BJ234" s="30" t="e">
        <f t="shared" si="419"/>
        <v>#REF!</v>
      </c>
      <c r="BK234"/>
      <c r="BL234" s="5"/>
    </row>
    <row r="235" spans="1:64">
      <c r="A235"/>
      <c r="B235" t="s">
        <v>413</v>
      </c>
      <c r="C235" s="30" t="e">
        <f>+C232</f>
        <v>#REF!</v>
      </c>
      <c r="D235" s="30" t="e">
        <f t="shared" ref="D235:BJ235" si="420">+D232</f>
        <v>#REF!</v>
      </c>
      <c r="E235" s="30" t="e">
        <f t="shared" si="420"/>
        <v>#REF!</v>
      </c>
      <c r="F235" s="30" t="e">
        <f t="shared" si="420"/>
        <v>#REF!</v>
      </c>
      <c r="G235" s="30" t="e">
        <f t="shared" si="420"/>
        <v>#REF!</v>
      </c>
      <c r="H235" s="30" t="e">
        <f t="shared" si="420"/>
        <v>#REF!</v>
      </c>
      <c r="I235" s="30" t="e">
        <f t="shared" si="420"/>
        <v>#REF!</v>
      </c>
      <c r="J235" s="30" t="e">
        <f t="shared" si="420"/>
        <v>#REF!</v>
      </c>
      <c r="K235" s="30" t="e">
        <f t="shared" si="420"/>
        <v>#REF!</v>
      </c>
      <c r="L235" s="30" t="e">
        <f t="shared" si="420"/>
        <v>#REF!</v>
      </c>
      <c r="M235" s="30" t="e">
        <f t="shared" si="420"/>
        <v>#REF!</v>
      </c>
      <c r="N235" s="30" t="e">
        <f t="shared" si="420"/>
        <v>#REF!</v>
      </c>
      <c r="O235" s="30" t="e">
        <f t="shared" si="420"/>
        <v>#REF!</v>
      </c>
      <c r="P235" s="30" t="e">
        <f t="shared" si="420"/>
        <v>#REF!</v>
      </c>
      <c r="Q235" s="30" t="e">
        <f t="shared" si="420"/>
        <v>#REF!</v>
      </c>
      <c r="R235" s="30" t="e">
        <f t="shared" si="420"/>
        <v>#REF!</v>
      </c>
      <c r="S235" s="30" t="e">
        <f t="shared" si="420"/>
        <v>#REF!</v>
      </c>
      <c r="T235" s="30" t="e">
        <f t="shared" si="420"/>
        <v>#REF!</v>
      </c>
      <c r="U235" s="30" t="e">
        <f t="shared" si="420"/>
        <v>#REF!</v>
      </c>
      <c r="V235" s="30" t="e">
        <f t="shared" si="420"/>
        <v>#REF!</v>
      </c>
      <c r="W235" s="30" t="e">
        <f t="shared" si="420"/>
        <v>#REF!</v>
      </c>
      <c r="X235" s="30" t="e">
        <f t="shared" si="420"/>
        <v>#REF!</v>
      </c>
      <c r="Y235" s="30" t="e">
        <f t="shared" si="420"/>
        <v>#REF!</v>
      </c>
      <c r="Z235" s="30" t="e">
        <f t="shared" si="420"/>
        <v>#REF!</v>
      </c>
      <c r="AA235" s="30" t="e">
        <f t="shared" si="420"/>
        <v>#REF!</v>
      </c>
      <c r="AB235" s="30" t="e">
        <f t="shared" si="420"/>
        <v>#REF!</v>
      </c>
      <c r="AC235" s="30" t="e">
        <f t="shared" si="420"/>
        <v>#REF!</v>
      </c>
      <c r="AD235" s="30" t="e">
        <f t="shared" si="420"/>
        <v>#REF!</v>
      </c>
      <c r="AE235" s="30" t="e">
        <f t="shared" si="420"/>
        <v>#REF!</v>
      </c>
      <c r="AF235" s="30" t="e">
        <f t="shared" si="420"/>
        <v>#REF!</v>
      </c>
      <c r="AG235" s="30" t="e">
        <f t="shared" si="420"/>
        <v>#REF!</v>
      </c>
      <c r="AH235" s="30" t="e">
        <f t="shared" si="420"/>
        <v>#REF!</v>
      </c>
      <c r="AI235" s="30" t="e">
        <f t="shared" si="420"/>
        <v>#REF!</v>
      </c>
      <c r="AJ235" s="30" t="e">
        <f t="shared" si="420"/>
        <v>#REF!</v>
      </c>
      <c r="AK235" s="30" t="e">
        <f t="shared" si="420"/>
        <v>#REF!</v>
      </c>
      <c r="AL235" s="30" t="e">
        <f t="shared" si="420"/>
        <v>#REF!</v>
      </c>
      <c r="AM235" s="30" t="e">
        <f t="shared" si="420"/>
        <v>#REF!</v>
      </c>
      <c r="AN235" s="30" t="e">
        <f t="shared" si="420"/>
        <v>#REF!</v>
      </c>
      <c r="AO235" s="30" t="e">
        <f t="shared" si="420"/>
        <v>#REF!</v>
      </c>
      <c r="AP235" s="30" t="e">
        <f t="shared" si="420"/>
        <v>#REF!</v>
      </c>
      <c r="AQ235" s="30" t="e">
        <f t="shared" si="420"/>
        <v>#REF!</v>
      </c>
      <c r="AR235" s="30" t="e">
        <f t="shared" si="420"/>
        <v>#REF!</v>
      </c>
      <c r="AS235" s="30" t="e">
        <f t="shared" si="420"/>
        <v>#REF!</v>
      </c>
      <c r="AT235" s="30" t="e">
        <f t="shared" si="420"/>
        <v>#REF!</v>
      </c>
      <c r="AU235" s="30" t="e">
        <f t="shared" si="420"/>
        <v>#REF!</v>
      </c>
      <c r="AV235" s="30" t="e">
        <f t="shared" si="420"/>
        <v>#REF!</v>
      </c>
      <c r="AW235" s="30" t="e">
        <f t="shared" si="420"/>
        <v>#REF!</v>
      </c>
      <c r="AX235" s="30" t="e">
        <f t="shared" si="420"/>
        <v>#REF!</v>
      </c>
      <c r="AY235" s="30" t="e">
        <f t="shared" si="420"/>
        <v>#REF!</v>
      </c>
      <c r="AZ235" s="30" t="e">
        <f t="shared" si="420"/>
        <v>#REF!</v>
      </c>
      <c r="BA235" s="30" t="e">
        <f t="shared" si="420"/>
        <v>#REF!</v>
      </c>
      <c r="BB235" s="30" t="e">
        <f t="shared" si="420"/>
        <v>#REF!</v>
      </c>
      <c r="BC235" s="30" t="e">
        <f t="shared" si="420"/>
        <v>#REF!</v>
      </c>
      <c r="BD235" s="30" t="e">
        <f t="shared" si="420"/>
        <v>#REF!</v>
      </c>
      <c r="BE235" s="30" t="e">
        <f t="shared" si="420"/>
        <v>#REF!</v>
      </c>
      <c r="BF235" s="30" t="e">
        <f t="shared" si="420"/>
        <v>#REF!</v>
      </c>
      <c r="BG235" s="30" t="e">
        <f t="shared" si="420"/>
        <v>#REF!</v>
      </c>
      <c r="BH235" s="30" t="e">
        <f t="shared" si="420"/>
        <v>#REF!</v>
      </c>
      <c r="BI235" s="30" t="e">
        <f t="shared" si="420"/>
        <v>#REF!</v>
      </c>
      <c r="BJ235" s="30" t="e">
        <f t="shared" si="420"/>
        <v>#REF!</v>
      </c>
      <c r="BK235"/>
      <c r="BL235" s="5"/>
    </row>
    <row r="236" spans="1:64">
      <c r="A236"/>
      <c r="B236" s="3" t="s">
        <v>414</v>
      </c>
      <c r="C236" s="13" t="e">
        <f>SUM(C234:C235)</f>
        <v>#REF!</v>
      </c>
      <c r="D236" s="13" t="e">
        <f t="shared" ref="D236:BJ236" si="421">SUM(D234:D235)</f>
        <v>#REF!</v>
      </c>
      <c r="E236" s="13" t="e">
        <f t="shared" si="421"/>
        <v>#REF!</v>
      </c>
      <c r="F236" s="13" t="e">
        <f t="shared" si="421"/>
        <v>#REF!</v>
      </c>
      <c r="G236" s="13" t="e">
        <f t="shared" si="421"/>
        <v>#REF!</v>
      </c>
      <c r="H236" s="13" t="e">
        <f t="shared" si="421"/>
        <v>#REF!</v>
      </c>
      <c r="I236" s="13" t="e">
        <f t="shared" si="421"/>
        <v>#REF!</v>
      </c>
      <c r="J236" s="13" t="e">
        <f t="shared" si="421"/>
        <v>#REF!</v>
      </c>
      <c r="K236" s="13" t="e">
        <f t="shared" si="421"/>
        <v>#REF!</v>
      </c>
      <c r="L236" s="13" t="e">
        <f t="shared" si="421"/>
        <v>#REF!</v>
      </c>
      <c r="M236" s="13" t="e">
        <f t="shared" si="421"/>
        <v>#REF!</v>
      </c>
      <c r="N236" s="13" t="e">
        <f t="shared" si="421"/>
        <v>#REF!</v>
      </c>
      <c r="O236" s="13" t="e">
        <f t="shared" si="421"/>
        <v>#REF!</v>
      </c>
      <c r="P236" s="13" t="e">
        <f t="shared" si="421"/>
        <v>#REF!</v>
      </c>
      <c r="Q236" s="13" t="e">
        <f t="shared" si="421"/>
        <v>#REF!</v>
      </c>
      <c r="R236" s="13" t="e">
        <f t="shared" si="421"/>
        <v>#REF!</v>
      </c>
      <c r="S236" s="13" t="e">
        <f t="shared" si="421"/>
        <v>#REF!</v>
      </c>
      <c r="T236" s="13" t="e">
        <f t="shared" si="421"/>
        <v>#REF!</v>
      </c>
      <c r="U236" s="13" t="e">
        <f t="shared" si="421"/>
        <v>#REF!</v>
      </c>
      <c r="V236" s="13" t="e">
        <f t="shared" si="421"/>
        <v>#REF!</v>
      </c>
      <c r="W236" s="13" t="e">
        <f t="shared" si="421"/>
        <v>#REF!</v>
      </c>
      <c r="X236" s="13" t="e">
        <f t="shared" si="421"/>
        <v>#REF!</v>
      </c>
      <c r="Y236" s="13" t="e">
        <f t="shared" si="421"/>
        <v>#REF!</v>
      </c>
      <c r="Z236" s="13" t="e">
        <f t="shared" si="421"/>
        <v>#REF!</v>
      </c>
      <c r="AA236" s="13" t="e">
        <f t="shared" si="421"/>
        <v>#REF!</v>
      </c>
      <c r="AB236" s="13" t="e">
        <f t="shared" si="421"/>
        <v>#REF!</v>
      </c>
      <c r="AC236" s="13" t="e">
        <f t="shared" si="421"/>
        <v>#REF!</v>
      </c>
      <c r="AD236" s="13" t="e">
        <f t="shared" si="421"/>
        <v>#REF!</v>
      </c>
      <c r="AE236" s="13" t="e">
        <f t="shared" si="421"/>
        <v>#REF!</v>
      </c>
      <c r="AF236" s="13" t="e">
        <f t="shared" si="421"/>
        <v>#REF!</v>
      </c>
      <c r="AG236" s="13" t="e">
        <f t="shared" si="421"/>
        <v>#REF!</v>
      </c>
      <c r="AH236" s="13" t="e">
        <f t="shared" si="421"/>
        <v>#REF!</v>
      </c>
      <c r="AI236" s="13" t="e">
        <f t="shared" si="421"/>
        <v>#REF!</v>
      </c>
      <c r="AJ236" s="13" t="e">
        <f t="shared" si="421"/>
        <v>#REF!</v>
      </c>
      <c r="AK236" s="13" t="e">
        <f t="shared" si="421"/>
        <v>#REF!</v>
      </c>
      <c r="AL236" s="13" t="e">
        <f t="shared" si="421"/>
        <v>#REF!</v>
      </c>
      <c r="AM236" s="13" t="e">
        <f t="shared" si="421"/>
        <v>#REF!</v>
      </c>
      <c r="AN236" s="13" t="e">
        <f t="shared" si="421"/>
        <v>#REF!</v>
      </c>
      <c r="AO236" s="13" t="e">
        <f t="shared" si="421"/>
        <v>#REF!</v>
      </c>
      <c r="AP236" s="13" t="e">
        <f t="shared" si="421"/>
        <v>#REF!</v>
      </c>
      <c r="AQ236" s="13" t="e">
        <f t="shared" si="421"/>
        <v>#REF!</v>
      </c>
      <c r="AR236" s="13" t="e">
        <f t="shared" si="421"/>
        <v>#REF!</v>
      </c>
      <c r="AS236" s="13" t="e">
        <f t="shared" si="421"/>
        <v>#REF!</v>
      </c>
      <c r="AT236" s="13" t="e">
        <f t="shared" si="421"/>
        <v>#REF!</v>
      </c>
      <c r="AU236" s="13" t="e">
        <f t="shared" si="421"/>
        <v>#REF!</v>
      </c>
      <c r="AV236" s="13" t="e">
        <f t="shared" si="421"/>
        <v>#REF!</v>
      </c>
      <c r="AW236" s="13" t="e">
        <f t="shared" si="421"/>
        <v>#REF!</v>
      </c>
      <c r="AX236" s="13" t="e">
        <f t="shared" si="421"/>
        <v>#REF!</v>
      </c>
      <c r="AY236" s="13" t="e">
        <f t="shared" si="421"/>
        <v>#REF!</v>
      </c>
      <c r="AZ236" s="13" t="e">
        <f t="shared" si="421"/>
        <v>#REF!</v>
      </c>
      <c r="BA236" s="13" t="e">
        <f t="shared" si="421"/>
        <v>#REF!</v>
      </c>
      <c r="BB236" s="13" t="e">
        <f t="shared" si="421"/>
        <v>#REF!</v>
      </c>
      <c r="BC236" s="13" t="e">
        <f t="shared" si="421"/>
        <v>#REF!</v>
      </c>
      <c r="BD236" s="13" t="e">
        <f t="shared" si="421"/>
        <v>#REF!</v>
      </c>
      <c r="BE236" s="13" t="e">
        <f t="shared" si="421"/>
        <v>#REF!</v>
      </c>
      <c r="BF236" s="13" t="e">
        <f t="shared" si="421"/>
        <v>#REF!</v>
      </c>
      <c r="BG236" s="13" t="e">
        <f t="shared" si="421"/>
        <v>#REF!</v>
      </c>
      <c r="BH236" s="13" t="e">
        <f t="shared" si="421"/>
        <v>#REF!</v>
      </c>
      <c r="BI236" s="13" t="e">
        <f t="shared" si="421"/>
        <v>#REF!</v>
      </c>
      <c r="BJ236" s="13" t="e">
        <f t="shared" si="421"/>
        <v>#REF!</v>
      </c>
      <c r="BK236"/>
      <c r="BL236" s="5"/>
    </row>
    <row r="237" spans="1:64">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s="5"/>
    </row>
    <row r="238" spans="1:64">
      <c r="A238"/>
      <c r="B238" t="s">
        <v>415</v>
      </c>
      <c r="C238" s="30" t="e">
        <f>C236*$E$28</f>
        <v>#REF!</v>
      </c>
      <c r="D238" s="30" t="e">
        <f t="shared" ref="D238:BJ238" si="422">D236*$E$28</f>
        <v>#REF!</v>
      </c>
      <c r="E238" s="30" t="e">
        <f t="shared" si="422"/>
        <v>#REF!</v>
      </c>
      <c r="F238" s="30" t="e">
        <f t="shared" si="422"/>
        <v>#REF!</v>
      </c>
      <c r="G238" s="30" t="e">
        <f t="shared" si="422"/>
        <v>#REF!</v>
      </c>
      <c r="H238" s="30" t="e">
        <f t="shared" si="422"/>
        <v>#REF!</v>
      </c>
      <c r="I238" s="30" t="e">
        <f t="shared" si="422"/>
        <v>#REF!</v>
      </c>
      <c r="J238" s="30" t="e">
        <f t="shared" si="422"/>
        <v>#REF!</v>
      </c>
      <c r="K238" s="30" t="e">
        <f t="shared" si="422"/>
        <v>#REF!</v>
      </c>
      <c r="L238" s="30" t="e">
        <f t="shared" si="422"/>
        <v>#REF!</v>
      </c>
      <c r="M238" s="30" t="e">
        <f t="shared" si="422"/>
        <v>#REF!</v>
      </c>
      <c r="N238" s="30" t="e">
        <f t="shared" si="422"/>
        <v>#REF!</v>
      </c>
      <c r="O238" s="30" t="e">
        <f t="shared" si="422"/>
        <v>#REF!</v>
      </c>
      <c r="P238" s="30" t="e">
        <f t="shared" si="422"/>
        <v>#REF!</v>
      </c>
      <c r="Q238" s="30" t="e">
        <f t="shared" si="422"/>
        <v>#REF!</v>
      </c>
      <c r="R238" s="30" t="e">
        <f t="shared" si="422"/>
        <v>#REF!</v>
      </c>
      <c r="S238" s="30" t="e">
        <f t="shared" si="422"/>
        <v>#REF!</v>
      </c>
      <c r="T238" s="30" t="e">
        <f t="shared" si="422"/>
        <v>#REF!</v>
      </c>
      <c r="U238" s="30" t="e">
        <f t="shared" si="422"/>
        <v>#REF!</v>
      </c>
      <c r="V238" s="30" t="e">
        <f t="shared" si="422"/>
        <v>#REF!</v>
      </c>
      <c r="W238" s="30" t="e">
        <f t="shared" si="422"/>
        <v>#REF!</v>
      </c>
      <c r="X238" s="30" t="e">
        <f t="shared" si="422"/>
        <v>#REF!</v>
      </c>
      <c r="Y238" s="30" t="e">
        <f t="shared" si="422"/>
        <v>#REF!</v>
      </c>
      <c r="Z238" s="30" t="e">
        <f t="shared" si="422"/>
        <v>#REF!</v>
      </c>
      <c r="AA238" s="30" t="e">
        <f t="shared" si="422"/>
        <v>#REF!</v>
      </c>
      <c r="AB238" s="30" t="e">
        <f t="shared" si="422"/>
        <v>#REF!</v>
      </c>
      <c r="AC238" s="30" t="e">
        <f t="shared" si="422"/>
        <v>#REF!</v>
      </c>
      <c r="AD238" s="30" t="e">
        <f t="shared" si="422"/>
        <v>#REF!</v>
      </c>
      <c r="AE238" s="30" t="e">
        <f t="shared" si="422"/>
        <v>#REF!</v>
      </c>
      <c r="AF238" s="30" t="e">
        <f t="shared" si="422"/>
        <v>#REF!</v>
      </c>
      <c r="AG238" s="30" t="e">
        <f t="shared" si="422"/>
        <v>#REF!</v>
      </c>
      <c r="AH238" s="30" t="e">
        <f t="shared" si="422"/>
        <v>#REF!</v>
      </c>
      <c r="AI238" s="30" t="e">
        <f t="shared" si="422"/>
        <v>#REF!</v>
      </c>
      <c r="AJ238" s="30" t="e">
        <f t="shared" si="422"/>
        <v>#REF!</v>
      </c>
      <c r="AK238" s="30" t="e">
        <f t="shared" si="422"/>
        <v>#REF!</v>
      </c>
      <c r="AL238" s="30" t="e">
        <f t="shared" si="422"/>
        <v>#REF!</v>
      </c>
      <c r="AM238" s="30" t="e">
        <f t="shared" si="422"/>
        <v>#REF!</v>
      </c>
      <c r="AN238" s="30" t="e">
        <f t="shared" si="422"/>
        <v>#REF!</v>
      </c>
      <c r="AO238" s="30" t="e">
        <f t="shared" si="422"/>
        <v>#REF!</v>
      </c>
      <c r="AP238" s="30" t="e">
        <f t="shared" si="422"/>
        <v>#REF!</v>
      </c>
      <c r="AQ238" s="30" t="e">
        <f t="shared" si="422"/>
        <v>#REF!</v>
      </c>
      <c r="AR238" s="30" t="e">
        <f t="shared" si="422"/>
        <v>#REF!</v>
      </c>
      <c r="AS238" s="30" t="e">
        <f t="shared" si="422"/>
        <v>#REF!</v>
      </c>
      <c r="AT238" s="30" t="e">
        <f t="shared" si="422"/>
        <v>#REF!</v>
      </c>
      <c r="AU238" s="30" t="e">
        <f t="shared" si="422"/>
        <v>#REF!</v>
      </c>
      <c r="AV238" s="30" t="e">
        <f t="shared" si="422"/>
        <v>#REF!</v>
      </c>
      <c r="AW238" s="30" t="e">
        <f t="shared" si="422"/>
        <v>#REF!</v>
      </c>
      <c r="AX238" s="30" t="e">
        <f t="shared" si="422"/>
        <v>#REF!</v>
      </c>
      <c r="AY238" s="30" t="e">
        <f t="shared" si="422"/>
        <v>#REF!</v>
      </c>
      <c r="AZ238" s="30" t="e">
        <f t="shared" si="422"/>
        <v>#REF!</v>
      </c>
      <c r="BA238" s="30" t="e">
        <f t="shared" si="422"/>
        <v>#REF!</v>
      </c>
      <c r="BB238" s="30" t="e">
        <f t="shared" si="422"/>
        <v>#REF!</v>
      </c>
      <c r="BC238" s="30" t="e">
        <f t="shared" si="422"/>
        <v>#REF!</v>
      </c>
      <c r="BD238" s="30" t="e">
        <f t="shared" si="422"/>
        <v>#REF!</v>
      </c>
      <c r="BE238" s="30" t="e">
        <f t="shared" si="422"/>
        <v>#REF!</v>
      </c>
      <c r="BF238" s="30" t="e">
        <f t="shared" si="422"/>
        <v>#REF!</v>
      </c>
      <c r="BG238" s="30" t="e">
        <f t="shared" si="422"/>
        <v>#REF!</v>
      </c>
      <c r="BH238" s="30" t="e">
        <f t="shared" si="422"/>
        <v>#REF!</v>
      </c>
      <c r="BI238" s="30" t="e">
        <f t="shared" si="422"/>
        <v>#REF!</v>
      </c>
      <c r="BJ238" s="30" t="e">
        <f t="shared" si="422"/>
        <v>#REF!</v>
      </c>
      <c r="BK238"/>
      <c r="BL238" s="5"/>
    </row>
    <row r="239" spans="1:64">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s="5"/>
    </row>
    <row r="240" spans="1:64">
      <c r="A240"/>
      <c r="B240" s="28" t="s">
        <v>416</v>
      </c>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s="5"/>
    </row>
    <row r="241" spans="1:64">
      <c r="A241"/>
      <c r="B241" t="s">
        <v>316</v>
      </c>
      <c r="C241" s="30">
        <f>+C55</f>
        <v>0</v>
      </c>
      <c r="D241" s="30">
        <f t="shared" ref="D241:BJ241" si="423">+D55</f>
        <v>0</v>
      </c>
      <c r="E241" s="30">
        <f t="shared" si="423"/>
        <v>0</v>
      </c>
      <c r="F241" s="30">
        <f t="shared" si="423"/>
        <v>0</v>
      </c>
      <c r="G241" s="30">
        <f t="shared" si="423"/>
        <v>0</v>
      </c>
      <c r="H241" s="30">
        <f t="shared" si="423"/>
        <v>0</v>
      </c>
      <c r="I241" s="30">
        <f t="shared" si="423"/>
        <v>0</v>
      </c>
      <c r="J241" s="30">
        <f t="shared" si="423"/>
        <v>0</v>
      </c>
      <c r="K241" s="30">
        <f t="shared" si="423"/>
        <v>0</v>
      </c>
      <c r="L241" s="30">
        <f t="shared" si="423"/>
        <v>0</v>
      </c>
      <c r="M241" s="30">
        <f t="shared" si="423"/>
        <v>0</v>
      </c>
      <c r="N241" s="30">
        <f t="shared" si="423"/>
        <v>0</v>
      </c>
      <c r="O241" s="30">
        <f t="shared" si="423"/>
        <v>0</v>
      </c>
      <c r="P241" s="30">
        <f t="shared" si="423"/>
        <v>0</v>
      </c>
      <c r="Q241" s="30">
        <f t="shared" si="423"/>
        <v>0</v>
      </c>
      <c r="R241" s="30">
        <f t="shared" si="423"/>
        <v>0</v>
      </c>
      <c r="S241" s="30">
        <f t="shared" si="423"/>
        <v>0</v>
      </c>
      <c r="T241" s="30">
        <f t="shared" si="423"/>
        <v>0</v>
      </c>
      <c r="U241" s="30">
        <f t="shared" si="423"/>
        <v>0</v>
      </c>
      <c r="V241" s="30">
        <f t="shared" si="423"/>
        <v>0</v>
      </c>
      <c r="W241" s="30">
        <f t="shared" si="423"/>
        <v>0</v>
      </c>
      <c r="X241" s="30">
        <f t="shared" si="423"/>
        <v>0</v>
      </c>
      <c r="Y241" s="30">
        <f t="shared" si="423"/>
        <v>0</v>
      </c>
      <c r="Z241" s="30">
        <f t="shared" si="423"/>
        <v>0</v>
      </c>
      <c r="AA241" s="30">
        <f t="shared" si="423"/>
        <v>0</v>
      </c>
      <c r="AB241" s="30">
        <f t="shared" si="423"/>
        <v>0</v>
      </c>
      <c r="AC241" s="30">
        <f t="shared" si="423"/>
        <v>0</v>
      </c>
      <c r="AD241" s="30">
        <f t="shared" si="423"/>
        <v>0</v>
      </c>
      <c r="AE241" s="30">
        <f t="shared" si="423"/>
        <v>0</v>
      </c>
      <c r="AF241" s="30">
        <f t="shared" si="423"/>
        <v>0</v>
      </c>
      <c r="AG241" s="30">
        <f t="shared" si="423"/>
        <v>0</v>
      </c>
      <c r="AH241" s="30">
        <f t="shared" si="423"/>
        <v>0</v>
      </c>
      <c r="AI241" s="30">
        <f t="shared" si="423"/>
        <v>0</v>
      </c>
      <c r="AJ241" s="30">
        <f t="shared" si="423"/>
        <v>0</v>
      </c>
      <c r="AK241" s="30">
        <f t="shared" si="423"/>
        <v>0</v>
      </c>
      <c r="AL241" s="30">
        <f t="shared" si="423"/>
        <v>0</v>
      </c>
      <c r="AM241" s="30">
        <f t="shared" si="423"/>
        <v>0</v>
      </c>
      <c r="AN241" s="30">
        <f t="shared" si="423"/>
        <v>0</v>
      </c>
      <c r="AO241" s="30">
        <f t="shared" si="423"/>
        <v>0</v>
      </c>
      <c r="AP241" s="30">
        <f t="shared" si="423"/>
        <v>0</v>
      </c>
      <c r="AQ241" s="30">
        <f t="shared" si="423"/>
        <v>0</v>
      </c>
      <c r="AR241" s="30">
        <f t="shared" si="423"/>
        <v>0</v>
      </c>
      <c r="AS241" s="30">
        <f t="shared" si="423"/>
        <v>0</v>
      </c>
      <c r="AT241" s="30">
        <f t="shared" si="423"/>
        <v>0</v>
      </c>
      <c r="AU241" s="30">
        <f t="shared" si="423"/>
        <v>0</v>
      </c>
      <c r="AV241" s="30">
        <f t="shared" si="423"/>
        <v>0</v>
      </c>
      <c r="AW241" s="30">
        <f t="shared" si="423"/>
        <v>0</v>
      </c>
      <c r="AX241" s="30">
        <f t="shared" si="423"/>
        <v>0</v>
      </c>
      <c r="AY241" s="30">
        <f t="shared" si="423"/>
        <v>0</v>
      </c>
      <c r="AZ241" s="30">
        <f t="shared" si="423"/>
        <v>0</v>
      </c>
      <c r="BA241" s="30">
        <f t="shared" si="423"/>
        <v>0</v>
      </c>
      <c r="BB241" s="30">
        <f t="shared" si="423"/>
        <v>0</v>
      </c>
      <c r="BC241" s="30">
        <f t="shared" si="423"/>
        <v>0</v>
      </c>
      <c r="BD241" s="30">
        <f t="shared" si="423"/>
        <v>0</v>
      </c>
      <c r="BE241" s="30">
        <f t="shared" si="423"/>
        <v>0</v>
      </c>
      <c r="BF241" s="30">
        <f t="shared" si="423"/>
        <v>0</v>
      </c>
      <c r="BG241" s="30">
        <f t="shared" si="423"/>
        <v>0</v>
      </c>
      <c r="BH241" s="30">
        <f t="shared" si="423"/>
        <v>0</v>
      </c>
      <c r="BI241" s="30">
        <f t="shared" si="423"/>
        <v>0</v>
      </c>
      <c r="BJ241" s="30">
        <f t="shared" si="423"/>
        <v>0</v>
      </c>
      <c r="BK241"/>
      <c r="BL241" s="5"/>
    </row>
    <row r="242" spans="1:64">
      <c r="A242"/>
      <c r="B242" t="s">
        <v>367</v>
      </c>
      <c r="C242" s="30" t="e">
        <f>+C153</f>
        <v>#REF!</v>
      </c>
      <c r="D242" s="30" t="e">
        <f t="shared" ref="D242:BJ242" si="424">+D153</f>
        <v>#REF!</v>
      </c>
      <c r="E242" s="30" t="e">
        <f t="shared" si="424"/>
        <v>#REF!</v>
      </c>
      <c r="F242" s="30" t="e">
        <f t="shared" si="424"/>
        <v>#REF!</v>
      </c>
      <c r="G242" s="30" t="e">
        <f t="shared" si="424"/>
        <v>#REF!</v>
      </c>
      <c r="H242" s="30" t="e">
        <f t="shared" si="424"/>
        <v>#REF!</v>
      </c>
      <c r="I242" s="30" t="e">
        <f t="shared" si="424"/>
        <v>#REF!</v>
      </c>
      <c r="J242" s="30" t="e">
        <f t="shared" si="424"/>
        <v>#REF!</v>
      </c>
      <c r="K242" s="30" t="e">
        <f t="shared" si="424"/>
        <v>#REF!</v>
      </c>
      <c r="L242" s="30" t="e">
        <f t="shared" si="424"/>
        <v>#REF!</v>
      </c>
      <c r="M242" s="30" t="e">
        <f t="shared" si="424"/>
        <v>#REF!</v>
      </c>
      <c r="N242" s="30" t="e">
        <f t="shared" si="424"/>
        <v>#REF!</v>
      </c>
      <c r="O242" s="30" t="e">
        <f t="shared" si="424"/>
        <v>#REF!</v>
      </c>
      <c r="P242" s="30" t="e">
        <f t="shared" si="424"/>
        <v>#REF!</v>
      </c>
      <c r="Q242" s="30" t="e">
        <f t="shared" si="424"/>
        <v>#REF!</v>
      </c>
      <c r="R242" s="30" t="e">
        <f t="shared" si="424"/>
        <v>#REF!</v>
      </c>
      <c r="S242" s="30" t="e">
        <f t="shared" si="424"/>
        <v>#REF!</v>
      </c>
      <c r="T242" s="30" t="e">
        <f t="shared" si="424"/>
        <v>#REF!</v>
      </c>
      <c r="U242" s="30" t="e">
        <f t="shared" si="424"/>
        <v>#REF!</v>
      </c>
      <c r="V242" s="30" t="e">
        <f t="shared" si="424"/>
        <v>#REF!</v>
      </c>
      <c r="W242" s="30" t="e">
        <f t="shared" si="424"/>
        <v>#REF!</v>
      </c>
      <c r="X242" s="30" t="e">
        <f t="shared" si="424"/>
        <v>#REF!</v>
      </c>
      <c r="Y242" s="30" t="e">
        <f t="shared" si="424"/>
        <v>#REF!</v>
      </c>
      <c r="Z242" s="30" t="e">
        <f t="shared" si="424"/>
        <v>#REF!</v>
      </c>
      <c r="AA242" s="30" t="e">
        <f t="shared" si="424"/>
        <v>#REF!</v>
      </c>
      <c r="AB242" s="30" t="e">
        <f t="shared" si="424"/>
        <v>#REF!</v>
      </c>
      <c r="AC242" s="30" t="e">
        <f t="shared" si="424"/>
        <v>#REF!</v>
      </c>
      <c r="AD242" s="30" t="e">
        <f t="shared" si="424"/>
        <v>#REF!</v>
      </c>
      <c r="AE242" s="30" t="e">
        <f t="shared" si="424"/>
        <v>#REF!</v>
      </c>
      <c r="AF242" s="30" t="e">
        <f t="shared" si="424"/>
        <v>#REF!</v>
      </c>
      <c r="AG242" s="30" t="e">
        <f t="shared" si="424"/>
        <v>#REF!</v>
      </c>
      <c r="AH242" s="30" t="e">
        <f t="shared" si="424"/>
        <v>#REF!</v>
      </c>
      <c r="AI242" s="30" t="e">
        <f t="shared" si="424"/>
        <v>#REF!</v>
      </c>
      <c r="AJ242" s="30" t="e">
        <f t="shared" si="424"/>
        <v>#REF!</v>
      </c>
      <c r="AK242" s="30" t="e">
        <f t="shared" si="424"/>
        <v>#REF!</v>
      </c>
      <c r="AL242" s="30" t="e">
        <f t="shared" si="424"/>
        <v>#REF!</v>
      </c>
      <c r="AM242" s="30" t="e">
        <f t="shared" si="424"/>
        <v>#REF!</v>
      </c>
      <c r="AN242" s="30" t="e">
        <f t="shared" si="424"/>
        <v>#REF!</v>
      </c>
      <c r="AO242" s="30" t="e">
        <f t="shared" si="424"/>
        <v>#REF!</v>
      </c>
      <c r="AP242" s="30" t="e">
        <f t="shared" si="424"/>
        <v>#REF!</v>
      </c>
      <c r="AQ242" s="30" t="e">
        <f t="shared" si="424"/>
        <v>#REF!</v>
      </c>
      <c r="AR242" s="30" t="e">
        <f t="shared" si="424"/>
        <v>#REF!</v>
      </c>
      <c r="AS242" s="30" t="e">
        <f t="shared" si="424"/>
        <v>#REF!</v>
      </c>
      <c r="AT242" s="30" t="e">
        <f t="shared" si="424"/>
        <v>#REF!</v>
      </c>
      <c r="AU242" s="30" t="e">
        <f t="shared" si="424"/>
        <v>#REF!</v>
      </c>
      <c r="AV242" s="30" t="e">
        <f t="shared" si="424"/>
        <v>#REF!</v>
      </c>
      <c r="AW242" s="30" t="e">
        <f t="shared" si="424"/>
        <v>#REF!</v>
      </c>
      <c r="AX242" s="30" t="e">
        <f t="shared" si="424"/>
        <v>#REF!</v>
      </c>
      <c r="AY242" s="30" t="e">
        <f t="shared" si="424"/>
        <v>#REF!</v>
      </c>
      <c r="AZ242" s="30" t="e">
        <f t="shared" si="424"/>
        <v>#REF!</v>
      </c>
      <c r="BA242" s="30" t="e">
        <f t="shared" si="424"/>
        <v>#REF!</v>
      </c>
      <c r="BB242" s="30" t="e">
        <f t="shared" si="424"/>
        <v>#REF!</v>
      </c>
      <c r="BC242" s="30" t="e">
        <f t="shared" si="424"/>
        <v>#REF!</v>
      </c>
      <c r="BD242" s="30" t="e">
        <f t="shared" si="424"/>
        <v>#REF!</v>
      </c>
      <c r="BE242" s="30" t="e">
        <f t="shared" si="424"/>
        <v>#REF!</v>
      </c>
      <c r="BF242" s="30" t="e">
        <f t="shared" si="424"/>
        <v>#REF!</v>
      </c>
      <c r="BG242" s="30" t="e">
        <f t="shared" si="424"/>
        <v>#REF!</v>
      </c>
      <c r="BH242" s="30" t="e">
        <f t="shared" si="424"/>
        <v>#REF!</v>
      </c>
      <c r="BI242" s="30" t="e">
        <f t="shared" si="424"/>
        <v>#REF!</v>
      </c>
      <c r="BJ242" s="30" t="e">
        <f t="shared" si="424"/>
        <v>#REF!</v>
      </c>
      <c r="BK242"/>
      <c r="BL242" s="5"/>
    </row>
    <row r="243" spans="1:64">
      <c r="A243"/>
      <c r="B243" t="s">
        <v>368</v>
      </c>
      <c r="C243" s="30" t="e">
        <f>+C172</f>
        <v>#REF!</v>
      </c>
      <c r="D243" s="30" t="e">
        <f t="shared" ref="D243:BJ243" si="425">+D172</f>
        <v>#REF!</v>
      </c>
      <c r="E243" s="30" t="e">
        <f t="shared" si="425"/>
        <v>#REF!</v>
      </c>
      <c r="F243" s="30" t="e">
        <f t="shared" si="425"/>
        <v>#REF!</v>
      </c>
      <c r="G243" s="30" t="e">
        <f t="shared" si="425"/>
        <v>#REF!</v>
      </c>
      <c r="H243" s="30" t="e">
        <f t="shared" si="425"/>
        <v>#REF!</v>
      </c>
      <c r="I243" s="30" t="e">
        <f t="shared" si="425"/>
        <v>#REF!</v>
      </c>
      <c r="J243" s="30" t="e">
        <f t="shared" si="425"/>
        <v>#REF!</v>
      </c>
      <c r="K243" s="30" t="e">
        <f t="shared" si="425"/>
        <v>#REF!</v>
      </c>
      <c r="L243" s="30" t="e">
        <f t="shared" si="425"/>
        <v>#REF!</v>
      </c>
      <c r="M243" s="30" t="e">
        <f t="shared" si="425"/>
        <v>#REF!</v>
      </c>
      <c r="N243" s="30" t="e">
        <f t="shared" si="425"/>
        <v>#REF!</v>
      </c>
      <c r="O243" s="30" t="e">
        <f t="shared" si="425"/>
        <v>#REF!</v>
      </c>
      <c r="P243" s="30" t="e">
        <f t="shared" si="425"/>
        <v>#REF!</v>
      </c>
      <c r="Q243" s="30" t="e">
        <f t="shared" si="425"/>
        <v>#REF!</v>
      </c>
      <c r="R243" s="30" t="e">
        <f t="shared" si="425"/>
        <v>#REF!</v>
      </c>
      <c r="S243" s="30" t="e">
        <f t="shared" si="425"/>
        <v>#REF!</v>
      </c>
      <c r="T243" s="30" t="e">
        <f t="shared" si="425"/>
        <v>#REF!</v>
      </c>
      <c r="U243" s="30" t="e">
        <f t="shared" si="425"/>
        <v>#REF!</v>
      </c>
      <c r="V243" s="30" t="e">
        <f t="shared" si="425"/>
        <v>#REF!</v>
      </c>
      <c r="W243" s="30" t="e">
        <f t="shared" si="425"/>
        <v>#REF!</v>
      </c>
      <c r="X243" s="30" t="e">
        <f t="shared" si="425"/>
        <v>#REF!</v>
      </c>
      <c r="Y243" s="30" t="e">
        <f t="shared" si="425"/>
        <v>#REF!</v>
      </c>
      <c r="Z243" s="30" t="e">
        <f t="shared" si="425"/>
        <v>#REF!</v>
      </c>
      <c r="AA243" s="30" t="e">
        <f t="shared" si="425"/>
        <v>#REF!</v>
      </c>
      <c r="AB243" s="30" t="e">
        <f t="shared" si="425"/>
        <v>#REF!</v>
      </c>
      <c r="AC243" s="30" t="e">
        <f t="shared" si="425"/>
        <v>#REF!</v>
      </c>
      <c r="AD243" s="30" t="e">
        <f t="shared" si="425"/>
        <v>#REF!</v>
      </c>
      <c r="AE243" s="30" t="e">
        <f t="shared" si="425"/>
        <v>#REF!</v>
      </c>
      <c r="AF243" s="30" t="e">
        <f t="shared" si="425"/>
        <v>#REF!</v>
      </c>
      <c r="AG243" s="30" t="e">
        <f t="shared" si="425"/>
        <v>#REF!</v>
      </c>
      <c r="AH243" s="30" t="e">
        <f t="shared" si="425"/>
        <v>#REF!</v>
      </c>
      <c r="AI243" s="30" t="e">
        <f t="shared" si="425"/>
        <v>#REF!</v>
      </c>
      <c r="AJ243" s="30" t="e">
        <f t="shared" si="425"/>
        <v>#REF!</v>
      </c>
      <c r="AK243" s="30" t="e">
        <f t="shared" si="425"/>
        <v>#REF!</v>
      </c>
      <c r="AL243" s="30" t="e">
        <f t="shared" si="425"/>
        <v>#REF!</v>
      </c>
      <c r="AM243" s="30" t="e">
        <f t="shared" si="425"/>
        <v>#REF!</v>
      </c>
      <c r="AN243" s="30" t="e">
        <f t="shared" si="425"/>
        <v>#REF!</v>
      </c>
      <c r="AO243" s="30" t="e">
        <f t="shared" si="425"/>
        <v>#REF!</v>
      </c>
      <c r="AP243" s="30" t="e">
        <f t="shared" si="425"/>
        <v>#REF!</v>
      </c>
      <c r="AQ243" s="30" t="e">
        <f t="shared" si="425"/>
        <v>#REF!</v>
      </c>
      <c r="AR243" s="30" t="e">
        <f t="shared" si="425"/>
        <v>#REF!</v>
      </c>
      <c r="AS243" s="30" t="e">
        <f t="shared" si="425"/>
        <v>#REF!</v>
      </c>
      <c r="AT243" s="30" t="e">
        <f t="shared" si="425"/>
        <v>#REF!</v>
      </c>
      <c r="AU243" s="30" t="e">
        <f t="shared" si="425"/>
        <v>#REF!</v>
      </c>
      <c r="AV243" s="30" t="e">
        <f t="shared" si="425"/>
        <v>#REF!</v>
      </c>
      <c r="AW243" s="30" t="e">
        <f t="shared" si="425"/>
        <v>#REF!</v>
      </c>
      <c r="AX243" s="30" t="e">
        <f t="shared" si="425"/>
        <v>#REF!</v>
      </c>
      <c r="AY243" s="30" t="e">
        <f t="shared" si="425"/>
        <v>#REF!</v>
      </c>
      <c r="AZ243" s="30" t="e">
        <f t="shared" si="425"/>
        <v>#REF!</v>
      </c>
      <c r="BA243" s="30" t="e">
        <f t="shared" si="425"/>
        <v>#REF!</v>
      </c>
      <c r="BB243" s="30" t="e">
        <f t="shared" si="425"/>
        <v>#REF!</v>
      </c>
      <c r="BC243" s="30" t="e">
        <f t="shared" si="425"/>
        <v>#REF!</v>
      </c>
      <c r="BD243" s="30" t="e">
        <f t="shared" si="425"/>
        <v>#REF!</v>
      </c>
      <c r="BE243" s="30" t="e">
        <f t="shared" si="425"/>
        <v>#REF!</v>
      </c>
      <c r="BF243" s="30" t="e">
        <f t="shared" si="425"/>
        <v>#REF!</v>
      </c>
      <c r="BG243" s="30" t="e">
        <f t="shared" si="425"/>
        <v>#REF!</v>
      </c>
      <c r="BH243" s="30" t="e">
        <f t="shared" si="425"/>
        <v>#REF!</v>
      </c>
      <c r="BI243" s="30" t="e">
        <f t="shared" si="425"/>
        <v>#REF!</v>
      </c>
      <c r="BJ243" s="30" t="e">
        <f t="shared" si="425"/>
        <v>#REF!</v>
      </c>
      <c r="BK243"/>
      <c r="BL243" s="5"/>
    </row>
    <row r="244" spans="1:64">
      <c r="A244"/>
      <c r="B244" t="s">
        <v>369</v>
      </c>
      <c r="C244" s="30">
        <f>+C203</f>
        <v>0</v>
      </c>
      <c r="D244" s="30">
        <f t="shared" ref="D244:BJ244" si="426">+D203</f>
        <v>0</v>
      </c>
      <c r="E244" s="30">
        <f t="shared" si="426"/>
        <v>0</v>
      </c>
      <c r="F244" s="30">
        <f t="shared" si="426"/>
        <v>0</v>
      </c>
      <c r="G244" s="30">
        <f t="shared" si="426"/>
        <v>0</v>
      </c>
      <c r="H244" s="30">
        <f t="shared" si="426"/>
        <v>0</v>
      </c>
      <c r="I244" s="30">
        <f t="shared" si="426"/>
        <v>0</v>
      </c>
      <c r="J244" s="30">
        <f t="shared" si="426"/>
        <v>0</v>
      </c>
      <c r="K244" s="30">
        <f t="shared" si="426"/>
        <v>0</v>
      </c>
      <c r="L244" s="30">
        <f t="shared" si="426"/>
        <v>0</v>
      </c>
      <c r="M244" s="30">
        <f t="shared" si="426"/>
        <v>0</v>
      </c>
      <c r="N244" s="30">
        <f t="shared" si="426"/>
        <v>0</v>
      </c>
      <c r="O244" s="30">
        <f t="shared" si="426"/>
        <v>0</v>
      </c>
      <c r="P244" s="30">
        <f t="shared" si="426"/>
        <v>0</v>
      </c>
      <c r="Q244" s="30">
        <f t="shared" si="426"/>
        <v>0</v>
      </c>
      <c r="R244" s="30">
        <f t="shared" si="426"/>
        <v>0</v>
      </c>
      <c r="S244" s="30">
        <f t="shared" si="426"/>
        <v>0</v>
      </c>
      <c r="T244" s="30">
        <f t="shared" si="426"/>
        <v>0</v>
      </c>
      <c r="U244" s="30">
        <f t="shared" si="426"/>
        <v>0</v>
      </c>
      <c r="V244" s="30">
        <f t="shared" si="426"/>
        <v>0</v>
      </c>
      <c r="W244" s="30">
        <f t="shared" si="426"/>
        <v>0</v>
      </c>
      <c r="X244" s="30">
        <f t="shared" si="426"/>
        <v>0</v>
      </c>
      <c r="Y244" s="30">
        <f t="shared" si="426"/>
        <v>0</v>
      </c>
      <c r="Z244" s="30">
        <f t="shared" si="426"/>
        <v>0</v>
      </c>
      <c r="AA244" s="30">
        <f t="shared" si="426"/>
        <v>0</v>
      </c>
      <c r="AB244" s="30">
        <f t="shared" si="426"/>
        <v>0</v>
      </c>
      <c r="AC244" s="30">
        <f t="shared" si="426"/>
        <v>0</v>
      </c>
      <c r="AD244" s="30">
        <f t="shared" si="426"/>
        <v>0</v>
      </c>
      <c r="AE244" s="30">
        <f t="shared" si="426"/>
        <v>0</v>
      </c>
      <c r="AF244" s="30">
        <f t="shared" si="426"/>
        <v>0</v>
      </c>
      <c r="AG244" s="30">
        <f t="shared" si="426"/>
        <v>0</v>
      </c>
      <c r="AH244" s="30">
        <f t="shared" si="426"/>
        <v>0</v>
      </c>
      <c r="AI244" s="30">
        <f t="shared" si="426"/>
        <v>0</v>
      </c>
      <c r="AJ244" s="30">
        <f t="shared" si="426"/>
        <v>0</v>
      </c>
      <c r="AK244" s="30">
        <f t="shared" si="426"/>
        <v>0</v>
      </c>
      <c r="AL244" s="30">
        <f t="shared" si="426"/>
        <v>0</v>
      </c>
      <c r="AM244" s="30">
        <f t="shared" si="426"/>
        <v>0</v>
      </c>
      <c r="AN244" s="30">
        <f t="shared" si="426"/>
        <v>0</v>
      </c>
      <c r="AO244" s="30">
        <f t="shared" si="426"/>
        <v>0</v>
      </c>
      <c r="AP244" s="30">
        <f t="shared" si="426"/>
        <v>0</v>
      </c>
      <c r="AQ244" s="30">
        <f t="shared" si="426"/>
        <v>0</v>
      </c>
      <c r="AR244" s="30">
        <f t="shared" si="426"/>
        <v>0</v>
      </c>
      <c r="AS244" s="30">
        <f t="shared" si="426"/>
        <v>0</v>
      </c>
      <c r="AT244" s="30">
        <f t="shared" si="426"/>
        <v>0</v>
      </c>
      <c r="AU244" s="30">
        <f t="shared" si="426"/>
        <v>0</v>
      </c>
      <c r="AV244" s="30">
        <f t="shared" si="426"/>
        <v>0</v>
      </c>
      <c r="AW244" s="30">
        <f t="shared" si="426"/>
        <v>0</v>
      </c>
      <c r="AX244" s="30">
        <f t="shared" si="426"/>
        <v>0</v>
      </c>
      <c r="AY244" s="30">
        <f t="shared" si="426"/>
        <v>0</v>
      </c>
      <c r="AZ244" s="30">
        <f t="shared" si="426"/>
        <v>0</v>
      </c>
      <c r="BA244" s="30">
        <f t="shared" si="426"/>
        <v>0</v>
      </c>
      <c r="BB244" s="30">
        <f t="shared" si="426"/>
        <v>0</v>
      </c>
      <c r="BC244" s="30">
        <f t="shared" si="426"/>
        <v>0</v>
      </c>
      <c r="BD244" s="30">
        <f t="shared" si="426"/>
        <v>0</v>
      </c>
      <c r="BE244" s="30">
        <f t="shared" si="426"/>
        <v>0</v>
      </c>
      <c r="BF244" s="30">
        <f t="shared" si="426"/>
        <v>0</v>
      </c>
      <c r="BG244" s="30">
        <f t="shared" si="426"/>
        <v>0</v>
      </c>
      <c r="BH244" s="30">
        <f t="shared" si="426"/>
        <v>0</v>
      </c>
      <c r="BI244" s="30">
        <f t="shared" si="426"/>
        <v>0</v>
      </c>
      <c r="BJ244" s="30">
        <f t="shared" si="426"/>
        <v>0</v>
      </c>
      <c r="BK244"/>
      <c r="BL244" s="5"/>
    </row>
    <row r="245" spans="1:64">
      <c r="A245"/>
      <c r="B245" t="s">
        <v>417</v>
      </c>
      <c r="C245" s="30">
        <f>+C223</f>
        <v>0</v>
      </c>
      <c r="D245" s="30">
        <f t="shared" ref="D245:BJ245" si="427">+D223</f>
        <v>0</v>
      </c>
      <c r="E245" s="30">
        <f t="shared" si="427"/>
        <v>0</v>
      </c>
      <c r="F245" s="30">
        <f t="shared" si="427"/>
        <v>0</v>
      </c>
      <c r="G245" s="30">
        <f t="shared" si="427"/>
        <v>0</v>
      </c>
      <c r="H245" s="30">
        <f t="shared" si="427"/>
        <v>0</v>
      </c>
      <c r="I245" s="30">
        <f t="shared" si="427"/>
        <v>0</v>
      </c>
      <c r="J245" s="30">
        <f t="shared" si="427"/>
        <v>0</v>
      </c>
      <c r="K245" s="30">
        <f t="shared" si="427"/>
        <v>0</v>
      </c>
      <c r="L245" s="30">
        <f t="shared" si="427"/>
        <v>0</v>
      </c>
      <c r="M245" s="30">
        <f t="shared" si="427"/>
        <v>0</v>
      </c>
      <c r="N245" s="30">
        <f t="shared" si="427"/>
        <v>0</v>
      </c>
      <c r="O245" s="30">
        <f t="shared" si="427"/>
        <v>0</v>
      </c>
      <c r="P245" s="30">
        <f t="shared" si="427"/>
        <v>0</v>
      </c>
      <c r="Q245" s="30">
        <f t="shared" si="427"/>
        <v>0</v>
      </c>
      <c r="R245" s="30">
        <f t="shared" si="427"/>
        <v>0</v>
      </c>
      <c r="S245" s="30">
        <f t="shared" si="427"/>
        <v>0</v>
      </c>
      <c r="T245" s="30">
        <f t="shared" si="427"/>
        <v>0</v>
      </c>
      <c r="U245" s="30">
        <f t="shared" si="427"/>
        <v>0</v>
      </c>
      <c r="V245" s="30">
        <f t="shared" si="427"/>
        <v>0</v>
      </c>
      <c r="W245" s="30">
        <f t="shared" si="427"/>
        <v>0</v>
      </c>
      <c r="X245" s="30">
        <f t="shared" si="427"/>
        <v>0</v>
      </c>
      <c r="Y245" s="30">
        <f t="shared" si="427"/>
        <v>0</v>
      </c>
      <c r="Z245" s="30">
        <f t="shared" si="427"/>
        <v>0</v>
      </c>
      <c r="AA245" s="30">
        <f t="shared" si="427"/>
        <v>0</v>
      </c>
      <c r="AB245" s="30">
        <f t="shared" si="427"/>
        <v>0</v>
      </c>
      <c r="AC245" s="30">
        <f t="shared" si="427"/>
        <v>0</v>
      </c>
      <c r="AD245" s="30">
        <f t="shared" si="427"/>
        <v>0</v>
      </c>
      <c r="AE245" s="30">
        <f t="shared" si="427"/>
        <v>0</v>
      </c>
      <c r="AF245" s="30">
        <f t="shared" si="427"/>
        <v>0</v>
      </c>
      <c r="AG245" s="30">
        <f t="shared" si="427"/>
        <v>0</v>
      </c>
      <c r="AH245" s="30">
        <f t="shared" si="427"/>
        <v>0</v>
      </c>
      <c r="AI245" s="30">
        <f t="shared" si="427"/>
        <v>0</v>
      </c>
      <c r="AJ245" s="30">
        <f t="shared" si="427"/>
        <v>0</v>
      </c>
      <c r="AK245" s="30">
        <f t="shared" si="427"/>
        <v>0</v>
      </c>
      <c r="AL245" s="30">
        <f t="shared" si="427"/>
        <v>0</v>
      </c>
      <c r="AM245" s="30">
        <f t="shared" si="427"/>
        <v>0</v>
      </c>
      <c r="AN245" s="30">
        <f t="shared" si="427"/>
        <v>0</v>
      </c>
      <c r="AO245" s="30">
        <f t="shared" si="427"/>
        <v>0</v>
      </c>
      <c r="AP245" s="30">
        <f t="shared" si="427"/>
        <v>0</v>
      </c>
      <c r="AQ245" s="30">
        <f t="shared" si="427"/>
        <v>0</v>
      </c>
      <c r="AR245" s="30">
        <f t="shared" si="427"/>
        <v>0</v>
      </c>
      <c r="AS245" s="30">
        <f t="shared" si="427"/>
        <v>0</v>
      </c>
      <c r="AT245" s="30">
        <f t="shared" si="427"/>
        <v>0</v>
      </c>
      <c r="AU245" s="30">
        <f t="shared" si="427"/>
        <v>0</v>
      </c>
      <c r="AV245" s="30">
        <f t="shared" si="427"/>
        <v>0</v>
      </c>
      <c r="AW245" s="30">
        <f t="shared" si="427"/>
        <v>0</v>
      </c>
      <c r="AX245" s="30">
        <f t="shared" si="427"/>
        <v>0</v>
      </c>
      <c r="AY245" s="30">
        <f t="shared" si="427"/>
        <v>0</v>
      </c>
      <c r="AZ245" s="30">
        <f t="shared" si="427"/>
        <v>0</v>
      </c>
      <c r="BA245" s="30">
        <f t="shared" si="427"/>
        <v>0</v>
      </c>
      <c r="BB245" s="30">
        <f t="shared" si="427"/>
        <v>0</v>
      </c>
      <c r="BC245" s="30">
        <f t="shared" si="427"/>
        <v>0</v>
      </c>
      <c r="BD245" s="30">
        <f t="shared" si="427"/>
        <v>0</v>
      </c>
      <c r="BE245" s="30">
        <f t="shared" si="427"/>
        <v>0</v>
      </c>
      <c r="BF245" s="30">
        <f t="shared" si="427"/>
        <v>0</v>
      </c>
      <c r="BG245" s="30">
        <f t="shared" si="427"/>
        <v>0</v>
      </c>
      <c r="BH245" s="30">
        <f t="shared" si="427"/>
        <v>0</v>
      </c>
      <c r="BI245" s="30">
        <f t="shared" si="427"/>
        <v>0</v>
      </c>
      <c r="BJ245" s="30">
        <f t="shared" si="427"/>
        <v>0</v>
      </c>
      <c r="BK245"/>
      <c r="BL245" s="5"/>
    </row>
    <row r="246" spans="1:64">
      <c r="A246"/>
      <c r="B246" t="s">
        <v>418</v>
      </c>
      <c r="C246" s="30" t="e">
        <f>+C234</f>
        <v>#REF!</v>
      </c>
      <c r="D246" s="30" t="e">
        <f t="shared" ref="D246:BJ246" si="428">+D234</f>
        <v>#REF!</v>
      </c>
      <c r="E246" s="30" t="e">
        <f t="shared" si="428"/>
        <v>#REF!</v>
      </c>
      <c r="F246" s="30" t="e">
        <f t="shared" si="428"/>
        <v>#REF!</v>
      </c>
      <c r="G246" s="30" t="e">
        <f t="shared" si="428"/>
        <v>#REF!</v>
      </c>
      <c r="H246" s="30" t="e">
        <f t="shared" si="428"/>
        <v>#REF!</v>
      </c>
      <c r="I246" s="30" t="e">
        <f t="shared" si="428"/>
        <v>#REF!</v>
      </c>
      <c r="J246" s="30" t="e">
        <f t="shared" si="428"/>
        <v>#REF!</v>
      </c>
      <c r="K246" s="30" t="e">
        <f t="shared" si="428"/>
        <v>#REF!</v>
      </c>
      <c r="L246" s="30" t="e">
        <f t="shared" si="428"/>
        <v>#REF!</v>
      </c>
      <c r="M246" s="30" t="e">
        <f t="shared" si="428"/>
        <v>#REF!</v>
      </c>
      <c r="N246" s="30" t="e">
        <f t="shared" si="428"/>
        <v>#REF!</v>
      </c>
      <c r="O246" s="30" t="e">
        <f t="shared" si="428"/>
        <v>#REF!</v>
      </c>
      <c r="P246" s="30" t="e">
        <f t="shared" si="428"/>
        <v>#REF!</v>
      </c>
      <c r="Q246" s="30" t="e">
        <f t="shared" si="428"/>
        <v>#REF!</v>
      </c>
      <c r="R246" s="30" t="e">
        <f t="shared" si="428"/>
        <v>#REF!</v>
      </c>
      <c r="S246" s="30" t="e">
        <f t="shared" si="428"/>
        <v>#REF!</v>
      </c>
      <c r="T246" s="30" t="e">
        <f t="shared" si="428"/>
        <v>#REF!</v>
      </c>
      <c r="U246" s="30" t="e">
        <f t="shared" si="428"/>
        <v>#REF!</v>
      </c>
      <c r="V246" s="30" t="e">
        <f t="shared" si="428"/>
        <v>#REF!</v>
      </c>
      <c r="W246" s="30" t="e">
        <f t="shared" si="428"/>
        <v>#REF!</v>
      </c>
      <c r="X246" s="30" t="e">
        <f t="shared" si="428"/>
        <v>#REF!</v>
      </c>
      <c r="Y246" s="30" t="e">
        <f t="shared" si="428"/>
        <v>#REF!</v>
      </c>
      <c r="Z246" s="30" t="e">
        <f t="shared" si="428"/>
        <v>#REF!</v>
      </c>
      <c r="AA246" s="30" t="e">
        <f t="shared" si="428"/>
        <v>#REF!</v>
      </c>
      <c r="AB246" s="30" t="e">
        <f t="shared" si="428"/>
        <v>#REF!</v>
      </c>
      <c r="AC246" s="30" t="e">
        <f t="shared" si="428"/>
        <v>#REF!</v>
      </c>
      <c r="AD246" s="30" t="e">
        <f t="shared" si="428"/>
        <v>#REF!</v>
      </c>
      <c r="AE246" s="30" t="e">
        <f t="shared" si="428"/>
        <v>#REF!</v>
      </c>
      <c r="AF246" s="30" t="e">
        <f t="shared" si="428"/>
        <v>#REF!</v>
      </c>
      <c r="AG246" s="30" t="e">
        <f t="shared" si="428"/>
        <v>#REF!</v>
      </c>
      <c r="AH246" s="30" t="e">
        <f t="shared" si="428"/>
        <v>#REF!</v>
      </c>
      <c r="AI246" s="30" t="e">
        <f t="shared" si="428"/>
        <v>#REF!</v>
      </c>
      <c r="AJ246" s="30" t="e">
        <f t="shared" si="428"/>
        <v>#REF!</v>
      </c>
      <c r="AK246" s="30" t="e">
        <f t="shared" si="428"/>
        <v>#REF!</v>
      </c>
      <c r="AL246" s="30" t="e">
        <f t="shared" si="428"/>
        <v>#REF!</v>
      </c>
      <c r="AM246" s="30" t="e">
        <f t="shared" si="428"/>
        <v>#REF!</v>
      </c>
      <c r="AN246" s="30" t="e">
        <f t="shared" si="428"/>
        <v>#REF!</v>
      </c>
      <c r="AO246" s="30" t="e">
        <f t="shared" si="428"/>
        <v>#REF!</v>
      </c>
      <c r="AP246" s="30" t="e">
        <f t="shared" si="428"/>
        <v>#REF!</v>
      </c>
      <c r="AQ246" s="30" t="e">
        <f t="shared" si="428"/>
        <v>#REF!</v>
      </c>
      <c r="AR246" s="30" t="e">
        <f t="shared" si="428"/>
        <v>#REF!</v>
      </c>
      <c r="AS246" s="30" t="e">
        <f t="shared" si="428"/>
        <v>#REF!</v>
      </c>
      <c r="AT246" s="30" t="e">
        <f t="shared" si="428"/>
        <v>#REF!</v>
      </c>
      <c r="AU246" s="30" t="e">
        <f t="shared" si="428"/>
        <v>#REF!</v>
      </c>
      <c r="AV246" s="30" t="e">
        <f t="shared" si="428"/>
        <v>#REF!</v>
      </c>
      <c r="AW246" s="30" t="e">
        <f t="shared" si="428"/>
        <v>#REF!</v>
      </c>
      <c r="AX246" s="30" t="e">
        <f t="shared" si="428"/>
        <v>#REF!</v>
      </c>
      <c r="AY246" s="30" t="e">
        <f t="shared" si="428"/>
        <v>#REF!</v>
      </c>
      <c r="AZ246" s="30" t="e">
        <f t="shared" si="428"/>
        <v>#REF!</v>
      </c>
      <c r="BA246" s="30" t="e">
        <f t="shared" si="428"/>
        <v>#REF!</v>
      </c>
      <c r="BB246" s="30" t="e">
        <f t="shared" si="428"/>
        <v>#REF!</v>
      </c>
      <c r="BC246" s="30" t="e">
        <f t="shared" si="428"/>
        <v>#REF!</v>
      </c>
      <c r="BD246" s="30" t="e">
        <f t="shared" si="428"/>
        <v>#REF!</v>
      </c>
      <c r="BE246" s="30" t="e">
        <f t="shared" si="428"/>
        <v>#REF!</v>
      </c>
      <c r="BF246" s="30" t="e">
        <f t="shared" si="428"/>
        <v>#REF!</v>
      </c>
      <c r="BG246" s="30" t="e">
        <f t="shared" si="428"/>
        <v>#REF!</v>
      </c>
      <c r="BH246" s="30" t="e">
        <f t="shared" si="428"/>
        <v>#REF!</v>
      </c>
      <c r="BI246" s="30" t="e">
        <f t="shared" si="428"/>
        <v>#REF!</v>
      </c>
      <c r="BJ246" s="30" t="e">
        <f t="shared" si="428"/>
        <v>#REF!</v>
      </c>
      <c r="BK246"/>
      <c r="BL246" s="5"/>
    </row>
    <row r="247" spans="1:64">
      <c r="A247"/>
      <c r="B247" s="3" t="s">
        <v>64</v>
      </c>
      <c r="C247" s="29" t="e">
        <f>SUM(C241:C246)</f>
        <v>#REF!</v>
      </c>
      <c r="D247" s="29" t="e">
        <f t="shared" ref="D247:BJ247" si="429">SUM(D241:D246)</f>
        <v>#REF!</v>
      </c>
      <c r="E247" s="29" t="e">
        <f t="shared" si="429"/>
        <v>#REF!</v>
      </c>
      <c r="F247" s="29" t="e">
        <f t="shared" si="429"/>
        <v>#REF!</v>
      </c>
      <c r="G247" s="29" t="e">
        <f t="shared" si="429"/>
        <v>#REF!</v>
      </c>
      <c r="H247" s="29" t="e">
        <f t="shared" si="429"/>
        <v>#REF!</v>
      </c>
      <c r="I247" s="29" t="e">
        <f t="shared" si="429"/>
        <v>#REF!</v>
      </c>
      <c r="J247" s="29" t="e">
        <f t="shared" si="429"/>
        <v>#REF!</v>
      </c>
      <c r="K247" s="29" t="e">
        <f t="shared" si="429"/>
        <v>#REF!</v>
      </c>
      <c r="L247" s="29" t="e">
        <f t="shared" si="429"/>
        <v>#REF!</v>
      </c>
      <c r="M247" s="29" t="e">
        <f t="shared" si="429"/>
        <v>#REF!</v>
      </c>
      <c r="N247" s="29" t="e">
        <f t="shared" si="429"/>
        <v>#REF!</v>
      </c>
      <c r="O247" s="29" t="e">
        <f t="shared" si="429"/>
        <v>#REF!</v>
      </c>
      <c r="P247" s="29" t="e">
        <f t="shared" si="429"/>
        <v>#REF!</v>
      </c>
      <c r="Q247" s="29" t="e">
        <f t="shared" si="429"/>
        <v>#REF!</v>
      </c>
      <c r="R247" s="29" t="e">
        <f t="shared" si="429"/>
        <v>#REF!</v>
      </c>
      <c r="S247" s="29" t="e">
        <f t="shared" si="429"/>
        <v>#REF!</v>
      </c>
      <c r="T247" s="29" t="e">
        <f t="shared" si="429"/>
        <v>#REF!</v>
      </c>
      <c r="U247" s="29" t="e">
        <f t="shared" si="429"/>
        <v>#REF!</v>
      </c>
      <c r="V247" s="29" t="e">
        <f t="shared" si="429"/>
        <v>#REF!</v>
      </c>
      <c r="W247" s="29" t="e">
        <f t="shared" si="429"/>
        <v>#REF!</v>
      </c>
      <c r="X247" s="29" t="e">
        <f t="shared" si="429"/>
        <v>#REF!</v>
      </c>
      <c r="Y247" s="29" t="e">
        <f t="shared" si="429"/>
        <v>#REF!</v>
      </c>
      <c r="Z247" s="29" t="e">
        <f t="shared" si="429"/>
        <v>#REF!</v>
      </c>
      <c r="AA247" s="29" t="e">
        <f t="shared" si="429"/>
        <v>#REF!</v>
      </c>
      <c r="AB247" s="29" t="e">
        <f t="shared" si="429"/>
        <v>#REF!</v>
      </c>
      <c r="AC247" s="29" t="e">
        <f t="shared" si="429"/>
        <v>#REF!</v>
      </c>
      <c r="AD247" s="29" t="e">
        <f t="shared" si="429"/>
        <v>#REF!</v>
      </c>
      <c r="AE247" s="29" t="e">
        <f t="shared" si="429"/>
        <v>#REF!</v>
      </c>
      <c r="AF247" s="29" t="e">
        <f t="shared" si="429"/>
        <v>#REF!</v>
      </c>
      <c r="AG247" s="29" t="e">
        <f t="shared" si="429"/>
        <v>#REF!</v>
      </c>
      <c r="AH247" s="29" t="e">
        <f t="shared" si="429"/>
        <v>#REF!</v>
      </c>
      <c r="AI247" s="29" t="e">
        <f t="shared" si="429"/>
        <v>#REF!</v>
      </c>
      <c r="AJ247" s="29" t="e">
        <f t="shared" si="429"/>
        <v>#REF!</v>
      </c>
      <c r="AK247" s="29" t="e">
        <f t="shared" si="429"/>
        <v>#REF!</v>
      </c>
      <c r="AL247" s="29" t="e">
        <f t="shared" si="429"/>
        <v>#REF!</v>
      </c>
      <c r="AM247" s="29" t="e">
        <f t="shared" si="429"/>
        <v>#REF!</v>
      </c>
      <c r="AN247" s="29" t="e">
        <f t="shared" si="429"/>
        <v>#REF!</v>
      </c>
      <c r="AO247" s="29" t="e">
        <f t="shared" si="429"/>
        <v>#REF!</v>
      </c>
      <c r="AP247" s="29" t="e">
        <f t="shared" si="429"/>
        <v>#REF!</v>
      </c>
      <c r="AQ247" s="29" t="e">
        <f t="shared" si="429"/>
        <v>#REF!</v>
      </c>
      <c r="AR247" s="29" t="e">
        <f t="shared" si="429"/>
        <v>#REF!</v>
      </c>
      <c r="AS247" s="29" t="e">
        <f t="shared" si="429"/>
        <v>#REF!</v>
      </c>
      <c r="AT247" s="29" t="e">
        <f t="shared" si="429"/>
        <v>#REF!</v>
      </c>
      <c r="AU247" s="29" t="e">
        <f t="shared" si="429"/>
        <v>#REF!</v>
      </c>
      <c r="AV247" s="29" t="e">
        <f t="shared" si="429"/>
        <v>#REF!</v>
      </c>
      <c r="AW247" s="29" t="e">
        <f t="shared" si="429"/>
        <v>#REF!</v>
      </c>
      <c r="AX247" s="29" t="e">
        <f t="shared" si="429"/>
        <v>#REF!</v>
      </c>
      <c r="AY247" s="29" t="e">
        <f t="shared" si="429"/>
        <v>#REF!</v>
      </c>
      <c r="AZ247" s="29" t="e">
        <f t="shared" si="429"/>
        <v>#REF!</v>
      </c>
      <c r="BA247" s="29" t="e">
        <f t="shared" si="429"/>
        <v>#REF!</v>
      </c>
      <c r="BB247" s="29" t="e">
        <f t="shared" si="429"/>
        <v>#REF!</v>
      </c>
      <c r="BC247" s="29" t="e">
        <f t="shared" si="429"/>
        <v>#REF!</v>
      </c>
      <c r="BD247" s="29" t="e">
        <f t="shared" si="429"/>
        <v>#REF!</v>
      </c>
      <c r="BE247" s="29" t="e">
        <f t="shared" si="429"/>
        <v>#REF!</v>
      </c>
      <c r="BF247" s="29" t="e">
        <f t="shared" si="429"/>
        <v>#REF!</v>
      </c>
      <c r="BG247" s="29" t="e">
        <f t="shared" si="429"/>
        <v>#REF!</v>
      </c>
      <c r="BH247" s="29" t="e">
        <f t="shared" si="429"/>
        <v>#REF!</v>
      </c>
      <c r="BI247" s="29" t="e">
        <f t="shared" si="429"/>
        <v>#REF!</v>
      </c>
      <c r="BJ247" s="29" t="e">
        <f t="shared" si="429"/>
        <v>#REF!</v>
      </c>
      <c r="BK247"/>
      <c r="BL247" s="5"/>
    </row>
    <row r="248" spans="1:64">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s="5"/>
    </row>
    <row r="249" spans="1:64">
      <c r="A249"/>
      <c r="B249" s="28" t="s">
        <v>419</v>
      </c>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s="5"/>
    </row>
    <row r="250" spans="1:64">
      <c r="A250"/>
      <c r="B250" t="s">
        <v>316</v>
      </c>
      <c r="C250" s="30">
        <f>+C56</f>
        <v>0</v>
      </c>
      <c r="D250" s="30">
        <f t="shared" ref="D250:BJ250" si="430">+D56</f>
        <v>0</v>
      </c>
      <c r="E250" s="30">
        <f t="shared" si="430"/>
        <v>0</v>
      </c>
      <c r="F250" s="30">
        <f t="shared" si="430"/>
        <v>0</v>
      </c>
      <c r="G250" s="30">
        <f t="shared" si="430"/>
        <v>0</v>
      </c>
      <c r="H250" s="30">
        <f t="shared" si="430"/>
        <v>0</v>
      </c>
      <c r="I250" s="30">
        <f t="shared" si="430"/>
        <v>0</v>
      </c>
      <c r="J250" s="30">
        <f t="shared" si="430"/>
        <v>0</v>
      </c>
      <c r="K250" s="30">
        <f t="shared" si="430"/>
        <v>0</v>
      </c>
      <c r="L250" s="30">
        <f t="shared" si="430"/>
        <v>0</v>
      </c>
      <c r="M250" s="30">
        <f t="shared" si="430"/>
        <v>0</v>
      </c>
      <c r="N250" s="30">
        <f t="shared" si="430"/>
        <v>0</v>
      </c>
      <c r="O250" s="30">
        <f t="shared" si="430"/>
        <v>0</v>
      </c>
      <c r="P250" s="30">
        <f t="shared" si="430"/>
        <v>0</v>
      </c>
      <c r="Q250" s="30">
        <f t="shared" si="430"/>
        <v>0</v>
      </c>
      <c r="R250" s="30">
        <f t="shared" si="430"/>
        <v>0</v>
      </c>
      <c r="S250" s="30">
        <f t="shared" si="430"/>
        <v>0</v>
      </c>
      <c r="T250" s="30">
        <f t="shared" si="430"/>
        <v>0</v>
      </c>
      <c r="U250" s="30">
        <f t="shared" si="430"/>
        <v>0</v>
      </c>
      <c r="V250" s="30">
        <f t="shared" si="430"/>
        <v>0</v>
      </c>
      <c r="W250" s="30">
        <f t="shared" si="430"/>
        <v>0</v>
      </c>
      <c r="X250" s="30">
        <f t="shared" si="430"/>
        <v>0</v>
      </c>
      <c r="Y250" s="30">
        <f t="shared" si="430"/>
        <v>0</v>
      </c>
      <c r="Z250" s="30">
        <f t="shared" si="430"/>
        <v>0</v>
      </c>
      <c r="AA250" s="30">
        <f t="shared" si="430"/>
        <v>0</v>
      </c>
      <c r="AB250" s="30">
        <f t="shared" si="430"/>
        <v>0</v>
      </c>
      <c r="AC250" s="30">
        <f t="shared" si="430"/>
        <v>0</v>
      </c>
      <c r="AD250" s="30">
        <f t="shared" si="430"/>
        <v>0</v>
      </c>
      <c r="AE250" s="30">
        <f t="shared" si="430"/>
        <v>0</v>
      </c>
      <c r="AF250" s="30">
        <f t="shared" si="430"/>
        <v>0</v>
      </c>
      <c r="AG250" s="30">
        <f t="shared" si="430"/>
        <v>0</v>
      </c>
      <c r="AH250" s="30">
        <f t="shared" si="430"/>
        <v>0</v>
      </c>
      <c r="AI250" s="30">
        <f t="shared" si="430"/>
        <v>0</v>
      </c>
      <c r="AJ250" s="30">
        <f t="shared" si="430"/>
        <v>0</v>
      </c>
      <c r="AK250" s="30">
        <f t="shared" si="430"/>
        <v>0</v>
      </c>
      <c r="AL250" s="30">
        <f t="shared" si="430"/>
        <v>0</v>
      </c>
      <c r="AM250" s="30">
        <f t="shared" si="430"/>
        <v>0</v>
      </c>
      <c r="AN250" s="30">
        <f t="shared" si="430"/>
        <v>0</v>
      </c>
      <c r="AO250" s="30">
        <f t="shared" si="430"/>
        <v>0</v>
      </c>
      <c r="AP250" s="30">
        <f t="shared" si="430"/>
        <v>0</v>
      </c>
      <c r="AQ250" s="30">
        <f t="shared" si="430"/>
        <v>0</v>
      </c>
      <c r="AR250" s="30">
        <f t="shared" si="430"/>
        <v>0</v>
      </c>
      <c r="AS250" s="30">
        <f t="shared" si="430"/>
        <v>0</v>
      </c>
      <c r="AT250" s="30">
        <f t="shared" si="430"/>
        <v>0</v>
      </c>
      <c r="AU250" s="30">
        <f t="shared" si="430"/>
        <v>0</v>
      </c>
      <c r="AV250" s="30">
        <f t="shared" si="430"/>
        <v>0</v>
      </c>
      <c r="AW250" s="30">
        <f t="shared" si="430"/>
        <v>0</v>
      </c>
      <c r="AX250" s="30">
        <f t="shared" si="430"/>
        <v>0</v>
      </c>
      <c r="AY250" s="30">
        <f t="shared" si="430"/>
        <v>0</v>
      </c>
      <c r="AZ250" s="30">
        <f t="shared" si="430"/>
        <v>0</v>
      </c>
      <c r="BA250" s="30">
        <f t="shared" si="430"/>
        <v>0</v>
      </c>
      <c r="BB250" s="30">
        <f t="shared" si="430"/>
        <v>0</v>
      </c>
      <c r="BC250" s="30">
        <f t="shared" si="430"/>
        <v>0</v>
      </c>
      <c r="BD250" s="30">
        <f t="shared" si="430"/>
        <v>0</v>
      </c>
      <c r="BE250" s="30">
        <f t="shared" si="430"/>
        <v>0</v>
      </c>
      <c r="BF250" s="30">
        <f t="shared" si="430"/>
        <v>0</v>
      </c>
      <c r="BG250" s="30">
        <f t="shared" si="430"/>
        <v>0</v>
      </c>
      <c r="BH250" s="30">
        <f t="shared" si="430"/>
        <v>0</v>
      </c>
      <c r="BI250" s="30">
        <f t="shared" si="430"/>
        <v>0</v>
      </c>
      <c r="BJ250" s="30">
        <f t="shared" si="430"/>
        <v>0</v>
      </c>
      <c r="BK250"/>
      <c r="BL250" s="5"/>
    </row>
    <row r="251" spans="1:64">
      <c r="A251"/>
      <c r="B251" t="s">
        <v>367</v>
      </c>
      <c r="C251" s="30" t="e">
        <f>+C154</f>
        <v>#REF!</v>
      </c>
      <c r="D251" s="30" t="e">
        <f t="shared" ref="D251:BJ251" si="431">+D154</f>
        <v>#REF!</v>
      </c>
      <c r="E251" s="30" t="e">
        <f t="shared" si="431"/>
        <v>#REF!</v>
      </c>
      <c r="F251" s="30" t="e">
        <f t="shared" si="431"/>
        <v>#REF!</v>
      </c>
      <c r="G251" s="30" t="e">
        <f t="shared" si="431"/>
        <v>#REF!</v>
      </c>
      <c r="H251" s="30" t="e">
        <f t="shared" si="431"/>
        <v>#REF!</v>
      </c>
      <c r="I251" s="30" t="e">
        <f t="shared" si="431"/>
        <v>#REF!</v>
      </c>
      <c r="J251" s="30" t="e">
        <f t="shared" si="431"/>
        <v>#REF!</v>
      </c>
      <c r="K251" s="30" t="e">
        <f t="shared" si="431"/>
        <v>#REF!</v>
      </c>
      <c r="L251" s="30" t="e">
        <f t="shared" si="431"/>
        <v>#REF!</v>
      </c>
      <c r="M251" s="30" t="e">
        <f t="shared" si="431"/>
        <v>#REF!</v>
      </c>
      <c r="N251" s="30" t="e">
        <f t="shared" si="431"/>
        <v>#REF!</v>
      </c>
      <c r="O251" s="30" t="e">
        <f t="shared" si="431"/>
        <v>#REF!</v>
      </c>
      <c r="P251" s="30" t="e">
        <f t="shared" si="431"/>
        <v>#REF!</v>
      </c>
      <c r="Q251" s="30" t="e">
        <f t="shared" si="431"/>
        <v>#REF!</v>
      </c>
      <c r="R251" s="30" t="e">
        <f t="shared" si="431"/>
        <v>#REF!</v>
      </c>
      <c r="S251" s="30" t="e">
        <f t="shared" si="431"/>
        <v>#REF!</v>
      </c>
      <c r="T251" s="30" t="e">
        <f t="shared" si="431"/>
        <v>#REF!</v>
      </c>
      <c r="U251" s="30" t="e">
        <f t="shared" si="431"/>
        <v>#REF!</v>
      </c>
      <c r="V251" s="30" t="e">
        <f t="shared" si="431"/>
        <v>#REF!</v>
      </c>
      <c r="W251" s="30" t="e">
        <f t="shared" si="431"/>
        <v>#REF!</v>
      </c>
      <c r="X251" s="30" t="e">
        <f t="shared" si="431"/>
        <v>#REF!</v>
      </c>
      <c r="Y251" s="30" t="e">
        <f t="shared" si="431"/>
        <v>#REF!</v>
      </c>
      <c r="Z251" s="30" t="e">
        <f t="shared" si="431"/>
        <v>#REF!</v>
      </c>
      <c r="AA251" s="30" t="e">
        <f t="shared" si="431"/>
        <v>#REF!</v>
      </c>
      <c r="AB251" s="30" t="e">
        <f t="shared" si="431"/>
        <v>#REF!</v>
      </c>
      <c r="AC251" s="30" t="e">
        <f t="shared" si="431"/>
        <v>#REF!</v>
      </c>
      <c r="AD251" s="30" t="e">
        <f t="shared" si="431"/>
        <v>#REF!</v>
      </c>
      <c r="AE251" s="30" t="e">
        <f t="shared" si="431"/>
        <v>#REF!</v>
      </c>
      <c r="AF251" s="30" t="e">
        <f t="shared" si="431"/>
        <v>#REF!</v>
      </c>
      <c r="AG251" s="30" t="e">
        <f t="shared" si="431"/>
        <v>#REF!</v>
      </c>
      <c r="AH251" s="30" t="e">
        <f t="shared" si="431"/>
        <v>#REF!</v>
      </c>
      <c r="AI251" s="30" t="e">
        <f t="shared" si="431"/>
        <v>#REF!</v>
      </c>
      <c r="AJ251" s="30" t="e">
        <f t="shared" si="431"/>
        <v>#REF!</v>
      </c>
      <c r="AK251" s="30" t="e">
        <f t="shared" si="431"/>
        <v>#REF!</v>
      </c>
      <c r="AL251" s="30" t="e">
        <f t="shared" si="431"/>
        <v>#REF!</v>
      </c>
      <c r="AM251" s="30" t="e">
        <f t="shared" si="431"/>
        <v>#REF!</v>
      </c>
      <c r="AN251" s="30" t="e">
        <f t="shared" si="431"/>
        <v>#REF!</v>
      </c>
      <c r="AO251" s="30" t="e">
        <f t="shared" si="431"/>
        <v>#REF!</v>
      </c>
      <c r="AP251" s="30" t="e">
        <f t="shared" si="431"/>
        <v>#REF!</v>
      </c>
      <c r="AQ251" s="30" t="e">
        <f t="shared" si="431"/>
        <v>#REF!</v>
      </c>
      <c r="AR251" s="30" t="e">
        <f t="shared" si="431"/>
        <v>#REF!</v>
      </c>
      <c r="AS251" s="30" t="e">
        <f t="shared" si="431"/>
        <v>#REF!</v>
      </c>
      <c r="AT251" s="30" t="e">
        <f t="shared" si="431"/>
        <v>#REF!</v>
      </c>
      <c r="AU251" s="30" t="e">
        <f t="shared" si="431"/>
        <v>#REF!</v>
      </c>
      <c r="AV251" s="30" t="e">
        <f t="shared" si="431"/>
        <v>#REF!</v>
      </c>
      <c r="AW251" s="30" t="e">
        <f t="shared" si="431"/>
        <v>#REF!</v>
      </c>
      <c r="AX251" s="30" t="e">
        <f t="shared" si="431"/>
        <v>#REF!</v>
      </c>
      <c r="AY251" s="30" t="e">
        <f t="shared" si="431"/>
        <v>#REF!</v>
      </c>
      <c r="AZ251" s="30" t="e">
        <f t="shared" si="431"/>
        <v>#REF!</v>
      </c>
      <c r="BA251" s="30" t="e">
        <f t="shared" si="431"/>
        <v>#REF!</v>
      </c>
      <c r="BB251" s="30" t="e">
        <f t="shared" si="431"/>
        <v>#REF!</v>
      </c>
      <c r="BC251" s="30" t="e">
        <f t="shared" si="431"/>
        <v>#REF!</v>
      </c>
      <c r="BD251" s="30" t="e">
        <f t="shared" si="431"/>
        <v>#REF!</v>
      </c>
      <c r="BE251" s="30" t="e">
        <f t="shared" si="431"/>
        <v>#REF!</v>
      </c>
      <c r="BF251" s="30" t="e">
        <f t="shared" si="431"/>
        <v>#REF!</v>
      </c>
      <c r="BG251" s="30" t="e">
        <f t="shared" si="431"/>
        <v>#REF!</v>
      </c>
      <c r="BH251" s="30" t="e">
        <f t="shared" si="431"/>
        <v>#REF!</v>
      </c>
      <c r="BI251" s="30" t="e">
        <f t="shared" si="431"/>
        <v>#REF!</v>
      </c>
      <c r="BJ251" s="30" t="e">
        <f t="shared" si="431"/>
        <v>#REF!</v>
      </c>
      <c r="BK251"/>
      <c r="BL251" s="5"/>
    </row>
    <row r="252" spans="1:64">
      <c r="A252"/>
      <c r="B252" t="s">
        <v>368</v>
      </c>
      <c r="C252" s="30" t="e">
        <f>+C173</f>
        <v>#REF!</v>
      </c>
      <c r="D252" s="30" t="e">
        <f t="shared" ref="D252:BJ252" si="432">+D173</f>
        <v>#REF!</v>
      </c>
      <c r="E252" s="30" t="e">
        <f t="shared" si="432"/>
        <v>#REF!</v>
      </c>
      <c r="F252" s="30" t="e">
        <f t="shared" si="432"/>
        <v>#REF!</v>
      </c>
      <c r="G252" s="30" t="e">
        <f t="shared" si="432"/>
        <v>#REF!</v>
      </c>
      <c r="H252" s="30" t="e">
        <f t="shared" si="432"/>
        <v>#REF!</v>
      </c>
      <c r="I252" s="30" t="e">
        <f t="shared" si="432"/>
        <v>#REF!</v>
      </c>
      <c r="J252" s="30" t="e">
        <f t="shared" si="432"/>
        <v>#REF!</v>
      </c>
      <c r="K252" s="30" t="e">
        <f t="shared" si="432"/>
        <v>#REF!</v>
      </c>
      <c r="L252" s="30" t="e">
        <f t="shared" si="432"/>
        <v>#REF!</v>
      </c>
      <c r="M252" s="30" t="e">
        <f t="shared" si="432"/>
        <v>#REF!</v>
      </c>
      <c r="N252" s="30" t="e">
        <f t="shared" si="432"/>
        <v>#REF!</v>
      </c>
      <c r="O252" s="30" t="e">
        <f t="shared" si="432"/>
        <v>#REF!</v>
      </c>
      <c r="P252" s="30" t="e">
        <f t="shared" si="432"/>
        <v>#REF!</v>
      </c>
      <c r="Q252" s="30" t="e">
        <f t="shared" si="432"/>
        <v>#REF!</v>
      </c>
      <c r="R252" s="30" t="e">
        <f t="shared" si="432"/>
        <v>#REF!</v>
      </c>
      <c r="S252" s="30" t="e">
        <f t="shared" si="432"/>
        <v>#REF!</v>
      </c>
      <c r="T252" s="30" t="e">
        <f t="shared" si="432"/>
        <v>#REF!</v>
      </c>
      <c r="U252" s="30" t="e">
        <f t="shared" si="432"/>
        <v>#REF!</v>
      </c>
      <c r="V252" s="30" t="e">
        <f t="shared" si="432"/>
        <v>#REF!</v>
      </c>
      <c r="W252" s="30" t="e">
        <f t="shared" si="432"/>
        <v>#REF!</v>
      </c>
      <c r="X252" s="30" t="e">
        <f t="shared" si="432"/>
        <v>#REF!</v>
      </c>
      <c r="Y252" s="30" t="e">
        <f t="shared" si="432"/>
        <v>#REF!</v>
      </c>
      <c r="Z252" s="30" t="e">
        <f t="shared" si="432"/>
        <v>#REF!</v>
      </c>
      <c r="AA252" s="30" t="e">
        <f t="shared" si="432"/>
        <v>#REF!</v>
      </c>
      <c r="AB252" s="30" t="e">
        <f t="shared" si="432"/>
        <v>#REF!</v>
      </c>
      <c r="AC252" s="30" t="e">
        <f t="shared" si="432"/>
        <v>#REF!</v>
      </c>
      <c r="AD252" s="30" t="e">
        <f t="shared" si="432"/>
        <v>#REF!</v>
      </c>
      <c r="AE252" s="30" t="e">
        <f t="shared" si="432"/>
        <v>#REF!</v>
      </c>
      <c r="AF252" s="30" t="e">
        <f t="shared" si="432"/>
        <v>#REF!</v>
      </c>
      <c r="AG252" s="30" t="e">
        <f t="shared" si="432"/>
        <v>#REF!</v>
      </c>
      <c r="AH252" s="30" t="e">
        <f t="shared" si="432"/>
        <v>#REF!</v>
      </c>
      <c r="AI252" s="30" t="e">
        <f t="shared" si="432"/>
        <v>#REF!</v>
      </c>
      <c r="AJ252" s="30" t="e">
        <f t="shared" si="432"/>
        <v>#REF!</v>
      </c>
      <c r="AK252" s="30" t="e">
        <f t="shared" si="432"/>
        <v>#REF!</v>
      </c>
      <c r="AL252" s="30" t="e">
        <f t="shared" si="432"/>
        <v>#REF!</v>
      </c>
      <c r="AM252" s="30" t="e">
        <f t="shared" si="432"/>
        <v>#REF!</v>
      </c>
      <c r="AN252" s="30" t="e">
        <f t="shared" si="432"/>
        <v>#REF!</v>
      </c>
      <c r="AO252" s="30" t="e">
        <f t="shared" si="432"/>
        <v>#REF!</v>
      </c>
      <c r="AP252" s="30" t="e">
        <f t="shared" si="432"/>
        <v>#REF!</v>
      </c>
      <c r="AQ252" s="30" t="e">
        <f t="shared" si="432"/>
        <v>#REF!</v>
      </c>
      <c r="AR252" s="30" t="e">
        <f t="shared" si="432"/>
        <v>#REF!</v>
      </c>
      <c r="AS252" s="30" t="e">
        <f t="shared" si="432"/>
        <v>#REF!</v>
      </c>
      <c r="AT252" s="30" t="e">
        <f t="shared" si="432"/>
        <v>#REF!</v>
      </c>
      <c r="AU252" s="30" t="e">
        <f t="shared" si="432"/>
        <v>#REF!</v>
      </c>
      <c r="AV252" s="30" t="e">
        <f t="shared" si="432"/>
        <v>#REF!</v>
      </c>
      <c r="AW252" s="30" t="e">
        <f t="shared" si="432"/>
        <v>#REF!</v>
      </c>
      <c r="AX252" s="30" t="e">
        <f t="shared" si="432"/>
        <v>#REF!</v>
      </c>
      <c r="AY252" s="30" t="e">
        <f t="shared" si="432"/>
        <v>#REF!</v>
      </c>
      <c r="AZ252" s="30" t="e">
        <f t="shared" si="432"/>
        <v>#REF!</v>
      </c>
      <c r="BA252" s="30" t="e">
        <f t="shared" si="432"/>
        <v>#REF!</v>
      </c>
      <c r="BB252" s="30" t="e">
        <f t="shared" si="432"/>
        <v>#REF!</v>
      </c>
      <c r="BC252" s="30" t="e">
        <f t="shared" si="432"/>
        <v>#REF!</v>
      </c>
      <c r="BD252" s="30" t="e">
        <f t="shared" si="432"/>
        <v>#REF!</v>
      </c>
      <c r="BE252" s="30" t="e">
        <f t="shared" si="432"/>
        <v>#REF!</v>
      </c>
      <c r="BF252" s="30" t="e">
        <f t="shared" si="432"/>
        <v>#REF!</v>
      </c>
      <c r="BG252" s="30" t="e">
        <f t="shared" si="432"/>
        <v>#REF!</v>
      </c>
      <c r="BH252" s="30" t="e">
        <f t="shared" si="432"/>
        <v>#REF!</v>
      </c>
      <c r="BI252" s="30" t="e">
        <f t="shared" si="432"/>
        <v>#REF!</v>
      </c>
      <c r="BJ252" s="30" t="e">
        <f t="shared" si="432"/>
        <v>#REF!</v>
      </c>
      <c r="BK252"/>
      <c r="BL252" s="5"/>
    </row>
    <row r="253" spans="1:64">
      <c r="A253"/>
      <c r="B253" t="s">
        <v>369</v>
      </c>
      <c r="C253" s="30" t="e">
        <f>+C204</f>
        <v>#REF!</v>
      </c>
      <c r="D253" s="30" t="e">
        <f t="shared" ref="D253:BJ253" si="433">+D204</f>
        <v>#REF!</v>
      </c>
      <c r="E253" s="30" t="e">
        <f t="shared" si="433"/>
        <v>#REF!</v>
      </c>
      <c r="F253" s="30" t="e">
        <f t="shared" si="433"/>
        <v>#REF!</v>
      </c>
      <c r="G253" s="30" t="e">
        <f t="shared" si="433"/>
        <v>#REF!</v>
      </c>
      <c r="H253" s="30" t="e">
        <f t="shared" si="433"/>
        <v>#REF!</v>
      </c>
      <c r="I253" s="30" t="e">
        <f t="shared" si="433"/>
        <v>#REF!</v>
      </c>
      <c r="J253" s="30" t="e">
        <f t="shared" si="433"/>
        <v>#REF!</v>
      </c>
      <c r="K253" s="30" t="e">
        <f t="shared" si="433"/>
        <v>#REF!</v>
      </c>
      <c r="L253" s="30" t="e">
        <f t="shared" si="433"/>
        <v>#REF!</v>
      </c>
      <c r="M253" s="30" t="e">
        <f t="shared" si="433"/>
        <v>#REF!</v>
      </c>
      <c r="N253" s="30" t="e">
        <f t="shared" si="433"/>
        <v>#REF!</v>
      </c>
      <c r="O253" s="30" t="e">
        <f t="shared" si="433"/>
        <v>#REF!</v>
      </c>
      <c r="P253" s="30" t="e">
        <f t="shared" si="433"/>
        <v>#REF!</v>
      </c>
      <c r="Q253" s="30" t="e">
        <f t="shared" si="433"/>
        <v>#REF!</v>
      </c>
      <c r="R253" s="30" t="e">
        <f t="shared" si="433"/>
        <v>#REF!</v>
      </c>
      <c r="S253" s="30" t="e">
        <f t="shared" si="433"/>
        <v>#REF!</v>
      </c>
      <c r="T253" s="30" t="e">
        <f t="shared" si="433"/>
        <v>#REF!</v>
      </c>
      <c r="U253" s="30" t="e">
        <f t="shared" si="433"/>
        <v>#REF!</v>
      </c>
      <c r="V253" s="30" t="e">
        <f t="shared" si="433"/>
        <v>#REF!</v>
      </c>
      <c r="W253" s="30" t="e">
        <f t="shared" si="433"/>
        <v>#REF!</v>
      </c>
      <c r="X253" s="30" t="e">
        <f t="shared" si="433"/>
        <v>#REF!</v>
      </c>
      <c r="Y253" s="30" t="e">
        <f t="shared" si="433"/>
        <v>#REF!</v>
      </c>
      <c r="Z253" s="30" t="e">
        <f t="shared" si="433"/>
        <v>#REF!</v>
      </c>
      <c r="AA253" s="30" t="e">
        <f t="shared" si="433"/>
        <v>#REF!</v>
      </c>
      <c r="AB253" s="30" t="e">
        <f t="shared" si="433"/>
        <v>#REF!</v>
      </c>
      <c r="AC253" s="30" t="e">
        <f t="shared" si="433"/>
        <v>#REF!</v>
      </c>
      <c r="AD253" s="30" t="e">
        <f t="shared" si="433"/>
        <v>#REF!</v>
      </c>
      <c r="AE253" s="30" t="e">
        <f t="shared" si="433"/>
        <v>#REF!</v>
      </c>
      <c r="AF253" s="30" t="e">
        <f t="shared" si="433"/>
        <v>#REF!</v>
      </c>
      <c r="AG253" s="30" t="e">
        <f t="shared" si="433"/>
        <v>#REF!</v>
      </c>
      <c r="AH253" s="30" t="e">
        <f t="shared" si="433"/>
        <v>#REF!</v>
      </c>
      <c r="AI253" s="30" t="e">
        <f t="shared" si="433"/>
        <v>#REF!</v>
      </c>
      <c r="AJ253" s="30" t="e">
        <f t="shared" si="433"/>
        <v>#REF!</v>
      </c>
      <c r="AK253" s="30" t="e">
        <f t="shared" si="433"/>
        <v>#REF!</v>
      </c>
      <c r="AL253" s="30" t="e">
        <f t="shared" si="433"/>
        <v>#REF!</v>
      </c>
      <c r="AM253" s="30" t="e">
        <f t="shared" si="433"/>
        <v>#REF!</v>
      </c>
      <c r="AN253" s="30" t="e">
        <f t="shared" si="433"/>
        <v>#REF!</v>
      </c>
      <c r="AO253" s="30" t="e">
        <f t="shared" si="433"/>
        <v>#REF!</v>
      </c>
      <c r="AP253" s="30" t="e">
        <f t="shared" si="433"/>
        <v>#REF!</v>
      </c>
      <c r="AQ253" s="30" t="e">
        <f t="shared" si="433"/>
        <v>#REF!</v>
      </c>
      <c r="AR253" s="30" t="e">
        <f t="shared" si="433"/>
        <v>#REF!</v>
      </c>
      <c r="AS253" s="30" t="e">
        <f t="shared" si="433"/>
        <v>#REF!</v>
      </c>
      <c r="AT253" s="30" t="e">
        <f t="shared" si="433"/>
        <v>#REF!</v>
      </c>
      <c r="AU253" s="30" t="e">
        <f t="shared" si="433"/>
        <v>#REF!</v>
      </c>
      <c r="AV253" s="30" t="e">
        <f t="shared" si="433"/>
        <v>#REF!</v>
      </c>
      <c r="AW253" s="30" t="e">
        <f t="shared" si="433"/>
        <v>#REF!</v>
      </c>
      <c r="AX253" s="30" t="e">
        <f t="shared" si="433"/>
        <v>#REF!</v>
      </c>
      <c r="AY253" s="30" t="e">
        <f t="shared" si="433"/>
        <v>#REF!</v>
      </c>
      <c r="AZ253" s="30" t="e">
        <f t="shared" si="433"/>
        <v>#REF!</v>
      </c>
      <c r="BA253" s="30" t="e">
        <f t="shared" si="433"/>
        <v>#REF!</v>
      </c>
      <c r="BB253" s="30" t="e">
        <f t="shared" si="433"/>
        <v>#REF!</v>
      </c>
      <c r="BC253" s="30" t="e">
        <f t="shared" si="433"/>
        <v>#REF!</v>
      </c>
      <c r="BD253" s="30" t="e">
        <f t="shared" si="433"/>
        <v>#REF!</v>
      </c>
      <c r="BE253" s="30" t="e">
        <f t="shared" si="433"/>
        <v>#REF!</v>
      </c>
      <c r="BF253" s="30" t="e">
        <f t="shared" si="433"/>
        <v>#REF!</v>
      </c>
      <c r="BG253" s="30" t="e">
        <f t="shared" si="433"/>
        <v>#REF!</v>
      </c>
      <c r="BH253" s="30" t="e">
        <f t="shared" si="433"/>
        <v>#REF!</v>
      </c>
      <c r="BI253" s="30" t="e">
        <f t="shared" si="433"/>
        <v>#REF!</v>
      </c>
      <c r="BJ253" s="30" t="e">
        <f t="shared" si="433"/>
        <v>#REF!</v>
      </c>
      <c r="BK253"/>
      <c r="BL253" s="5"/>
    </row>
    <row r="254" spans="1:64">
      <c r="A254"/>
      <c r="B254" t="s">
        <v>417</v>
      </c>
      <c r="C254" s="30" t="e">
        <f>+C224</f>
        <v>#REF!</v>
      </c>
      <c r="D254" s="30" t="e">
        <f t="shared" ref="D254:BJ254" si="434">+D224</f>
        <v>#REF!</v>
      </c>
      <c r="E254" s="30" t="e">
        <f t="shared" si="434"/>
        <v>#REF!</v>
      </c>
      <c r="F254" s="30" t="e">
        <f t="shared" si="434"/>
        <v>#REF!</v>
      </c>
      <c r="G254" s="30" t="e">
        <f t="shared" si="434"/>
        <v>#REF!</v>
      </c>
      <c r="H254" s="30" t="e">
        <f t="shared" si="434"/>
        <v>#REF!</v>
      </c>
      <c r="I254" s="30" t="e">
        <f t="shared" si="434"/>
        <v>#REF!</v>
      </c>
      <c r="J254" s="30" t="e">
        <f t="shared" si="434"/>
        <v>#REF!</v>
      </c>
      <c r="K254" s="30" t="e">
        <f t="shared" si="434"/>
        <v>#REF!</v>
      </c>
      <c r="L254" s="30" t="e">
        <f t="shared" si="434"/>
        <v>#REF!</v>
      </c>
      <c r="M254" s="30" t="e">
        <f t="shared" si="434"/>
        <v>#REF!</v>
      </c>
      <c r="N254" s="30" t="e">
        <f t="shared" si="434"/>
        <v>#REF!</v>
      </c>
      <c r="O254" s="30" t="e">
        <f t="shared" si="434"/>
        <v>#REF!</v>
      </c>
      <c r="P254" s="30" t="e">
        <f t="shared" si="434"/>
        <v>#REF!</v>
      </c>
      <c r="Q254" s="30" t="e">
        <f t="shared" si="434"/>
        <v>#REF!</v>
      </c>
      <c r="R254" s="30" t="e">
        <f t="shared" si="434"/>
        <v>#REF!</v>
      </c>
      <c r="S254" s="30" t="e">
        <f t="shared" si="434"/>
        <v>#REF!</v>
      </c>
      <c r="T254" s="30" t="e">
        <f t="shared" si="434"/>
        <v>#REF!</v>
      </c>
      <c r="U254" s="30" t="e">
        <f t="shared" si="434"/>
        <v>#REF!</v>
      </c>
      <c r="V254" s="30" t="e">
        <f t="shared" si="434"/>
        <v>#REF!</v>
      </c>
      <c r="W254" s="30" t="e">
        <f t="shared" si="434"/>
        <v>#REF!</v>
      </c>
      <c r="X254" s="30" t="e">
        <f t="shared" si="434"/>
        <v>#REF!</v>
      </c>
      <c r="Y254" s="30" t="e">
        <f t="shared" si="434"/>
        <v>#REF!</v>
      </c>
      <c r="Z254" s="30" t="e">
        <f t="shared" si="434"/>
        <v>#REF!</v>
      </c>
      <c r="AA254" s="30" t="e">
        <f t="shared" si="434"/>
        <v>#REF!</v>
      </c>
      <c r="AB254" s="30" t="e">
        <f t="shared" si="434"/>
        <v>#REF!</v>
      </c>
      <c r="AC254" s="30" t="e">
        <f t="shared" si="434"/>
        <v>#REF!</v>
      </c>
      <c r="AD254" s="30" t="e">
        <f t="shared" si="434"/>
        <v>#REF!</v>
      </c>
      <c r="AE254" s="30" t="e">
        <f t="shared" si="434"/>
        <v>#REF!</v>
      </c>
      <c r="AF254" s="30" t="e">
        <f t="shared" si="434"/>
        <v>#REF!</v>
      </c>
      <c r="AG254" s="30" t="e">
        <f t="shared" si="434"/>
        <v>#REF!</v>
      </c>
      <c r="AH254" s="30" t="e">
        <f t="shared" si="434"/>
        <v>#REF!</v>
      </c>
      <c r="AI254" s="30" t="e">
        <f t="shared" si="434"/>
        <v>#REF!</v>
      </c>
      <c r="AJ254" s="30" t="e">
        <f t="shared" si="434"/>
        <v>#REF!</v>
      </c>
      <c r="AK254" s="30" t="e">
        <f t="shared" si="434"/>
        <v>#REF!</v>
      </c>
      <c r="AL254" s="30" t="e">
        <f t="shared" si="434"/>
        <v>#REF!</v>
      </c>
      <c r="AM254" s="30" t="e">
        <f t="shared" si="434"/>
        <v>#REF!</v>
      </c>
      <c r="AN254" s="30" t="e">
        <f t="shared" si="434"/>
        <v>#REF!</v>
      </c>
      <c r="AO254" s="30" t="e">
        <f t="shared" si="434"/>
        <v>#REF!</v>
      </c>
      <c r="AP254" s="30" t="e">
        <f t="shared" si="434"/>
        <v>#REF!</v>
      </c>
      <c r="AQ254" s="30" t="e">
        <f t="shared" si="434"/>
        <v>#REF!</v>
      </c>
      <c r="AR254" s="30" t="e">
        <f t="shared" si="434"/>
        <v>#REF!</v>
      </c>
      <c r="AS254" s="30" t="e">
        <f t="shared" si="434"/>
        <v>#REF!</v>
      </c>
      <c r="AT254" s="30" t="e">
        <f t="shared" si="434"/>
        <v>#REF!</v>
      </c>
      <c r="AU254" s="30" t="e">
        <f t="shared" si="434"/>
        <v>#REF!</v>
      </c>
      <c r="AV254" s="30" t="e">
        <f t="shared" si="434"/>
        <v>#REF!</v>
      </c>
      <c r="AW254" s="30" t="e">
        <f t="shared" si="434"/>
        <v>#REF!</v>
      </c>
      <c r="AX254" s="30" t="e">
        <f t="shared" si="434"/>
        <v>#REF!</v>
      </c>
      <c r="AY254" s="30" t="e">
        <f t="shared" si="434"/>
        <v>#REF!</v>
      </c>
      <c r="AZ254" s="30" t="e">
        <f t="shared" si="434"/>
        <v>#REF!</v>
      </c>
      <c r="BA254" s="30" t="e">
        <f t="shared" si="434"/>
        <v>#REF!</v>
      </c>
      <c r="BB254" s="30" t="e">
        <f t="shared" si="434"/>
        <v>#REF!</v>
      </c>
      <c r="BC254" s="30" t="e">
        <f t="shared" si="434"/>
        <v>#REF!</v>
      </c>
      <c r="BD254" s="30" t="e">
        <f t="shared" si="434"/>
        <v>#REF!</v>
      </c>
      <c r="BE254" s="30" t="e">
        <f t="shared" si="434"/>
        <v>#REF!</v>
      </c>
      <c r="BF254" s="30" t="e">
        <f t="shared" si="434"/>
        <v>#REF!</v>
      </c>
      <c r="BG254" s="30" t="e">
        <f t="shared" si="434"/>
        <v>#REF!</v>
      </c>
      <c r="BH254" s="30" t="e">
        <f t="shared" si="434"/>
        <v>#REF!</v>
      </c>
      <c r="BI254" s="30" t="e">
        <f t="shared" si="434"/>
        <v>#REF!</v>
      </c>
      <c r="BJ254" s="30" t="e">
        <f t="shared" si="434"/>
        <v>#REF!</v>
      </c>
      <c r="BK254"/>
      <c r="BL254" s="5"/>
    </row>
    <row r="255" spans="1:64">
      <c r="A255"/>
      <c r="B255" t="s">
        <v>418</v>
      </c>
      <c r="C255" s="30" t="e">
        <f>+C235</f>
        <v>#REF!</v>
      </c>
      <c r="D255" s="30" t="e">
        <f t="shared" ref="D255:BJ255" si="435">+D235</f>
        <v>#REF!</v>
      </c>
      <c r="E255" s="30" t="e">
        <f t="shared" si="435"/>
        <v>#REF!</v>
      </c>
      <c r="F255" s="30" t="e">
        <f t="shared" si="435"/>
        <v>#REF!</v>
      </c>
      <c r="G255" s="30" t="e">
        <f t="shared" si="435"/>
        <v>#REF!</v>
      </c>
      <c r="H255" s="30" t="e">
        <f t="shared" si="435"/>
        <v>#REF!</v>
      </c>
      <c r="I255" s="30" t="e">
        <f t="shared" si="435"/>
        <v>#REF!</v>
      </c>
      <c r="J255" s="30" t="e">
        <f t="shared" si="435"/>
        <v>#REF!</v>
      </c>
      <c r="K255" s="30" t="e">
        <f t="shared" si="435"/>
        <v>#REF!</v>
      </c>
      <c r="L255" s="30" t="e">
        <f t="shared" si="435"/>
        <v>#REF!</v>
      </c>
      <c r="M255" s="30" t="e">
        <f t="shared" si="435"/>
        <v>#REF!</v>
      </c>
      <c r="N255" s="30" t="e">
        <f t="shared" si="435"/>
        <v>#REF!</v>
      </c>
      <c r="O255" s="30" t="e">
        <f t="shared" si="435"/>
        <v>#REF!</v>
      </c>
      <c r="P255" s="30" t="e">
        <f t="shared" si="435"/>
        <v>#REF!</v>
      </c>
      <c r="Q255" s="30" t="e">
        <f t="shared" si="435"/>
        <v>#REF!</v>
      </c>
      <c r="R255" s="30" t="e">
        <f t="shared" si="435"/>
        <v>#REF!</v>
      </c>
      <c r="S255" s="30" t="e">
        <f t="shared" si="435"/>
        <v>#REF!</v>
      </c>
      <c r="T255" s="30" t="e">
        <f t="shared" si="435"/>
        <v>#REF!</v>
      </c>
      <c r="U255" s="30" t="e">
        <f t="shared" si="435"/>
        <v>#REF!</v>
      </c>
      <c r="V255" s="30" t="e">
        <f t="shared" si="435"/>
        <v>#REF!</v>
      </c>
      <c r="W255" s="30" t="e">
        <f t="shared" si="435"/>
        <v>#REF!</v>
      </c>
      <c r="X255" s="30" t="e">
        <f t="shared" si="435"/>
        <v>#REF!</v>
      </c>
      <c r="Y255" s="30" t="e">
        <f t="shared" si="435"/>
        <v>#REF!</v>
      </c>
      <c r="Z255" s="30" t="e">
        <f t="shared" si="435"/>
        <v>#REF!</v>
      </c>
      <c r="AA255" s="30" t="e">
        <f t="shared" si="435"/>
        <v>#REF!</v>
      </c>
      <c r="AB255" s="30" t="e">
        <f t="shared" si="435"/>
        <v>#REF!</v>
      </c>
      <c r="AC255" s="30" t="e">
        <f t="shared" si="435"/>
        <v>#REF!</v>
      </c>
      <c r="AD255" s="30" t="e">
        <f t="shared" si="435"/>
        <v>#REF!</v>
      </c>
      <c r="AE255" s="30" t="e">
        <f t="shared" si="435"/>
        <v>#REF!</v>
      </c>
      <c r="AF255" s="30" t="e">
        <f t="shared" si="435"/>
        <v>#REF!</v>
      </c>
      <c r="AG255" s="30" t="e">
        <f t="shared" si="435"/>
        <v>#REF!</v>
      </c>
      <c r="AH255" s="30" t="e">
        <f t="shared" si="435"/>
        <v>#REF!</v>
      </c>
      <c r="AI255" s="30" t="e">
        <f t="shared" si="435"/>
        <v>#REF!</v>
      </c>
      <c r="AJ255" s="30" t="e">
        <f t="shared" si="435"/>
        <v>#REF!</v>
      </c>
      <c r="AK255" s="30" t="e">
        <f t="shared" si="435"/>
        <v>#REF!</v>
      </c>
      <c r="AL255" s="30" t="e">
        <f t="shared" si="435"/>
        <v>#REF!</v>
      </c>
      <c r="AM255" s="30" t="e">
        <f t="shared" si="435"/>
        <v>#REF!</v>
      </c>
      <c r="AN255" s="30" t="e">
        <f t="shared" si="435"/>
        <v>#REF!</v>
      </c>
      <c r="AO255" s="30" t="e">
        <f t="shared" si="435"/>
        <v>#REF!</v>
      </c>
      <c r="AP255" s="30" t="e">
        <f t="shared" si="435"/>
        <v>#REF!</v>
      </c>
      <c r="AQ255" s="30" t="e">
        <f t="shared" si="435"/>
        <v>#REF!</v>
      </c>
      <c r="AR255" s="30" t="e">
        <f t="shared" si="435"/>
        <v>#REF!</v>
      </c>
      <c r="AS255" s="30" t="e">
        <f t="shared" si="435"/>
        <v>#REF!</v>
      </c>
      <c r="AT255" s="30" t="e">
        <f t="shared" si="435"/>
        <v>#REF!</v>
      </c>
      <c r="AU255" s="30" t="e">
        <f t="shared" si="435"/>
        <v>#REF!</v>
      </c>
      <c r="AV255" s="30" t="e">
        <f t="shared" si="435"/>
        <v>#REF!</v>
      </c>
      <c r="AW255" s="30" t="e">
        <f t="shared" si="435"/>
        <v>#REF!</v>
      </c>
      <c r="AX255" s="30" t="e">
        <f t="shared" si="435"/>
        <v>#REF!</v>
      </c>
      <c r="AY255" s="30" t="e">
        <f t="shared" si="435"/>
        <v>#REF!</v>
      </c>
      <c r="AZ255" s="30" t="e">
        <f t="shared" si="435"/>
        <v>#REF!</v>
      </c>
      <c r="BA255" s="30" t="e">
        <f t="shared" si="435"/>
        <v>#REF!</v>
      </c>
      <c r="BB255" s="30" t="e">
        <f t="shared" si="435"/>
        <v>#REF!</v>
      </c>
      <c r="BC255" s="30" t="e">
        <f t="shared" si="435"/>
        <v>#REF!</v>
      </c>
      <c r="BD255" s="30" t="e">
        <f t="shared" si="435"/>
        <v>#REF!</v>
      </c>
      <c r="BE255" s="30" t="e">
        <f t="shared" si="435"/>
        <v>#REF!</v>
      </c>
      <c r="BF255" s="30" t="e">
        <f t="shared" si="435"/>
        <v>#REF!</v>
      </c>
      <c r="BG255" s="30" t="e">
        <f t="shared" si="435"/>
        <v>#REF!</v>
      </c>
      <c r="BH255" s="30" t="e">
        <f t="shared" si="435"/>
        <v>#REF!</v>
      </c>
      <c r="BI255" s="30" t="e">
        <f t="shared" si="435"/>
        <v>#REF!</v>
      </c>
      <c r="BJ255" s="30" t="e">
        <f t="shared" si="435"/>
        <v>#REF!</v>
      </c>
      <c r="BK255"/>
      <c r="BL255" s="5"/>
    </row>
    <row r="256" spans="1:64">
      <c r="A256"/>
      <c r="B256" s="3" t="s">
        <v>64</v>
      </c>
      <c r="C256" s="29" t="e">
        <f>SUM(C250:C255)</f>
        <v>#REF!</v>
      </c>
      <c r="D256" s="29" t="e">
        <f t="shared" ref="D256:BJ256" si="436">SUM(D250:D255)</f>
        <v>#REF!</v>
      </c>
      <c r="E256" s="29" t="e">
        <f t="shared" si="436"/>
        <v>#REF!</v>
      </c>
      <c r="F256" s="29" t="e">
        <f t="shared" si="436"/>
        <v>#REF!</v>
      </c>
      <c r="G256" s="29" t="e">
        <f t="shared" si="436"/>
        <v>#REF!</v>
      </c>
      <c r="H256" s="29" t="e">
        <f t="shared" si="436"/>
        <v>#REF!</v>
      </c>
      <c r="I256" s="29" t="e">
        <f t="shared" si="436"/>
        <v>#REF!</v>
      </c>
      <c r="J256" s="29" t="e">
        <f t="shared" si="436"/>
        <v>#REF!</v>
      </c>
      <c r="K256" s="29" t="e">
        <f t="shared" si="436"/>
        <v>#REF!</v>
      </c>
      <c r="L256" s="29" t="e">
        <f t="shared" si="436"/>
        <v>#REF!</v>
      </c>
      <c r="M256" s="29" t="e">
        <f t="shared" si="436"/>
        <v>#REF!</v>
      </c>
      <c r="N256" s="29" t="e">
        <f t="shared" si="436"/>
        <v>#REF!</v>
      </c>
      <c r="O256" s="29" t="e">
        <f t="shared" si="436"/>
        <v>#REF!</v>
      </c>
      <c r="P256" s="29" t="e">
        <f t="shared" si="436"/>
        <v>#REF!</v>
      </c>
      <c r="Q256" s="29" t="e">
        <f t="shared" si="436"/>
        <v>#REF!</v>
      </c>
      <c r="R256" s="29" t="e">
        <f t="shared" si="436"/>
        <v>#REF!</v>
      </c>
      <c r="S256" s="29" t="e">
        <f t="shared" si="436"/>
        <v>#REF!</v>
      </c>
      <c r="T256" s="29" t="e">
        <f t="shared" si="436"/>
        <v>#REF!</v>
      </c>
      <c r="U256" s="29" t="e">
        <f t="shared" si="436"/>
        <v>#REF!</v>
      </c>
      <c r="V256" s="29" t="e">
        <f t="shared" si="436"/>
        <v>#REF!</v>
      </c>
      <c r="W256" s="29" t="e">
        <f t="shared" si="436"/>
        <v>#REF!</v>
      </c>
      <c r="X256" s="29" t="e">
        <f t="shared" si="436"/>
        <v>#REF!</v>
      </c>
      <c r="Y256" s="29" t="e">
        <f t="shared" si="436"/>
        <v>#REF!</v>
      </c>
      <c r="Z256" s="29" t="e">
        <f t="shared" si="436"/>
        <v>#REF!</v>
      </c>
      <c r="AA256" s="29" t="e">
        <f t="shared" si="436"/>
        <v>#REF!</v>
      </c>
      <c r="AB256" s="29" t="e">
        <f t="shared" si="436"/>
        <v>#REF!</v>
      </c>
      <c r="AC256" s="29" t="e">
        <f t="shared" si="436"/>
        <v>#REF!</v>
      </c>
      <c r="AD256" s="29" t="e">
        <f t="shared" si="436"/>
        <v>#REF!</v>
      </c>
      <c r="AE256" s="29" t="e">
        <f t="shared" si="436"/>
        <v>#REF!</v>
      </c>
      <c r="AF256" s="29" t="e">
        <f t="shared" si="436"/>
        <v>#REF!</v>
      </c>
      <c r="AG256" s="29" t="e">
        <f t="shared" si="436"/>
        <v>#REF!</v>
      </c>
      <c r="AH256" s="29" t="e">
        <f t="shared" si="436"/>
        <v>#REF!</v>
      </c>
      <c r="AI256" s="29" t="e">
        <f t="shared" si="436"/>
        <v>#REF!</v>
      </c>
      <c r="AJ256" s="29" t="e">
        <f t="shared" si="436"/>
        <v>#REF!</v>
      </c>
      <c r="AK256" s="29" t="e">
        <f t="shared" si="436"/>
        <v>#REF!</v>
      </c>
      <c r="AL256" s="29" t="e">
        <f t="shared" si="436"/>
        <v>#REF!</v>
      </c>
      <c r="AM256" s="29" t="e">
        <f t="shared" si="436"/>
        <v>#REF!</v>
      </c>
      <c r="AN256" s="29" t="e">
        <f t="shared" si="436"/>
        <v>#REF!</v>
      </c>
      <c r="AO256" s="29" t="e">
        <f t="shared" si="436"/>
        <v>#REF!</v>
      </c>
      <c r="AP256" s="29" t="e">
        <f t="shared" si="436"/>
        <v>#REF!</v>
      </c>
      <c r="AQ256" s="29" t="e">
        <f t="shared" si="436"/>
        <v>#REF!</v>
      </c>
      <c r="AR256" s="29" t="e">
        <f t="shared" si="436"/>
        <v>#REF!</v>
      </c>
      <c r="AS256" s="29" t="e">
        <f t="shared" si="436"/>
        <v>#REF!</v>
      </c>
      <c r="AT256" s="29" t="e">
        <f t="shared" si="436"/>
        <v>#REF!</v>
      </c>
      <c r="AU256" s="29" t="e">
        <f t="shared" si="436"/>
        <v>#REF!</v>
      </c>
      <c r="AV256" s="29" t="e">
        <f t="shared" si="436"/>
        <v>#REF!</v>
      </c>
      <c r="AW256" s="29" t="e">
        <f t="shared" si="436"/>
        <v>#REF!</v>
      </c>
      <c r="AX256" s="29" t="e">
        <f t="shared" si="436"/>
        <v>#REF!</v>
      </c>
      <c r="AY256" s="29" t="e">
        <f t="shared" si="436"/>
        <v>#REF!</v>
      </c>
      <c r="AZ256" s="29" t="e">
        <f t="shared" si="436"/>
        <v>#REF!</v>
      </c>
      <c r="BA256" s="29" t="e">
        <f t="shared" si="436"/>
        <v>#REF!</v>
      </c>
      <c r="BB256" s="29" t="e">
        <f t="shared" si="436"/>
        <v>#REF!</v>
      </c>
      <c r="BC256" s="29" t="e">
        <f t="shared" si="436"/>
        <v>#REF!</v>
      </c>
      <c r="BD256" s="29" t="e">
        <f t="shared" si="436"/>
        <v>#REF!</v>
      </c>
      <c r="BE256" s="29" t="e">
        <f t="shared" si="436"/>
        <v>#REF!</v>
      </c>
      <c r="BF256" s="29" t="e">
        <f t="shared" si="436"/>
        <v>#REF!</v>
      </c>
      <c r="BG256" s="29" t="e">
        <f t="shared" si="436"/>
        <v>#REF!</v>
      </c>
      <c r="BH256" s="29" t="e">
        <f t="shared" si="436"/>
        <v>#REF!</v>
      </c>
      <c r="BI256" s="29" t="e">
        <f t="shared" si="436"/>
        <v>#REF!</v>
      </c>
      <c r="BJ256" s="29" t="e">
        <f t="shared" si="436"/>
        <v>#REF!</v>
      </c>
      <c r="BK256"/>
      <c r="BL256" s="5"/>
    </row>
    <row r="257" spans="1:64">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s="5"/>
    </row>
    <row r="258" spans="1:64">
      <c r="A258"/>
      <c r="B258" s="28" t="s">
        <v>371</v>
      </c>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s="5"/>
    </row>
    <row r="259" spans="1:64">
      <c r="A259"/>
      <c r="B259" t="s">
        <v>316</v>
      </c>
      <c r="C259" s="30">
        <f>SUM(C241,C250)</f>
        <v>0</v>
      </c>
      <c r="D259" s="30">
        <f t="shared" ref="D259:BJ263" si="437">SUM(D241,D250)</f>
        <v>0</v>
      </c>
      <c r="E259" s="30">
        <f t="shared" si="437"/>
        <v>0</v>
      </c>
      <c r="F259" s="30">
        <f t="shared" si="437"/>
        <v>0</v>
      </c>
      <c r="G259" s="30">
        <f t="shared" si="437"/>
        <v>0</v>
      </c>
      <c r="H259" s="30">
        <f t="shared" si="437"/>
        <v>0</v>
      </c>
      <c r="I259" s="30">
        <f t="shared" si="437"/>
        <v>0</v>
      </c>
      <c r="J259" s="30">
        <f t="shared" si="437"/>
        <v>0</v>
      </c>
      <c r="K259" s="30">
        <f t="shared" si="437"/>
        <v>0</v>
      </c>
      <c r="L259" s="30">
        <f t="shared" si="437"/>
        <v>0</v>
      </c>
      <c r="M259" s="30">
        <f t="shared" si="437"/>
        <v>0</v>
      </c>
      <c r="N259" s="30">
        <f t="shared" si="437"/>
        <v>0</v>
      </c>
      <c r="O259" s="30">
        <f t="shared" si="437"/>
        <v>0</v>
      </c>
      <c r="P259" s="30">
        <f t="shared" si="437"/>
        <v>0</v>
      </c>
      <c r="Q259" s="30">
        <f t="shared" si="437"/>
        <v>0</v>
      </c>
      <c r="R259" s="30">
        <f t="shared" si="437"/>
        <v>0</v>
      </c>
      <c r="S259" s="30">
        <f t="shared" si="437"/>
        <v>0</v>
      </c>
      <c r="T259" s="30">
        <f t="shared" si="437"/>
        <v>0</v>
      </c>
      <c r="U259" s="30">
        <f t="shared" si="437"/>
        <v>0</v>
      </c>
      <c r="V259" s="30">
        <f t="shared" si="437"/>
        <v>0</v>
      </c>
      <c r="W259" s="30">
        <f t="shared" si="437"/>
        <v>0</v>
      </c>
      <c r="X259" s="30">
        <f t="shared" si="437"/>
        <v>0</v>
      </c>
      <c r="Y259" s="30">
        <f t="shared" si="437"/>
        <v>0</v>
      </c>
      <c r="Z259" s="30">
        <f t="shared" si="437"/>
        <v>0</v>
      </c>
      <c r="AA259" s="30">
        <f t="shared" si="437"/>
        <v>0</v>
      </c>
      <c r="AB259" s="30">
        <f t="shared" si="437"/>
        <v>0</v>
      </c>
      <c r="AC259" s="30">
        <f t="shared" si="437"/>
        <v>0</v>
      </c>
      <c r="AD259" s="30">
        <f t="shared" si="437"/>
        <v>0</v>
      </c>
      <c r="AE259" s="30">
        <f t="shared" si="437"/>
        <v>0</v>
      </c>
      <c r="AF259" s="30">
        <f t="shared" si="437"/>
        <v>0</v>
      </c>
      <c r="AG259" s="30">
        <f t="shared" si="437"/>
        <v>0</v>
      </c>
      <c r="AH259" s="30">
        <f t="shared" si="437"/>
        <v>0</v>
      </c>
      <c r="AI259" s="30">
        <f t="shared" si="437"/>
        <v>0</v>
      </c>
      <c r="AJ259" s="30">
        <f t="shared" si="437"/>
        <v>0</v>
      </c>
      <c r="AK259" s="30">
        <f t="shared" si="437"/>
        <v>0</v>
      </c>
      <c r="AL259" s="30">
        <f t="shared" si="437"/>
        <v>0</v>
      </c>
      <c r="AM259" s="30">
        <f t="shared" si="437"/>
        <v>0</v>
      </c>
      <c r="AN259" s="30">
        <f t="shared" si="437"/>
        <v>0</v>
      </c>
      <c r="AO259" s="30">
        <f t="shared" si="437"/>
        <v>0</v>
      </c>
      <c r="AP259" s="30">
        <f t="shared" si="437"/>
        <v>0</v>
      </c>
      <c r="AQ259" s="30">
        <f t="shared" si="437"/>
        <v>0</v>
      </c>
      <c r="AR259" s="30">
        <f t="shared" si="437"/>
        <v>0</v>
      </c>
      <c r="AS259" s="30">
        <f t="shared" si="437"/>
        <v>0</v>
      </c>
      <c r="AT259" s="30">
        <f t="shared" si="437"/>
        <v>0</v>
      </c>
      <c r="AU259" s="30">
        <f t="shared" si="437"/>
        <v>0</v>
      </c>
      <c r="AV259" s="30">
        <f t="shared" si="437"/>
        <v>0</v>
      </c>
      <c r="AW259" s="30">
        <f t="shared" si="437"/>
        <v>0</v>
      </c>
      <c r="AX259" s="30">
        <f t="shared" si="437"/>
        <v>0</v>
      </c>
      <c r="AY259" s="30">
        <f t="shared" si="437"/>
        <v>0</v>
      </c>
      <c r="AZ259" s="30">
        <f t="shared" si="437"/>
        <v>0</v>
      </c>
      <c r="BA259" s="30">
        <f t="shared" si="437"/>
        <v>0</v>
      </c>
      <c r="BB259" s="30">
        <f t="shared" si="437"/>
        <v>0</v>
      </c>
      <c r="BC259" s="30">
        <f t="shared" si="437"/>
        <v>0</v>
      </c>
      <c r="BD259" s="30">
        <f t="shared" si="437"/>
        <v>0</v>
      </c>
      <c r="BE259" s="30">
        <f t="shared" si="437"/>
        <v>0</v>
      </c>
      <c r="BF259" s="30">
        <f t="shared" si="437"/>
        <v>0</v>
      </c>
      <c r="BG259" s="30">
        <f t="shared" si="437"/>
        <v>0</v>
      </c>
      <c r="BH259" s="30">
        <f t="shared" si="437"/>
        <v>0</v>
      </c>
      <c r="BI259" s="30">
        <f t="shared" si="437"/>
        <v>0</v>
      </c>
      <c r="BJ259" s="30">
        <f t="shared" si="437"/>
        <v>0</v>
      </c>
      <c r="BK259"/>
      <c r="BL259" s="5"/>
    </row>
    <row r="260" spans="1:64">
      <c r="A260"/>
      <c r="B260" t="s">
        <v>367</v>
      </c>
      <c r="C260" s="30" t="e">
        <f t="shared" ref="C260:R264" si="438">SUM(C242,C251)</f>
        <v>#REF!</v>
      </c>
      <c r="D260" s="30" t="e">
        <f t="shared" si="438"/>
        <v>#REF!</v>
      </c>
      <c r="E260" s="30" t="e">
        <f t="shared" si="438"/>
        <v>#REF!</v>
      </c>
      <c r="F260" s="30" t="e">
        <f t="shared" si="438"/>
        <v>#REF!</v>
      </c>
      <c r="G260" s="30" t="e">
        <f t="shared" si="438"/>
        <v>#REF!</v>
      </c>
      <c r="H260" s="30" t="e">
        <f t="shared" si="438"/>
        <v>#REF!</v>
      </c>
      <c r="I260" s="30" t="e">
        <f t="shared" si="438"/>
        <v>#REF!</v>
      </c>
      <c r="J260" s="30" t="e">
        <f t="shared" si="438"/>
        <v>#REF!</v>
      </c>
      <c r="K260" s="30" t="e">
        <f t="shared" si="438"/>
        <v>#REF!</v>
      </c>
      <c r="L260" s="30" t="e">
        <f t="shared" si="438"/>
        <v>#REF!</v>
      </c>
      <c r="M260" s="30" t="e">
        <f t="shared" si="438"/>
        <v>#REF!</v>
      </c>
      <c r="N260" s="30" t="e">
        <f t="shared" si="438"/>
        <v>#REF!</v>
      </c>
      <c r="O260" s="30" t="e">
        <f t="shared" si="438"/>
        <v>#REF!</v>
      </c>
      <c r="P260" s="30" t="e">
        <f t="shared" si="438"/>
        <v>#REF!</v>
      </c>
      <c r="Q260" s="30" t="e">
        <f t="shared" si="438"/>
        <v>#REF!</v>
      </c>
      <c r="R260" s="30" t="e">
        <f t="shared" si="438"/>
        <v>#REF!</v>
      </c>
      <c r="S260" s="30" t="e">
        <f t="shared" si="437"/>
        <v>#REF!</v>
      </c>
      <c r="T260" s="30" t="e">
        <f t="shared" si="437"/>
        <v>#REF!</v>
      </c>
      <c r="U260" s="30" t="e">
        <f t="shared" si="437"/>
        <v>#REF!</v>
      </c>
      <c r="V260" s="30" t="e">
        <f t="shared" si="437"/>
        <v>#REF!</v>
      </c>
      <c r="W260" s="30" t="e">
        <f t="shared" si="437"/>
        <v>#REF!</v>
      </c>
      <c r="X260" s="30" t="e">
        <f t="shared" si="437"/>
        <v>#REF!</v>
      </c>
      <c r="Y260" s="30" t="e">
        <f t="shared" si="437"/>
        <v>#REF!</v>
      </c>
      <c r="Z260" s="30" t="e">
        <f t="shared" si="437"/>
        <v>#REF!</v>
      </c>
      <c r="AA260" s="30" t="e">
        <f t="shared" si="437"/>
        <v>#REF!</v>
      </c>
      <c r="AB260" s="30" t="e">
        <f t="shared" si="437"/>
        <v>#REF!</v>
      </c>
      <c r="AC260" s="30" t="e">
        <f t="shared" si="437"/>
        <v>#REF!</v>
      </c>
      <c r="AD260" s="30" t="e">
        <f t="shared" si="437"/>
        <v>#REF!</v>
      </c>
      <c r="AE260" s="30" t="e">
        <f t="shared" si="437"/>
        <v>#REF!</v>
      </c>
      <c r="AF260" s="30" t="e">
        <f t="shared" si="437"/>
        <v>#REF!</v>
      </c>
      <c r="AG260" s="30" t="e">
        <f t="shared" si="437"/>
        <v>#REF!</v>
      </c>
      <c r="AH260" s="30" t="e">
        <f t="shared" si="437"/>
        <v>#REF!</v>
      </c>
      <c r="AI260" s="30" t="e">
        <f t="shared" si="437"/>
        <v>#REF!</v>
      </c>
      <c r="AJ260" s="30" t="e">
        <f t="shared" si="437"/>
        <v>#REF!</v>
      </c>
      <c r="AK260" s="30" t="e">
        <f t="shared" si="437"/>
        <v>#REF!</v>
      </c>
      <c r="AL260" s="30" t="e">
        <f t="shared" si="437"/>
        <v>#REF!</v>
      </c>
      <c r="AM260" s="30" t="e">
        <f t="shared" si="437"/>
        <v>#REF!</v>
      </c>
      <c r="AN260" s="30" t="e">
        <f t="shared" si="437"/>
        <v>#REF!</v>
      </c>
      <c r="AO260" s="30" t="e">
        <f t="shared" si="437"/>
        <v>#REF!</v>
      </c>
      <c r="AP260" s="30" t="e">
        <f t="shared" si="437"/>
        <v>#REF!</v>
      </c>
      <c r="AQ260" s="30" t="e">
        <f t="shared" si="437"/>
        <v>#REF!</v>
      </c>
      <c r="AR260" s="30" t="e">
        <f t="shared" si="437"/>
        <v>#REF!</v>
      </c>
      <c r="AS260" s="30" t="e">
        <f t="shared" si="437"/>
        <v>#REF!</v>
      </c>
      <c r="AT260" s="30" t="e">
        <f t="shared" si="437"/>
        <v>#REF!</v>
      </c>
      <c r="AU260" s="30" t="e">
        <f t="shared" si="437"/>
        <v>#REF!</v>
      </c>
      <c r="AV260" s="30" t="e">
        <f t="shared" si="437"/>
        <v>#REF!</v>
      </c>
      <c r="AW260" s="30" t="e">
        <f t="shared" si="437"/>
        <v>#REF!</v>
      </c>
      <c r="AX260" s="30" t="e">
        <f t="shared" si="437"/>
        <v>#REF!</v>
      </c>
      <c r="AY260" s="30" t="e">
        <f t="shared" si="437"/>
        <v>#REF!</v>
      </c>
      <c r="AZ260" s="30" t="e">
        <f t="shared" si="437"/>
        <v>#REF!</v>
      </c>
      <c r="BA260" s="30" t="e">
        <f t="shared" si="437"/>
        <v>#REF!</v>
      </c>
      <c r="BB260" s="30" t="e">
        <f t="shared" si="437"/>
        <v>#REF!</v>
      </c>
      <c r="BC260" s="30" t="e">
        <f t="shared" si="437"/>
        <v>#REF!</v>
      </c>
      <c r="BD260" s="30" t="e">
        <f t="shared" si="437"/>
        <v>#REF!</v>
      </c>
      <c r="BE260" s="30" t="e">
        <f t="shared" si="437"/>
        <v>#REF!</v>
      </c>
      <c r="BF260" s="30" t="e">
        <f t="shared" si="437"/>
        <v>#REF!</v>
      </c>
      <c r="BG260" s="30" t="e">
        <f t="shared" si="437"/>
        <v>#REF!</v>
      </c>
      <c r="BH260" s="30" t="e">
        <f t="shared" si="437"/>
        <v>#REF!</v>
      </c>
      <c r="BI260" s="30" t="e">
        <f t="shared" si="437"/>
        <v>#REF!</v>
      </c>
      <c r="BJ260" s="30" t="e">
        <f t="shared" si="437"/>
        <v>#REF!</v>
      </c>
      <c r="BK260"/>
      <c r="BL260" s="5"/>
    </row>
    <row r="261" spans="1:64">
      <c r="A261"/>
      <c r="B261" t="s">
        <v>368</v>
      </c>
      <c r="C261" s="30" t="e">
        <f t="shared" si="438"/>
        <v>#REF!</v>
      </c>
      <c r="D261" s="30" t="e">
        <f t="shared" si="437"/>
        <v>#REF!</v>
      </c>
      <c r="E261" s="30" t="e">
        <f t="shared" si="437"/>
        <v>#REF!</v>
      </c>
      <c r="F261" s="30" t="e">
        <f t="shared" si="437"/>
        <v>#REF!</v>
      </c>
      <c r="G261" s="30" t="e">
        <f t="shared" si="437"/>
        <v>#REF!</v>
      </c>
      <c r="H261" s="30" t="e">
        <f t="shared" si="437"/>
        <v>#REF!</v>
      </c>
      <c r="I261" s="30" t="e">
        <f t="shared" si="437"/>
        <v>#REF!</v>
      </c>
      <c r="J261" s="30" t="e">
        <f t="shared" si="437"/>
        <v>#REF!</v>
      </c>
      <c r="K261" s="30" t="e">
        <f t="shared" si="437"/>
        <v>#REF!</v>
      </c>
      <c r="L261" s="30" t="e">
        <f t="shared" si="437"/>
        <v>#REF!</v>
      </c>
      <c r="M261" s="30" t="e">
        <f t="shared" si="437"/>
        <v>#REF!</v>
      </c>
      <c r="N261" s="30" t="e">
        <f t="shared" si="437"/>
        <v>#REF!</v>
      </c>
      <c r="O261" s="30" t="e">
        <f t="shared" si="437"/>
        <v>#REF!</v>
      </c>
      <c r="P261" s="30" t="e">
        <f t="shared" si="437"/>
        <v>#REF!</v>
      </c>
      <c r="Q261" s="30" t="e">
        <f t="shared" si="437"/>
        <v>#REF!</v>
      </c>
      <c r="R261" s="30" t="e">
        <f t="shared" si="437"/>
        <v>#REF!</v>
      </c>
      <c r="S261" s="30" t="e">
        <f t="shared" si="437"/>
        <v>#REF!</v>
      </c>
      <c r="T261" s="30" t="e">
        <f t="shared" si="437"/>
        <v>#REF!</v>
      </c>
      <c r="U261" s="30" t="e">
        <f t="shared" si="437"/>
        <v>#REF!</v>
      </c>
      <c r="V261" s="30" t="e">
        <f t="shared" si="437"/>
        <v>#REF!</v>
      </c>
      <c r="W261" s="30" t="e">
        <f t="shared" si="437"/>
        <v>#REF!</v>
      </c>
      <c r="X261" s="30" t="e">
        <f t="shared" si="437"/>
        <v>#REF!</v>
      </c>
      <c r="Y261" s="30" t="e">
        <f t="shared" si="437"/>
        <v>#REF!</v>
      </c>
      <c r="Z261" s="30" t="e">
        <f t="shared" si="437"/>
        <v>#REF!</v>
      </c>
      <c r="AA261" s="30" t="e">
        <f t="shared" si="437"/>
        <v>#REF!</v>
      </c>
      <c r="AB261" s="30" t="e">
        <f t="shared" si="437"/>
        <v>#REF!</v>
      </c>
      <c r="AC261" s="30" t="e">
        <f t="shared" si="437"/>
        <v>#REF!</v>
      </c>
      <c r="AD261" s="30" t="e">
        <f t="shared" si="437"/>
        <v>#REF!</v>
      </c>
      <c r="AE261" s="30" t="e">
        <f t="shared" si="437"/>
        <v>#REF!</v>
      </c>
      <c r="AF261" s="30" t="e">
        <f t="shared" si="437"/>
        <v>#REF!</v>
      </c>
      <c r="AG261" s="30" t="e">
        <f t="shared" si="437"/>
        <v>#REF!</v>
      </c>
      <c r="AH261" s="30" t="e">
        <f t="shared" si="437"/>
        <v>#REF!</v>
      </c>
      <c r="AI261" s="30" t="e">
        <f t="shared" si="437"/>
        <v>#REF!</v>
      </c>
      <c r="AJ261" s="30" t="e">
        <f t="shared" si="437"/>
        <v>#REF!</v>
      </c>
      <c r="AK261" s="30" t="e">
        <f t="shared" si="437"/>
        <v>#REF!</v>
      </c>
      <c r="AL261" s="30" t="e">
        <f t="shared" si="437"/>
        <v>#REF!</v>
      </c>
      <c r="AM261" s="30" t="e">
        <f t="shared" si="437"/>
        <v>#REF!</v>
      </c>
      <c r="AN261" s="30" t="e">
        <f t="shared" si="437"/>
        <v>#REF!</v>
      </c>
      <c r="AO261" s="30" t="e">
        <f t="shared" si="437"/>
        <v>#REF!</v>
      </c>
      <c r="AP261" s="30" t="e">
        <f t="shared" si="437"/>
        <v>#REF!</v>
      </c>
      <c r="AQ261" s="30" t="e">
        <f t="shared" si="437"/>
        <v>#REF!</v>
      </c>
      <c r="AR261" s="30" t="e">
        <f t="shared" si="437"/>
        <v>#REF!</v>
      </c>
      <c r="AS261" s="30" t="e">
        <f t="shared" si="437"/>
        <v>#REF!</v>
      </c>
      <c r="AT261" s="30" t="e">
        <f t="shared" si="437"/>
        <v>#REF!</v>
      </c>
      <c r="AU261" s="30" t="e">
        <f t="shared" si="437"/>
        <v>#REF!</v>
      </c>
      <c r="AV261" s="30" t="e">
        <f t="shared" si="437"/>
        <v>#REF!</v>
      </c>
      <c r="AW261" s="30" t="e">
        <f t="shared" si="437"/>
        <v>#REF!</v>
      </c>
      <c r="AX261" s="30" t="e">
        <f t="shared" si="437"/>
        <v>#REF!</v>
      </c>
      <c r="AY261" s="30" t="e">
        <f t="shared" si="437"/>
        <v>#REF!</v>
      </c>
      <c r="AZ261" s="30" t="e">
        <f t="shared" si="437"/>
        <v>#REF!</v>
      </c>
      <c r="BA261" s="30" t="e">
        <f t="shared" si="437"/>
        <v>#REF!</v>
      </c>
      <c r="BB261" s="30" t="e">
        <f t="shared" si="437"/>
        <v>#REF!</v>
      </c>
      <c r="BC261" s="30" t="e">
        <f t="shared" si="437"/>
        <v>#REF!</v>
      </c>
      <c r="BD261" s="30" t="e">
        <f t="shared" si="437"/>
        <v>#REF!</v>
      </c>
      <c r="BE261" s="30" t="e">
        <f t="shared" si="437"/>
        <v>#REF!</v>
      </c>
      <c r="BF261" s="30" t="e">
        <f t="shared" si="437"/>
        <v>#REF!</v>
      </c>
      <c r="BG261" s="30" t="e">
        <f t="shared" si="437"/>
        <v>#REF!</v>
      </c>
      <c r="BH261" s="30" t="e">
        <f t="shared" si="437"/>
        <v>#REF!</v>
      </c>
      <c r="BI261" s="30" t="e">
        <f t="shared" si="437"/>
        <v>#REF!</v>
      </c>
      <c r="BJ261" s="30" t="e">
        <f t="shared" si="437"/>
        <v>#REF!</v>
      </c>
      <c r="BK261"/>
      <c r="BL261" s="5"/>
    </row>
    <row r="262" spans="1:64">
      <c r="A262"/>
      <c r="B262" t="s">
        <v>369</v>
      </c>
      <c r="C262" s="30" t="e">
        <f t="shared" si="438"/>
        <v>#REF!</v>
      </c>
      <c r="D262" s="30" t="e">
        <f t="shared" si="437"/>
        <v>#REF!</v>
      </c>
      <c r="E262" s="30" t="e">
        <f t="shared" si="437"/>
        <v>#REF!</v>
      </c>
      <c r="F262" s="30" t="e">
        <f t="shared" si="437"/>
        <v>#REF!</v>
      </c>
      <c r="G262" s="30" t="e">
        <f t="shared" si="437"/>
        <v>#REF!</v>
      </c>
      <c r="H262" s="30" t="e">
        <f t="shared" si="437"/>
        <v>#REF!</v>
      </c>
      <c r="I262" s="30" t="e">
        <f t="shared" si="437"/>
        <v>#REF!</v>
      </c>
      <c r="J262" s="30" t="e">
        <f t="shared" si="437"/>
        <v>#REF!</v>
      </c>
      <c r="K262" s="30" t="e">
        <f t="shared" si="437"/>
        <v>#REF!</v>
      </c>
      <c r="L262" s="30" t="e">
        <f t="shared" si="437"/>
        <v>#REF!</v>
      </c>
      <c r="M262" s="30" t="e">
        <f t="shared" si="437"/>
        <v>#REF!</v>
      </c>
      <c r="N262" s="30" t="e">
        <f t="shared" si="437"/>
        <v>#REF!</v>
      </c>
      <c r="O262" s="30" t="e">
        <f t="shared" si="437"/>
        <v>#REF!</v>
      </c>
      <c r="P262" s="30" t="e">
        <f t="shared" si="437"/>
        <v>#REF!</v>
      </c>
      <c r="Q262" s="30" t="e">
        <f t="shared" si="437"/>
        <v>#REF!</v>
      </c>
      <c r="R262" s="30" t="e">
        <f t="shared" si="437"/>
        <v>#REF!</v>
      </c>
      <c r="S262" s="30" t="e">
        <f t="shared" si="437"/>
        <v>#REF!</v>
      </c>
      <c r="T262" s="30" t="e">
        <f t="shared" si="437"/>
        <v>#REF!</v>
      </c>
      <c r="U262" s="30" t="e">
        <f t="shared" si="437"/>
        <v>#REF!</v>
      </c>
      <c r="V262" s="30" t="e">
        <f t="shared" si="437"/>
        <v>#REF!</v>
      </c>
      <c r="W262" s="30" t="e">
        <f t="shared" si="437"/>
        <v>#REF!</v>
      </c>
      <c r="X262" s="30" t="e">
        <f t="shared" si="437"/>
        <v>#REF!</v>
      </c>
      <c r="Y262" s="30" t="e">
        <f t="shared" si="437"/>
        <v>#REF!</v>
      </c>
      <c r="Z262" s="30" t="e">
        <f t="shared" si="437"/>
        <v>#REF!</v>
      </c>
      <c r="AA262" s="30" t="e">
        <f t="shared" si="437"/>
        <v>#REF!</v>
      </c>
      <c r="AB262" s="30" t="e">
        <f t="shared" si="437"/>
        <v>#REF!</v>
      </c>
      <c r="AC262" s="30" t="e">
        <f t="shared" si="437"/>
        <v>#REF!</v>
      </c>
      <c r="AD262" s="30" t="e">
        <f t="shared" si="437"/>
        <v>#REF!</v>
      </c>
      <c r="AE262" s="30" t="e">
        <f t="shared" si="437"/>
        <v>#REF!</v>
      </c>
      <c r="AF262" s="30" t="e">
        <f t="shared" si="437"/>
        <v>#REF!</v>
      </c>
      <c r="AG262" s="30" t="e">
        <f t="shared" si="437"/>
        <v>#REF!</v>
      </c>
      <c r="AH262" s="30" t="e">
        <f t="shared" si="437"/>
        <v>#REF!</v>
      </c>
      <c r="AI262" s="30" t="e">
        <f t="shared" si="437"/>
        <v>#REF!</v>
      </c>
      <c r="AJ262" s="30" t="e">
        <f t="shared" si="437"/>
        <v>#REF!</v>
      </c>
      <c r="AK262" s="30" t="e">
        <f t="shared" si="437"/>
        <v>#REF!</v>
      </c>
      <c r="AL262" s="30" t="e">
        <f t="shared" si="437"/>
        <v>#REF!</v>
      </c>
      <c r="AM262" s="30" t="e">
        <f t="shared" si="437"/>
        <v>#REF!</v>
      </c>
      <c r="AN262" s="30" t="e">
        <f t="shared" si="437"/>
        <v>#REF!</v>
      </c>
      <c r="AO262" s="30" t="e">
        <f t="shared" si="437"/>
        <v>#REF!</v>
      </c>
      <c r="AP262" s="30" t="e">
        <f t="shared" si="437"/>
        <v>#REF!</v>
      </c>
      <c r="AQ262" s="30" t="e">
        <f t="shared" si="437"/>
        <v>#REF!</v>
      </c>
      <c r="AR262" s="30" t="e">
        <f t="shared" si="437"/>
        <v>#REF!</v>
      </c>
      <c r="AS262" s="30" t="e">
        <f t="shared" si="437"/>
        <v>#REF!</v>
      </c>
      <c r="AT262" s="30" t="e">
        <f t="shared" si="437"/>
        <v>#REF!</v>
      </c>
      <c r="AU262" s="30" t="e">
        <f t="shared" si="437"/>
        <v>#REF!</v>
      </c>
      <c r="AV262" s="30" t="e">
        <f t="shared" si="437"/>
        <v>#REF!</v>
      </c>
      <c r="AW262" s="30" t="e">
        <f t="shared" si="437"/>
        <v>#REF!</v>
      </c>
      <c r="AX262" s="30" t="e">
        <f t="shared" si="437"/>
        <v>#REF!</v>
      </c>
      <c r="AY262" s="30" t="e">
        <f t="shared" si="437"/>
        <v>#REF!</v>
      </c>
      <c r="AZ262" s="30" t="e">
        <f t="shared" si="437"/>
        <v>#REF!</v>
      </c>
      <c r="BA262" s="30" t="e">
        <f t="shared" si="437"/>
        <v>#REF!</v>
      </c>
      <c r="BB262" s="30" t="e">
        <f t="shared" si="437"/>
        <v>#REF!</v>
      </c>
      <c r="BC262" s="30" t="e">
        <f t="shared" si="437"/>
        <v>#REF!</v>
      </c>
      <c r="BD262" s="30" t="e">
        <f t="shared" si="437"/>
        <v>#REF!</v>
      </c>
      <c r="BE262" s="30" t="e">
        <f t="shared" si="437"/>
        <v>#REF!</v>
      </c>
      <c r="BF262" s="30" t="e">
        <f t="shared" si="437"/>
        <v>#REF!</v>
      </c>
      <c r="BG262" s="30" t="e">
        <f t="shared" si="437"/>
        <v>#REF!</v>
      </c>
      <c r="BH262" s="30" t="e">
        <f t="shared" si="437"/>
        <v>#REF!</v>
      </c>
      <c r="BI262" s="30" t="e">
        <f t="shared" si="437"/>
        <v>#REF!</v>
      </c>
      <c r="BJ262" s="30" t="e">
        <f t="shared" si="437"/>
        <v>#REF!</v>
      </c>
      <c r="BK262"/>
      <c r="BL262" s="5"/>
    </row>
    <row r="263" spans="1:64">
      <c r="A263"/>
      <c r="B263" t="s">
        <v>417</v>
      </c>
      <c r="C263" s="30" t="e">
        <f t="shared" si="438"/>
        <v>#REF!</v>
      </c>
      <c r="D263" s="30" t="e">
        <f t="shared" si="437"/>
        <v>#REF!</v>
      </c>
      <c r="E263" s="30" t="e">
        <f t="shared" si="437"/>
        <v>#REF!</v>
      </c>
      <c r="F263" s="30" t="e">
        <f t="shared" si="437"/>
        <v>#REF!</v>
      </c>
      <c r="G263" s="30" t="e">
        <f t="shared" si="437"/>
        <v>#REF!</v>
      </c>
      <c r="H263" s="30" t="e">
        <f t="shared" si="437"/>
        <v>#REF!</v>
      </c>
      <c r="I263" s="30" t="e">
        <f t="shared" si="437"/>
        <v>#REF!</v>
      </c>
      <c r="J263" s="30" t="e">
        <f t="shared" si="437"/>
        <v>#REF!</v>
      </c>
      <c r="K263" s="30" t="e">
        <f t="shared" si="437"/>
        <v>#REF!</v>
      </c>
      <c r="L263" s="30" t="e">
        <f t="shared" si="437"/>
        <v>#REF!</v>
      </c>
      <c r="M263" s="30" t="e">
        <f t="shared" si="437"/>
        <v>#REF!</v>
      </c>
      <c r="N263" s="30" t="e">
        <f t="shared" si="437"/>
        <v>#REF!</v>
      </c>
      <c r="O263" s="30" t="e">
        <f t="shared" si="437"/>
        <v>#REF!</v>
      </c>
      <c r="P263" s="30" t="e">
        <f t="shared" si="437"/>
        <v>#REF!</v>
      </c>
      <c r="Q263" s="30" t="e">
        <f t="shared" si="437"/>
        <v>#REF!</v>
      </c>
      <c r="R263" s="30" t="e">
        <f t="shared" si="437"/>
        <v>#REF!</v>
      </c>
      <c r="S263" s="30" t="e">
        <f t="shared" si="437"/>
        <v>#REF!</v>
      </c>
      <c r="T263" s="30" t="e">
        <f t="shared" si="437"/>
        <v>#REF!</v>
      </c>
      <c r="U263" s="30" t="e">
        <f t="shared" si="437"/>
        <v>#REF!</v>
      </c>
      <c r="V263" s="30" t="e">
        <f t="shared" si="437"/>
        <v>#REF!</v>
      </c>
      <c r="W263" s="30" t="e">
        <f t="shared" si="437"/>
        <v>#REF!</v>
      </c>
      <c r="X263" s="30" t="e">
        <f t="shared" si="437"/>
        <v>#REF!</v>
      </c>
      <c r="Y263" s="30" t="e">
        <f t="shared" si="437"/>
        <v>#REF!</v>
      </c>
      <c r="Z263" s="30" t="e">
        <f t="shared" si="437"/>
        <v>#REF!</v>
      </c>
      <c r="AA263" s="30" t="e">
        <f t="shared" si="437"/>
        <v>#REF!</v>
      </c>
      <c r="AB263" s="30" t="e">
        <f t="shared" si="437"/>
        <v>#REF!</v>
      </c>
      <c r="AC263" s="30" t="e">
        <f t="shared" si="437"/>
        <v>#REF!</v>
      </c>
      <c r="AD263" s="30" t="e">
        <f t="shared" si="437"/>
        <v>#REF!</v>
      </c>
      <c r="AE263" s="30" t="e">
        <f t="shared" si="437"/>
        <v>#REF!</v>
      </c>
      <c r="AF263" s="30" t="e">
        <f t="shared" si="437"/>
        <v>#REF!</v>
      </c>
      <c r="AG263" s="30" t="e">
        <f t="shared" si="437"/>
        <v>#REF!</v>
      </c>
      <c r="AH263" s="30" t="e">
        <f t="shared" si="437"/>
        <v>#REF!</v>
      </c>
      <c r="AI263" s="30" t="e">
        <f t="shared" si="437"/>
        <v>#REF!</v>
      </c>
      <c r="AJ263" s="30" t="e">
        <f t="shared" si="437"/>
        <v>#REF!</v>
      </c>
      <c r="AK263" s="30" t="e">
        <f t="shared" si="437"/>
        <v>#REF!</v>
      </c>
      <c r="AL263" s="30" t="e">
        <f t="shared" ref="D263:BJ264" si="439">SUM(AL245,AL254)</f>
        <v>#REF!</v>
      </c>
      <c r="AM263" s="30" t="e">
        <f t="shared" si="439"/>
        <v>#REF!</v>
      </c>
      <c r="AN263" s="30" t="e">
        <f t="shared" si="439"/>
        <v>#REF!</v>
      </c>
      <c r="AO263" s="30" t="e">
        <f t="shared" si="439"/>
        <v>#REF!</v>
      </c>
      <c r="AP263" s="30" t="e">
        <f t="shared" si="439"/>
        <v>#REF!</v>
      </c>
      <c r="AQ263" s="30" t="e">
        <f t="shared" si="439"/>
        <v>#REF!</v>
      </c>
      <c r="AR263" s="30" t="e">
        <f t="shared" si="439"/>
        <v>#REF!</v>
      </c>
      <c r="AS263" s="30" t="e">
        <f t="shared" si="439"/>
        <v>#REF!</v>
      </c>
      <c r="AT263" s="30" t="e">
        <f t="shared" si="439"/>
        <v>#REF!</v>
      </c>
      <c r="AU263" s="30" t="e">
        <f t="shared" si="439"/>
        <v>#REF!</v>
      </c>
      <c r="AV263" s="30" t="e">
        <f t="shared" si="439"/>
        <v>#REF!</v>
      </c>
      <c r="AW263" s="30" t="e">
        <f t="shared" si="439"/>
        <v>#REF!</v>
      </c>
      <c r="AX263" s="30" t="e">
        <f t="shared" si="439"/>
        <v>#REF!</v>
      </c>
      <c r="AY263" s="30" t="e">
        <f t="shared" si="439"/>
        <v>#REF!</v>
      </c>
      <c r="AZ263" s="30" t="e">
        <f t="shared" si="439"/>
        <v>#REF!</v>
      </c>
      <c r="BA263" s="30" t="e">
        <f t="shared" si="439"/>
        <v>#REF!</v>
      </c>
      <c r="BB263" s="30" t="e">
        <f t="shared" si="439"/>
        <v>#REF!</v>
      </c>
      <c r="BC263" s="30" t="e">
        <f t="shared" si="439"/>
        <v>#REF!</v>
      </c>
      <c r="BD263" s="30" t="e">
        <f t="shared" si="439"/>
        <v>#REF!</v>
      </c>
      <c r="BE263" s="30" t="e">
        <f t="shared" si="439"/>
        <v>#REF!</v>
      </c>
      <c r="BF263" s="30" t="e">
        <f t="shared" si="439"/>
        <v>#REF!</v>
      </c>
      <c r="BG263" s="30" t="e">
        <f t="shared" si="439"/>
        <v>#REF!</v>
      </c>
      <c r="BH263" s="30" t="e">
        <f t="shared" si="439"/>
        <v>#REF!</v>
      </c>
      <c r="BI263" s="30" t="e">
        <f t="shared" si="439"/>
        <v>#REF!</v>
      </c>
      <c r="BJ263" s="30" t="e">
        <f t="shared" si="439"/>
        <v>#REF!</v>
      </c>
      <c r="BK263"/>
      <c r="BL263" s="5"/>
    </row>
    <row r="264" spans="1:64">
      <c r="A264"/>
      <c r="B264" t="s">
        <v>418</v>
      </c>
      <c r="C264" s="30" t="e">
        <f t="shared" si="438"/>
        <v>#REF!</v>
      </c>
      <c r="D264" s="30" t="e">
        <f t="shared" si="439"/>
        <v>#REF!</v>
      </c>
      <c r="E264" s="30" t="e">
        <f t="shared" si="439"/>
        <v>#REF!</v>
      </c>
      <c r="F264" s="30" t="e">
        <f t="shared" si="439"/>
        <v>#REF!</v>
      </c>
      <c r="G264" s="30" t="e">
        <f t="shared" si="439"/>
        <v>#REF!</v>
      </c>
      <c r="H264" s="30" t="e">
        <f t="shared" si="439"/>
        <v>#REF!</v>
      </c>
      <c r="I264" s="30" t="e">
        <f t="shared" si="439"/>
        <v>#REF!</v>
      </c>
      <c r="J264" s="30" t="e">
        <f t="shared" si="439"/>
        <v>#REF!</v>
      </c>
      <c r="K264" s="30" t="e">
        <f t="shared" si="439"/>
        <v>#REF!</v>
      </c>
      <c r="L264" s="30" t="e">
        <f t="shared" si="439"/>
        <v>#REF!</v>
      </c>
      <c r="M264" s="30" t="e">
        <f t="shared" si="439"/>
        <v>#REF!</v>
      </c>
      <c r="N264" s="30" t="e">
        <f t="shared" si="439"/>
        <v>#REF!</v>
      </c>
      <c r="O264" s="30" t="e">
        <f t="shared" si="439"/>
        <v>#REF!</v>
      </c>
      <c r="P264" s="30" t="e">
        <f t="shared" si="439"/>
        <v>#REF!</v>
      </c>
      <c r="Q264" s="30" t="e">
        <f t="shared" si="439"/>
        <v>#REF!</v>
      </c>
      <c r="R264" s="30" t="e">
        <f t="shared" si="439"/>
        <v>#REF!</v>
      </c>
      <c r="S264" s="30" t="e">
        <f t="shared" si="439"/>
        <v>#REF!</v>
      </c>
      <c r="T264" s="30" t="e">
        <f t="shared" si="439"/>
        <v>#REF!</v>
      </c>
      <c r="U264" s="30" t="e">
        <f t="shared" si="439"/>
        <v>#REF!</v>
      </c>
      <c r="V264" s="30" t="e">
        <f t="shared" si="439"/>
        <v>#REF!</v>
      </c>
      <c r="W264" s="30" t="e">
        <f t="shared" si="439"/>
        <v>#REF!</v>
      </c>
      <c r="X264" s="30" t="e">
        <f t="shared" si="439"/>
        <v>#REF!</v>
      </c>
      <c r="Y264" s="30" t="e">
        <f t="shared" si="439"/>
        <v>#REF!</v>
      </c>
      <c r="Z264" s="30" t="e">
        <f t="shared" si="439"/>
        <v>#REF!</v>
      </c>
      <c r="AA264" s="30" t="e">
        <f t="shared" si="439"/>
        <v>#REF!</v>
      </c>
      <c r="AB264" s="30" t="e">
        <f t="shared" si="439"/>
        <v>#REF!</v>
      </c>
      <c r="AC264" s="30" t="e">
        <f t="shared" si="439"/>
        <v>#REF!</v>
      </c>
      <c r="AD264" s="30" t="e">
        <f t="shared" si="439"/>
        <v>#REF!</v>
      </c>
      <c r="AE264" s="30" t="e">
        <f t="shared" si="439"/>
        <v>#REF!</v>
      </c>
      <c r="AF264" s="30" t="e">
        <f t="shared" si="439"/>
        <v>#REF!</v>
      </c>
      <c r="AG264" s="30" t="e">
        <f t="shared" si="439"/>
        <v>#REF!</v>
      </c>
      <c r="AH264" s="30" t="e">
        <f t="shared" si="439"/>
        <v>#REF!</v>
      </c>
      <c r="AI264" s="30" t="e">
        <f t="shared" si="439"/>
        <v>#REF!</v>
      </c>
      <c r="AJ264" s="30" t="e">
        <f t="shared" si="439"/>
        <v>#REF!</v>
      </c>
      <c r="AK264" s="30" t="e">
        <f t="shared" si="439"/>
        <v>#REF!</v>
      </c>
      <c r="AL264" s="30" t="e">
        <f t="shared" si="439"/>
        <v>#REF!</v>
      </c>
      <c r="AM264" s="30" t="e">
        <f t="shared" si="439"/>
        <v>#REF!</v>
      </c>
      <c r="AN264" s="30" t="e">
        <f t="shared" si="439"/>
        <v>#REF!</v>
      </c>
      <c r="AO264" s="30" t="e">
        <f t="shared" si="439"/>
        <v>#REF!</v>
      </c>
      <c r="AP264" s="30" t="e">
        <f t="shared" si="439"/>
        <v>#REF!</v>
      </c>
      <c r="AQ264" s="30" t="e">
        <f t="shared" si="439"/>
        <v>#REF!</v>
      </c>
      <c r="AR264" s="30" t="e">
        <f t="shared" si="439"/>
        <v>#REF!</v>
      </c>
      <c r="AS264" s="30" t="e">
        <f t="shared" si="439"/>
        <v>#REF!</v>
      </c>
      <c r="AT264" s="30" t="e">
        <f t="shared" si="439"/>
        <v>#REF!</v>
      </c>
      <c r="AU264" s="30" t="e">
        <f t="shared" si="439"/>
        <v>#REF!</v>
      </c>
      <c r="AV264" s="30" t="e">
        <f t="shared" si="439"/>
        <v>#REF!</v>
      </c>
      <c r="AW264" s="30" t="e">
        <f t="shared" si="439"/>
        <v>#REF!</v>
      </c>
      <c r="AX264" s="30" t="e">
        <f t="shared" si="439"/>
        <v>#REF!</v>
      </c>
      <c r="AY264" s="30" t="e">
        <f t="shared" si="439"/>
        <v>#REF!</v>
      </c>
      <c r="AZ264" s="30" t="e">
        <f t="shared" si="439"/>
        <v>#REF!</v>
      </c>
      <c r="BA264" s="30" t="e">
        <f t="shared" si="439"/>
        <v>#REF!</v>
      </c>
      <c r="BB264" s="30" t="e">
        <f t="shared" si="439"/>
        <v>#REF!</v>
      </c>
      <c r="BC264" s="30" t="e">
        <f t="shared" si="439"/>
        <v>#REF!</v>
      </c>
      <c r="BD264" s="30" t="e">
        <f t="shared" si="439"/>
        <v>#REF!</v>
      </c>
      <c r="BE264" s="30" t="e">
        <f t="shared" si="439"/>
        <v>#REF!</v>
      </c>
      <c r="BF264" s="30" t="e">
        <f t="shared" si="439"/>
        <v>#REF!</v>
      </c>
      <c r="BG264" s="30" t="e">
        <f t="shared" si="439"/>
        <v>#REF!</v>
      </c>
      <c r="BH264" s="30" t="e">
        <f t="shared" si="439"/>
        <v>#REF!</v>
      </c>
      <c r="BI264" s="30" t="e">
        <f t="shared" si="439"/>
        <v>#REF!</v>
      </c>
      <c r="BJ264" s="30" t="e">
        <f t="shared" si="439"/>
        <v>#REF!</v>
      </c>
      <c r="BK264"/>
      <c r="BL264" s="5"/>
    </row>
    <row r="265" spans="1:64">
      <c r="A265"/>
      <c r="B265" s="3" t="s">
        <v>64</v>
      </c>
      <c r="C265" s="29" t="e">
        <f>SUM(C259:C264)</f>
        <v>#REF!</v>
      </c>
      <c r="D265" s="29" t="e">
        <f t="shared" ref="D265:BJ265" si="440">SUM(D259:D264)</f>
        <v>#REF!</v>
      </c>
      <c r="E265" s="29" t="e">
        <f t="shared" si="440"/>
        <v>#REF!</v>
      </c>
      <c r="F265" s="29" t="e">
        <f t="shared" si="440"/>
        <v>#REF!</v>
      </c>
      <c r="G265" s="29" t="e">
        <f t="shared" si="440"/>
        <v>#REF!</v>
      </c>
      <c r="H265" s="29" t="e">
        <f t="shared" si="440"/>
        <v>#REF!</v>
      </c>
      <c r="I265" s="29" t="e">
        <f t="shared" si="440"/>
        <v>#REF!</v>
      </c>
      <c r="J265" s="29" t="e">
        <f t="shared" si="440"/>
        <v>#REF!</v>
      </c>
      <c r="K265" s="29" t="e">
        <f t="shared" si="440"/>
        <v>#REF!</v>
      </c>
      <c r="L265" s="29" t="e">
        <f t="shared" si="440"/>
        <v>#REF!</v>
      </c>
      <c r="M265" s="29" t="e">
        <f t="shared" si="440"/>
        <v>#REF!</v>
      </c>
      <c r="N265" s="29" t="e">
        <f t="shared" si="440"/>
        <v>#REF!</v>
      </c>
      <c r="O265" s="29" t="e">
        <f t="shared" si="440"/>
        <v>#REF!</v>
      </c>
      <c r="P265" s="29" t="e">
        <f t="shared" si="440"/>
        <v>#REF!</v>
      </c>
      <c r="Q265" s="29" t="e">
        <f t="shared" si="440"/>
        <v>#REF!</v>
      </c>
      <c r="R265" s="29" t="e">
        <f t="shared" si="440"/>
        <v>#REF!</v>
      </c>
      <c r="S265" s="29" t="e">
        <f t="shared" si="440"/>
        <v>#REF!</v>
      </c>
      <c r="T265" s="29" t="e">
        <f t="shared" si="440"/>
        <v>#REF!</v>
      </c>
      <c r="U265" s="29" t="e">
        <f t="shared" si="440"/>
        <v>#REF!</v>
      </c>
      <c r="V265" s="29" t="e">
        <f t="shared" si="440"/>
        <v>#REF!</v>
      </c>
      <c r="W265" s="29" t="e">
        <f t="shared" si="440"/>
        <v>#REF!</v>
      </c>
      <c r="X265" s="29" t="e">
        <f t="shared" si="440"/>
        <v>#REF!</v>
      </c>
      <c r="Y265" s="29" t="e">
        <f t="shared" si="440"/>
        <v>#REF!</v>
      </c>
      <c r="Z265" s="29" t="e">
        <f t="shared" si="440"/>
        <v>#REF!</v>
      </c>
      <c r="AA265" s="29" t="e">
        <f t="shared" si="440"/>
        <v>#REF!</v>
      </c>
      <c r="AB265" s="29" t="e">
        <f t="shared" si="440"/>
        <v>#REF!</v>
      </c>
      <c r="AC265" s="29" t="e">
        <f t="shared" si="440"/>
        <v>#REF!</v>
      </c>
      <c r="AD265" s="29" t="e">
        <f t="shared" si="440"/>
        <v>#REF!</v>
      </c>
      <c r="AE265" s="29" t="e">
        <f t="shared" si="440"/>
        <v>#REF!</v>
      </c>
      <c r="AF265" s="29" t="e">
        <f t="shared" si="440"/>
        <v>#REF!</v>
      </c>
      <c r="AG265" s="29" t="e">
        <f t="shared" si="440"/>
        <v>#REF!</v>
      </c>
      <c r="AH265" s="29" t="e">
        <f t="shared" si="440"/>
        <v>#REF!</v>
      </c>
      <c r="AI265" s="29" t="e">
        <f t="shared" si="440"/>
        <v>#REF!</v>
      </c>
      <c r="AJ265" s="29" t="e">
        <f t="shared" si="440"/>
        <v>#REF!</v>
      </c>
      <c r="AK265" s="29" t="e">
        <f t="shared" si="440"/>
        <v>#REF!</v>
      </c>
      <c r="AL265" s="29" t="e">
        <f t="shared" si="440"/>
        <v>#REF!</v>
      </c>
      <c r="AM265" s="29" t="e">
        <f t="shared" si="440"/>
        <v>#REF!</v>
      </c>
      <c r="AN265" s="29" t="e">
        <f t="shared" si="440"/>
        <v>#REF!</v>
      </c>
      <c r="AO265" s="29" t="e">
        <f t="shared" si="440"/>
        <v>#REF!</v>
      </c>
      <c r="AP265" s="29" t="e">
        <f t="shared" si="440"/>
        <v>#REF!</v>
      </c>
      <c r="AQ265" s="29" t="e">
        <f t="shared" si="440"/>
        <v>#REF!</v>
      </c>
      <c r="AR265" s="29" t="e">
        <f t="shared" si="440"/>
        <v>#REF!</v>
      </c>
      <c r="AS265" s="29" t="e">
        <f t="shared" si="440"/>
        <v>#REF!</v>
      </c>
      <c r="AT265" s="29" t="e">
        <f t="shared" si="440"/>
        <v>#REF!</v>
      </c>
      <c r="AU265" s="29" t="e">
        <f t="shared" si="440"/>
        <v>#REF!</v>
      </c>
      <c r="AV265" s="29" t="e">
        <f t="shared" si="440"/>
        <v>#REF!</v>
      </c>
      <c r="AW265" s="29" t="e">
        <f t="shared" si="440"/>
        <v>#REF!</v>
      </c>
      <c r="AX265" s="29" t="e">
        <f t="shared" si="440"/>
        <v>#REF!</v>
      </c>
      <c r="AY265" s="29" t="e">
        <f t="shared" si="440"/>
        <v>#REF!</v>
      </c>
      <c r="AZ265" s="29" t="e">
        <f t="shared" si="440"/>
        <v>#REF!</v>
      </c>
      <c r="BA265" s="29" t="e">
        <f t="shared" si="440"/>
        <v>#REF!</v>
      </c>
      <c r="BB265" s="29" t="e">
        <f t="shared" si="440"/>
        <v>#REF!</v>
      </c>
      <c r="BC265" s="29" t="e">
        <f t="shared" si="440"/>
        <v>#REF!</v>
      </c>
      <c r="BD265" s="29" t="e">
        <f t="shared" si="440"/>
        <v>#REF!</v>
      </c>
      <c r="BE265" s="29" t="e">
        <f t="shared" si="440"/>
        <v>#REF!</v>
      </c>
      <c r="BF265" s="29" t="e">
        <f t="shared" si="440"/>
        <v>#REF!</v>
      </c>
      <c r="BG265" s="29" t="e">
        <f t="shared" si="440"/>
        <v>#REF!</v>
      </c>
      <c r="BH265" s="29" t="e">
        <f t="shared" si="440"/>
        <v>#REF!</v>
      </c>
      <c r="BI265" s="29" t="e">
        <f t="shared" si="440"/>
        <v>#REF!</v>
      </c>
      <c r="BJ265" s="29" t="e">
        <f t="shared" si="440"/>
        <v>#REF!</v>
      </c>
      <c r="BK265"/>
      <c r="BL265" s="5"/>
    </row>
    <row r="266" spans="1:64">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s="5"/>
    </row>
    <row r="267" spans="1:64">
      <c r="A267"/>
      <c r="B267" s="28" t="s">
        <v>311</v>
      </c>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s="5"/>
    </row>
    <row r="268" spans="1:64">
      <c r="A268"/>
      <c r="B268" t="s">
        <v>405</v>
      </c>
      <c r="C268" s="30" t="e">
        <f>+C207</f>
        <v>#REF!</v>
      </c>
      <c r="D268" s="30" t="e">
        <f t="shared" ref="D268:BJ268" si="441">+D207</f>
        <v>#REF!</v>
      </c>
      <c r="E268" s="30" t="e">
        <f t="shared" si="441"/>
        <v>#REF!</v>
      </c>
      <c r="F268" s="30" t="e">
        <f t="shared" si="441"/>
        <v>#REF!</v>
      </c>
      <c r="G268" s="30" t="e">
        <f t="shared" si="441"/>
        <v>#REF!</v>
      </c>
      <c r="H268" s="30" t="e">
        <f t="shared" si="441"/>
        <v>#REF!</v>
      </c>
      <c r="I268" s="30" t="e">
        <f t="shared" si="441"/>
        <v>#REF!</v>
      </c>
      <c r="J268" s="30" t="e">
        <f t="shared" si="441"/>
        <v>#REF!</v>
      </c>
      <c r="K268" s="30" t="e">
        <f t="shared" si="441"/>
        <v>#REF!</v>
      </c>
      <c r="L268" s="30" t="e">
        <f t="shared" si="441"/>
        <v>#REF!</v>
      </c>
      <c r="M268" s="30" t="e">
        <f t="shared" si="441"/>
        <v>#REF!</v>
      </c>
      <c r="N268" s="30" t="e">
        <f t="shared" si="441"/>
        <v>#REF!</v>
      </c>
      <c r="O268" s="30" t="e">
        <f t="shared" si="441"/>
        <v>#REF!</v>
      </c>
      <c r="P268" s="30" t="e">
        <f t="shared" si="441"/>
        <v>#REF!</v>
      </c>
      <c r="Q268" s="30" t="e">
        <f t="shared" si="441"/>
        <v>#REF!</v>
      </c>
      <c r="R268" s="30" t="e">
        <f t="shared" si="441"/>
        <v>#REF!</v>
      </c>
      <c r="S268" s="30" t="e">
        <f t="shared" si="441"/>
        <v>#REF!</v>
      </c>
      <c r="T268" s="30" t="e">
        <f t="shared" si="441"/>
        <v>#REF!</v>
      </c>
      <c r="U268" s="30" t="e">
        <f t="shared" si="441"/>
        <v>#REF!</v>
      </c>
      <c r="V268" s="30" t="e">
        <f t="shared" si="441"/>
        <v>#REF!</v>
      </c>
      <c r="W268" s="30" t="e">
        <f t="shared" si="441"/>
        <v>#REF!</v>
      </c>
      <c r="X268" s="30" t="e">
        <f t="shared" si="441"/>
        <v>#REF!</v>
      </c>
      <c r="Y268" s="30" t="e">
        <f t="shared" si="441"/>
        <v>#REF!</v>
      </c>
      <c r="Z268" s="30" t="e">
        <f t="shared" si="441"/>
        <v>#REF!</v>
      </c>
      <c r="AA268" s="30" t="e">
        <f t="shared" si="441"/>
        <v>#REF!</v>
      </c>
      <c r="AB268" s="30" t="e">
        <f t="shared" si="441"/>
        <v>#REF!</v>
      </c>
      <c r="AC268" s="30" t="e">
        <f t="shared" si="441"/>
        <v>#REF!</v>
      </c>
      <c r="AD268" s="30" t="e">
        <f t="shared" si="441"/>
        <v>#REF!</v>
      </c>
      <c r="AE268" s="30" t="e">
        <f t="shared" si="441"/>
        <v>#REF!</v>
      </c>
      <c r="AF268" s="30" t="e">
        <f t="shared" si="441"/>
        <v>#REF!</v>
      </c>
      <c r="AG268" s="30" t="e">
        <f t="shared" si="441"/>
        <v>#REF!</v>
      </c>
      <c r="AH268" s="30" t="e">
        <f t="shared" si="441"/>
        <v>#REF!</v>
      </c>
      <c r="AI268" s="30" t="e">
        <f t="shared" si="441"/>
        <v>#REF!</v>
      </c>
      <c r="AJ268" s="30" t="e">
        <f t="shared" si="441"/>
        <v>#REF!</v>
      </c>
      <c r="AK268" s="30" t="e">
        <f t="shared" si="441"/>
        <v>#REF!</v>
      </c>
      <c r="AL268" s="30" t="e">
        <f t="shared" si="441"/>
        <v>#REF!</v>
      </c>
      <c r="AM268" s="30" t="e">
        <f t="shared" si="441"/>
        <v>#REF!</v>
      </c>
      <c r="AN268" s="30" t="e">
        <f t="shared" si="441"/>
        <v>#REF!</v>
      </c>
      <c r="AO268" s="30" t="e">
        <f t="shared" si="441"/>
        <v>#REF!</v>
      </c>
      <c r="AP268" s="30" t="e">
        <f t="shared" si="441"/>
        <v>#REF!</v>
      </c>
      <c r="AQ268" s="30" t="e">
        <f t="shared" si="441"/>
        <v>#REF!</v>
      </c>
      <c r="AR268" s="30" t="e">
        <f t="shared" si="441"/>
        <v>#REF!</v>
      </c>
      <c r="AS268" s="30" t="e">
        <f t="shared" si="441"/>
        <v>#REF!</v>
      </c>
      <c r="AT268" s="30" t="e">
        <f t="shared" si="441"/>
        <v>#REF!</v>
      </c>
      <c r="AU268" s="30" t="e">
        <f t="shared" si="441"/>
        <v>#REF!</v>
      </c>
      <c r="AV268" s="30" t="e">
        <f t="shared" si="441"/>
        <v>#REF!</v>
      </c>
      <c r="AW268" s="30" t="e">
        <f t="shared" si="441"/>
        <v>#REF!</v>
      </c>
      <c r="AX268" s="30" t="e">
        <f t="shared" si="441"/>
        <v>#REF!</v>
      </c>
      <c r="AY268" s="30" t="e">
        <f t="shared" si="441"/>
        <v>#REF!</v>
      </c>
      <c r="AZ268" s="30" t="e">
        <f t="shared" si="441"/>
        <v>#REF!</v>
      </c>
      <c r="BA268" s="30" t="e">
        <f t="shared" si="441"/>
        <v>#REF!</v>
      </c>
      <c r="BB268" s="30" t="e">
        <f t="shared" si="441"/>
        <v>#REF!</v>
      </c>
      <c r="BC268" s="30" t="e">
        <f t="shared" si="441"/>
        <v>#REF!</v>
      </c>
      <c r="BD268" s="30" t="e">
        <f t="shared" si="441"/>
        <v>#REF!</v>
      </c>
      <c r="BE268" s="30" t="e">
        <f t="shared" si="441"/>
        <v>#REF!</v>
      </c>
      <c r="BF268" s="30" t="e">
        <f t="shared" si="441"/>
        <v>#REF!</v>
      </c>
      <c r="BG268" s="30" t="e">
        <f t="shared" si="441"/>
        <v>#REF!</v>
      </c>
      <c r="BH268" s="30" t="e">
        <f t="shared" si="441"/>
        <v>#REF!</v>
      </c>
      <c r="BI268" s="30" t="e">
        <f t="shared" si="441"/>
        <v>#REF!</v>
      </c>
      <c r="BJ268" s="30" t="e">
        <f t="shared" si="441"/>
        <v>#REF!</v>
      </c>
      <c r="BK268"/>
      <c r="BL268" s="5"/>
    </row>
    <row r="269" spans="1:64">
      <c r="A269"/>
      <c r="B269" t="s">
        <v>411</v>
      </c>
      <c r="C269" s="30" t="e">
        <f>+C227</f>
        <v>#REF!</v>
      </c>
      <c r="D269" s="30" t="e">
        <f t="shared" ref="D269:BJ269" si="442">+D227</f>
        <v>#REF!</v>
      </c>
      <c r="E269" s="30" t="e">
        <f t="shared" si="442"/>
        <v>#REF!</v>
      </c>
      <c r="F269" s="30" t="e">
        <f t="shared" si="442"/>
        <v>#REF!</v>
      </c>
      <c r="G269" s="30" t="e">
        <f t="shared" si="442"/>
        <v>#REF!</v>
      </c>
      <c r="H269" s="30" t="e">
        <f t="shared" si="442"/>
        <v>#REF!</v>
      </c>
      <c r="I269" s="30" t="e">
        <f t="shared" si="442"/>
        <v>#REF!</v>
      </c>
      <c r="J269" s="30" t="e">
        <f t="shared" si="442"/>
        <v>#REF!</v>
      </c>
      <c r="K269" s="30" t="e">
        <f t="shared" si="442"/>
        <v>#REF!</v>
      </c>
      <c r="L269" s="30" t="e">
        <f t="shared" si="442"/>
        <v>#REF!</v>
      </c>
      <c r="M269" s="30" t="e">
        <f t="shared" si="442"/>
        <v>#REF!</v>
      </c>
      <c r="N269" s="30" t="e">
        <f t="shared" si="442"/>
        <v>#REF!</v>
      </c>
      <c r="O269" s="30" t="e">
        <f t="shared" si="442"/>
        <v>#REF!</v>
      </c>
      <c r="P269" s="30" t="e">
        <f t="shared" si="442"/>
        <v>#REF!</v>
      </c>
      <c r="Q269" s="30" t="e">
        <f t="shared" si="442"/>
        <v>#REF!</v>
      </c>
      <c r="R269" s="30" t="e">
        <f t="shared" si="442"/>
        <v>#REF!</v>
      </c>
      <c r="S269" s="30" t="e">
        <f t="shared" si="442"/>
        <v>#REF!</v>
      </c>
      <c r="T269" s="30" t="e">
        <f t="shared" si="442"/>
        <v>#REF!</v>
      </c>
      <c r="U269" s="30" t="e">
        <f t="shared" si="442"/>
        <v>#REF!</v>
      </c>
      <c r="V269" s="30" t="e">
        <f t="shared" si="442"/>
        <v>#REF!</v>
      </c>
      <c r="W269" s="30" t="e">
        <f t="shared" si="442"/>
        <v>#REF!</v>
      </c>
      <c r="X269" s="30" t="e">
        <f t="shared" si="442"/>
        <v>#REF!</v>
      </c>
      <c r="Y269" s="30" t="e">
        <f t="shared" si="442"/>
        <v>#REF!</v>
      </c>
      <c r="Z269" s="30" t="e">
        <f t="shared" si="442"/>
        <v>#REF!</v>
      </c>
      <c r="AA269" s="30" t="e">
        <f t="shared" si="442"/>
        <v>#REF!</v>
      </c>
      <c r="AB269" s="30" t="e">
        <f t="shared" si="442"/>
        <v>#REF!</v>
      </c>
      <c r="AC269" s="30" t="e">
        <f t="shared" si="442"/>
        <v>#REF!</v>
      </c>
      <c r="AD269" s="30" t="e">
        <f t="shared" si="442"/>
        <v>#REF!</v>
      </c>
      <c r="AE269" s="30" t="e">
        <f t="shared" si="442"/>
        <v>#REF!</v>
      </c>
      <c r="AF269" s="30" t="e">
        <f t="shared" si="442"/>
        <v>#REF!</v>
      </c>
      <c r="AG269" s="30" t="e">
        <f t="shared" si="442"/>
        <v>#REF!</v>
      </c>
      <c r="AH269" s="30" t="e">
        <f t="shared" si="442"/>
        <v>#REF!</v>
      </c>
      <c r="AI269" s="30" t="e">
        <f t="shared" si="442"/>
        <v>#REF!</v>
      </c>
      <c r="AJ269" s="30" t="e">
        <f t="shared" si="442"/>
        <v>#REF!</v>
      </c>
      <c r="AK269" s="30" t="e">
        <f t="shared" si="442"/>
        <v>#REF!</v>
      </c>
      <c r="AL269" s="30" t="e">
        <f t="shared" si="442"/>
        <v>#REF!</v>
      </c>
      <c r="AM269" s="30" t="e">
        <f t="shared" si="442"/>
        <v>#REF!</v>
      </c>
      <c r="AN269" s="30" t="e">
        <f t="shared" si="442"/>
        <v>#REF!</v>
      </c>
      <c r="AO269" s="30" t="e">
        <f t="shared" si="442"/>
        <v>#REF!</v>
      </c>
      <c r="AP269" s="30" t="e">
        <f t="shared" si="442"/>
        <v>#REF!</v>
      </c>
      <c r="AQ269" s="30" t="e">
        <f t="shared" si="442"/>
        <v>#REF!</v>
      </c>
      <c r="AR269" s="30" t="e">
        <f t="shared" si="442"/>
        <v>#REF!</v>
      </c>
      <c r="AS269" s="30" t="e">
        <f t="shared" si="442"/>
        <v>#REF!</v>
      </c>
      <c r="AT269" s="30" t="e">
        <f t="shared" si="442"/>
        <v>#REF!</v>
      </c>
      <c r="AU269" s="30" t="e">
        <f t="shared" si="442"/>
        <v>#REF!</v>
      </c>
      <c r="AV269" s="30" t="e">
        <f t="shared" si="442"/>
        <v>#REF!</v>
      </c>
      <c r="AW269" s="30" t="e">
        <f t="shared" si="442"/>
        <v>#REF!</v>
      </c>
      <c r="AX269" s="30" t="e">
        <f t="shared" si="442"/>
        <v>#REF!</v>
      </c>
      <c r="AY269" s="30" t="e">
        <f t="shared" si="442"/>
        <v>#REF!</v>
      </c>
      <c r="AZ269" s="30" t="e">
        <f t="shared" si="442"/>
        <v>#REF!</v>
      </c>
      <c r="BA269" s="30" t="e">
        <f t="shared" si="442"/>
        <v>#REF!</v>
      </c>
      <c r="BB269" s="30" t="e">
        <f t="shared" si="442"/>
        <v>#REF!</v>
      </c>
      <c r="BC269" s="30" t="e">
        <f t="shared" si="442"/>
        <v>#REF!</v>
      </c>
      <c r="BD269" s="30" t="e">
        <f t="shared" si="442"/>
        <v>#REF!</v>
      </c>
      <c r="BE269" s="30" t="e">
        <f t="shared" si="442"/>
        <v>#REF!</v>
      </c>
      <c r="BF269" s="30" t="e">
        <f t="shared" si="442"/>
        <v>#REF!</v>
      </c>
      <c r="BG269" s="30" t="e">
        <f t="shared" si="442"/>
        <v>#REF!</v>
      </c>
      <c r="BH269" s="30" t="e">
        <f t="shared" si="442"/>
        <v>#REF!</v>
      </c>
      <c r="BI269" s="30" t="e">
        <f t="shared" si="442"/>
        <v>#REF!</v>
      </c>
      <c r="BJ269" s="30" t="e">
        <f t="shared" si="442"/>
        <v>#REF!</v>
      </c>
      <c r="BK269"/>
      <c r="BL269" s="5"/>
    </row>
    <row r="270" spans="1:64">
      <c r="A270"/>
      <c r="B270" t="s">
        <v>415</v>
      </c>
      <c r="C270" s="30" t="e">
        <f>+C238</f>
        <v>#REF!</v>
      </c>
      <c r="D270" s="30" t="e">
        <f t="shared" ref="D270:BJ270" si="443">+D238</f>
        <v>#REF!</v>
      </c>
      <c r="E270" s="30" t="e">
        <f t="shared" si="443"/>
        <v>#REF!</v>
      </c>
      <c r="F270" s="30" t="e">
        <f t="shared" si="443"/>
        <v>#REF!</v>
      </c>
      <c r="G270" s="30" t="e">
        <f t="shared" si="443"/>
        <v>#REF!</v>
      </c>
      <c r="H270" s="30" t="e">
        <f t="shared" si="443"/>
        <v>#REF!</v>
      </c>
      <c r="I270" s="30" t="e">
        <f t="shared" si="443"/>
        <v>#REF!</v>
      </c>
      <c r="J270" s="30" t="e">
        <f t="shared" si="443"/>
        <v>#REF!</v>
      </c>
      <c r="K270" s="30" t="e">
        <f t="shared" si="443"/>
        <v>#REF!</v>
      </c>
      <c r="L270" s="30" t="e">
        <f t="shared" si="443"/>
        <v>#REF!</v>
      </c>
      <c r="M270" s="30" t="e">
        <f t="shared" si="443"/>
        <v>#REF!</v>
      </c>
      <c r="N270" s="30" t="e">
        <f t="shared" si="443"/>
        <v>#REF!</v>
      </c>
      <c r="O270" s="30" t="e">
        <f t="shared" si="443"/>
        <v>#REF!</v>
      </c>
      <c r="P270" s="30" t="e">
        <f t="shared" si="443"/>
        <v>#REF!</v>
      </c>
      <c r="Q270" s="30" t="e">
        <f t="shared" si="443"/>
        <v>#REF!</v>
      </c>
      <c r="R270" s="30" t="e">
        <f t="shared" si="443"/>
        <v>#REF!</v>
      </c>
      <c r="S270" s="30" t="e">
        <f t="shared" si="443"/>
        <v>#REF!</v>
      </c>
      <c r="T270" s="30" t="e">
        <f t="shared" si="443"/>
        <v>#REF!</v>
      </c>
      <c r="U270" s="30" t="e">
        <f t="shared" si="443"/>
        <v>#REF!</v>
      </c>
      <c r="V270" s="30" t="e">
        <f t="shared" si="443"/>
        <v>#REF!</v>
      </c>
      <c r="W270" s="30" t="e">
        <f t="shared" si="443"/>
        <v>#REF!</v>
      </c>
      <c r="X270" s="30" t="e">
        <f t="shared" si="443"/>
        <v>#REF!</v>
      </c>
      <c r="Y270" s="30" t="e">
        <f t="shared" si="443"/>
        <v>#REF!</v>
      </c>
      <c r="Z270" s="30" t="e">
        <f t="shared" si="443"/>
        <v>#REF!</v>
      </c>
      <c r="AA270" s="30" t="e">
        <f t="shared" si="443"/>
        <v>#REF!</v>
      </c>
      <c r="AB270" s="30" t="e">
        <f t="shared" si="443"/>
        <v>#REF!</v>
      </c>
      <c r="AC270" s="30" t="e">
        <f t="shared" si="443"/>
        <v>#REF!</v>
      </c>
      <c r="AD270" s="30" t="e">
        <f t="shared" si="443"/>
        <v>#REF!</v>
      </c>
      <c r="AE270" s="30" t="e">
        <f t="shared" si="443"/>
        <v>#REF!</v>
      </c>
      <c r="AF270" s="30" t="e">
        <f t="shared" si="443"/>
        <v>#REF!</v>
      </c>
      <c r="AG270" s="30" t="e">
        <f t="shared" si="443"/>
        <v>#REF!</v>
      </c>
      <c r="AH270" s="30" t="e">
        <f t="shared" si="443"/>
        <v>#REF!</v>
      </c>
      <c r="AI270" s="30" t="e">
        <f t="shared" si="443"/>
        <v>#REF!</v>
      </c>
      <c r="AJ270" s="30" t="e">
        <f t="shared" si="443"/>
        <v>#REF!</v>
      </c>
      <c r="AK270" s="30" t="e">
        <f t="shared" si="443"/>
        <v>#REF!</v>
      </c>
      <c r="AL270" s="30" t="e">
        <f t="shared" si="443"/>
        <v>#REF!</v>
      </c>
      <c r="AM270" s="30" t="e">
        <f t="shared" si="443"/>
        <v>#REF!</v>
      </c>
      <c r="AN270" s="30" t="e">
        <f t="shared" si="443"/>
        <v>#REF!</v>
      </c>
      <c r="AO270" s="30" t="e">
        <f t="shared" si="443"/>
        <v>#REF!</v>
      </c>
      <c r="AP270" s="30" t="e">
        <f t="shared" si="443"/>
        <v>#REF!</v>
      </c>
      <c r="AQ270" s="30" t="e">
        <f t="shared" si="443"/>
        <v>#REF!</v>
      </c>
      <c r="AR270" s="30" t="e">
        <f t="shared" si="443"/>
        <v>#REF!</v>
      </c>
      <c r="AS270" s="30" t="e">
        <f t="shared" si="443"/>
        <v>#REF!</v>
      </c>
      <c r="AT270" s="30" t="e">
        <f t="shared" si="443"/>
        <v>#REF!</v>
      </c>
      <c r="AU270" s="30" t="e">
        <f t="shared" si="443"/>
        <v>#REF!</v>
      </c>
      <c r="AV270" s="30" t="e">
        <f t="shared" si="443"/>
        <v>#REF!</v>
      </c>
      <c r="AW270" s="30" t="e">
        <f t="shared" si="443"/>
        <v>#REF!</v>
      </c>
      <c r="AX270" s="30" t="e">
        <f t="shared" si="443"/>
        <v>#REF!</v>
      </c>
      <c r="AY270" s="30" t="e">
        <f t="shared" si="443"/>
        <v>#REF!</v>
      </c>
      <c r="AZ270" s="30" t="e">
        <f t="shared" si="443"/>
        <v>#REF!</v>
      </c>
      <c r="BA270" s="30" t="e">
        <f t="shared" si="443"/>
        <v>#REF!</v>
      </c>
      <c r="BB270" s="30" t="e">
        <f t="shared" si="443"/>
        <v>#REF!</v>
      </c>
      <c r="BC270" s="30" t="e">
        <f t="shared" si="443"/>
        <v>#REF!</v>
      </c>
      <c r="BD270" s="30" t="e">
        <f t="shared" si="443"/>
        <v>#REF!</v>
      </c>
      <c r="BE270" s="30" t="e">
        <f t="shared" si="443"/>
        <v>#REF!</v>
      </c>
      <c r="BF270" s="30" t="e">
        <f t="shared" si="443"/>
        <v>#REF!</v>
      </c>
      <c r="BG270" s="30" t="e">
        <f t="shared" si="443"/>
        <v>#REF!</v>
      </c>
      <c r="BH270" s="30" t="e">
        <f t="shared" si="443"/>
        <v>#REF!</v>
      </c>
      <c r="BI270" s="30" t="e">
        <f t="shared" si="443"/>
        <v>#REF!</v>
      </c>
      <c r="BJ270" s="30" t="e">
        <f t="shared" si="443"/>
        <v>#REF!</v>
      </c>
      <c r="BK270"/>
      <c r="BL270" s="5"/>
    </row>
    <row r="271" spans="1:64">
      <c r="A271"/>
      <c r="B271" s="3" t="s">
        <v>64</v>
      </c>
      <c r="C271" s="29" t="e">
        <f>SUM(C268:C270)</f>
        <v>#REF!</v>
      </c>
      <c r="D271" s="29" t="e">
        <f t="shared" ref="D271:BJ271" si="444">SUM(D268:D270)</f>
        <v>#REF!</v>
      </c>
      <c r="E271" s="29" t="e">
        <f t="shared" si="444"/>
        <v>#REF!</v>
      </c>
      <c r="F271" s="29" t="e">
        <f t="shared" si="444"/>
        <v>#REF!</v>
      </c>
      <c r="G271" s="29" t="e">
        <f t="shared" si="444"/>
        <v>#REF!</v>
      </c>
      <c r="H271" s="29" t="e">
        <f t="shared" si="444"/>
        <v>#REF!</v>
      </c>
      <c r="I271" s="29" t="e">
        <f t="shared" si="444"/>
        <v>#REF!</v>
      </c>
      <c r="J271" s="29" t="e">
        <f t="shared" si="444"/>
        <v>#REF!</v>
      </c>
      <c r="K271" s="29" t="e">
        <f t="shared" si="444"/>
        <v>#REF!</v>
      </c>
      <c r="L271" s="29" t="e">
        <f t="shared" si="444"/>
        <v>#REF!</v>
      </c>
      <c r="M271" s="29" t="e">
        <f t="shared" si="444"/>
        <v>#REF!</v>
      </c>
      <c r="N271" s="29" t="e">
        <f t="shared" si="444"/>
        <v>#REF!</v>
      </c>
      <c r="O271" s="29" t="e">
        <f t="shared" si="444"/>
        <v>#REF!</v>
      </c>
      <c r="P271" s="29" t="e">
        <f t="shared" si="444"/>
        <v>#REF!</v>
      </c>
      <c r="Q271" s="29" t="e">
        <f t="shared" si="444"/>
        <v>#REF!</v>
      </c>
      <c r="R271" s="29" t="e">
        <f t="shared" si="444"/>
        <v>#REF!</v>
      </c>
      <c r="S271" s="29" t="e">
        <f t="shared" si="444"/>
        <v>#REF!</v>
      </c>
      <c r="T271" s="29" t="e">
        <f t="shared" si="444"/>
        <v>#REF!</v>
      </c>
      <c r="U271" s="29" t="e">
        <f t="shared" si="444"/>
        <v>#REF!</v>
      </c>
      <c r="V271" s="29" t="e">
        <f t="shared" si="444"/>
        <v>#REF!</v>
      </c>
      <c r="W271" s="29" t="e">
        <f t="shared" si="444"/>
        <v>#REF!</v>
      </c>
      <c r="X271" s="29" t="e">
        <f t="shared" si="444"/>
        <v>#REF!</v>
      </c>
      <c r="Y271" s="29" t="e">
        <f t="shared" si="444"/>
        <v>#REF!</v>
      </c>
      <c r="Z271" s="29" t="e">
        <f t="shared" si="444"/>
        <v>#REF!</v>
      </c>
      <c r="AA271" s="29" t="e">
        <f t="shared" si="444"/>
        <v>#REF!</v>
      </c>
      <c r="AB271" s="29" t="e">
        <f t="shared" si="444"/>
        <v>#REF!</v>
      </c>
      <c r="AC271" s="29" t="e">
        <f t="shared" si="444"/>
        <v>#REF!</v>
      </c>
      <c r="AD271" s="29" t="e">
        <f t="shared" si="444"/>
        <v>#REF!</v>
      </c>
      <c r="AE271" s="29" t="e">
        <f t="shared" si="444"/>
        <v>#REF!</v>
      </c>
      <c r="AF271" s="29" t="e">
        <f t="shared" si="444"/>
        <v>#REF!</v>
      </c>
      <c r="AG271" s="29" t="e">
        <f t="shared" si="444"/>
        <v>#REF!</v>
      </c>
      <c r="AH271" s="29" t="e">
        <f t="shared" si="444"/>
        <v>#REF!</v>
      </c>
      <c r="AI271" s="29" t="e">
        <f t="shared" si="444"/>
        <v>#REF!</v>
      </c>
      <c r="AJ271" s="29" t="e">
        <f t="shared" si="444"/>
        <v>#REF!</v>
      </c>
      <c r="AK271" s="29" t="e">
        <f t="shared" si="444"/>
        <v>#REF!</v>
      </c>
      <c r="AL271" s="29" t="e">
        <f t="shared" si="444"/>
        <v>#REF!</v>
      </c>
      <c r="AM271" s="29" t="e">
        <f t="shared" si="444"/>
        <v>#REF!</v>
      </c>
      <c r="AN271" s="29" t="e">
        <f t="shared" si="444"/>
        <v>#REF!</v>
      </c>
      <c r="AO271" s="29" t="e">
        <f t="shared" si="444"/>
        <v>#REF!</v>
      </c>
      <c r="AP271" s="29" t="e">
        <f t="shared" si="444"/>
        <v>#REF!</v>
      </c>
      <c r="AQ271" s="29" t="e">
        <f t="shared" si="444"/>
        <v>#REF!</v>
      </c>
      <c r="AR271" s="29" t="e">
        <f t="shared" si="444"/>
        <v>#REF!</v>
      </c>
      <c r="AS271" s="29" t="e">
        <f t="shared" si="444"/>
        <v>#REF!</v>
      </c>
      <c r="AT271" s="29" t="e">
        <f t="shared" si="444"/>
        <v>#REF!</v>
      </c>
      <c r="AU271" s="29" t="e">
        <f t="shared" si="444"/>
        <v>#REF!</v>
      </c>
      <c r="AV271" s="29" t="e">
        <f t="shared" si="444"/>
        <v>#REF!</v>
      </c>
      <c r="AW271" s="29" t="e">
        <f t="shared" si="444"/>
        <v>#REF!</v>
      </c>
      <c r="AX271" s="29" t="e">
        <f t="shared" si="444"/>
        <v>#REF!</v>
      </c>
      <c r="AY271" s="29" t="e">
        <f t="shared" si="444"/>
        <v>#REF!</v>
      </c>
      <c r="AZ271" s="29" t="e">
        <f t="shared" si="444"/>
        <v>#REF!</v>
      </c>
      <c r="BA271" s="29" t="e">
        <f t="shared" si="444"/>
        <v>#REF!</v>
      </c>
      <c r="BB271" s="29" t="e">
        <f t="shared" si="444"/>
        <v>#REF!</v>
      </c>
      <c r="BC271" s="29" t="e">
        <f t="shared" si="444"/>
        <v>#REF!</v>
      </c>
      <c r="BD271" s="29" t="e">
        <f t="shared" si="444"/>
        <v>#REF!</v>
      </c>
      <c r="BE271" s="29" t="e">
        <f t="shared" si="444"/>
        <v>#REF!</v>
      </c>
      <c r="BF271" s="29" t="e">
        <f t="shared" si="444"/>
        <v>#REF!</v>
      </c>
      <c r="BG271" s="29" t="e">
        <f t="shared" si="444"/>
        <v>#REF!</v>
      </c>
      <c r="BH271" s="29" t="e">
        <f t="shared" si="444"/>
        <v>#REF!</v>
      </c>
      <c r="BI271" s="29" t="e">
        <f t="shared" si="444"/>
        <v>#REF!</v>
      </c>
      <c r="BJ271" s="29" t="e">
        <f t="shared" si="444"/>
        <v>#REF!</v>
      </c>
      <c r="BK271"/>
      <c r="BL271" s="5"/>
    </row>
    <row r="272" spans="1:64">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s="5"/>
    </row>
    <row r="273" spans="1:64">
      <c r="A273"/>
      <c r="B273" s="40" t="s">
        <v>420</v>
      </c>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s="5"/>
    </row>
    <row r="274" spans="1:64">
      <c r="A274"/>
      <c r="B274" t="s">
        <v>421</v>
      </c>
      <c r="C274" s="30" t="e">
        <f>+C58</f>
        <v>#REF!</v>
      </c>
      <c r="D274" s="30">
        <f t="shared" ref="D274:BJ274" si="445">+D58</f>
        <v>0</v>
      </c>
      <c r="E274" s="30">
        <f t="shared" si="445"/>
        <v>0</v>
      </c>
      <c r="F274" s="30">
        <f t="shared" si="445"/>
        <v>0</v>
      </c>
      <c r="G274" s="30">
        <f t="shared" si="445"/>
        <v>0</v>
      </c>
      <c r="H274" s="30">
        <f t="shared" si="445"/>
        <v>0</v>
      </c>
      <c r="I274" s="30">
        <f t="shared" si="445"/>
        <v>0</v>
      </c>
      <c r="J274" s="30">
        <f t="shared" si="445"/>
        <v>0</v>
      </c>
      <c r="K274" s="30">
        <f t="shared" si="445"/>
        <v>0</v>
      </c>
      <c r="L274" s="30">
        <f t="shared" si="445"/>
        <v>0</v>
      </c>
      <c r="M274" s="30">
        <f t="shared" si="445"/>
        <v>0</v>
      </c>
      <c r="N274" s="30">
        <f t="shared" si="445"/>
        <v>0</v>
      </c>
      <c r="O274" s="30">
        <f t="shared" si="445"/>
        <v>0</v>
      </c>
      <c r="P274" s="30">
        <f t="shared" si="445"/>
        <v>0</v>
      </c>
      <c r="Q274" s="30">
        <f t="shared" si="445"/>
        <v>0</v>
      </c>
      <c r="R274" s="30">
        <f t="shared" si="445"/>
        <v>0</v>
      </c>
      <c r="S274" s="30">
        <f t="shared" si="445"/>
        <v>0</v>
      </c>
      <c r="T274" s="30">
        <f t="shared" si="445"/>
        <v>0</v>
      </c>
      <c r="U274" s="30">
        <f t="shared" si="445"/>
        <v>0</v>
      </c>
      <c r="V274" s="30">
        <f t="shared" si="445"/>
        <v>0</v>
      </c>
      <c r="W274" s="30">
        <f t="shared" si="445"/>
        <v>0</v>
      </c>
      <c r="X274" s="30">
        <f t="shared" si="445"/>
        <v>0</v>
      </c>
      <c r="Y274" s="30">
        <f t="shared" si="445"/>
        <v>0</v>
      </c>
      <c r="Z274" s="30">
        <f t="shared" si="445"/>
        <v>0</v>
      </c>
      <c r="AA274" s="30">
        <f t="shared" si="445"/>
        <v>0</v>
      </c>
      <c r="AB274" s="30">
        <f t="shared" si="445"/>
        <v>0</v>
      </c>
      <c r="AC274" s="30">
        <f t="shared" si="445"/>
        <v>0</v>
      </c>
      <c r="AD274" s="30">
        <f t="shared" si="445"/>
        <v>0</v>
      </c>
      <c r="AE274" s="30">
        <f t="shared" si="445"/>
        <v>0</v>
      </c>
      <c r="AF274" s="30">
        <f t="shared" si="445"/>
        <v>0</v>
      </c>
      <c r="AG274" s="30">
        <f t="shared" si="445"/>
        <v>0</v>
      </c>
      <c r="AH274" s="30">
        <f t="shared" si="445"/>
        <v>0</v>
      </c>
      <c r="AI274" s="30">
        <f t="shared" si="445"/>
        <v>0</v>
      </c>
      <c r="AJ274" s="30">
        <f t="shared" si="445"/>
        <v>0</v>
      </c>
      <c r="AK274" s="30">
        <f t="shared" si="445"/>
        <v>0</v>
      </c>
      <c r="AL274" s="30">
        <f t="shared" si="445"/>
        <v>0</v>
      </c>
      <c r="AM274" s="30">
        <f t="shared" si="445"/>
        <v>0</v>
      </c>
      <c r="AN274" s="30">
        <f t="shared" si="445"/>
        <v>0</v>
      </c>
      <c r="AO274" s="30">
        <f t="shared" si="445"/>
        <v>0</v>
      </c>
      <c r="AP274" s="30">
        <f t="shared" si="445"/>
        <v>0</v>
      </c>
      <c r="AQ274" s="30">
        <f t="shared" si="445"/>
        <v>0</v>
      </c>
      <c r="AR274" s="30">
        <f t="shared" si="445"/>
        <v>0</v>
      </c>
      <c r="AS274" s="30">
        <f t="shared" si="445"/>
        <v>0</v>
      </c>
      <c r="AT274" s="30">
        <f t="shared" si="445"/>
        <v>0</v>
      </c>
      <c r="AU274" s="30">
        <f t="shared" si="445"/>
        <v>0</v>
      </c>
      <c r="AV274" s="30">
        <f t="shared" si="445"/>
        <v>0</v>
      </c>
      <c r="AW274" s="30">
        <f t="shared" si="445"/>
        <v>0</v>
      </c>
      <c r="AX274" s="30">
        <f t="shared" si="445"/>
        <v>0</v>
      </c>
      <c r="AY274" s="30">
        <f t="shared" si="445"/>
        <v>0</v>
      </c>
      <c r="AZ274" s="30">
        <f t="shared" si="445"/>
        <v>0</v>
      </c>
      <c r="BA274" s="30">
        <f t="shared" si="445"/>
        <v>0</v>
      </c>
      <c r="BB274" s="30">
        <f t="shared" si="445"/>
        <v>0</v>
      </c>
      <c r="BC274" s="30">
        <f t="shared" si="445"/>
        <v>0</v>
      </c>
      <c r="BD274" s="30">
        <f t="shared" si="445"/>
        <v>0</v>
      </c>
      <c r="BE274" s="30">
        <f t="shared" si="445"/>
        <v>0</v>
      </c>
      <c r="BF274" s="30">
        <f t="shared" si="445"/>
        <v>0</v>
      </c>
      <c r="BG274" s="30">
        <f t="shared" si="445"/>
        <v>0</v>
      </c>
      <c r="BH274" s="30">
        <f t="shared" si="445"/>
        <v>0</v>
      </c>
      <c r="BI274" s="30">
        <f t="shared" si="445"/>
        <v>0</v>
      </c>
      <c r="BJ274" s="30">
        <f t="shared" si="445"/>
        <v>0</v>
      </c>
      <c r="BK274"/>
      <c r="BL274" s="5"/>
    </row>
    <row r="275" spans="1:64">
      <c r="A275"/>
      <c r="B275" t="s">
        <v>422</v>
      </c>
      <c r="C275" s="30">
        <f>+C64</f>
        <v>0</v>
      </c>
      <c r="D275" s="30">
        <f t="shared" ref="D275:BJ275" si="446">+D64</f>
        <v>0</v>
      </c>
      <c r="E275" s="30">
        <f t="shared" si="446"/>
        <v>0</v>
      </c>
      <c r="F275" s="30">
        <f t="shared" si="446"/>
        <v>0</v>
      </c>
      <c r="G275" s="30">
        <f t="shared" si="446"/>
        <v>0</v>
      </c>
      <c r="H275" s="30">
        <f t="shared" si="446"/>
        <v>0</v>
      </c>
      <c r="I275" s="30">
        <f t="shared" si="446"/>
        <v>0</v>
      </c>
      <c r="J275" s="30">
        <f t="shared" si="446"/>
        <v>0</v>
      </c>
      <c r="K275" s="30">
        <f t="shared" si="446"/>
        <v>0</v>
      </c>
      <c r="L275" s="30">
        <f t="shared" si="446"/>
        <v>0</v>
      </c>
      <c r="M275" s="30">
        <f t="shared" si="446"/>
        <v>0</v>
      </c>
      <c r="N275" s="30">
        <f t="shared" si="446"/>
        <v>0</v>
      </c>
      <c r="O275" s="30">
        <f t="shared" si="446"/>
        <v>0</v>
      </c>
      <c r="P275" s="30">
        <f t="shared" si="446"/>
        <v>0</v>
      </c>
      <c r="Q275" s="30">
        <f t="shared" si="446"/>
        <v>0</v>
      </c>
      <c r="R275" s="30">
        <f t="shared" si="446"/>
        <v>0</v>
      </c>
      <c r="S275" s="30">
        <f t="shared" si="446"/>
        <v>0</v>
      </c>
      <c r="T275" s="30">
        <f t="shared" si="446"/>
        <v>0</v>
      </c>
      <c r="U275" s="30">
        <f t="shared" si="446"/>
        <v>0</v>
      </c>
      <c r="V275" s="30">
        <f t="shared" si="446"/>
        <v>0</v>
      </c>
      <c r="W275" s="30">
        <f t="shared" si="446"/>
        <v>0</v>
      </c>
      <c r="X275" s="30">
        <f t="shared" si="446"/>
        <v>0</v>
      </c>
      <c r="Y275" s="30">
        <f t="shared" si="446"/>
        <v>0</v>
      </c>
      <c r="Z275" s="30">
        <f t="shared" si="446"/>
        <v>0</v>
      </c>
      <c r="AA275" s="30">
        <f t="shared" si="446"/>
        <v>0</v>
      </c>
      <c r="AB275" s="30">
        <f t="shared" si="446"/>
        <v>0</v>
      </c>
      <c r="AC275" s="30">
        <f t="shared" si="446"/>
        <v>0</v>
      </c>
      <c r="AD275" s="30">
        <f t="shared" si="446"/>
        <v>0</v>
      </c>
      <c r="AE275" s="30">
        <f t="shared" si="446"/>
        <v>0</v>
      </c>
      <c r="AF275" s="30">
        <f t="shared" si="446"/>
        <v>0</v>
      </c>
      <c r="AG275" s="30">
        <f t="shared" si="446"/>
        <v>0</v>
      </c>
      <c r="AH275" s="30">
        <f t="shared" si="446"/>
        <v>0</v>
      </c>
      <c r="AI275" s="30">
        <f t="shared" si="446"/>
        <v>0</v>
      </c>
      <c r="AJ275" s="30">
        <f t="shared" si="446"/>
        <v>0</v>
      </c>
      <c r="AK275" s="30">
        <f t="shared" si="446"/>
        <v>0</v>
      </c>
      <c r="AL275" s="30">
        <f t="shared" si="446"/>
        <v>0</v>
      </c>
      <c r="AM275" s="30">
        <f t="shared" si="446"/>
        <v>0</v>
      </c>
      <c r="AN275" s="30">
        <f t="shared" si="446"/>
        <v>0</v>
      </c>
      <c r="AO275" s="30">
        <f t="shared" si="446"/>
        <v>0</v>
      </c>
      <c r="AP275" s="30">
        <f t="shared" si="446"/>
        <v>0</v>
      </c>
      <c r="AQ275" s="30">
        <f t="shared" si="446"/>
        <v>0</v>
      </c>
      <c r="AR275" s="30">
        <f t="shared" si="446"/>
        <v>0</v>
      </c>
      <c r="AS275" s="30">
        <f t="shared" si="446"/>
        <v>0</v>
      </c>
      <c r="AT275" s="30">
        <f t="shared" si="446"/>
        <v>0</v>
      </c>
      <c r="AU275" s="30">
        <f t="shared" si="446"/>
        <v>0</v>
      </c>
      <c r="AV275" s="30">
        <f t="shared" si="446"/>
        <v>0</v>
      </c>
      <c r="AW275" s="30">
        <f t="shared" si="446"/>
        <v>0</v>
      </c>
      <c r="AX275" s="30">
        <f t="shared" si="446"/>
        <v>0</v>
      </c>
      <c r="AY275" s="30">
        <f t="shared" si="446"/>
        <v>0</v>
      </c>
      <c r="AZ275" s="30">
        <f t="shared" si="446"/>
        <v>0</v>
      </c>
      <c r="BA275" s="30">
        <f t="shared" si="446"/>
        <v>0</v>
      </c>
      <c r="BB275" s="30">
        <f t="shared" si="446"/>
        <v>0</v>
      </c>
      <c r="BC275" s="30">
        <f t="shared" si="446"/>
        <v>0</v>
      </c>
      <c r="BD275" s="30">
        <f t="shared" si="446"/>
        <v>0</v>
      </c>
      <c r="BE275" s="30">
        <f t="shared" si="446"/>
        <v>0</v>
      </c>
      <c r="BF275" s="30">
        <f t="shared" si="446"/>
        <v>0</v>
      </c>
      <c r="BG275" s="30">
        <f t="shared" si="446"/>
        <v>0</v>
      </c>
      <c r="BH275" s="30">
        <f t="shared" si="446"/>
        <v>0</v>
      </c>
      <c r="BI275" s="30">
        <f t="shared" si="446"/>
        <v>0</v>
      </c>
      <c r="BJ275" s="30">
        <f t="shared" si="446"/>
        <v>0</v>
      </c>
      <c r="BK275"/>
      <c r="BL275" s="5"/>
    </row>
    <row r="276" spans="1:64">
      <c r="A276"/>
      <c r="B276" s="3" t="s">
        <v>423</v>
      </c>
      <c r="C276" s="29" t="e">
        <f>SUM(C274:C275)</f>
        <v>#REF!</v>
      </c>
      <c r="D276" s="29">
        <f t="shared" ref="D276:BJ276" si="447">SUM(D274:D275)</f>
        <v>0</v>
      </c>
      <c r="E276" s="29">
        <f t="shared" si="447"/>
        <v>0</v>
      </c>
      <c r="F276" s="29">
        <f t="shared" si="447"/>
        <v>0</v>
      </c>
      <c r="G276" s="29">
        <f t="shared" si="447"/>
        <v>0</v>
      </c>
      <c r="H276" s="29">
        <f t="shared" si="447"/>
        <v>0</v>
      </c>
      <c r="I276" s="29">
        <f t="shared" si="447"/>
        <v>0</v>
      </c>
      <c r="J276" s="29">
        <f t="shared" si="447"/>
        <v>0</v>
      </c>
      <c r="K276" s="29">
        <f t="shared" si="447"/>
        <v>0</v>
      </c>
      <c r="L276" s="29">
        <f t="shared" si="447"/>
        <v>0</v>
      </c>
      <c r="M276" s="29">
        <f t="shared" si="447"/>
        <v>0</v>
      </c>
      <c r="N276" s="29">
        <f t="shared" si="447"/>
        <v>0</v>
      </c>
      <c r="O276" s="29">
        <f t="shared" si="447"/>
        <v>0</v>
      </c>
      <c r="P276" s="29">
        <f t="shared" si="447"/>
        <v>0</v>
      </c>
      <c r="Q276" s="29">
        <f t="shared" si="447"/>
        <v>0</v>
      </c>
      <c r="R276" s="29">
        <f t="shared" si="447"/>
        <v>0</v>
      </c>
      <c r="S276" s="29">
        <f t="shared" si="447"/>
        <v>0</v>
      </c>
      <c r="T276" s="29">
        <f t="shared" si="447"/>
        <v>0</v>
      </c>
      <c r="U276" s="29">
        <f t="shared" si="447"/>
        <v>0</v>
      </c>
      <c r="V276" s="29">
        <f t="shared" si="447"/>
        <v>0</v>
      </c>
      <c r="W276" s="29">
        <f t="shared" si="447"/>
        <v>0</v>
      </c>
      <c r="X276" s="29">
        <f t="shared" si="447"/>
        <v>0</v>
      </c>
      <c r="Y276" s="29">
        <f t="shared" si="447"/>
        <v>0</v>
      </c>
      <c r="Z276" s="29">
        <f t="shared" si="447"/>
        <v>0</v>
      </c>
      <c r="AA276" s="29">
        <f t="shared" si="447"/>
        <v>0</v>
      </c>
      <c r="AB276" s="29">
        <f t="shared" si="447"/>
        <v>0</v>
      </c>
      <c r="AC276" s="29">
        <f t="shared" si="447"/>
        <v>0</v>
      </c>
      <c r="AD276" s="29">
        <f t="shared" si="447"/>
        <v>0</v>
      </c>
      <c r="AE276" s="29">
        <f t="shared" si="447"/>
        <v>0</v>
      </c>
      <c r="AF276" s="29">
        <f t="shared" si="447"/>
        <v>0</v>
      </c>
      <c r="AG276" s="29">
        <f t="shared" si="447"/>
        <v>0</v>
      </c>
      <c r="AH276" s="29">
        <f t="shared" si="447"/>
        <v>0</v>
      </c>
      <c r="AI276" s="29">
        <f t="shared" si="447"/>
        <v>0</v>
      </c>
      <c r="AJ276" s="29">
        <f t="shared" si="447"/>
        <v>0</v>
      </c>
      <c r="AK276" s="29">
        <f t="shared" si="447"/>
        <v>0</v>
      </c>
      <c r="AL276" s="29">
        <f t="shared" si="447"/>
        <v>0</v>
      </c>
      <c r="AM276" s="29">
        <f t="shared" si="447"/>
        <v>0</v>
      </c>
      <c r="AN276" s="29">
        <f t="shared" si="447"/>
        <v>0</v>
      </c>
      <c r="AO276" s="29">
        <f t="shared" si="447"/>
        <v>0</v>
      </c>
      <c r="AP276" s="29">
        <f t="shared" si="447"/>
        <v>0</v>
      </c>
      <c r="AQ276" s="29">
        <f t="shared" si="447"/>
        <v>0</v>
      </c>
      <c r="AR276" s="29">
        <f t="shared" si="447"/>
        <v>0</v>
      </c>
      <c r="AS276" s="29">
        <f t="shared" si="447"/>
        <v>0</v>
      </c>
      <c r="AT276" s="29">
        <f t="shared" si="447"/>
        <v>0</v>
      </c>
      <c r="AU276" s="29">
        <f t="shared" si="447"/>
        <v>0</v>
      </c>
      <c r="AV276" s="29">
        <f t="shared" si="447"/>
        <v>0</v>
      </c>
      <c r="AW276" s="29">
        <f t="shared" si="447"/>
        <v>0</v>
      </c>
      <c r="AX276" s="29">
        <f t="shared" si="447"/>
        <v>0</v>
      </c>
      <c r="AY276" s="29">
        <f t="shared" si="447"/>
        <v>0</v>
      </c>
      <c r="AZ276" s="29">
        <f t="shared" si="447"/>
        <v>0</v>
      </c>
      <c r="BA276" s="29">
        <f t="shared" si="447"/>
        <v>0</v>
      </c>
      <c r="BB276" s="29">
        <f t="shared" si="447"/>
        <v>0</v>
      </c>
      <c r="BC276" s="29">
        <f t="shared" si="447"/>
        <v>0</v>
      </c>
      <c r="BD276" s="29">
        <f t="shared" si="447"/>
        <v>0</v>
      </c>
      <c r="BE276" s="29">
        <f t="shared" si="447"/>
        <v>0</v>
      </c>
      <c r="BF276" s="29">
        <f t="shared" si="447"/>
        <v>0</v>
      </c>
      <c r="BG276" s="29">
        <f t="shared" si="447"/>
        <v>0</v>
      </c>
      <c r="BH276" s="29">
        <f t="shared" si="447"/>
        <v>0</v>
      </c>
      <c r="BI276" s="29">
        <f t="shared" si="447"/>
        <v>0</v>
      </c>
      <c r="BJ276" s="29">
        <f t="shared" si="447"/>
        <v>0</v>
      </c>
      <c r="BK276"/>
      <c r="BL276" s="5"/>
    </row>
    <row r="277" spans="1:64">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s="5"/>
    </row>
    <row r="278" spans="1:64">
      <c r="A278"/>
      <c r="B278" t="s">
        <v>424</v>
      </c>
      <c r="C278" s="30" t="e">
        <f>+SUM(C259,C108)</f>
        <v>#REF!</v>
      </c>
      <c r="D278" s="30">
        <f t="shared" ref="D278:BJ278" si="448">+SUM(D259,D108)</f>
        <v>0</v>
      </c>
      <c r="E278" s="30">
        <f t="shared" si="448"/>
        <v>0</v>
      </c>
      <c r="F278" s="30">
        <f t="shared" si="448"/>
        <v>0</v>
      </c>
      <c r="G278" s="30">
        <f t="shared" si="448"/>
        <v>0</v>
      </c>
      <c r="H278" s="30">
        <f t="shared" si="448"/>
        <v>0</v>
      </c>
      <c r="I278" s="30">
        <f t="shared" si="448"/>
        <v>0</v>
      </c>
      <c r="J278" s="30">
        <f t="shared" si="448"/>
        <v>0</v>
      </c>
      <c r="K278" s="30">
        <f t="shared" si="448"/>
        <v>0</v>
      </c>
      <c r="L278" s="30">
        <f t="shared" si="448"/>
        <v>0</v>
      </c>
      <c r="M278" s="30">
        <f t="shared" si="448"/>
        <v>0</v>
      </c>
      <c r="N278" s="30">
        <f t="shared" si="448"/>
        <v>0</v>
      </c>
      <c r="O278" s="30">
        <f t="shared" si="448"/>
        <v>0</v>
      </c>
      <c r="P278" s="30">
        <f t="shared" si="448"/>
        <v>0</v>
      </c>
      <c r="Q278" s="30">
        <f t="shared" si="448"/>
        <v>0</v>
      </c>
      <c r="R278" s="30">
        <f t="shared" si="448"/>
        <v>0</v>
      </c>
      <c r="S278" s="30">
        <f t="shared" si="448"/>
        <v>0</v>
      </c>
      <c r="T278" s="30">
        <f t="shared" si="448"/>
        <v>0</v>
      </c>
      <c r="U278" s="30">
        <f t="shared" si="448"/>
        <v>0</v>
      </c>
      <c r="V278" s="30">
        <f t="shared" si="448"/>
        <v>0</v>
      </c>
      <c r="W278" s="30">
        <f t="shared" si="448"/>
        <v>0</v>
      </c>
      <c r="X278" s="30">
        <f t="shared" si="448"/>
        <v>0</v>
      </c>
      <c r="Y278" s="30">
        <f t="shared" si="448"/>
        <v>0</v>
      </c>
      <c r="Z278" s="30">
        <f t="shared" si="448"/>
        <v>0</v>
      </c>
      <c r="AA278" s="30">
        <f t="shared" si="448"/>
        <v>0</v>
      </c>
      <c r="AB278" s="30">
        <f t="shared" si="448"/>
        <v>0</v>
      </c>
      <c r="AC278" s="30">
        <f t="shared" si="448"/>
        <v>0</v>
      </c>
      <c r="AD278" s="30">
        <f t="shared" si="448"/>
        <v>0</v>
      </c>
      <c r="AE278" s="30">
        <f t="shared" si="448"/>
        <v>0</v>
      </c>
      <c r="AF278" s="30">
        <f t="shared" si="448"/>
        <v>0</v>
      </c>
      <c r="AG278" s="30">
        <f t="shared" si="448"/>
        <v>0</v>
      </c>
      <c r="AH278" s="30">
        <f t="shared" si="448"/>
        <v>0</v>
      </c>
      <c r="AI278" s="30">
        <f t="shared" si="448"/>
        <v>0</v>
      </c>
      <c r="AJ278" s="30">
        <f t="shared" si="448"/>
        <v>0</v>
      </c>
      <c r="AK278" s="30">
        <f t="shared" si="448"/>
        <v>0</v>
      </c>
      <c r="AL278" s="30">
        <f t="shared" si="448"/>
        <v>0</v>
      </c>
      <c r="AM278" s="30">
        <f t="shared" si="448"/>
        <v>0</v>
      </c>
      <c r="AN278" s="30">
        <f t="shared" si="448"/>
        <v>0</v>
      </c>
      <c r="AO278" s="30">
        <f t="shared" si="448"/>
        <v>0</v>
      </c>
      <c r="AP278" s="30">
        <f t="shared" si="448"/>
        <v>0</v>
      </c>
      <c r="AQ278" s="30">
        <f t="shared" si="448"/>
        <v>0</v>
      </c>
      <c r="AR278" s="30">
        <f t="shared" si="448"/>
        <v>0</v>
      </c>
      <c r="AS278" s="30">
        <f t="shared" si="448"/>
        <v>0</v>
      </c>
      <c r="AT278" s="30">
        <f t="shared" si="448"/>
        <v>0</v>
      </c>
      <c r="AU278" s="30">
        <f t="shared" si="448"/>
        <v>0</v>
      </c>
      <c r="AV278" s="30">
        <f t="shared" si="448"/>
        <v>0</v>
      </c>
      <c r="AW278" s="30">
        <f t="shared" si="448"/>
        <v>0</v>
      </c>
      <c r="AX278" s="30">
        <f t="shared" si="448"/>
        <v>0</v>
      </c>
      <c r="AY278" s="30">
        <f t="shared" si="448"/>
        <v>0</v>
      </c>
      <c r="AZ278" s="30">
        <f t="shared" si="448"/>
        <v>0</v>
      </c>
      <c r="BA278" s="30">
        <f t="shared" si="448"/>
        <v>0</v>
      </c>
      <c r="BB278" s="30">
        <f t="shared" si="448"/>
        <v>0</v>
      </c>
      <c r="BC278" s="30">
        <f t="shared" si="448"/>
        <v>0</v>
      </c>
      <c r="BD278" s="30">
        <f t="shared" si="448"/>
        <v>0</v>
      </c>
      <c r="BE278" s="30">
        <f t="shared" si="448"/>
        <v>0</v>
      </c>
      <c r="BF278" s="30">
        <f t="shared" si="448"/>
        <v>0</v>
      </c>
      <c r="BG278" s="30">
        <f t="shared" si="448"/>
        <v>0</v>
      </c>
      <c r="BH278" s="30">
        <f t="shared" si="448"/>
        <v>0</v>
      </c>
      <c r="BI278" s="30">
        <f t="shared" si="448"/>
        <v>0</v>
      </c>
      <c r="BJ278" s="30">
        <f t="shared" si="448"/>
        <v>0</v>
      </c>
      <c r="BK278"/>
      <c r="BL278" s="5"/>
    </row>
    <row r="279" spans="1:64">
      <c r="A279"/>
      <c r="B279" t="s">
        <v>425</v>
      </c>
      <c r="C279" s="30" t="e">
        <f>SUM(C260:C264,C109:C111)</f>
        <v>#REF!</v>
      </c>
      <c r="D279" s="30" t="e">
        <f t="shared" ref="D279:BJ279" si="449">SUM(D260:D264,D109:D111)</f>
        <v>#REF!</v>
      </c>
      <c r="E279" s="30" t="e">
        <f t="shared" si="449"/>
        <v>#REF!</v>
      </c>
      <c r="F279" s="30" t="e">
        <f t="shared" si="449"/>
        <v>#REF!</v>
      </c>
      <c r="G279" s="30" t="e">
        <f t="shared" si="449"/>
        <v>#REF!</v>
      </c>
      <c r="H279" s="30" t="e">
        <f t="shared" si="449"/>
        <v>#REF!</v>
      </c>
      <c r="I279" s="30" t="e">
        <f t="shared" si="449"/>
        <v>#REF!</v>
      </c>
      <c r="J279" s="30" t="e">
        <f t="shared" si="449"/>
        <v>#REF!</v>
      </c>
      <c r="K279" s="30" t="e">
        <f t="shared" si="449"/>
        <v>#REF!</v>
      </c>
      <c r="L279" s="30" t="e">
        <f t="shared" si="449"/>
        <v>#REF!</v>
      </c>
      <c r="M279" s="30" t="e">
        <f t="shared" si="449"/>
        <v>#REF!</v>
      </c>
      <c r="N279" s="30" t="e">
        <f t="shared" si="449"/>
        <v>#REF!</v>
      </c>
      <c r="O279" s="30" t="e">
        <f t="shared" si="449"/>
        <v>#REF!</v>
      </c>
      <c r="P279" s="30" t="e">
        <f t="shared" si="449"/>
        <v>#REF!</v>
      </c>
      <c r="Q279" s="30" t="e">
        <f t="shared" si="449"/>
        <v>#REF!</v>
      </c>
      <c r="R279" s="30" t="e">
        <f t="shared" si="449"/>
        <v>#REF!</v>
      </c>
      <c r="S279" s="30" t="e">
        <f t="shared" si="449"/>
        <v>#REF!</v>
      </c>
      <c r="T279" s="30" t="e">
        <f t="shared" si="449"/>
        <v>#REF!</v>
      </c>
      <c r="U279" s="30" t="e">
        <f t="shared" si="449"/>
        <v>#REF!</v>
      </c>
      <c r="V279" s="30" t="e">
        <f t="shared" si="449"/>
        <v>#REF!</v>
      </c>
      <c r="W279" s="30" t="e">
        <f t="shared" si="449"/>
        <v>#REF!</v>
      </c>
      <c r="X279" s="30" t="e">
        <f t="shared" si="449"/>
        <v>#REF!</v>
      </c>
      <c r="Y279" s="30" t="e">
        <f t="shared" si="449"/>
        <v>#REF!</v>
      </c>
      <c r="Z279" s="30" t="e">
        <f t="shared" si="449"/>
        <v>#REF!</v>
      </c>
      <c r="AA279" s="30" t="e">
        <f t="shared" si="449"/>
        <v>#REF!</v>
      </c>
      <c r="AB279" s="30" t="e">
        <f t="shared" si="449"/>
        <v>#REF!</v>
      </c>
      <c r="AC279" s="30" t="e">
        <f t="shared" si="449"/>
        <v>#REF!</v>
      </c>
      <c r="AD279" s="30" t="e">
        <f t="shared" si="449"/>
        <v>#REF!</v>
      </c>
      <c r="AE279" s="30" t="e">
        <f t="shared" si="449"/>
        <v>#REF!</v>
      </c>
      <c r="AF279" s="30" t="e">
        <f t="shared" si="449"/>
        <v>#REF!</v>
      </c>
      <c r="AG279" s="30" t="e">
        <f t="shared" si="449"/>
        <v>#REF!</v>
      </c>
      <c r="AH279" s="30" t="e">
        <f t="shared" si="449"/>
        <v>#REF!</v>
      </c>
      <c r="AI279" s="30" t="e">
        <f t="shared" si="449"/>
        <v>#REF!</v>
      </c>
      <c r="AJ279" s="30" t="e">
        <f t="shared" si="449"/>
        <v>#REF!</v>
      </c>
      <c r="AK279" s="30" t="e">
        <f t="shared" si="449"/>
        <v>#REF!</v>
      </c>
      <c r="AL279" s="30" t="e">
        <f t="shared" si="449"/>
        <v>#REF!</v>
      </c>
      <c r="AM279" s="30" t="e">
        <f t="shared" si="449"/>
        <v>#REF!</v>
      </c>
      <c r="AN279" s="30" t="e">
        <f t="shared" si="449"/>
        <v>#REF!</v>
      </c>
      <c r="AO279" s="30" t="e">
        <f t="shared" si="449"/>
        <v>#REF!</v>
      </c>
      <c r="AP279" s="30" t="e">
        <f t="shared" si="449"/>
        <v>#REF!</v>
      </c>
      <c r="AQ279" s="30" t="e">
        <f t="shared" si="449"/>
        <v>#REF!</v>
      </c>
      <c r="AR279" s="30" t="e">
        <f t="shared" si="449"/>
        <v>#REF!</v>
      </c>
      <c r="AS279" s="30" t="e">
        <f t="shared" si="449"/>
        <v>#REF!</v>
      </c>
      <c r="AT279" s="30" t="e">
        <f t="shared" si="449"/>
        <v>#REF!</v>
      </c>
      <c r="AU279" s="30" t="e">
        <f t="shared" si="449"/>
        <v>#REF!</v>
      </c>
      <c r="AV279" s="30" t="e">
        <f t="shared" si="449"/>
        <v>#REF!</v>
      </c>
      <c r="AW279" s="30" t="e">
        <f t="shared" si="449"/>
        <v>#REF!</v>
      </c>
      <c r="AX279" s="30" t="e">
        <f t="shared" si="449"/>
        <v>#REF!</v>
      </c>
      <c r="AY279" s="30" t="e">
        <f t="shared" si="449"/>
        <v>#REF!</v>
      </c>
      <c r="AZ279" s="30" t="e">
        <f t="shared" si="449"/>
        <v>#REF!</v>
      </c>
      <c r="BA279" s="30" t="e">
        <f t="shared" si="449"/>
        <v>#REF!</v>
      </c>
      <c r="BB279" s="30" t="e">
        <f t="shared" si="449"/>
        <v>#REF!</v>
      </c>
      <c r="BC279" s="30" t="e">
        <f t="shared" si="449"/>
        <v>#REF!</v>
      </c>
      <c r="BD279" s="30" t="e">
        <f t="shared" si="449"/>
        <v>#REF!</v>
      </c>
      <c r="BE279" s="30" t="e">
        <f t="shared" si="449"/>
        <v>#REF!</v>
      </c>
      <c r="BF279" s="30" t="e">
        <f t="shared" si="449"/>
        <v>#REF!</v>
      </c>
      <c r="BG279" s="30" t="e">
        <f t="shared" si="449"/>
        <v>#REF!</v>
      </c>
      <c r="BH279" s="30" t="e">
        <f t="shared" si="449"/>
        <v>#REF!</v>
      </c>
      <c r="BI279" s="30" t="e">
        <f t="shared" si="449"/>
        <v>#REF!</v>
      </c>
      <c r="BJ279" s="30" t="e">
        <f t="shared" si="449"/>
        <v>#REF!</v>
      </c>
      <c r="BK279"/>
      <c r="BL279" s="5"/>
    </row>
    <row r="280" spans="1:64">
      <c r="A280"/>
      <c r="B280" s="3" t="s">
        <v>426</v>
      </c>
      <c r="C280" s="29" t="e">
        <f>SUM(C278:C279)</f>
        <v>#REF!</v>
      </c>
      <c r="D280" s="29" t="e">
        <f t="shared" ref="D280:BJ280" si="450">SUM(D278:D279)</f>
        <v>#REF!</v>
      </c>
      <c r="E280" s="29" t="e">
        <f t="shared" si="450"/>
        <v>#REF!</v>
      </c>
      <c r="F280" s="29" t="e">
        <f t="shared" si="450"/>
        <v>#REF!</v>
      </c>
      <c r="G280" s="29" t="e">
        <f t="shared" si="450"/>
        <v>#REF!</v>
      </c>
      <c r="H280" s="29" t="e">
        <f t="shared" si="450"/>
        <v>#REF!</v>
      </c>
      <c r="I280" s="29" t="e">
        <f t="shared" si="450"/>
        <v>#REF!</v>
      </c>
      <c r="J280" s="29" t="e">
        <f t="shared" si="450"/>
        <v>#REF!</v>
      </c>
      <c r="K280" s="29" t="e">
        <f t="shared" si="450"/>
        <v>#REF!</v>
      </c>
      <c r="L280" s="29" t="e">
        <f t="shared" si="450"/>
        <v>#REF!</v>
      </c>
      <c r="M280" s="29" t="e">
        <f t="shared" si="450"/>
        <v>#REF!</v>
      </c>
      <c r="N280" s="29" t="e">
        <f t="shared" si="450"/>
        <v>#REF!</v>
      </c>
      <c r="O280" s="29" t="e">
        <f t="shared" si="450"/>
        <v>#REF!</v>
      </c>
      <c r="P280" s="29" t="e">
        <f t="shared" si="450"/>
        <v>#REF!</v>
      </c>
      <c r="Q280" s="29" t="e">
        <f t="shared" si="450"/>
        <v>#REF!</v>
      </c>
      <c r="R280" s="29" t="e">
        <f t="shared" si="450"/>
        <v>#REF!</v>
      </c>
      <c r="S280" s="29" t="e">
        <f t="shared" si="450"/>
        <v>#REF!</v>
      </c>
      <c r="T280" s="29" t="e">
        <f t="shared" si="450"/>
        <v>#REF!</v>
      </c>
      <c r="U280" s="29" t="e">
        <f t="shared" si="450"/>
        <v>#REF!</v>
      </c>
      <c r="V280" s="29" t="e">
        <f t="shared" si="450"/>
        <v>#REF!</v>
      </c>
      <c r="W280" s="29" t="e">
        <f t="shared" si="450"/>
        <v>#REF!</v>
      </c>
      <c r="X280" s="29" t="e">
        <f t="shared" si="450"/>
        <v>#REF!</v>
      </c>
      <c r="Y280" s="29" t="e">
        <f t="shared" si="450"/>
        <v>#REF!</v>
      </c>
      <c r="Z280" s="29" t="e">
        <f t="shared" si="450"/>
        <v>#REF!</v>
      </c>
      <c r="AA280" s="29" t="e">
        <f t="shared" si="450"/>
        <v>#REF!</v>
      </c>
      <c r="AB280" s="29" t="e">
        <f t="shared" si="450"/>
        <v>#REF!</v>
      </c>
      <c r="AC280" s="29" t="e">
        <f t="shared" si="450"/>
        <v>#REF!</v>
      </c>
      <c r="AD280" s="29" t="e">
        <f t="shared" si="450"/>
        <v>#REF!</v>
      </c>
      <c r="AE280" s="29" t="e">
        <f t="shared" si="450"/>
        <v>#REF!</v>
      </c>
      <c r="AF280" s="29" t="e">
        <f t="shared" si="450"/>
        <v>#REF!</v>
      </c>
      <c r="AG280" s="29" t="e">
        <f t="shared" si="450"/>
        <v>#REF!</v>
      </c>
      <c r="AH280" s="29" t="e">
        <f t="shared" si="450"/>
        <v>#REF!</v>
      </c>
      <c r="AI280" s="29" t="e">
        <f t="shared" si="450"/>
        <v>#REF!</v>
      </c>
      <c r="AJ280" s="29" t="e">
        <f t="shared" si="450"/>
        <v>#REF!</v>
      </c>
      <c r="AK280" s="29" t="e">
        <f t="shared" si="450"/>
        <v>#REF!</v>
      </c>
      <c r="AL280" s="29" t="e">
        <f t="shared" si="450"/>
        <v>#REF!</v>
      </c>
      <c r="AM280" s="29" t="e">
        <f t="shared" si="450"/>
        <v>#REF!</v>
      </c>
      <c r="AN280" s="29" t="e">
        <f t="shared" si="450"/>
        <v>#REF!</v>
      </c>
      <c r="AO280" s="29" t="e">
        <f t="shared" si="450"/>
        <v>#REF!</v>
      </c>
      <c r="AP280" s="29" t="e">
        <f t="shared" si="450"/>
        <v>#REF!</v>
      </c>
      <c r="AQ280" s="29" t="e">
        <f t="shared" si="450"/>
        <v>#REF!</v>
      </c>
      <c r="AR280" s="29" t="e">
        <f t="shared" si="450"/>
        <v>#REF!</v>
      </c>
      <c r="AS280" s="29" t="e">
        <f t="shared" si="450"/>
        <v>#REF!</v>
      </c>
      <c r="AT280" s="29" t="e">
        <f t="shared" si="450"/>
        <v>#REF!</v>
      </c>
      <c r="AU280" s="29" t="e">
        <f t="shared" si="450"/>
        <v>#REF!</v>
      </c>
      <c r="AV280" s="29" t="e">
        <f t="shared" si="450"/>
        <v>#REF!</v>
      </c>
      <c r="AW280" s="29" t="e">
        <f t="shared" si="450"/>
        <v>#REF!</v>
      </c>
      <c r="AX280" s="29" t="e">
        <f t="shared" si="450"/>
        <v>#REF!</v>
      </c>
      <c r="AY280" s="29" t="e">
        <f t="shared" si="450"/>
        <v>#REF!</v>
      </c>
      <c r="AZ280" s="29" t="e">
        <f t="shared" si="450"/>
        <v>#REF!</v>
      </c>
      <c r="BA280" s="29" t="e">
        <f t="shared" si="450"/>
        <v>#REF!</v>
      </c>
      <c r="BB280" s="29" t="e">
        <f t="shared" si="450"/>
        <v>#REF!</v>
      </c>
      <c r="BC280" s="29" t="e">
        <f t="shared" si="450"/>
        <v>#REF!</v>
      </c>
      <c r="BD280" s="29" t="e">
        <f t="shared" si="450"/>
        <v>#REF!</v>
      </c>
      <c r="BE280" s="29" t="e">
        <f t="shared" si="450"/>
        <v>#REF!</v>
      </c>
      <c r="BF280" s="29" t="e">
        <f t="shared" si="450"/>
        <v>#REF!</v>
      </c>
      <c r="BG280" s="29" t="e">
        <f t="shared" si="450"/>
        <v>#REF!</v>
      </c>
      <c r="BH280" s="29" t="e">
        <f t="shared" si="450"/>
        <v>#REF!</v>
      </c>
      <c r="BI280" s="29" t="e">
        <f t="shared" si="450"/>
        <v>#REF!</v>
      </c>
      <c r="BJ280" s="29" t="e">
        <f t="shared" si="450"/>
        <v>#REF!</v>
      </c>
      <c r="BK280"/>
      <c r="BL280" s="5"/>
    </row>
    <row r="281" spans="1:64">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s="5"/>
    </row>
    <row r="282" spans="1:64">
      <c r="A282"/>
      <c r="B282" t="s">
        <v>301</v>
      </c>
      <c r="C282" s="30" t="e">
        <f>+C276-C280</f>
        <v>#REF!</v>
      </c>
      <c r="D282" s="30" t="e">
        <f t="shared" ref="D282:BJ282" si="451">+D276-D280</f>
        <v>#REF!</v>
      </c>
      <c r="E282" s="30" t="e">
        <f t="shared" si="451"/>
        <v>#REF!</v>
      </c>
      <c r="F282" s="30" t="e">
        <f t="shared" si="451"/>
        <v>#REF!</v>
      </c>
      <c r="G282" s="30" t="e">
        <f t="shared" si="451"/>
        <v>#REF!</v>
      </c>
      <c r="H282" s="30" t="e">
        <f t="shared" si="451"/>
        <v>#REF!</v>
      </c>
      <c r="I282" s="30" t="e">
        <f t="shared" si="451"/>
        <v>#REF!</v>
      </c>
      <c r="J282" s="30" t="e">
        <f t="shared" si="451"/>
        <v>#REF!</v>
      </c>
      <c r="K282" s="30" t="e">
        <f t="shared" si="451"/>
        <v>#REF!</v>
      </c>
      <c r="L282" s="30" t="e">
        <f t="shared" si="451"/>
        <v>#REF!</v>
      </c>
      <c r="M282" s="30" t="e">
        <f t="shared" si="451"/>
        <v>#REF!</v>
      </c>
      <c r="N282" s="30" t="e">
        <f t="shared" si="451"/>
        <v>#REF!</v>
      </c>
      <c r="O282" s="30" t="e">
        <f t="shared" si="451"/>
        <v>#REF!</v>
      </c>
      <c r="P282" s="30" t="e">
        <f t="shared" si="451"/>
        <v>#REF!</v>
      </c>
      <c r="Q282" s="30" t="e">
        <f t="shared" si="451"/>
        <v>#REF!</v>
      </c>
      <c r="R282" s="30" t="e">
        <f t="shared" si="451"/>
        <v>#REF!</v>
      </c>
      <c r="S282" s="30" t="e">
        <f t="shared" si="451"/>
        <v>#REF!</v>
      </c>
      <c r="T282" s="30" t="e">
        <f t="shared" si="451"/>
        <v>#REF!</v>
      </c>
      <c r="U282" s="30" t="e">
        <f t="shared" si="451"/>
        <v>#REF!</v>
      </c>
      <c r="V282" s="30" t="e">
        <f t="shared" si="451"/>
        <v>#REF!</v>
      </c>
      <c r="W282" s="30" t="e">
        <f t="shared" si="451"/>
        <v>#REF!</v>
      </c>
      <c r="X282" s="30" t="e">
        <f t="shared" si="451"/>
        <v>#REF!</v>
      </c>
      <c r="Y282" s="30" t="e">
        <f t="shared" si="451"/>
        <v>#REF!</v>
      </c>
      <c r="Z282" s="30" t="e">
        <f t="shared" si="451"/>
        <v>#REF!</v>
      </c>
      <c r="AA282" s="30" t="e">
        <f t="shared" si="451"/>
        <v>#REF!</v>
      </c>
      <c r="AB282" s="30" t="e">
        <f t="shared" si="451"/>
        <v>#REF!</v>
      </c>
      <c r="AC282" s="30" t="e">
        <f t="shared" si="451"/>
        <v>#REF!</v>
      </c>
      <c r="AD282" s="30" t="e">
        <f t="shared" si="451"/>
        <v>#REF!</v>
      </c>
      <c r="AE282" s="30" t="e">
        <f t="shared" si="451"/>
        <v>#REF!</v>
      </c>
      <c r="AF282" s="30" t="e">
        <f t="shared" si="451"/>
        <v>#REF!</v>
      </c>
      <c r="AG282" s="30" t="e">
        <f t="shared" si="451"/>
        <v>#REF!</v>
      </c>
      <c r="AH282" s="30" t="e">
        <f t="shared" si="451"/>
        <v>#REF!</v>
      </c>
      <c r="AI282" s="30" t="e">
        <f t="shared" si="451"/>
        <v>#REF!</v>
      </c>
      <c r="AJ282" s="30" t="e">
        <f t="shared" si="451"/>
        <v>#REF!</v>
      </c>
      <c r="AK282" s="30" t="e">
        <f t="shared" si="451"/>
        <v>#REF!</v>
      </c>
      <c r="AL282" s="30" t="e">
        <f t="shared" si="451"/>
        <v>#REF!</v>
      </c>
      <c r="AM282" s="30" t="e">
        <f t="shared" si="451"/>
        <v>#REF!</v>
      </c>
      <c r="AN282" s="30" t="e">
        <f t="shared" si="451"/>
        <v>#REF!</v>
      </c>
      <c r="AO282" s="30" t="e">
        <f t="shared" si="451"/>
        <v>#REF!</v>
      </c>
      <c r="AP282" s="30" t="e">
        <f t="shared" si="451"/>
        <v>#REF!</v>
      </c>
      <c r="AQ282" s="30" t="e">
        <f t="shared" si="451"/>
        <v>#REF!</v>
      </c>
      <c r="AR282" s="30" t="e">
        <f t="shared" si="451"/>
        <v>#REF!</v>
      </c>
      <c r="AS282" s="30" t="e">
        <f t="shared" si="451"/>
        <v>#REF!</v>
      </c>
      <c r="AT282" s="30" t="e">
        <f t="shared" si="451"/>
        <v>#REF!</v>
      </c>
      <c r="AU282" s="30" t="e">
        <f t="shared" si="451"/>
        <v>#REF!</v>
      </c>
      <c r="AV282" s="30" t="e">
        <f t="shared" si="451"/>
        <v>#REF!</v>
      </c>
      <c r="AW282" s="30" t="e">
        <f t="shared" si="451"/>
        <v>#REF!</v>
      </c>
      <c r="AX282" s="30" t="e">
        <f t="shared" si="451"/>
        <v>#REF!</v>
      </c>
      <c r="AY282" s="30" t="e">
        <f t="shared" si="451"/>
        <v>#REF!</v>
      </c>
      <c r="AZ282" s="30" t="e">
        <f t="shared" si="451"/>
        <v>#REF!</v>
      </c>
      <c r="BA282" s="30" t="e">
        <f t="shared" si="451"/>
        <v>#REF!</v>
      </c>
      <c r="BB282" s="30" t="e">
        <f t="shared" si="451"/>
        <v>#REF!</v>
      </c>
      <c r="BC282" s="30" t="e">
        <f t="shared" si="451"/>
        <v>#REF!</v>
      </c>
      <c r="BD282" s="30" t="e">
        <f t="shared" si="451"/>
        <v>#REF!</v>
      </c>
      <c r="BE282" s="30" t="e">
        <f t="shared" si="451"/>
        <v>#REF!</v>
      </c>
      <c r="BF282" s="30" t="e">
        <f t="shared" si="451"/>
        <v>#REF!</v>
      </c>
      <c r="BG282" s="30" t="e">
        <f t="shared" si="451"/>
        <v>#REF!</v>
      </c>
      <c r="BH282" s="30" t="e">
        <f t="shared" si="451"/>
        <v>#REF!</v>
      </c>
      <c r="BI282" s="30" t="e">
        <f t="shared" si="451"/>
        <v>#REF!</v>
      </c>
      <c r="BJ282" s="30" t="e">
        <f t="shared" si="451"/>
        <v>#REF!</v>
      </c>
      <c r="BK282"/>
      <c r="BL282" s="5"/>
    </row>
    <row r="283" spans="1:64">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s="5"/>
    </row>
    <row r="284" spans="1:6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row>
  </sheetData>
  <conditionalFormatting sqref="K12">
    <cfRule type="containsText" dxfId="3" priority="1" operator="containsText" text="No">
      <formula>NOT(ISERROR(SEARCH("No",K12)))</formula>
    </cfRule>
    <cfRule type="containsText" dxfId="2" priority="2" operator="containsText" text="Yes">
      <formula>NOT(ISERROR(SEARCH("Yes",K12)))</formula>
    </cfRule>
  </conditionalFormatting>
  <dataValidations count="3">
    <dataValidation type="list" allowBlank="1" showInputMessage="1" showErrorMessage="1" sqref="D21" xr:uid="{42F5634F-AA7A-4EE4-91FB-B6E22A61EB6D}">
      <formula1>"Yes,No"</formula1>
    </dataValidation>
    <dataValidation type="list" allowBlank="1" showInputMessage="1" showErrorMessage="1" sqref="C26:C27" xr:uid="{CBF06FC8-C650-4D20-AF1E-EBFE0FC22045}">
      <formula1>"On,Off"</formula1>
    </dataValidation>
    <dataValidation type="list" allowBlank="1" showInputMessage="1" showErrorMessage="1" sqref="C9:BJ9" xr:uid="{DEC67BD2-49A1-481D-AF88-FE56A8937DEE}">
      <formula1>"Actual,Projected"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F0FE-85EA-45D6-9FE3-1CBC04E67430}">
  <sheetPr>
    <tabColor theme="3" tint="0.89999084444715716"/>
  </sheetPr>
  <dimension ref="A1:BL120"/>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607 Cedar St</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427</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90" t="s">
        <v>303</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c r="A7"/>
      <c r="B7" s="91" t="s">
        <v>304</v>
      </c>
      <c r="C7" s="102" t="str">
        <f>IF(ISBLANK(C6),"",0)</f>
        <v/>
      </c>
      <c r="D7" s="102" t="str">
        <f>IF(ISBLANK(D6),"",D6-C6)</f>
        <v/>
      </c>
      <c r="E7" s="102" t="str">
        <f t="shared" ref="E7:BJ7" si="0">IF(ISBLANK(E6),"",E6-D6)</f>
        <v/>
      </c>
      <c r="F7" s="102" t="str">
        <f t="shared" si="0"/>
        <v/>
      </c>
      <c r="G7" s="102" t="str">
        <f t="shared" si="0"/>
        <v/>
      </c>
      <c r="H7" s="102" t="str">
        <f t="shared" si="0"/>
        <v/>
      </c>
      <c r="I7" s="102" t="str">
        <f t="shared" si="0"/>
        <v/>
      </c>
      <c r="J7" s="102" t="str">
        <f t="shared" si="0"/>
        <v/>
      </c>
      <c r="K7" s="102" t="str">
        <f t="shared" si="0"/>
        <v/>
      </c>
      <c r="L7" s="102" t="str">
        <f t="shared" si="0"/>
        <v/>
      </c>
      <c r="M7" s="102" t="str">
        <f t="shared" si="0"/>
        <v/>
      </c>
      <c r="N7" s="102" t="str">
        <f t="shared" si="0"/>
        <v/>
      </c>
      <c r="O7" s="102" t="str">
        <f t="shared" si="0"/>
        <v/>
      </c>
      <c r="P7" s="102" t="str">
        <f t="shared" si="0"/>
        <v/>
      </c>
      <c r="Q7" s="102" t="str">
        <f t="shared" si="0"/>
        <v/>
      </c>
      <c r="R7" s="102" t="str">
        <f t="shared" si="0"/>
        <v/>
      </c>
      <c r="S7" s="102" t="str">
        <f t="shared" si="0"/>
        <v/>
      </c>
      <c r="T7" s="102" t="str">
        <f t="shared" si="0"/>
        <v/>
      </c>
      <c r="U7" s="102" t="str">
        <f t="shared" si="0"/>
        <v/>
      </c>
      <c r="V7" s="102" t="str">
        <f t="shared" si="0"/>
        <v/>
      </c>
      <c r="W7" s="102" t="str">
        <f t="shared" si="0"/>
        <v/>
      </c>
      <c r="X7" s="102" t="str">
        <f t="shared" si="0"/>
        <v/>
      </c>
      <c r="Y7" s="102" t="str">
        <f t="shared" si="0"/>
        <v/>
      </c>
      <c r="Z7" s="102" t="str">
        <f t="shared" si="0"/>
        <v/>
      </c>
      <c r="AA7" s="102" t="str">
        <f t="shared" si="0"/>
        <v/>
      </c>
      <c r="AB7" s="102" t="str">
        <f t="shared" si="0"/>
        <v/>
      </c>
      <c r="AC7" s="102" t="str">
        <f t="shared" si="0"/>
        <v/>
      </c>
      <c r="AD7" s="102" t="str">
        <f t="shared" si="0"/>
        <v/>
      </c>
      <c r="AE7" s="102" t="str">
        <f t="shared" si="0"/>
        <v/>
      </c>
      <c r="AF7" s="102" t="str">
        <f t="shared" si="0"/>
        <v/>
      </c>
      <c r="AG7" s="102" t="str">
        <f t="shared" si="0"/>
        <v/>
      </c>
      <c r="AH7" s="102" t="str">
        <f t="shared" si="0"/>
        <v/>
      </c>
      <c r="AI7" s="102" t="str">
        <f t="shared" si="0"/>
        <v/>
      </c>
      <c r="AJ7" s="102" t="str">
        <f t="shared" si="0"/>
        <v/>
      </c>
      <c r="AK7" s="102" t="str">
        <f t="shared" si="0"/>
        <v/>
      </c>
      <c r="AL7" s="102" t="str">
        <f t="shared" si="0"/>
        <v/>
      </c>
      <c r="AM7" s="102" t="str">
        <f t="shared" si="0"/>
        <v/>
      </c>
      <c r="AN7" s="102" t="str">
        <f t="shared" si="0"/>
        <v/>
      </c>
      <c r="AO7" s="102" t="str">
        <f t="shared" si="0"/>
        <v/>
      </c>
      <c r="AP7" s="102" t="str">
        <f t="shared" si="0"/>
        <v/>
      </c>
      <c r="AQ7" s="102" t="str">
        <f t="shared" si="0"/>
        <v/>
      </c>
      <c r="AR7" s="102" t="str">
        <f t="shared" si="0"/>
        <v/>
      </c>
      <c r="AS7" s="102" t="str">
        <f t="shared" si="0"/>
        <v/>
      </c>
      <c r="AT7" s="102" t="str">
        <f t="shared" si="0"/>
        <v/>
      </c>
      <c r="AU7" s="102" t="str">
        <f t="shared" si="0"/>
        <v/>
      </c>
      <c r="AV7" s="102" t="str">
        <f t="shared" si="0"/>
        <v/>
      </c>
      <c r="AW7" s="102" t="str">
        <f t="shared" si="0"/>
        <v/>
      </c>
      <c r="AX7" s="102" t="str">
        <f t="shared" si="0"/>
        <v/>
      </c>
      <c r="AY7" s="102" t="str">
        <f t="shared" si="0"/>
        <v/>
      </c>
      <c r="AZ7" s="102" t="str">
        <f t="shared" si="0"/>
        <v/>
      </c>
      <c r="BA7" s="102" t="str">
        <f t="shared" si="0"/>
        <v/>
      </c>
      <c r="BB7" s="102" t="str">
        <f t="shared" si="0"/>
        <v/>
      </c>
      <c r="BC7" s="102" t="str">
        <f t="shared" si="0"/>
        <v/>
      </c>
      <c r="BD7" s="102" t="str">
        <f t="shared" si="0"/>
        <v/>
      </c>
      <c r="BE7" s="102" t="str">
        <f t="shared" si="0"/>
        <v/>
      </c>
      <c r="BF7" s="102" t="str">
        <f t="shared" si="0"/>
        <v/>
      </c>
      <c r="BG7" s="102" t="str">
        <f t="shared" si="0"/>
        <v/>
      </c>
      <c r="BH7" s="102" t="str">
        <f t="shared" si="0"/>
        <v/>
      </c>
      <c r="BI7" s="102" t="str">
        <f t="shared" si="0"/>
        <v/>
      </c>
      <c r="BJ7" s="103" t="str">
        <f t="shared" si="0"/>
        <v/>
      </c>
      <c r="BK7"/>
      <c r="BL7" s="5"/>
    </row>
    <row r="8" spans="1:64">
      <c r="A8"/>
      <c r="B8" s="91" t="s">
        <v>305</v>
      </c>
      <c r="C8" s="101" t="str">
        <f t="shared" ref="C8:BJ8" si="1">IFERROR(C7/365,"")</f>
        <v/>
      </c>
      <c r="D8" s="101" t="str">
        <f t="shared" si="1"/>
        <v/>
      </c>
      <c r="E8" s="101" t="str">
        <f t="shared" si="1"/>
        <v/>
      </c>
      <c r="F8" s="101" t="str">
        <f t="shared" si="1"/>
        <v/>
      </c>
      <c r="G8" s="101" t="str">
        <f t="shared" si="1"/>
        <v/>
      </c>
      <c r="H8" s="101" t="str">
        <f t="shared" si="1"/>
        <v/>
      </c>
      <c r="I8" s="101" t="str">
        <f t="shared" si="1"/>
        <v/>
      </c>
      <c r="J8" s="101" t="str">
        <f t="shared" si="1"/>
        <v/>
      </c>
      <c r="K8" s="101" t="str">
        <f t="shared" si="1"/>
        <v/>
      </c>
      <c r="L8" s="101" t="str">
        <f t="shared" si="1"/>
        <v/>
      </c>
      <c r="M8" s="101" t="str">
        <f t="shared" si="1"/>
        <v/>
      </c>
      <c r="N8" s="101" t="str">
        <f t="shared" si="1"/>
        <v/>
      </c>
      <c r="O8" s="101" t="str">
        <f t="shared" si="1"/>
        <v/>
      </c>
      <c r="P8" s="101" t="str">
        <f t="shared" si="1"/>
        <v/>
      </c>
      <c r="Q8" s="101" t="str">
        <f t="shared" si="1"/>
        <v/>
      </c>
      <c r="R8" s="101" t="str">
        <f t="shared" si="1"/>
        <v/>
      </c>
      <c r="S8" s="101" t="str">
        <f t="shared" si="1"/>
        <v/>
      </c>
      <c r="T8" s="101" t="str">
        <f t="shared" si="1"/>
        <v/>
      </c>
      <c r="U8" s="101" t="str">
        <f t="shared" si="1"/>
        <v/>
      </c>
      <c r="V8" s="101" t="str">
        <f t="shared" si="1"/>
        <v/>
      </c>
      <c r="W8" s="101" t="str">
        <f t="shared" si="1"/>
        <v/>
      </c>
      <c r="X8" s="101" t="str">
        <f t="shared" si="1"/>
        <v/>
      </c>
      <c r="Y8" s="101" t="str">
        <f t="shared" si="1"/>
        <v/>
      </c>
      <c r="Z8" s="101" t="str">
        <f t="shared" si="1"/>
        <v/>
      </c>
      <c r="AA8" s="101" t="str">
        <f t="shared" si="1"/>
        <v/>
      </c>
      <c r="AB8" s="101" t="str">
        <f t="shared" si="1"/>
        <v/>
      </c>
      <c r="AC8" s="101" t="str">
        <f t="shared" si="1"/>
        <v/>
      </c>
      <c r="AD8" s="101" t="str">
        <f t="shared" si="1"/>
        <v/>
      </c>
      <c r="AE8" s="101" t="str">
        <f t="shared" si="1"/>
        <v/>
      </c>
      <c r="AF8" s="101" t="str">
        <f t="shared" si="1"/>
        <v/>
      </c>
      <c r="AG8" s="101" t="str">
        <f t="shared" si="1"/>
        <v/>
      </c>
      <c r="AH8" s="101" t="str">
        <f t="shared" si="1"/>
        <v/>
      </c>
      <c r="AI8" s="101" t="str">
        <f t="shared" si="1"/>
        <v/>
      </c>
      <c r="AJ8" s="101" t="str">
        <f t="shared" si="1"/>
        <v/>
      </c>
      <c r="AK8" s="101" t="str">
        <f t="shared" si="1"/>
        <v/>
      </c>
      <c r="AL8" s="101" t="str">
        <f t="shared" si="1"/>
        <v/>
      </c>
      <c r="AM8" s="101" t="str">
        <f t="shared" si="1"/>
        <v/>
      </c>
      <c r="AN8" s="101" t="str">
        <f t="shared" si="1"/>
        <v/>
      </c>
      <c r="AO8" s="101" t="str">
        <f t="shared" si="1"/>
        <v/>
      </c>
      <c r="AP8" s="101" t="str">
        <f t="shared" si="1"/>
        <v/>
      </c>
      <c r="AQ8" s="101" t="str">
        <f t="shared" si="1"/>
        <v/>
      </c>
      <c r="AR8" s="101" t="str">
        <f t="shared" si="1"/>
        <v/>
      </c>
      <c r="AS8" s="101" t="str">
        <f t="shared" si="1"/>
        <v/>
      </c>
      <c r="AT8" s="101" t="str">
        <f t="shared" si="1"/>
        <v/>
      </c>
      <c r="AU8" s="101" t="str">
        <f t="shared" si="1"/>
        <v/>
      </c>
      <c r="AV8" s="101" t="str">
        <f t="shared" si="1"/>
        <v/>
      </c>
      <c r="AW8" s="101" t="str">
        <f t="shared" si="1"/>
        <v/>
      </c>
      <c r="AX8" s="101" t="str">
        <f t="shared" si="1"/>
        <v/>
      </c>
      <c r="AY8" s="101" t="str">
        <f t="shared" si="1"/>
        <v/>
      </c>
      <c r="AZ8" s="101" t="str">
        <f t="shared" si="1"/>
        <v/>
      </c>
      <c r="BA8" s="101" t="str">
        <f t="shared" si="1"/>
        <v/>
      </c>
      <c r="BB8" s="101" t="str">
        <f t="shared" si="1"/>
        <v/>
      </c>
      <c r="BC8" s="101" t="str">
        <f t="shared" si="1"/>
        <v/>
      </c>
      <c r="BD8" s="101" t="str">
        <f t="shared" si="1"/>
        <v/>
      </c>
      <c r="BE8" s="101" t="str">
        <f t="shared" si="1"/>
        <v/>
      </c>
      <c r="BF8" s="101" t="str">
        <f t="shared" si="1"/>
        <v/>
      </c>
      <c r="BG8" s="101" t="str">
        <f t="shared" si="1"/>
        <v/>
      </c>
      <c r="BH8" s="101" t="str">
        <f t="shared" si="1"/>
        <v/>
      </c>
      <c r="BI8" s="101" t="str">
        <f t="shared" si="1"/>
        <v/>
      </c>
      <c r="BJ8" s="104" t="str">
        <f t="shared" si="1"/>
        <v/>
      </c>
      <c r="BK8"/>
      <c r="BL8" s="5"/>
    </row>
    <row r="9" spans="1:64">
      <c r="A9"/>
      <c r="B9" s="92" t="s">
        <v>290</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117"/>
      <c r="C11" s="96" t="s">
        <v>428</v>
      </c>
      <c r="D11" s="96" t="s">
        <v>429</v>
      </c>
      <c r="E11" s="96" t="s">
        <v>430</v>
      </c>
      <c r="F11" s="96" t="s">
        <v>431</v>
      </c>
      <c r="G11" s="97" t="s">
        <v>432</v>
      </c>
      <c r="H11"/>
      <c r="I11" s="114" t="s">
        <v>433</v>
      </c>
      <c r="J11" s="115"/>
      <c r="K11" s="116"/>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312</v>
      </c>
      <c r="C12" s="49">
        <f>IFERROR(XIRR(C39:BJ39,C6:BJ6,0),0)</f>
        <v>0</v>
      </c>
      <c r="D12" s="49">
        <f>IFERROR(XIRR(C81:BJ81,C6:BJ6,0),0)</f>
        <v>0</v>
      </c>
      <c r="E12" s="49" t="s">
        <v>313</v>
      </c>
      <c r="F12" s="49">
        <f>IFERROR(XIRR(C107:BJ107,C6:BJ6,0),0)</f>
        <v>0</v>
      </c>
      <c r="G12" s="49">
        <f>IFERROR(XIRR(C101:BJ101,C6:BJ6,0),0)</f>
        <v>0</v>
      </c>
      <c r="H12" s="49"/>
      <c r="I12" t="s">
        <v>434</v>
      </c>
      <c r="J12"/>
      <c r="K12" s="36" t="e">
        <f>-SUM(C36:BJ36)</f>
        <v>#REF!</v>
      </c>
      <c r="L12"/>
      <c r="M12" s="113" t="s">
        <v>314</v>
      </c>
      <c r="N12" s="23" t="e">
        <f>IF(ABS(SUM(C118:BJ118))&lt;0.5,"Yes","No")</f>
        <v>#REF!</v>
      </c>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315</v>
      </c>
      <c r="C13" s="119">
        <f>IFERROR(C15/C14,0)</f>
        <v>0</v>
      </c>
      <c r="D13" s="119">
        <f t="shared" ref="D13:G13" si="2">IFERROR(D15/D14,0)</f>
        <v>0</v>
      </c>
      <c r="E13" s="119" t="s">
        <v>313</v>
      </c>
      <c r="F13" s="119">
        <f t="shared" si="2"/>
        <v>0</v>
      </c>
      <c r="G13" s="119">
        <f t="shared" si="2"/>
        <v>0</v>
      </c>
      <c r="H13" s="98"/>
      <c r="I13" t="s">
        <v>432</v>
      </c>
      <c r="J13"/>
      <c r="K13" s="36" t="e">
        <f>+G15</f>
        <v>#REF!</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316</v>
      </c>
      <c r="C14" s="36">
        <f>-SUM(C32:BJ32)</f>
        <v>0</v>
      </c>
      <c r="D14" s="36">
        <f>-SUM(C77:BJ77)</f>
        <v>0</v>
      </c>
      <c r="E14" s="36" t="s">
        <v>313</v>
      </c>
      <c r="F14" s="36">
        <f>-SUM(C104:BJ104)</f>
        <v>0</v>
      </c>
      <c r="G14" s="36">
        <f>-SUM(C98:BJ98)</f>
        <v>0</v>
      </c>
      <c r="H14" s="36"/>
      <c r="I14" s="3" t="s">
        <v>435</v>
      </c>
      <c r="J14" s="3"/>
      <c r="K14" s="35" t="e">
        <f>SUM(K12:K13)</f>
        <v>#REF!</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317</v>
      </c>
      <c r="C15" s="36" t="e">
        <f>SUM(C37:BJ37)</f>
        <v>#REF!</v>
      </c>
      <c r="D15" s="36" t="e">
        <f>SUM(C78:BJ80)</f>
        <v>#REF!</v>
      </c>
      <c r="E15" s="36" t="e">
        <f>SUM(C85:BJ87)</f>
        <v>#REF!</v>
      </c>
      <c r="F15" s="36" t="e">
        <f>SUM(C105:BJ106)</f>
        <v>#REF!</v>
      </c>
      <c r="G15" s="36" t="e">
        <f>SUM(C99:BJ100)</f>
        <v>#REF!</v>
      </c>
      <c r="H15" s="36"/>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318</v>
      </c>
      <c r="C16" s="36" t="e">
        <f>+C15-C14</f>
        <v>#REF!</v>
      </c>
      <c r="D16" s="36" t="e">
        <f>+D15-D14</f>
        <v>#REF!</v>
      </c>
      <c r="E16" s="36" t="s">
        <v>313</v>
      </c>
      <c r="F16" s="36" t="e">
        <f t="shared" ref="F16:G16" si="3">+F15-F14</f>
        <v>#REF!</v>
      </c>
      <c r="G16" s="36" t="e">
        <f t="shared" si="3"/>
        <v>#REF!</v>
      </c>
      <c r="H16" s="3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5" t="s">
        <v>436</v>
      </c>
      <c r="C18" s="74" t="s">
        <v>72</v>
      </c>
      <c r="D18" s="74" t="s">
        <v>39</v>
      </c>
      <c r="E18" s="74" t="e">
        <f>+TEXT(#REF!,"")</f>
        <v>#REF!</v>
      </c>
      <c r="F18" s="74" t="e">
        <f>+TEXT(#REF!,"")</f>
        <v>#REF!</v>
      </c>
      <c r="G18" s="74" t="e">
        <f>+TEXT(#REF!,"")</f>
        <v>#REF!</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432</v>
      </c>
      <c r="C19" s="34" t="e">
        <f>+#REF!</f>
        <v>#REF!</v>
      </c>
      <c r="D19" s="86">
        <f>IFERROR(C19/C$21,0)</f>
        <v>0</v>
      </c>
      <c r="E19" s="74" t="e">
        <f>+TEXT(#REF!,"")</f>
        <v>#REF!</v>
      </c>
      <c r="F19" s="74" t="e">
        <f>+TEXT(#REF!,"")</f>
        <v>#REF!</v>
      </c>
      <c r="G19" s="74" t="e">
        <f>+TEXT(#REF!,"")</f>
        <v>#REF!</v>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431</v>
      </c>
      <c r="C20" s="34" t="e">
        <f>+#REF!</f>
        <v>#REF!</v>
      </c>
      <c r="D20" s="86">
        <f>IFERROR(C20/C$21,0)</f>
        <v>0</v>
      </c>
      <c r="E20" s="74" t="e">
        <f>+TEXT(#REF!,"")</f>
        <v>#REF!</v>
      </c>
      <c r="F20" s="74" t="e">
        <f>+TEXT(#REF!,"")</f>
        <v>#REF!</v>
      </c>
      <c r="G20" s="74" t="e">
        <f>+TEXT(#REF!,"")</f>
        <v>#REF!</v>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s="3" t="s">
        <v>64</v>
      </c>
      <c r="C21" s="35" t="e">
        <f>SUM(C19:C20)</f>
        <v>#REF!</v>
      </c>
      <c r="D21" s="87">
        <f>SUM(D19:D20)</f>
        <v>0</v>
      </c>
      <c r="E21" s="74" t="e">
        <f>+TEXT(#REF!,"")</f>
        <v>#REF!</v>
      </c>
      <c r="F21" s="74" t="e">
        <f>+TEXT(#REF!,"")</f>
        <v>#REF!</v>
      </c>
      <c r="G21" s="74" t="e">
        <f>+TEXT(#REF!,"")</f>
        <v>#REF!</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s="24"/>
      <c r="D22" s="88"/>
      <c r="E22" s="74"/>
      <c r="F22" s="74"/>
      <c r="G22" s="74"/>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5" t="s">
        <v>437</v>
      </c>
      <c r="C23" s="74" t="s">
        <v>320</v>
      </c>
      <c r="D23" s="74" t="s">
        <v>438</v>
      </c>
      <c r="E23" s="74" t="s">
        <v>439</v>
      </c>
      <c r="F23" s="74" t="s">
        <v>440</v>
      </c>
      <c r="G23" s="74" t="s">
        <v>441</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s="88" t="e">
        <f>+#REF!</f>
        <v>#REF!</v>
      </c>
      <c r="D24" s="86">
        <v>0</v>
      </c>
      <c r="E24" s="86">
        <f>1-D24</f>
        <v>1</v>
      </c>
      <c r="F24" s="86">
        <f t="shared" ref="F24:F25" si="4">+D24+$D$19*E24</f>
        <v>0</v>
      </c>
      <c r="G24" s="86">
        <f>1-F24</f>
        <v>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s="86" t="e">
        <f>+#REF!</f>
        <v>#REF!</v>
      </c>
      <c r="D25" s="86">
        <v>0</v>
      </c>
      <c r="E25" s="86">
        <f t="shared" ref="E25:E26" si="5">1-D25</f>
        <v>1</v>
      </c>
      <c r="F25" s="86">
        <f t="shared" si="4"/>
        <v>0</v>
      </c>
      <c r="G25" s="86">
        <f t="shared" ref="G25:G26" si="6">1-F25</f>
        <v>1</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86" t="e">
        <f>+#REF!</f>
        <v>#REF!</v>
      </c>
      <c r="D26" s="88" t="e">
        <f>+#REF!</f>
        <v>#REF!</v>
      </c>
      <c r="E26" s="86" t="e">
        <f t="shared" si="5"/>
        <v>#REF!</v>
      </c>
      <c r="F26" s="86" t="e">
        <f>+D26+$D$19*E26</f>
        <v>#REF!</v>
      </c>
      <c r="G26" s="86" t="e">
        <f t="shared" si="6"/>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c r="C27"/>
      <c r="D27"/>
      <c r="E27" s="74"/>
      <c r="F27" s="74"/>
      <c r="G27" s="74"/>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s="55" t="s">
        <v>442</v>
      </c>
      <c r="C28"/>
      <c r="D28"/>
      <c r="E28" s="74"/>
      <c r="F28" s="74"/>
      <c r="G28" s="74"/>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41" t="s">
        <v>342</v>
      </c>
      <c r="C29"/>
      <c r="D29"/>
      <c r="E29" s="74"/>
      <c r="F29" s="74"/>
      <c r="G29" s="74"/>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t="s">
        <v>443</v>
      </c>
      <c r="C30" s="16">
        <v>0</v>
      </c>
      <c r="D30" s="16">
        <v>0</v>
      </c>
      <c r="E30" s="16">
        <v>0</v>
      </c>
      <c r="F30" s="16">
        <v>0</v>
      </c>
      <c r="G30" s="16">
        <v>0</v>
      </c>
      <c r="H30" s="16">
        <v>0</v>
      </c>
      <c r="I30" s="16">
        <v>0</v>
      </c>
      <c r="J30" s="16">
        <v>0</v>
      </c>
      <c r="K30" s="16">
        <v>0</v>
      </c>
      <c r="L30" s="16">
        <v>0</v>
      </c>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c r="BL30" s="5"/>
    </row>
    <row r="31" spans="1:64">
      <c r="A31"/>
      <c r="B31" t="s">
        <v>444</v>
      </c>
      <c r="C31" s="16">
        <v>0</v>
      </c>
      <c r="D31" s="16">
        <v>0</v>
      </c>
      <c r="E31" s="16">
        <v>0</v>
      </c>
      <c r="F31" s="16">
        <v>0</v>
      </c>
      <c r="G31" s="16">
        <v>0</v>
      </c>
      <c r="H31" s="16">
        <v>0</v>
      </c>
      <c r="I31" s="16">
        <v>0</v>
      </c>
      <c r="J31" s="16">
        <v>0</v>
      </c>
      <c r="K31" s="16">
        <v>0</v>
      </c>
      <c r="L31" s="16">
        <v>0</v>
      </c>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c r="BL31" s="5"/>
    </row>
    <row r="32" spans="1:64">
      <c r="A32"/>
      <c r="B32" s="3" t="s">
        <v>343</v>
      </c>
      <c r="C32" s="13">
        <f>SUM(C30:C31)</f>
        <v>0</v>
      </c>
      <c r="D32" s="13">
        <f t="shared" ref="D32:F32" si="7">SUM(D30:D31)</f>
        <v>0</v>
      </c>
      <c r="E32" s="13">
        <f t="shared" si="7"/>
        <v>0</v>
      </c>
      <c r="F32" s="13">
        <f t="shared" si="7"/>
        <v>0</v>
      </c>
      <c r="G32" s="13">
        <f t="shared" ref="G32" si="8">SUM(G30:G31)</f>
        <v>0</v>
      </c>
      <c r="H32" s="13">
        <f t="shared" ref="H32" si="9">SUM(H30:H31)</f>
        <v>0</v>
      </c>
      <c r="I32" s="13">
        <f t="shared" ref="I32" si="10">SUM(I30:I31)</f>
        <v>0</v>
      </c>
      <c r="J32" s="13">
        <f t="shared" ref="J32" si="11">SUM(J30:J31)</f>
        <v>0</v>
      </c>
      <c r="K32" s="13">
        <f t="shared" ref="K32" si="12">SUM(K30:K31)</f>
        <v>0</v>
      </c>
      <c r="L32" s="13">
        <f t="shared" ref="L32" si="13">SUM(L30:L31)</f>
        <v>0</v>
      </c>
      <c r="M32" s="13">
        <f t="shared" ref="M32" si="14">SUM(M30:M31)</f>
        <v>0</v>
      </c>
      <c r="N32" s="13">
        <f t="shared" ref="N32" si="15">SUM(N30:N31)</f>
        <v>0</v>
      </c>
      <c r="O32" s="13">
        <f t="shared" ref="O32" si="16">SUM(O30:O31)</f>
        <v>0</v>
      </c>
      <c r="P32" s="13">
        <f t="shared" ref="P32" si="17">SUM(P30:P31)</f>
        <v>0</v>
      </c>
      <c r="Q32" s="13">
        <f t="shared" ref="Q32" si="18">SUM(Q30:Q31)</f>
        <v>0</v>
      </c>
      <c r="R32" s="13">
        <f t="shared" ref="R32" si="19">SUM(R30:R31)</f>
        <v>0</v>
      </c>
      <c r="S32" s="13">
        <f t="shared" ref="S32" si="20">SUM(S30:S31)</f>
        <v>0</v>
      </c>
      <c r="T32" s="13">
        <f t="shared" ref="T32" si="21">SUM(T30:T31)</f>
        <v>0</v>
      </c>
      <c r="U32" s="13">
        <f t="shared" ref="U32" si="22">SUM(U30:U31)</f>
        <v>0</v>
      </c>
      <c r="V32" s="13">
        <f t="shared" ref="V32" si="23">SUM(V30:V31)</f>
        <v>0</v>
      </c>
      <c r="W32" s="13">
        <f t="shared" ref="W32" si="24">SUM(W30:W31)</f>
        <v>0</v>
      </c>
      <c r="X32" s="13">
        <f t="shared" ref="X32" si="25">SUM(X30:X31)</f>
        <v>0</v>
      </c>
      <c r="Y32" s="13">
        <f t="shared" ref="Y32" si="26">SUM(Y30:Y31)</f>
        <v>0</v>
      </c>
      <c r="Z32" s="13">
        <f t="shared" ref="Z32" si="27">SUM(Z30:Z31)</f>
        <v>0</v>
      </c>
      <c r="AA32" s="13">
        <f t="shared" ref="AA32" si="28">SUM(AA30:AA31)</f>
        <v>0</v>
      </c>
      <c r="AB32" s="13">
        <f t="shared" ref="AB32" si="29">SUM(AB30:AB31)</f>
        <v>0</v>
      </c>
      <c r="AC32" s="13">
        <f t="shared" ref="AC32" si="30">SUM(AC30:AC31)</f>
        <v>0</v>
      </c>
      <c r="AD32" s="13">
        <f t="shared" ref="AD32" si="31">SUM(AD30:AD31)</f>
        <v>0</v>
      </c>
      <c r="AE32" s="13">
        <f t="shared" ref="AE32" si="32">SUM(AE30:AE31)</f>
        <v>0</v>
      </c>
      <c r="AF32" s="13">
        <f t="shared" ref="AF32" si="33">SUM(AF30:AF31)</f>
        <v>0</v>
      </c>
      <c r="AG32" s="13">
        <f t="shared" ref="AG32" si="34">SUM(AG30:AG31)</f>
        <v>0</v>
      </c>
      <c r="AH32" s="13">
        <f t="shared" ref="AH32" si="35">SUM(AH30:AH31)</f>
        <v>0</v>
      </c>
      <c r="AI32" s="13">
        <f t="shared" ref="AI32" si="36">SUM(AI30:AI31)</f>
        <v>0</v>
      </c>
      <c r="AJ32" s="13">
        <f t="shared" ref="AJ32" si="37">SUM(AJ30:AJ31)</f>
        <v>0</v>
      </c>
      <c r="AK32" s="13">
        <f t="shared" ref="AK32" si="38">SUM(AK30:AK31)</f>
        <v>0</v>
      </c>
      <c r="AL32" s="13">
        <f t="shared" ref="AL32" si="39">SUM(AL30:AL31)</f>
        <v>0</v>
      </c>
      <c r="AM32" s="13">
        <f t="shared" ref="AM32" si="40">SUM(AM30:AM31)</f>
        <v>0</v>
      </c>
      <c r="AN32" s="13">
        <f t="shared" ref="AN32" si="41">SUM(AN30:AN31)</f>
        <v>0</v>
      </c>
      <c r="AO32" s="13">
        <f t="shared" ref="AO32" si="42">SUM(AO30:AO31)</f>
        <v>0</v>
      </c>
      <c r="AP32" s="13">
        <f t="shared" ref="AP32" si="43">SUM(AP30:AP31)</f>
        <v>0</v>
      </c>
      <c r="AQ32" s="13">
        <f t="shared" ref="AQ32" si="44">SUM(AQ30:AQ31)</f>
        <v>0</v>
      </c>
      <c r="AR32" s="13">
        <f t="shared" ref="AR32" si="45">SUM(AR30:AR31)</f>
        <v>0</v>
      </c>
      <c r="AS32" s="13">
        <f t="shared" ref="AS32" si="46">SUM(AS30:AS31)</f>
        <v>0</v>
      </c>
      <c r="AT32" s="13">
        <f t="shared" ref="AT32" si="47">SUM(AT30:AT31)</f>
        <v>0</v>
      </c>
      <c r="AU32" s="13">
        <f t="shared" ref="AU32" si="48">SUM(AU30:AU31)</f>
        <v>0</v>
      </c>
      <c r="AV32" s="13">
        <f t="shared" ref="AV32" si="49">SUM(AV30:AV31)</f>
        <v>0</v>
      </c>
      <c r="AW32" s="13">
        <f t="shared" ref="AW32" si="50">SUM(AW30:AW31)</f>
        <v>0</v>
      </c>
      <c r="AX32" s="13">
        <f t="shared" ref="AX32" si="51">SUM(AX30:AX31)</f>
        <v>0</v>
      </c>
      <c r="AY32" s="13">
        <f t="shared" ref="AY32" si="52">SUM(AY30:AY31)</f>
        <v>0</v>
      </c>
      <c r="AZ32" s="13">
        <f t="shared" ref="AZ32" si="53">SUM(AZ30:AZ31)</f>
        <v>0</v>
      </c>
      <c r="BA32" s="13">
        <f t="shared" ref="BA32" si="54">SUM(BA30:BA31)</f>
        <v>0</v>
      </c>
      <c r="BB32" s="13">
        <f t="shared" ref="BB32" si="55">SUM(BB30:BB31)</f>
        <v>0</v>
      </c>
      <c r="BC32" s="13">
        <f t="shared" ref="BC32" si="56">SUM(BC30:BC31)</f>
        <v>0</v>
      </c>
      <c r="BD32" s="13">
        <f t="shared" ref="BD32" si="57">SUM(BD30:BD31)</f>
        <v>0</v>
      </c>
      <c r="BE32" s="13">
        <f t="shared" ref="BE32" si="58">SUM(BE30:BE31)</f>
        <v>0</v>
      </c>
      <c r="BF32" s="13">
        <f t="shared" ref="BF32" si="59">SUM(BF30:BF31)</f>
        <v>0</v>
      </c>
      <c r="BG32" s="13">
        <f t="shared" ref="BG32" si="60">SUM(BG30:BG31)</f>
        <v>0</v>
      </c>
      <c r="BH32" s="13">
        <f t="shared" ref="BH32" si="61">SUM(BH30:BH31)</f>
        <v>0</v>
      </c>
      <c r="BI32" s="13">
        <f t="shared" ref="BI32" si="62">SUM(BI30:BI31)</f>
        <v>0</v>
      </c>
      <c r="BJ32" s="13">
        <f t="shared" ref="BJ32" si="63">SUM(BJ30:BJ31)</f>
        <v>0</v>
      </c>
      <c r="BK32"/>
      <c r="BL32" s="5"/>
    </row>
    <row r="33" spans="1:64">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s="41" t="s">
        <v>445</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t="s">
        <v>446</v>
      </c>
      <c r="C35" s="16">
        <v>0</v>
      </c>
      <c r="D35" s="16">
        <v>0</v>
      </c>
      <c r="E35" s="16">
        <v>0</v>
      </c>
      <c r="F35" s="16">
        <v>0</v>
      </c>
      <c r="G35" s="16">
        <v>0</v>
      </c>
      <c r="H35" s="16">
        <v>0</v>
      </c>
      <c r="I35" s="16">
        <v>0</v>
      </c>
      <c r="J35" s="16">
        <v>0</v>
      </c>
      <c r="K35" s="16">
        <v>0</v>
      </c>
      <c r="L35" s="16">
        <v>0</v>
      </c>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c r="BL35" s="5"/>
    </row>
    <row r="36" spans="1:64">
      <c r="A36"/>
      <c r="B36" t="s">
        <v>447</v>
      </c>
      <c r="C36" s="16">
        <v>0</v>
      </c>
      <c r="D36" s="16" t="e">
        <f>-#REF!*'Dispo - Deal Waterfall'!D271</f>
        <v>#REF!</v>
      </c>
      <c r="E36" s="16" t="e">
        <f>-#REF!*'Dispo - Deal Waterfall'!E271</f>
        <v>#REF!</v>
      </c>
      <c r="F36" s="16">
        <v>0</v>
      </c>
      <c r="G36" s="16">
        <v>0</v>
      </c>
      <c r="H36" s="16">
        <v>0</v>
      </c>
      <c r="I36" s="16">
        <v>0</v>
      </c>
      <c r="J36" s="16">
        <v>0</v>
      </c>
      <c r="K36" s="16">
        <v>0</v>
      </c>
      <c r="L36" s="16">
        <v>0</v>
      </c>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c r="BL36" s="5"/>
    </row>
    <row r="37" spans="1:64">
      <c r="A37"/>
      <c r="B37" s="3" t="s">
        <v>347</v>
      </c>
      <c r="C37" s="13">
        <f>SUM(C35:C36)</f>
        <v>0</v>
      </c>
      <c r="D37" s="13" t="e">
        <f t="shared" ref="D37:BJ37" si="64">SUM(D35:D36)</f>
        <v>#REF!</v>
      </c>
      <c r="E37" s="13" t="e">
        <f t="shared" si="64"/>
        <v>#REF!</v>
      </c>
      <c r="F37" s="13">
        <f t="shared" si="64"/>
        <v>0</v>
      </c>
      <c r="G37" s="13">
        <f t="shared" si="64"/>
        <v>0</v>
      </c>
      <c r="H37" s="13">
        <f t="shared" si="64"/>
        <v>0</v>
      </c>
      <c r="I37" s="13">
        <f t="shared" si="64"/>
        <v>0</v>
      </c>
      <c r="J37" s="13">
        <f t="shared" si="64"/>
        <v>0</v>
      </c>
      <c r="K37" s="13">
        <f t="shared" si="64"/>
        <v>0</v>
      </c>
      <c r="L37" s="13">
        <f t="shared" si="64"/>
        <v>0</v>
      </c>
      <c r="M37" s="13">
        <f t="shared" si="64"/>
        <v>0</v>
      </c>
      <c r="N37" s="13">
        <f t="shared" si="64"/>
        <v>0</v>
      </c>
      <c r="O37" s="13">
        <f t="shared" si="64"/>
        <v>0</v>
      </c>
      <c r="P37" s="13">
        <f t="shared" si="64"/>
        <v>0</v>
      </c>
      <c r="Q37" s="13">
        <f t="shared" si="64"/>
        <v>0</v>
      </c>
      <c r="R37" s="13">
        <f t="shared" si="64"/>
        <v>0</v>
      </c>
      <c r="S37" s="13">
        <f t="shared" si="64"/>
        <v>0</v>
      </c>
      <c r="T37" s="13">
        <f t="shared" si="64"/>
        <v>0</v>
      </c>
      <c r="U37" s="13">
        <f t="shared" si="64"/>
        <v>0</v>
      </c>
      <c r="V37" s="13">
        <f t="shared" si="64"/>
        <v>0</v>
      </c>
      <c r="W37" s="13">
        <f t="shared" si="64"/>
        <v>0</v>
      </c>
      <c r="X37" s="13">
        <f t="shared" si="64"/>
        <v>0</v>
      </c>
      <c r="Y37" s="13">
        <f t="shared" si="64"/>
        <v>0</v>
      </c>
      <c r="Z37" s="13">
        <f t="shared" si="64"/>
        <v>0</v>
      </c>
      <c r="AA37" s="13">
        <f t="shared" si="64"/>
        <v>0</v>
      </c>
      <c r="AB37" s="13">
        <f t="shared" si="64"/>
        <v>0</v>
      </c>
      <c r="AC37" s="13">
        <f t="shared" si="64"/>
        <v>0</v>
      </c>
      <c r="AD37" s="13">
        <f t="shared" si="64"/>
        <v>0</v>
      </c>
      <c r="AE37" s="13">
        <f t="shared" si="64"/>
        <v>0</v>
      </c>
      <c r="AF37" s="13">
        <f t="shared" si="64"/>
        <v>0</v>
      </c>
      <c r="AG37" s="13">
        <f t="shared" si="64"/>
        <v>0</v>
      </c>
      <c r="AH37" s="13">
        <f t="shared" si="64"/>
        <v>0</v>
      </c>
      <c r="AI37" s="13">
        <f t="shared" si="64"/>
        <v>0</v>
      </c>
      <c r="AJ37" s="13">
        <f t="shared" si="64"/>
        <v>0</v>
      </c>
      <c r="AK37" s="13">
        <f t="shared" si="64"/>
        <v>0</v>
      </c>
      <c r="AL37" s="13">
        <f t="shared" si="64"/>
        <v>0</v>
      </c>
      <c r="AM37" s="13">
        <f t="shared" si="64"/>
        <v>0</v>
      </c>
      <c r="AN37" s="13">
        <f t="shared" si="64"/>
        <v>0</v>
      </c>
      <c r="AO37" s="13">
        <f t="shared" si="64"/>
        <v>0</v>
      </c>
      <c r="AP37" s="13">
        <f t="shared" si="64"/>
        <v>0</v>
      </c>
      <c r="AQ37" s="13">
        <f t="shared" si="64"/>
        <v>0</v>
      </c>
      <c r="AR37" s="13">
        <f t="shared" si="64"/>
        <v>0</v>
      </c>
      <c r="AS37" s="13">
        <f t="shared" si="64"/>
        <v>0</v>
      </c>
      <c r="AT37" s="13">
        <f t="shared" si="64"/>
        <v>0</v>
      </c>
      <c r="AU37" s="13">
        <f t="shared" si="64"/>
        <v>0</v>
      </c>
      <c r="AV37" s="13">
        <f t="shared" si="64"/>
        <v>0</v>
      </c>
      <c r="AW37" s="13">
        <f t="shared" si="64"/>
        <v>0</v>
      </c>
      <c r="AX37" s="13">
        <f t="shared" si="64"/>
        <v>0</v>
      </c>
      <c r="AY37" s="13">
        <f t="shared" si="64"/>
        <v>0</v>
      </c>
      <c r="AZ37" s="13">
        <f t="shared" si="64"/>
        <v>0</v>
      </c>
      <c r="BA37" s="13">
        <f t="shared" si="64"/>
        <v>0</v>
      </c>
      <c r="BB37" s="13">
        <f t="shared" si="64"/>
        <v>0</v>
      </c>
      <c r="BC37" s="13">
        <f t="shared" si="64"/>
        <v>0</v>
      </c>
      <c r="BD37" s="13">
        <f t="shared" si="64"/>
        <v>0</v>
      </c>
      <c r="BE37" s="13">
        <f t="shared" si="64"/>
        <v>0</v>
      </c>
      <c r="BF37" s="13">
        <f t="shared" si="64"/>
        <v>0</v>
      </c>
      <c r="BG37" s="13">
        <f t="shared" si="64"/>
        <v>0</v>
      </c>
      <c r="BH37" s="13">
        <f t="shared" si="64"/>
        <v>0</v>
      </c>
      <c r="BI37" s="13">
        <f t="shared" si="64"/>
        <v>0</v>
      </c>
      <c r="BJ37" s="13">
        <f t="shared" si="64"/>
        <v>0</v>
      </c>
      <c r="BK37"/>
      <c r="BL37" s="5"/>
    </row>
    <row r="38" spans="1:64">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448</v>
      </c>
      <c r="C39" s="30">
        <f>SUM(C32,C37)</f>
        <v>0</v>
      </c>
      <c r="D39" s="30" t="e">
        <f t="shared" ref="D39:BJ39" si="65">SUM(D32,D37)</f>
        <v>#REF!</v>
      </c>
      <c r="E39" s="30" t="e">
        <f t="shared" si="65"/>
        <v>#REF!</v>
      </c>
      <c r="F39" s="30">
        <f t="shared" si="65"/>
        <v>0</v>
      </c>
      <c r="G39" s="30">
        <f t="shared" si="65"/>
        <v>0</v>
      </c>
      <c r="H39" s="30">
        <f t="shared" si="65"/>
        <v>0</v>
      </c>
      <c r="I39" s="30">
        <f t="shared" si="65"/>
        <v>0</v>
      </c>
      <c r="J39" s="30">
        <f t="shared" si="65"/>
        <v>0</v>
      </c>
      <c r="K39" s="30">
        <f t="shared" si="65"/>
        <v>0</v>
      </c>
      <c r="L39" s="30">
        <f t="shared" si="65"/>
        <v>0</v>
      </c>
      <c r="M39" s="30">
        <f t="shared" si="65"/>
        <v>0</v>
      </c>
      <c r="N39" s="30">
        <f t="shared" si="65"/>
        <v>0</v>
      </c>
      <c r="O39" s="30">
        <f t="shared" si="65"/>
        <v>0</v>
      </c>
      <c r="P39" s="30">
        <f t="shared" si="65"/>
        <v>0</v>
      </c>
      <c r="Q39" s="30">
        <f t="shared" si="65"/>
        <v>0</v>
      </c>
      <c r="R39" s="30">
        <f t="shared" si="65"/>
        <v>0</v>
      </c>
      <c r="S39" s="30">
        <f t="shared" si="65"/>
        <v>0</v>
      </c>
      <c r="T39" s="30">
        <f t="shared" si="65"/>
        <v>0</v>
      </c>
      <c r="U39" s="30">
        <f t="shared" si="65"/>
        <v>0</v>
      </c>
      <c r="V39" s="30">
        <f t="shared" si="65"/>
        <v>0</v>
      </c>
      <c r="W39" s="30">
        <f t="shared" si="65"/>
        <v>0</v>
      </c>
      <c r="X39" s="30">
        <f t="shared" si="65"/>
        <v>0</v>
      </c>
      <c r="Y39" s="30">
        <f t="shared" si="65"/>
        <v>0</v>
      </c>
      <c r="Z39" s="30">
        <f t="shared" si="65"/>
        <v>0</v>
      </c>
      <c r="AA39" s="30">
        <f t="shared" si="65"/>
        <v>0</v>
      </c>
      <c r="AB39" s="30">
        <f t="shared" si="65"/>
        <v>0</v>
      </c>
      <c r="AC39" s="30">
        <f t="shared" si="65"/>
        <v>0</v>
      </c>
      <c r="AD39" s="30">
        <f t="shared" si="65"/>
        <v>0</v>
      </c>
      <c r="AE39" s="30">
        <f t="shared" si="65"/>
        <v>0</v>
      </c>
      <c r="AF39" s="30">
        <f t="shared" si="65"/>
        <v>0</v>
      </c>
      <c r="AG39" s="30">
        <f t="shared" si="65"/>
        <v>0</v>
      </c>
      <c r="AH39" s="30">
        <f t="shared" si="65"/>
        <v>0</v>
      </c>
      <c r="AI39" s="30">
        <f t="shared" si="65"/>
        <v>0</v>
      </c>
      <c r="AJ39" s="30">
        <f t="shared" si="65"/>
        <v>0</v>
      </c>
      <c r="AK39" s="30">
        <f t="shared" si="65"/>
        <v>0</v>
      </c>
      <c r="AL39" s="30">
        <f t="shared" si="65"/>
        <v>0</v>
      </c>
      <c r="AM39" s="30">
        <f t="shared" si="65"/>
        <v>0</v>
      </c>
      <c r="AN39" s="30">
        <f t="shared" si="65"/>
        <v>0</v>
      </c>
      <c r="AO39" s="30">
        <f t="shared" si="65"/>
        <v>0</v>
      </c>
      <c r="AP39" s="30">
        <f t="shared" si="65"/>
        <v>0</v>
      </c>
      <c r="AQ39" s="30">
        <f t="shared" si="65"/>
        <v>0</v>
      </c>
      <c r="AR39" s="30">
        <f t="shared" si="65"/>
        <v>0</v>
      </c>
      <c r="AS39" s="30">
        <f t="shared" si="65"/>
        <v>0</v>
      </c>
      <c r="AT39" s="30">
        <f t="shared" si="65"/>
        <v>0</v>
      </c>
      <c r="AU39" s="30">
        <f t="shared" si="65"/>
        <v>0</v>
      </c>
      <c r="AV39" s="30">
        <f t="shared" si="65"/>
        <v>0</v>
      </c>
      <c r="AW39" s="30">
        <f t="shared" si="65"/>
        <v>0</v>
      </c>
      <c r="AX39" s="30">
        <f t="shared" si="65"/>
        <v>0</v>
      </c>
      <c r="AY39" s="30">
        <f t="shared" si="65"/>
        <v>0</v>
      </c>
      <c r="AZ39" s="30">
        <f t="shared" si="65"/>
        <v>0</v>
      </c>
      <c r="BA39" s="30">
        <f t="shared" si="65"/>
        <v>0</v>
      </c>
      <c r="BB39" s="30">
        <f t="shared" si="65"/>
        <v>0</v>
      </c>
      <c r="BC39" s="30">
        <f t="shared" si="65"/>
        <v>0</v>
      </c>
      <c r="BD39" s="30">
        <f t="shared" si="65"/>
        <v>0</v>
      </c>
      <c r="BE39" s="30">
        <f t="shared" si="65"/>
        <v>0</v>
      </c>
      <c r="BF39" s="30">
        <f t="shared" si="65"/>
        <v>0</v>
      </c>
      <c r="BG39" s="30">
        <f t="shared" si="65"/>
        <v>0</v>
      </c>
      <c r="BH39" s="30">
        <f t="shared" si="65"/>
        <v>0</v>
      </c>
      <c r="BI39" s="30">
        <f t="shared" si="65"/>
        <v>0</v>
      </c>
      <c r="BJ39" s="30">
        <f t="shared" si="65"/>
        <v>0</v>
      </c>
      <c r="BK39"/>
      <c r="BL39" s="5"/>
    </row>
    <row r="40" spans="1:64">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s="55" t="s">
        <v>449</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s="28" t="e">
        <f>TEXT($B$24,"")</f>
        <v>#REF!</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349</v>
      </c>
      <c r="C43" s="30">
        <f>+C37</f>
        <v>0</v>
      </c>
      <c r="D43" s="30" t="e">
        <f t="shared" ref="D43" si="66">+D37</f>
        <v>#REF!</v>
      </c>
      <c r="E43" s="30" t="e">
        <f t="shared" ref="E43:BJ43" si="67">+E37</f>
        <v>#REF!</v>
      </c>
      <c r="F43" s="30">
        <f t="shared" si="67"/>
        <v>0</v>
      </c>
      <c r="G43" s="30">
        <f t="shared" si="67"/>
        <v>0</v>
      </c>
      <c r="H43" s="30">
        <f t="shared" si="67"/>
        <v>0</v>
      </c>
      <c r="I43" s="30">
        <f t="shared" si="67"/>
        <v>0</v>
      </c>
      <c r="J43" s="30">
        <f t="shared" si="67"/>
        <v>0</v>
      </c>
      <c r="K43" s="30">
        <f t="shared" si="67"/>
        <v>0</v>
      </c>
      <c r="L43" s="30">
        <f t="shared" si="67"/>
        <v>0</v>
      </c>
      <c r="M43" s="30">
        <f t="shared" si="67"/>
        <v>0</v>
      </c>
      <c r="N43" s="30">
        <f t="shared" si="67"/>
        <v>0</v>
      </c>
      <c r="O43" s="30">
        <f t="shared" si="67"/>
        <v>0</v>
      </c>
      <c r="P43" s="30">
        <f t="shared" si="67"/>
        <v>0</v>
      </c>
      <c r="Q43" s="30">
        <f t="shared" si="67"/>
        <v>0</v>
      </c>
      <c r="R43" s="30">
        <f t="shared" si="67"/>
        <v>0</v>
      </c>
      <c r="S43" s="30">
        <f t="shared" si="67"/>
        <v>0</v>
      </c>
      <c r="T43" s="30">
        <f t="shared" si="67"/>
        <v>0</v>
      </c>
      <c r="U43" s="30">
        <f t="shared" si="67"/>
        <v>0</v>
      </c>
      <c r="V43" s="30">
        <f t="shared" si="67"/>
        <v>0</v>
      </c>
      <c r="W43" s="30">
        <f t="shared" si="67"/>
        <v>0</v>
      </c>
      <c r="X43" s="30">
        <f t="shared" si="67"/>
        <v>0</v>
      </c>
      <c r="Y43" s="30">
        <f t="shared" si="67"/>
        <v>0</v>
      </c>
      <c r="Z43" s="30">
        <f t="shared" si="67"/>
        <v>0</v>
      </c>
      <c r="AA43" s="30">
        <f t="shared" si="67"/>
        <v>0</v>
      </c>
      <c r="AB43" s="30">
        <f t="shared" si="67"/>
        <v>0</v>
      </c>
      <c r="AC43" s="30">
        <f t="shared" si="67"/>
        <v>0</v>
      </c>
      <c r="AD43" s="30">
        <f t="shared" si="67"/>
        <v>0</v>
      </c>
      <c r="AE43" s="30">
        <f t="shared" si="67"/>
        <v>0</v>
      </c>
      <c r="AF43" s="30">
        <f t="shared" si="67"/>
        <v>0</v>
      </c>
      <c r="AG43" s="30">
        <f t="shared" si="67"/>
        <v>0</v>
      </c>
      <c r="AH43" s="30">
        <f t="shared" si="67"/>
        <v>0</v>
      </c>
      <c r="AI43" s="30">
        <f t="shared" si="67"/>
        <v>0</v>
      </c>
      <c r="AJ43" s="30">
        <f t="shared" si="67"/>
        <v>0</v>
      </c>
      <c r="AK43" s="30">
        <f t="shared" si="67"/>
        <v>0</v>
      </c>
      <c r="AL43" s="30">
        <f t="shared" si="67"/>
        <v>0</v>
      </c>
      <c r="AM43" s="30">
        <f t="shared" si="67"/>
        <v>0</v>
      </c>
      <c r="AN43" s="30">
        <f t="shared" si="67"/>
        <v>0</v>
      </c>
      <c r="AO43" s="30">
        <f t="shared" si="67"/>
        <v>0</v>
      </c>
      <c r="AP43" s="30">
        <f t="shared" si="67"/>
        <v>0</v>
      </c>
      <c r="AQ43" s="30">
        <f t="shared" si="67"/>
        <v>0</v>
      </c>
      <c r="AR43" s="30">
        <f t="shared" si="67"/>
        <v>0</v>
      </c>
      <c r="AS43" s="30">
        <f t="shared" si="67"/>
        <v>0</v>
      </c>
      <c r="AT43" s="30">
        <f t="shared" si="67"/>
        <v>0</v>
      </c>
      <c r="AU43" s="30">
        <f t="shared" si="67"/>
        <v>0</v>
      </c>
      <c r="AV43" s="30">
        <f t="shared" si="67"/>
        <v>0</v>
      </c>
      <c r="AW43" s="30">
        <f t="shared" si="67"/>
        <v>0</v>
      </c>
      <c r="AX43" s="30">
        <f t="shared" si="67"/>
        <v>0</v>
      </c>
      <c r="AY43" s="30">
        <f t="shared" si="67"/>
        <v>0</v>
      </c>
      <c r="AZ43" s="30">
        <f t="shared" si="67"/>
        <v>0</v>
      </c>
      <c r="BA43" s="30">
        <f t="shared" si="67"/>
        <v>0</v>
      </c>
      <c r="BB43" s="30">
        <f t="shared" si="67"/>
        <v>0</v>
      </c>
      <c r="BC43" s="30">
        <f t="shared" si="67"/>
        <v>0</v>
      </c>
      <c r="BD43" s="30">
        <f t="shared" si="67"/>
        <v>0</v>
      </c>
      <c r="BE43" s="30">
        <f t="shared" si="67"/>
        <v>0</v>
      </c>
      <c r="BF43" s="30">
        <f t="shared" si="67"/>
        <v>0</v>
      </c>
      <c r="BG43" s="30">
        <f t="shared" si="67"/>
        <v>0</v>
      </c>
      <c r="BH43" s="30">
        <f t="shared" si="67"/>
        <v>0</v>
      </c>
      <c r="BI43" s="30">
        <f t="shared" si="67"/>
        <v>0</v>
      </c>
      <c r="BJ43" s="30">
        <f t="shared" si="67"/>
        <v>0</v>
      </c>
      <c r="BK43"/>
      <c r="BL43" s="5"/>
    </row>
    <row r="44" spans="1:64">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350</v>
      </c>
      <c r="C45" s="14">
        <v>0</v>
      </c>
      <c r="D45" s="14">
        <f>+C48</f>
        <v>0</v>
      </c>
      <c r="E45" s="14" t="e">
        <f t="shared" ref="E45" si="68">+D48</f>
        <v>#REF!</v>
      </c>
      <c r="F45" s="14" t="e">
        <f t="shared" ref="F45:BJ45" si="69">+E48</f>
        <v>#REF!</v>
      </c>
      <c r="G45" s="14" t="e">
        <f t="shared" si="69"/>
        <v>#REF!</v>
      </c>
      <c r="H45" s="14" t="e">
        <f t="shared" si="69"/>
        <v>#REF!</v>
      </c>
      <c r="I45" s="14" t="e">
        <f t="shared" si="69"/>
        <v>#REF!</v>
      </c>
      <c r="J45" s="14" t="e">
        <f t="shared" si="69"/>
        <v>#REF!</v>
      </c>
      <c r="K45" s="14" t="e">
        <f t="shared" si="69"/>
        <v>#REF!</v>
      </c>
      <c r="L45" s="14" t="e">
        <f t="shared" si="69"/>
        <v>#REF!</v>
      </c>
      <c r="M45" s="14" t="e">
        <f t="shared" si="69"/>
        <v>#REF!</v>
      </c>
      <c r="N45" s="14" t="e">
        <f t="shared" si="69"/>
        <v>#REF!</v>
      </c>
      <c r="O45" s="14" t="e">
        <f t="shared" si="69"/>
        <v>#REF!</v>
      </c>
      <c r="P45" s="14" t="e">
        <f t="shared" si="69"/>
        <v>#REF!</v>
      </c>
      <c r="Q45" s="14" t="e">
        <f t="shared" si="69"/>
        <v>#REF!</v>
      </c>
      <c r="R45" s="14" t="e">
        <f t="shared" si="69"/>
        <v>#REF!</v>
      </c>
      <c r="S45" s="14" t="e">
        <f t="shared" si="69"/>
        <v>#REF!</v>
      </c>
      <c r="T45" s="14" t="e">
        <f t="shared" si="69"/>
        <v>#REF!</v>
      </c>
      <c r="U45" s="14" t="e">
        <f t="shared" si="69"/>
        <v>#REF!</v>
      </c>
      <c r="V45" s="14" t="e">
        <f t="shared" si="69"/>
        <v>#REF!</v>
      </c>
      <c r="W45" s="14" t="e">
        <f t="shared" si="69"/>
        <v>#REF!</v>
      </c>
      <c r="X45" s="14" t="e">
        <f t="shared" si="69"/>
        <v>#REF!</v>
      </c>
      <c r="Y45" s="14" t="e">
        <f t="shared" si="69"/>
        <v>#REF!</v>
      </c>
      <c r="Z45" s="14" t="e">
        <f t="shared" si="69"/>
        <v>#REF!</v>
      </c>
      <c r="AA45" s="14" t="e">
        <f t="shared" si="69"/>
        <v>#REF!</v>
      </c>
      <c r="AB45" s="14" t="e">
        <f t="shared" si="69"/>
        <v>#REF!</v>
      </c>
      <c r="AC45" s="14" t="e">
        <f t="shared" si="69"/>
        <v>#REF!</v>
      </c>
      <c r="AD45" s="14" t="e">
        <f t="shared" si="69"/>
        <v>#REF!</v>
      </c>
      <c r="AE45" s="14" t="e">
        <f t="shared" si="69"/>
        <v>#REF!</v>
      </c>
      <c r="AF45" s="14" t="e">
        <f t="shared" si="69"/>
        <v>#REF!</v>
      </c>
      <c r="AG45" s="14" t="e">
        <f t="shared" si="69"/>
        <v>#REF!</v>
      </c>
      <c r="AH45" s="14" t="e">
        <f t="shared" si="69"/>
        <v>#REF!</v>
      </c>
      <c r="AI45" s="14" t="e">
        <f t="shared" si="69"/>
        <v>#REF!</v>
      </c>
      <c r="AJ45" s="14" t="e">
        <f t="shared" si="69"/>
        <v>#REF!</v>
      </c>
      <c r="AK45" s="14" t="e">
        <f t="shared" si="69"/>
        <v>#REF!</v>
      </c>
      <c r="AL45" s="14" t="e">
        <f t="shared" si="69"/>
        <v>#REF!</v>
      </c>
      <c r="AM45" s="14" t="e">
        <f t="shared" si="69"/>
        <v>#REF!</v>
      </c>
      <c r="AN45" s="14" t="e">
        <f t="shared" si="69"/>
        <v>#REF!</v>
      </c>
      <c r="AO45" s="14" t="e">
        <f t="shared" si="69"/>
        <v>#REF!</v>
      </c>
      <c r="AP45" s="14" t="e">
        <f t="shared" si="69"/>
        <v>#REF!</v>
      </c>
      <c r="AQ45" s="14" t="e">
        <f t="shared" si="69"/>
        <v>#REF!</v>
      </c>
      <c r="AR45" s="14" t="e">
        <f t="shared" si="69"/>
        <v>#REF!</v>
      </c>
      <c r="AS45" s="14" t="e">
        <f t="shared" si="69"/>
        <v>#REF!</v>
      </c>
      <c r="AT45" s="14" t="e">
        <f t="shared" si="69"/>
        <v>#REF!</v>
      </c>
      <c r="AU45" s="14" t="e">
        <f t="shared" si="69"/>
        <v>#REF!</v>
      </c>
      <c r="AV45" s="14" t="e">
        <f t="shared" si="69"/>
        <v>#REF!</v>
      </c>
      <c r="AW45" s="14" t="e">
        <f t="shared" si="69"/>
        <v>#REF!</v>
      </c>
      <c r="AX45" s="14" t="e">
        <f t="shared" si="69"/>
        <v>#REF!</v>
      </c>
      <c r="AY45" s="14" t="e">
        <f t="shared" si="69"/>
        <v>#REF!</v>
      </c>
      <c r="AZ45" s="14" t="e">
        <f t="shared" si="69"/>
        <v>#REF!</v>
      </c>
      <c r="BA45" s="14" t="e">
        <f t="shared" si="69"/>
        <v>#REF!</v>
      </c>
      <c r="BB45" s="14" t="e">
        <f t="shared" si="69"/>
        <v>#REF!</v>
      </c>
      <c r="BC45" s="14" t="e">
        <f t="shared" si="69"/>
        <v>#REF!</v>
      </c>
      <c r="BD45" s="14" t="e">
        <f t="shared" si="69"/>
        <v>#REF!</v>
      </c>
      <c r="BE45" s="14" t="e">
        <f t="shared" si="69"/>
        <v>#REF!</v>
      </c>
      <c r="BF45" s="14" t="e">
        <f t="shared" si="69"/>
        <v>#REF!</v>
      </c>
      <c r="BG45" s="14" t="e">
        <f t="shared" si="69"/>
        <v>#REF!</v>
      </c>
      <c r="BH45" s="14" t="e">
        <f t="shared" si="69"/>
        <v>#REF!</v>
      </c>
      <c r="BI45" s="14" t="e">
        <f t="shared" si="69"/>
        <v>#REF!</v>
      </c>
      <c r="BJ45" s="14" t="e">
        <f t="shared" si="69"/>
        <v>#REF!</v>
      </c>
      <c r="BK45"/>
      <c r="BL45" s="5"/>
    </row>
    <row r="46" spans="1:64">
      <c r="A46"/>
      <c r="B46" t="s">
        <v>351</v>
      </c>
      <c r="C46" s="14">
        <f>IFERROR(((1+$C$24)^(C$8)-1)*C50,0)</f>
        <v>0</v>
      </c>
      <c r="D46" s="14">
        <f t="shared" ref="D46:BJ46" si="70">IFERROR(((1+$C$24)^(D$8)-1)*D50,0)</f>
        <v>0</v>
      </c>
      <c r="E46" s="14">
        <f t="shared" si="70"/>
        <v>0</v>
      </c>
      <c r="F46" s="14">
        <f t="shared" si="70"/>
        <v>0</v>
      </c>
      <c r="G46" s="14">
        <f t="shared" si="70"/>
        <v>0</v>
      </c>
      <c r="H46" s="14">
        <f t="shared" si="70"/>
        <v>0</v>
      </c>
      <c r="I46" s="14">
        <f t="shared" si="70"/>
        <v>0</v>
      </c>
      <c r="J46" s="14">
        <f t="shared" si="70"/>
        <v>0</v>
      </c>
      <c r="K46" s="14">
        <f t="shared" si="70"/>
        <v>0</v>
      </c>
      <c r="L46" s="14">
        <f t="shared" si="70"/>
        <v>0</v>
      </c>
      <c r="M46" s="14">
        <f t="shared" si="70"/>
        <v>0</v>
      </c>
      <c r="N46" s="14">
        <f t="shared" si="70"/>
        <v>0</v>
      </c>
      <c r="O46" s="14">
        <f t="shared" si="70"/>
        <v>0</v>
      </c>
      <c r="P46" s="14">
        <f t="shared" si="70"/>
        <v>0</v>
      </c>
      <c r="Q46" s="14">
        <f t="shared" si="70"/>
        <v>0</v>
      </c>
      <c r="R46" s="14">
        <f t="shared" si="70"/>
        <v>0</v>
      </c>
      <c r="S46" s="14">
        <f t="shared" si="70"/>
        <v>0</v>
      </c>
      <c r="T46" s="14">
        <f t="shared" si="70"/>
        <v>0</v>
      </c>
      <c r="U46" s="14">
        <f t="shared" si="70"/>
        <v>0</v>
      </c>
      <c r="V46" s="14">
        <f t="shared" si="70"/>
        <v>0</v>
      </c>
      <c r="W46" s="14">
        <f t="shared" si="70"/>
        <v>0</v>
      </c>
      <c r="X46" s="14">
        <f t="shared" si="70"/>
        <v>0</v>
      </c>
      <c r="Y46" s="14">
        <f t="shared" si="70"/>
        <v>0</v>
      </c>
      <c r="Z46" s="14">
        <f t="shared" si="70"/>
        <v>0</v>
      </c>
      <c r="AA46" s="14">
        <f t="shared" si="70"/>
        <v>0</v>
      </c>
      <c r="AB46" s="14">
        <f t="shared" si="70"/>
        <v>0</v>
      </c>
      <c r="AC46" s="14">
        <f t="shared" si="70"/>
        <v>0</v>
      </c>
      <c r="AD46" s="14">
        <f t="shared" si="70"/>
        <v>0</v>
      </c>
      <c r="AE46" s="14">
        <f t="shared" si="70"/>
        <v>0</v>
      </c>
      <c r="AF46" s="14">
        <f t="shared" si="70"/>
        <v>0</v>
      </c>
      <c r="AG46" s="14">
        <f t="shared" si="70"/>
        <v>0</v>
      </c>
      <c r="AH46" s="14">
        <f t="shared" si="70"/>
        <v>0</v>
      </c>
      <c r="AI46" s="14">
        <f t="shared" si="70"/>
        <v>0</v>
      </c>
      <c r="AJ46" s="14">
        <f t="shared" si="70"/>
        <v>0</v>
      </c>
      <c r="AK46" s="14">
        <f t="shared" si="70"/>
        <v>0</v>
      </c>
      <c r="AL46" s="14">
        <f t="shared" si="70"/>
        <v>0</v>
      </c>
      <c r="AM46" s="14">
        <f t="shared" si="70"/>
        <v>0</v>
      </c>
      <c r="AN46" s="14">
        <f t="shared" si="70"/>
        <v>0</v>
      </c>
      <c r="AO46" s="14">
        <f t="shared" si="70"/>
        <v>0</v>
      </c>
      <c r="AP46" s="14">
        <f t="shared" si="70"/>
        <v>0</v>
      </c>
      <c r="AQ46" s="14">
        <f t="shared" si="70"/>
        <v>0</v>
      </c>
      <c r="AR46" s="14">
        <f t="shared" si="70"/>
        <v>0</v>
      </c>
      <c r="AS46" s="14">
        <f t="shared" si="70"/>
        <v>0</v>
      </c>
      <c r="AT46" s="14">
        <f t="shared" si="70"/>
        <v>0</v>
      </c>
      <c r="AU46" s="14">
        <f t="shared" si="70"/>
        <v>0</v>
      </c>
      <c r="AV46" s="14">
        <f t="shared" si="70"/>
        <v>0</v>
      </c>
      <c r="AW46" s="14">
        <f t="shared" si="70"/>
        <v>0</v>
      </c>
      <c r="AX46" s="14">
        <f t="shared" si="70"/>
        <v>0</v>
      </c>
      <c r="AY46" s="14">
        <f t="shared" si="70"/>
        <v>0</v>
      </c>
      <c r="AZ46" s="14">
        <f t="shared" si="70"/>
        <v>0</v>
      </c>
      <c r="BA46" s="14">
        <f t="shared" si="70"/>
        <v>0</v>
      </c>
      <c r="BB46" s="14">
        <f t="shared" si="70"/>
        <v>0</v>
      </c>
      <c r="BC46" s="14">
        <f t="shared" si="70"/>
        <v>0</v>
      </c>
      <c r="BD46" s="14">
        <f t="shared" si="70"/>
        <v>0</v>
      </c>
      <c r="BE46" s="14">
        <f t="shared" si="70"/>
        <v>0</v>
      </c>
      <c r="BF46" s="14">
        <f t="shared" si="70"/>
        <v>0</v>
      </c>
      <c r="BG46" s="14">
        <f t="shared" si="70"/>
        <v>0</v>
      </c>
      <c r="BH46" s="14">
        <f t="shared" si="70"/>
        <v>0</v>
      </c>
      <c r="BI46" s="14">
        <f t="shared" si="70"/>
        <v>0</v>
      </c>
      <c r="BJ46" s="14">
        <f t="shared" si="70"/>
        <v>0</v>
      </c>
      <c r="BK46"/>
      <c r="BL46" s="5"/>
    </row>
    <row r="47" spans="1:64">
      <c r="A47"/>
      <c r="B47" t="s">
        <v>352</v>
      </c>
      <c r="C47" s="14">
        <f>-MAX(0,MIN(SUM(C45:C46),C43))</f>
        <v>0</v>
      </c>
      <c r="D47" s="14" t="e">
        <f t="shared" ref="D47:BJ47" si="71">-MAX(0,MIN(SUM(D45:D46),D43))</f>
        <v>#REF!</v>
      </c>
      <c r="E47" s="14" t="e">
        <f t="shared" si="71"/>
        <v>#REF!</v>
      </c>
      <c r="F47" s="14" t="e">
        <f t="shared" si="71"/>
        <v>#REF!</v>
      </c>
      <c r="G47" s="14" t="e">
        <f t="shared" si="71"/>
        <v>#REF!</v>
      </c>
      <c r="H47" s="14" t="e">
        <f t="shared" si="71"/>
        <v>#REF!</v>
      </c>
      <c r="I47" s="14" t="e">
        <f t="shared" si="71"/>
        <v>#REF!</v>
      </c>
      <c r="J47" s="14" t="e">
        <f t="shared" si="71"/>
        <v>#REF!</v>
      </c>
      <c r="K47" s="14" t="e">
        <f t="shared" si="71"/>
        <v>#REF!</v>
      </c>
      <c r="L47" s="14" t="e">
        <f t="shared" si="71"/>
        <v>#REF!</v>
      </c>
      <c r="M47" s="14" t="e">
        <f t="shared" si="71"/>
        <v>#REF!</v>
      </c>
      <c r="N47" s="14" t="e">
        <f t="shared" si="71"/>
        <v>#REF!</v>
      </c>
      <c r="O47" s="14" t="e">
        <f t="shared" si="71"/>
        <v>#REF!</v>
      </c>
      <c r="P47" s="14" t="e">
        <f t="shared" si="71"/>
        <v>#REF!</v>
      </c>
      <c r="Q47" s="14" t="e">
        <f t="shared" si="71"/>
        <v>#REF!</v>
      </c>
      <c r="R47" s="14" t="e">
        <f t="shared" si="71"/>
        <v>#REF!</v>
      </c>
      <c r="S47" s="14" t="e">
        <f t="shared" si="71"/>
        <v>#REF!</v>
      </c>
      <c r="T47" s="14" t="e">
        <f t="shared" si="71"/>
        <v>#REF!</v>
      </c>
      <c r="U47" s="14" t="e">
        <f t="shared" si="71"/>
        <v>#REF!</v>
      </c>
      <c r="V47" s="14" t="e">
        <f t="shared" si="71"/>
        <v>#REF!</v>
      </c>
      <c r="W47" s="14" t="e">
        <f t="shared" si="71"/>
        <v>#REF!</v>
      </c>
      <c r="X47" s="14" t="e">
        <f t="shared" si="71"/>
        <v>#REF!</v>
      </c>
      <c r="Y47" s="14" t="e">
        <f t="shared" si="71"/>
        <v>#REF!</v>
      </c>
      <c r="Z47" s="14" t="e">
        <f t="shared" si="71"/>
        <v>#REF!</v>
      </c>
      <c r="AA47" s="14" t="e">
        <f t="shared" si="71"/>
        <v>#REF!</v>
      </c>
      <c r="AB47" s="14" t="e">
        <f t="shared" si="71"/>
        <v>#REF!</v>
      </c>
      <c r="AC47" s="14" t="e">
        <f t="shared" si="71"/>
        <v>#REF!</v>
      </c>
      <c r="AD47" s="14" t="e">
        <f t="shared" si="71"/>
        <v>#REF!</v>
      </c>
      <c r="AE47" s="14" t="e">
        <f t="shared" si="71"/>
        <v>#REF!</v>
      </c>
      <c r="AF47" s="14" t="e">
        <f t="shared" si="71"/>
        <v>#REF!</v>
      </c>
      <c r="AG47" s="14" t="e">
        <f t="shared" si="71"/>
        <v>#REF!</v>
      </c>
      <c r="AH47" s="14" t="e">
        <f t="shared" si="71"/>
        <v>#REF!</v>
      </c>
      <c r="AI47" s="14" t="e">
        <f t="shared" si="71"/>
        <v>#REF!</v>
      </c>
      <c r="AJ47" s="14" t="e">
        <f t="shared" si="71"/>
        <v>#REF!</v>
      </c>
      <c r="AK47" s="14" t="e">
        <f t="shared" si="71"/>
        <v>#REF!</v>
      </c>
      <c r="AL47" s="14" t="e">
        <f t="shared" si="71"/>
        <v>#REF!</v>
      </c>
      <c r="AM47" s="14" t="e">
        <f t="shared" si="71"/>
        <v>#REF!</v>
      </c>
      <c r="AN47" s="14" t="e">
        <f t="shared" si="71"/>
        <v>#REF!</v>
      </c>
      <c r="AO47" s="14" t="e">
        <f t="shared" si="71"/>
        <v>#REF!</v>
      </c>
      <c r="AP47" s="14" t="e">
        <f t="shared" si="71"/>
        <v>#REF!</v>
      </c>
      <c r="AQ47" s="14" t="e">
        <f t="shared" si="71"/>
        <v>#REF!</v>
      </c>
      <c r="AR47" s="14" t="e">
        <f t="shared" si="71"/>
        <v>#REF!</v>
      </c>
      <c r="AS47" s="14" t="e">
        <f t="shared" si="71"/>
        <v>#REF!</v>
      </c>
      <c r="AT47" s="14" t="e">
        <f t="shared" si="71"/>
        <v>#REF!</v>
      </c>
      <c r="AU47" s="14" t="e">
        <f t="shared" si="71"/>
        <v>#REF!</v>
      </c>
      <c r="AV47" s="14" t="e">
        <f t="shared" si="71"/>
        <v>#REF!</v>
      </c>
      <c r="AW47" s="14" t="e">
        <f t="shared" si="71"/>
        <v>#REF!</v>
      </c>
      <c r="AX47" s="14" t="e">
        <f t="shared" si="71"/>
        <v>#REF!</v>
      </c>
      <c r="AY47" s="14" t="e">
        <f t="shared" si="71"/>
        <v>#REF!</v>
      </c>
      <c r="AZ47" s="14" t="e">
        <f t="shared" si="71"/>
        <v>#REF!</v>
      </c>
      <c r="BA47" s="14" t="e">
        <f t="shared" si="71"/>
        <v>#REF!</v>
      </c>
      <c r="BB47" s="14" t="e">
        <f t="shared" si="71"/>
        <v>#REF!</v>
      </c>
      <c r="BC47" s="14" t="e">
        <f t="shared" si="71"/>
        <v>#REF!</v>
      </c>
      <c r="BD47" s="14" t="e">
        <f t="shared" si="71"/>
        <v>#REF!</v>
      </c>
      <c r="BE47" s="14" t="e">
        <f t="shared" si="71"/>
        <v>#REF!</v>
      </c>
      <c r="BF47" s="14" t="e">
        <f t="shared" si="71"/>
        <v>#REF!</v>
      </c>
      <c r="BG47" s="14" t="e">
        <f t="shared" si="71"/>
        <v>#REF!</v>
      </c>
      <c r="BH47" s="14" t="e">
        <f t="shared" si="71"/>
        <v>#REF!</v>
      </c>
      <c r="BI47" s="14" t="e">
        <f t="shared" si="71"/>
        <v>#REF!</v>
      </c>
      <c r="BJ47" s="14" t="e">
        <f t="shared" si="71"/>
        <v>#REF!</v>
      </c>
      <c r="BK47"/>
      <c r="BL47" s="5"/>
    </row>
    <row r="48" spans="1:64">
      <c r="A48"/>
      <c r="B48" s="3" t="s">
        <v>353</v>
      </c>
      <c r="C48" s="13">
        <f>SUM(C45:C47)</f>
        <v>0</v>
      </c>
      <c r="D48" s="13" t="e">
        <f t="shared" ref="D48" si="72">SUM(D45:D47)</f>
        <v>#REF!</v>
      </c>
      <c r="E48" s="13" t="e">
        <f t="shared" ref="E48" si="73">SUM(E45:E47)</f>
        <v>#REF!</v>
      </c>
      <c r="F48" s="13" t="e">
        <f t="shared" ref="F48" si="74">SUM(F45:F47)</f>
        <v>#REF!</v>
      </c>
      <c r="G48" s="13" t="e">
        <f t="shared" ref="G48" si="75">SUM(G45:G47)</f>
        <v>#REF!</v>
      </c>
      <c r="H48" s="13" t="e">
        <f t="shared" ref="H48" si="76">SUM(H45:H47)</f>
        <v>#REF!</v>
      </c>
      <c r="I48" s="13" t="e">
        <f t="shared" ref="I48" si="77">SUM(I45:I47)</f>
        <v>#REF!</v>
      </c>
      <c r="J48" s="13" t="e">
        <f t="shared" ref="J48" si="78">SUM(J45:J47)</f>
        <v>#REF!</v>
      </c>
      <c r="K48" s="13" t="e">
        <f t="shared" ref="K48" si="79">SUM(K45:K47)</f>
        <v>#REF!</v>
      </c>
      <c r="L48" s="13" t="e">
        <f t="shared" ref="L48" si="80">SUM(L45:L47)</f>
        <v>#REF!</v>
      </c>
      <c r="M48" s="13" t="e">
        <f t="shared" ref="M48" si="81">SUM(M45:M47)</f>
        <v>#REF!</v>
      </c>
      <c r="N48" s="13" t="e">
        <f t="shared" ref="N48" si="82">SUM(N45:N47)</f>
        <v>#REF!</v>
      </c>
      <c r="O48" s="13" t="e">
        <f t="shared" ref="O48" si="83">SUM(O45:O47)</f>
        <v>#REF!</v>
      </c>
      <c r="P48" s="13" t="e">
        <f t="shared" ref="P48" si="84">SUM(P45:P47)</f>
        <v>#REF!</v>
      </c>
      <c r="Q48" s="13" t="e">
        <f t="shared" ref="Q48" si="85">SUM(Q45:Q47)</f>
        <v>#REF!</v>
      </c>
      <c r="R48" s="13" t="e">
        <f t="shared" ref="R48" si="86">SUM(R45:R47)</f>
        <v>#REF!</v>
      </c>
      <c r="S48" s="13" t="e">
        <f t="shared" ref="S48" si="87">SUM(S45:S47)</f>
        <v>#REF!</v>
      </c>
      <c r="T48" s="13" t="e">
        <f t="shared" ref="T48" si="88">SUM(T45:T47)</f>
        <v>#REF!</v>
      </c>
      <c r="U48" s="13" t="e">
        <f t="shared" ref="U48" si="89">SUM(U45:U47)</f>
        <v>#REF!</v>
      </c>
      <c r="V48" s="13" t="e">
        <f t="shared" ref="V48" si="90">SUM(V45:V47)</f>
        <v>#REF!</v>
      </c>
      <c r="W48" s="13" t="e">
        <f t="shared" ref="W48" si="91">SUM(W45:W47)</f>
        <v>#REF!</v>
      </c>
      <c r="X48" s="13" t="e">
        <f t="shared" ref="X48" si="92">SUM(X45:X47)</f>
        <v>#REF!</v>
      </c>
      <c r="Y48" s="13" t="e">
        <f t="shared" ref="Y48" si="93">SUM(Y45:Y47)</f>
        <v>#REF!</v>
      </c>
      <c r="Z48" s="13" t="e">
        <f t="shared" ref="Z48" si="94">SUM(Z45:Z47)</f>
        <v>#REF!</v>
      </c>
      <c r="AA48" s="13" t="e">
        <f t="shared" ref="AA48" si="95">SUM(AA45:AA47)</f>
        <v>#REF!</v>
      </c>
      <c r="AB48" s="13" t="e">
        <f t="shared" ref="AB48" si="96">SUM(AB45:AB47)</f>
        <v>#REF!</v>
      </c>
      <c r="AC48" s="13" t="e">
        <f t="shared" ref="AC48" si="97">SUM(AC45:AC47)</f>
        <v>#REF!</v>
      </c>
      <c r="AD48" s="13" t="e">
        <f t="shared" ref="AD48" si="98">SUM(AD45:AD47)</f>
        <v>#REF!</v>
      </c>
      <c r="AE48" s="13" t="e">
        <f t="shared" ref="AE48" si="99">SUM(AE45:AE47)</f>
        <v>#REF!</v>
      </c>
      <c r="AF48" s="13" t="e">
        <f t="shared" ref="AF48" si="100">SUM(AF45:AF47)</f>
        <v>#REF!</v>
      </c>
      <c r="AG48" s="13" t="e">
        <f t="shared" ref="AG48" si="101">SUM(AG45:AG47)</f>
        <v>#REF!</v>
      </c>
      <c r="AH48" s="13" t="e">
        <f t="shared" ref="AH48" si="102">SUM(AH45:AH47)</f>
        <v>#REF!</v>
      </c>
      <c r="AI48" s="13" t="e">
        <f t="shared" ref="AI48" si="103">SUM(AI45:AI47)</f>
        <v>#REF!</v>
      </c>
      <c r="AJ48" s="13" t="e">
        <f t="shared" ref="AJ48" si="104">SUM(AJ45:AJ47)</f>
        <v>#REF!</v>
      </c>
      <c r="AK48" s="13" t="e">
        <f t="shared" ref="AK48" si="105">SUM(AK45:AK47)</f>
        <v>#REF!</v>
      </c>
      <c r="AL48" s="13" t="e">
        <f t="shared" ref="AL48" si="106">SUM(AL45:AL47)</f>
        <v>#REF!</v>
      </c>
      <c r="AM48" s="13" t="e">
        <f t="shared" ref="AM48" si="107">SUM(AM45:AM47)</f>
        <v>#REF!</v>
      </c>
      <c r="AN48" s="13" t="e">
        <f t="shared" ref="AN48" si="108">SUM(AN45:AN47)</f>
        <v>#REF!</v>
      </c>
      <c r="AO48" s="13" t="e">
        <f t="shared" ref="AO48" si="109">SUM(AO45:AO47)</f>
        <v>#REF!</v>
      </c>
      <c r="AP48" s="13" t="e">
        <f t="shared" ref="AP48" si="110">SUM(AP45:AP47)</f>
        <v>#REF!</v>
      </c>
      <c r="AQ48" s="13" t="e">
        <f t="shared" ref="AQ48" si="111">SUM(AQ45:AQ47)</f>
        <v>#REF!</v>
      </c>
      <c r="AR48" s="13" t="e">
        <f t="shared" ref="AR48" si="112">SUM(AR45:AR47)</f>
        <v>#REF!</v>
      </c>
      <c r="AS48" s="13" t="e">
        <f t="shared" ref="AS48" si="113">SUM(AS45:AS47)</f>
        <v>#REF!</v>
      </c>
      <c r="AT48" s="13" t="e">
        <f t="shared" ref="AT48" si="114">SUM(AT45:AT47)</f>
        <v>#REF!</v>
      </c>
      <c r="AU48" s="13" t="e">
        <f t="shared" ref="AU48" si="115">SUM(AU45:AU47)</f>
        <v>#REF!</v>
      </c>
      <c r="AV48" s="13" t="e">
        <f t="shared" ref="AV48" si="116">SUM(AV45:AV47)</f>
        <v>#REF!</v>
      </c>
      <c r="AW48" s="13" t="e">
        <f t="shared" ref="AW48" si="117">SUM(AW45:AW47)</f>
        <v>#REF!</v>
      </c>
      <c r="AX48" s="13" t="e">
        <f t="shared" ref="AX48" si="118">SUM(AX45:AX47)</f>
        <v>#REF!</v>
      </c>
      <c r="AY48" s="13" t="e">
        <f t="shared" ref="AY48" si="119">SUM(AY45:AY47)</f>
        <v>#REF!</v>
      </c>
      <c r="AZ48" s="13" t="e">
        <f t="shared" ref="AZ48" si="120">SUM(AZ45:AZ47)</f>
        <v>#REF!</v>
      </c>
      <c r="BA48" s="13" t="e">
        <f t="shared" ref="BA48" si="121">SUM(BA45:BA47)</f>
        <v>#REF!</v>
      </c>
      <c r="BB48" s="13" t="e">
        <f t="shared" ref="BB48" si="122">SUM(BB45:BB47)</f>
        <v>#REF!</v>
      </c>
      <c r="BC48" s="13" t="e">
        <f t="shared" ref="BC48" si="123">SUM(BC45:BC47)</f>
        <v>#REF!</v>
      </c>
      <c r="BD48" s="13" t="e">
        <f t="shared" ref="BD48" si="124">SUM(BD45:BD47)</f>
        <v>#REF!</v>
      </c>
      <c r="BE48" s="13" t="e">
        <f t="shared" ref="BE48" si="125">SUM(BE45:BE47)</f>
        <v>#REF!</v>
      </c>
      <c r="BF48" s="13" t="e">
        <f t="shared" ref="BF48" si="126">SUM(BF45:BF47)</f>
        <v>#REF!</v>
      </c>
      <c r="BG48" s="13" t="e">
        <f t="shared" ref="BG48" si="127">SUM(BG45:BG47)</f>
        <v>#REF!</v>
      </c>
      <c r="BH48" s="13" t="e">
        <f t="shared" ref="BH48" si="128">SUM(BH45:BH47)</f>
        <v>#REF!</v>
      </c>
      <c r="BI48" s="13" t="e">
        <f t="shared" ref="BI48" si="129">SUM(BI45:BI47)</f>
        <v>#REF!</v>
      </c>
      <c r="BJ48" s="13" t="e">
        <f t="shared" ref="BJ48" si="130">SUM(BJ45:BJ47)</f>
        <v>#REF!</v>
      </c>
      <c r="BK48"/>
      <c r="BL48" s="5"/>
    </row>
    <row r="49" spans="1:64">
      <c r="A49"/>
      <c r="B49"/>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c r="BL49" s="5"/>
    </row>
    <row r="50" spans="1:64">
      <c r="A50"/>
      <c r="B50" t="s">
        <v>450</v>
      </c>
      <c r="C50" s="14">
        <v>0</v>
      </c>
      <c r="D50" s="14">
        <f>+C55</f>
        <v>0</v>
      </c>
      <c r="E50" s="14" t="e">
        <f t="shared" ref="E50:BJ50" si="131">+D55</f>
        <v>#REF!</v>
      </c>
      <c r="F50" s="14" t="e">
        <f t="shared" si="131"/>
        <v>#REF!</v>
      </c>
      <c r="G50" s="14" t="e">
        <f t="shared" si="131"/>
        <v>#REF!</v>
      </c>
      <c r="H50" s="14" t="e">
        <f t="shared" si="131"/>
        <v>#REF!</v>
      </c>
      <c r="I50" s="14" t="e">
        <f t="shared" si="131"/>
        <v>#REF!</v>
      </c>
      <c r="J50" s="14" t="e">
        <f t="shared" si="131"/>
        <v>#REF!</v>
      </c>
      <c r="K50" s="14" t="e">
        <f t="shared" si="131"/>
        <v>#REF!</v>
      </c>
      <c r="L50" s="14" t="e">
        <f t="shared" si="131"/>
        <v>#REF!</v>
      </c>
      <c r="M50" s="14" t="e">
        <f t="shared" si="131"/>
        <v>#REF!</v>
      </c>
      <c r="N50" s="14" t="e">
        <f t="shared" si="131"/>
        <v>#REF!</v>
      </c>
      <c r="O50" s="14" t="e">
        <f t="shared" si="131"/>
        <v>#REF!</v>
      </c>
      <c r="P50" s="14" t="e">
        <f t="shared" si="131"/>
        <v>#REF!</v>
      </c>
      <c r="Q50" s="14" t="e">
        <f t="shared" si="131"/>
        <v>#REF!</v>
      </c>
      <c r="R50" s="14" t="e">
        <f t="shared" si="131"/>
        <v>#REF!</v>
      </c>
      <c r="S50" s="14" t="e">
        <f t="shared" si="131"/>
        <v>#REF!</v>
      </c>
      <c r="T50" s="14" t="e">
        <f t="shared" si="131"/>
        <v>#REF!</v>
      </c>
      <c r="U50" s="14" t="e">
        <f t="shared" si="131"/>
        <v>#REF!</v>
      </c>
      <c r="V50" s="14" t="e">
        <f t="shared" si="131"/>
        <v>#REF!</v>
      </c>
      <c r="W50" s="14" t="e">
        <f t="shared" si="131"/>
        <v>#REF!</v>
      </c>
      <c r="X50" s="14" t="e">
        <f t="shared" si="131"/>
        <v>#REF!</v>
      </c>
      <c r="Y50" s="14" t="e">
        <f t="shared" si="131"/>
        <v>#REF!</v>
      </c>
      <c r="Z50" s="14" t="e">
        <f t="shared" si="131"/>
        <v>#REF!</v>
      </c>
      <c r="AA50" s="14" t="e">
        <f t="shared" si="131"/>
        <v>#REF!</v>
      </c>
      <c r="AB50" s="14" t="e">
        <f t="shared" si="131"/>
        <v>#REF!</v>
      </c>
      <c r="AC50" s="14" t="e">
        <f t="shared" si="131"/>
        <v>#REF!</v>
      </c>
      <c r="AD50" s="14" t="e">
        <f t="shared" si="131"/>
        <v>#REF!</v>
      </c>
      <c r="AE50" s="14" t="e">
        <f t="shared" si="131"/>
        <v>#REF!</v>
      </c>
      <c r="AF50" s="14" t="e">
        <f t="shared" si="131"/>
        <v>#REF!</v>
      </c>
      <c r="AG50" s="14" t="e">
        <f t="shared" si="131"/>
        <v>#REF!</v>
      </c>
      <c r="AH50" s="14" t="e">
        <f t="shared" si="131"/>
        <v>#REF!</v>
      </c>
      <c r="AI50" s="14" t="e">
        <f t="shared" si="131"/>
        <v>#REF!</v>
      </c>
      <c r="AJ50" s="14" t="e">
        <f t="shared" si="131"/>
        <v>#REF!</v>
      </c>
      <c r="AK50" s="14" t="e">
        <f t="shared" si="131"/>
        <v>#REF!</v>
      </c>
      <c r="AL50" s="14" t="e">
        <f t="shared" si="131"/>
        <v>#REF!</v>
      </c>
      <c r="AM50" s="14" t="e">
        <f t="shared" si="131"/>
        <v>#REF!</v>
      </c>
      <c r="AN50" s="14" t="e">
        <f t="shared" si="131"/>
        <v>#REF!</v>
      </c>
      <c r="AO50" s="14" t="e">
        <f t="shared" si="131"/>
        <v>#REF!</v>
      </c>
      <c r="AP50" s="14" t="e">
        <f t="shared" si="131"/>
        <v>#REF!</v>
      </c>
      <c r="AQ50" s="14" t="e">
        <f t="shared" si="131"/>
        <v>#REF!</v>
      </c>
      <c r="AR50" s="14" t="e">
        <f t="shared" si="131"/>
        <v>#REF!</v>
      </c>
      <c r="AS50" s="14" t="e">
        <f t="shared" si="131"/>
        <v>#REF!</v>
      </c>
      <c r="AT50" s="14" t="e">
        <f t="shared" si="131"/>
        <v>#REF!</v>
      </c>
      <c r="AU50" s="14" t="e">
        <f t="shared" si="131"/>
        <v>#REF!</v>
      </c>
      <c r="AV50" s="14" t="e">
        <f t="shared" si="131"/>
        <v>#REF!</v>
      </c>
      <c r="AW50" s="14" t="e">
        <f t="shared" si="131"/>
        <v>#REF!</v>
      </c>
      <c r="AX50" s="14" t="e">
        <f t="shared" si="131"/>
        <v>#REF!</v>
      </c>
      <c r="AY50" s="14" t="e">
        <f t="shared" si="131"/>
        <v>#REF!</v>
      </c>
      <c r="AZ50" s="14" t="e">
        <f t="shared" si="131"/>
        <v>#REF!</v>
      </c>
      <c r="BA50" s="14" t="e">
        <f t="shared" si="131"/>
        <v>#REF!</v>
      </c>
      <c r="BB50" s="14" t="e">
        <f t="shared" si="131"/>
        <v>#REF!</v>
      </c>
      <c r="BC50" s="14" t="e">
        <f t="shared" si="131"/>
        <v>#REF!</v>
      </c>
      <c r="BD50" s="14" t="e">
        <f t="shared" si="131"/>
        <v>#REF!</v>
      </c>
      <c r="BE50" s="14" t="e">
        <f t="shared" si="131"/>
        <v>#REF!</v>
      </c>
      <c r="BF50" s="14" t="e">
        <f t="shared" si="131"/>
        <v>#REF!</v>
      </c>
      <c r="BG50" s="14" t="e">
        <f t="shared" si="131"/>
        <v>#REF!</v>
      </c>
      <c r="BH50" s="14" t="e">
        <f t="shared" si="131"/>
        <v>#REF!</v>
      </c>
      <c r="BI50" s="14" t="e">
        <f t="shared" si="131"/>
        <v>#REF!</v>
      </c>
      <c r="BJ50" s="14" t="e">
        <f t="shared" si="131"/>
        <v>#REF!</v>
      </c>
      <c r="BK50"/>
      <c r="BL50" s="5"/>
    </row>
    <row r="51" spans="1:64">
      <c r="A51"/>
      <c r="B51" t="s">
        <v>351</v>
      </c>
      <c r="C51" s="31">
        <f>+C46</f>
        <v>0</v>
      </c>
      <c r="D51" s="31">
        <f t="shared" ref="D51:BJ51" si="132">+D46</f>
        <v>0</v>
      </c>
      <c r="E51" s="31">
        <f t="shared" si="132"/>
        <v>0</v>
      </c>
      <c r="F51" s="31">
        <f t="shared" si="132"/>
        <v>0</v>
      </c>
      <c r="G51" s="31">
        <f t="shared" si="132"/>
        <v>0</v>
      </c>
      <c r="H51" s="31">
        <f t="shared" si="132"/>
        <v>0</v>
      </c>
      <c r="I51" s="31">
        <f t="shared" si="132"/>
        <v>0</v>
      </c>
      <c r="J51" s="31">
        <f t="shared" si="132"/>
        <v>0</v>
      </c>
      <c r="K51" s="31">
        <f t="shared" si="132"/>
        <v>0</v>
      </c>
      <c r="L51" s="31">
        <f t="shared" si="132"/>
        <v>0</v>
      </c>
      <c r="M51" s="31">
        <f t="shared" si="132"/>
        <v>0</v>
      </c>
      <c r="N51" s="31">
        <f t="shared" si="132"/>
        <v>0</v>
      </c>
      <c r="O51" s="31">
        <f t="shared" si="132"/>
        <v>0</v>
      </c>
      <c r="P51" s="31">
        <f t="shared" si="132"/>
        <v>0</v>
      </c>
      <c r="Q51" s="31">
        <f t="shared" si="132"/>
        <v>0</v>
      </c>
      <c r="R51" s="31">
        <f t="shared" si="132"/>
        <v>0</v>
      </c>
      <c r="S51" s="31">
        <f t="shared" si="132"/>
        <v>0</v>
      </c>
      <c r="T51" s="31">
        <f t="shared" si="132"/>
        <v>0</v>
      </c>
      <c r="U51" s="31">
        <f t="shared" si="132"/>
        <v>0</v>
      </c>
      <c r="V51" s="31">
        <f t="shared" si="132"/>
        <v>0</v>
      </c>
      <c r="W51" s="31">
        <f t="shared" si="132"/>
        <v>0</v>
      </c>
      <c r="X51" s="31">
        <f t="shared" si="132"/>
        <v>0</v>
      </c>
      <c r="Y51" s="31">
        <f t="shared" si="132"/>
        <v>0</v>
      </c>
      <c r="Z51" s="31">
        <f t="shared" si="132"/>
        <v>0</v>
      </c>
      <c r="AA51" s="31">
        <f t="shared" si="132"/>
        <v>0</v>
      </c>
      <c r="AB51" s="31">
        <f t="shared" si="132"/>
        <v>0</v>
      </c>
      <c r="AC51" s="31">
        <f t="shared" si="132"/>
        <v>0</v>
      </c>
      <c r="AD51" s="31">
        <f t="shared" si="132"/>
        <v>0</v>
      </c>
      <c r="AE51" s="31">
        <f t="shared" si="132"/>
        <v>0</v>
      </c>
      <c r="AF51" s="31">
        <f t="shared" si="132"/>
        <v>0</v>
      </c>
      <c r="AG51" s="31">
        <f t="shared" si="132"/>
        <v>0</v>
      </c>
      <c r="AH51" s="31">
        <f t="shared" si="132"/>
        <v>0</v>
      </c>
      <c r="AI51" s="31">
        <f t="shared" si="132"/>
        <v>0</v>
      </c>
      <c r="AJ51" s="31">
        <f t="shared" si="132"/>
        <v>0</v>
      </c>
      <c r="AK51" s="31">
        <f t="shared" si="132"/>
        <v>0</v>
      </c>
      <c r="AL51" s="31">
        <f t="shared" si="132"/>
        <v>0</v>
      </c>
      <c r="AM51" s="31">
        <f t="shared" si="132"/>
        <v>0</v>
      </c>
      <c r="AN51" s="31">
        <f t="shared" si="132"/>
        <v>0</v>
      </c>
      <c r="AO51" s="31">
        <f t="shared" si="132"/>
        <v>0</v>
      </c>
      <c r="AP51" s="31">
        <f t="shared" si="132"/>
        <v>0</v>
      </c>
      <c r="AQ51" s="31">
        <f t="shared" si="132"/>
        <v>0</v>
      </c>
      <c r="AR51" s="31">
        <f t="shared" si="132"/>
        <v>0</v>
      </c>
      <c r="AS51" s="31">
        <f t="shared" si="132"/>
        <v>0</v>
      </c>
      <c r="AT51" s="31">
        <f t="shared" si="132"/>
        <v>0</v>
      </c>
      <c r="AU51" s="31">
        <f t="shared" si="132"/>
        <v>0</v>
      </c>
      <c r="AV51" s="31">
        <f t="shared" si="132"/>
        <v>0</v>
      </c>
      <c r="AW51" s="31">
        <f t="shared" si="132"/>
        <v>0</v>
      </c>
      <c r="AX51" s="31">
        <f t="shared" si="132"/>
        <v>0</v>
      </c>
      <c r="AY51" s="31">
        <f t="shared" si="132"/>
        <v>0</v>
      </c>
      <c r="AZ51" s="31">
        <f t="shared" si="132"/>
        <v>0</v>
      </c>
      <c r="BA51" s="31">
        <f t="shared" si="132"/>
        <v>0</v>
      </c>
      <c r="BB51" s="31">
        <f t="shared" si="132"/>
        <v>0</v>
      </c>
      <c r="BC51" s="31">
        <f t="shared" si="132"/>
        <v>0</v>
      </c>
      <c r="BD51" s="31">
        <f t="shared" si="132"/>
        <v>0</v>
      </c>
      <c r="BE51" s="31">
        <f t="shared" si="132"/>
        <v>0</v>
      </c>
      <c r="BF51" s="31">
        <f t="shared" si="132"/>
        <v>0</v>
      </c>
      <c r="BG51" s="31">
        <f t="shared" si="132"/>
        <v>0</v>
      </c>
      <c r="BH51" s="31">
        <f t="shared" si="132"/>
        <v>0</v>
      </c>
      <c r="BI51" s="31">
        <f t="shared" si="132"/>
        <v>0</v>
      </c>
      <c r="BJ51" s="31">
        <f t="shared" si="132"/>
        <v>0</v>
      </c>
      <c r="BK51"/>
      <c r="BL51" s="5"/>
    </row>
    <row r="52" spans="1:64">
      <c r="A52"/>
      <c r="B52" t="s">
        <v>377</v>
      </c>
      <c r="C52" s="31">
        <f>+C63</f>
        <v>0</v>
      </c>
      <c r="D52" s="31">
        <f t="shared" ref="D52:BJ52" si="133">+D63</f>
        <v>0</v>
      </c>
      <c r="E52" s="31">
        <f t="shared" si="133"/>
        <v>0</v>
      </c>
      <c r="F52" s="31">
        <f t="shared" si="133"/>
        <v>0</v>
      </c>
      <c r="G52" s="31">
        <f t="shared" si="133"/>
        <v>0</v>
      </c>
      <c r="H52" s="31">
        <f t="shared" si="133"/>
        <v>0</v>
      </c>
      <c r="I52" s="31">
        <f t="shared" si="133"/>
        <v>0</v>
      </c>
      <c r="J52" s="31">
        <f t="shared" si="133"/>
        <v>0</v>
      </c>
      <c r="K52" s="31">
        <f t="shared" si="133"/>
        <v>0</v>
      </c>
      <c r="L52" s="31">
        <f t="shared" si="133"/>
        <v>0</v>
      </c>
      <c r="M52" s="31">
        <f t="shared" si="133"/>
        <v>0</v>
      </c>
      <c r="N52" s="31">
        <f t="shared" si="133"/>
        <v>0</v>
      </c>
      <c r="O52" s="31">
        <f t="shared" si="133"/>
        <v>0</v>
      </c>
      <c r="P52" s="31">
        <f t="shared" si="133"/>
        <v>0</v>
      </c>
      <c r="Q52" s="31">
        <f t="shared" si="133"/>
        <v>0</v>
      </c>
      <c r="R52" s="31">
        <f t="shared" si="133"/>
        <v>0</v>
      </c>
      <c r="S52" s="31">
        <f t="shared" si="133"/>
        <v>0</v>
      </c>
      <c r="T52" s="31">
        <f t="shared" si="133"/>
        <v>0</v>
      </c>
      <c r="U52" s="31">
        <f t="shared" si="133"/>
        <v>0</v>
      </c>
      <c r="V52" s="31">
        <f t="shared" si="133"/>
        <v>0</v>
      </c>
      <c r="W52" s="31">
        <f t="shared" si="133"/>
        <v>0</v>
      </c>
      <c r="X52" s="31">
        <f t="shared" si="133"/>
        <v>0</v>
      </c>
      <c r="Y52" s="31">
        <f t="shared" si="133"/>
        <v>0</v>
      </c>
      <c r="Z52" s="31">
        <f t="shared" si="133"/>
        <v>0</v>
      </c>
      <c r="AA52" s="31">
        <f t="shared" si="133"/>
        <v>0</v>
      </c>
      <c r="AB52" s="31">
        <f t="shared" si="133"/>
        <v>0</v>
      </c>
      <c r="AC52" s="31">
        <f t="shared" si="133"/>
        <v>0</v>
      </c>
      <c r="AD52" s="31">
        <f t="shared" si="133"/>
        <v>0</v>
      </c>
      <c r="AE52" s="31">
        <f t="shared" si="133"/>
        <v>0</v>
      </c>
      <c r="AF52" s="31">
        <f t="shared" si="133"/>
        <v>0</v>
      </c>
      <c r="AG52" s="31">
        <f t="shared" si="133"/>
        <v>0</v>
      </c>
      <c r="AH52" s="31">
        <f t="shared" si="133"/>
        <v>0</v>
      </c>
      <c r="AI52" s="31">
        <f t="shared" si="133"/>
        <v>0</v>
      </c>
      <c r="AJ52" s="31">
        <f t="shared" si="133"/>
        <v>0</v>
      </c>
      <c r="AK52" s="31">
        <f t="shared" si="133"/>
        <v>0</v>
      </c>
      <c r="AL52" s="31">
        <f t="shared" si="133"/>
        <v>0</v>
      </c>
      <c r="AM52" s="31">
        <f t="shared" si="133"/>
        <v>0</v>
      </c>
      <c r="AN52" s="31">
        <f t="shared" si="133"/>
        <v>0</v>
      </c>
      <c r="AO52" s="31">
        <f t="shared" si="133"/>
        <v>0</v>
      </c>
      <c r="AP52" s="31">
        <f t="shared" si="133"/>
        <v>0</v>
      </c>
      <c r="AQ52" s="31">
        <f t="shared" si="133"/>
        <v>0</v>
      </c>
      <c r="AR52" s="31">
        <f t="shared" si="133"/>
        <v>0</v>
      </c>
      <c r="AS52" s="31">
        <f t="shared" si="133"/>
        <v>0</v>
      </c>
      <c r="AT52" s="31">
        <f t="shared" si="133"/>
        <v>0</v>
      </c>
      <c r="AU52" s="31">
        <f t="shared" si="133"/>
        <v>0</v>
      </c>
      <c r="AV52" s="31">
        <f t="shared" si="133"/>
        <v>0</v>
      </c>
      <c r="AW52" s="31">
        <f t="shared" si="133"/>
        <v>0</v>
      </c>
      <c r="AX52" s="31">
        <f t="shared" si="133"/>
        <v>0</v>
      </c>
      <c r="AY52" s="31">
        <f t="shared" si="133"/>
        <v>0</v>
      </c>
      <c r="AZ52" s="31">
        <f t="shared" si="133"/>
        <v>0</v>
      </c>
      <c r="BA52" s="31">
        <f t="shared" si="133"/>
        <v>0</v>
      </c>
      <c r="BB52" s="31">
        <f t="shared" si="133"/>
        <v>0</v>
      </c>
      <c r="BC52" s="31">
        <f t="shared" si="133"/>
        <v>0</v>
      </c>
      <c r="BD52" s="31">
        <f t="shared" si="133"/>
        <v>0</v>
      </c>
      <c r="BE52" s="31">
        <f t="shared" si="133"/>
        <v>0</v>
      </c>
      <c r="BF52" s="31">
        <f t="shared" si="133"/>
        <v>0</v>
      </c>
      <c r="BG52" s="31">
        <f t="shared" si="133"/>
        <v>0</v>
      </c>
      <c r="BH52" s="31">
        <f t="shared" si="133"/>
        <v>0</v>
      </c>
      <c r="BI52" s="31">
        <f t="shared" si="133"/>
        <v>0</v>
      </c>
      <c r="BJ52" s="31">
        <f t="shared" si="133"/>
        <v>0</v>
      </c>
      <c r="BK52"/>
      <c r="BL52" s="5"/>
    </row>
    <row r="53" spans="1:64">
      <c r="A53"/>
      <c r="B53" t="s">
        <v>352</v>
      </c>
      <c r="C53" s="31">
        <f>+C47</f>
        <v>0</v>
      </c>
      <c r="D53" s="31" t="e">
        <f t="shared" ref="D53:BJ53" si="134">+D47</f>
        <v>#REF!</v>
      </c>
      <c r="E53" s="31" t="e">
        <f t="shared" si="134"/>
        <v>#REF!</v>
      </c>
      <c r="F53" s="31" t="e">
        <f t="shared" si="134"/>
        <v>#REF!</v>
      </c>
      <c r="G53" s="31" t="e">
        <f t="shared" si="134"/>
        <v>#REF!</v>
      </c>
      <c r="H53" s="31" t="e">
        <f t="shared" si="134"/>
        <v>#REF!</v>
      </c>
      <c r="I53" s="31" t="e">
        <f t="shared" si="134"/>
        <v>#REF!</v>
      </c>
      <c r="J53" s="31" t="e">
        <f t="shared" si="134"/>
        <v>#REF!</v>
      </c>
      <c r="K53" s="31" t="e">
        <f t="shared" si="134"/>
        <v>#REF!</v>
      </c>
      <c r="L53" s="31" t="e">
        <f t="shared" si="134"/>
        <v>#REF!</v>
      </c>
      <c r="M53" s="31" t="e">
        <f t="shared" si="134"/>
        <v>#REF!</v>
      </c>
      <c r="N53" s="31" t="e">
        <f t="shared" si="134"/>
        <v>#REF!</v>
      </c>
      <c r="O53" s="31" t="e">
        <f t="shared" si="134"/>
        <v>#REF!</v>
      </c>
      <c r="P53" s="31" t="e">
        <f t="shared" si="134"/>
        <v>#REF!</v>
      </c>
      <c r="Q53" s="31" t="e">
        <f t="shared" si="134"/>
        <v>#REF!</v>
      </c>
      <c r="R53" s="31" t="e">
        <f t="shared" si="134"/>
        <v>#REF!</v>
      </c>
      <c r="S53" s="31" t="e">
        <f t="shared" si="134"/>
        <v>#REF!</v>
      </c>
      <c r="T53" s="31" t="e">
        <f t="shared" si="134"/>
        <v>#REF!</v>
      </c>
      <c r="U53" s="31" t="e">
        <f t="shared" si="134"/>
        <v>#REF!</v>
      </c>
      <c r="V53" s="31" t="e">
        <f t="shared" si="134"/>
        <v>#REF!</v>
      </c>
      <c r="W53" s="31" t="e">
        <f t="shared" si="134"/>
        <v>#REF!</v>
      </c>
      <c r="X53" s="31" t="e">
        <f t="shared" si="134"/>
        <v>#REF!</v>
      </c>
      <c r="Y53" s="31" t="e">
        <f t="shared" si="134"/>
        <v>#REF!</v>
      </c>
      <c r="Z53" s="31" t="e">
        <f t="shared" si="134"/>
        <v>#REF!</v>
      </c>
      <c r="AA53" s="31" t="e">
        <f t="shared" si="134"/>
        <v>#REF!</v>
      </c>
      <c r="AB53" s="31" t="e">
        <f t="shared" si="134"/>
        <v>#REF!</v>
      </c>
      <c r="AC53" s="31" t="e">
        <f t="shared" si="134"/>
        <v>#REF!</v>
      </c>
      <c r="AD53" s="31" t="e">
        <f t="shared" si="134"/>
        <v>#REF!</v>
      </c>
      <c r="AE53" s="31" t="e">
        <f t="shared" si="134"/>
        <v>#REF!</v>
      </c>
      <c r="AF53" s="31" t="e">
        <f t="shared" si="134"/>
        <v>#REF!</v>
      </c>
      <c r="AG53" s="31" t="e">
        <f t="shared" si="134"/>
        <v>#REF!</v>
      </c>
      <c r="AH53" s="31" t="e">
        <f t="shared" si="134"/>
        <v>#REF!</v>
      </c>
      <c r="AI53" s="31" t="e">
        <f t="shared" si="134"/>
        <v>#REF!</v>
      </c>
      <c r="AJ53" s="31" t="e">
        <f t="shared" si="134"/>
        <v>#REF!</v>
      </c>
      <c r="AK53" s="31" t="e">
        <f t="shared" si="134"/>
        <v>#REF!</v>
      </c>
      <c r="AL53" s="31" t="e">
        <f t="shared" si="134"/>
        <v>#REF!</v>
      </c>
      <c r="AM53" s="31" t="e">
        <f t="shared" si="134"/>
        <v>#REF!</v>
      </c>
      <c r="AN53" s="31" t="e">
        <f t="shared" si="134"/>
        <v>#REF!</v>
      </c>
      <c r="AO53" s="31" t="e">
        <f t="shared" si="134"/>
        <v>#REF!</v>
      </c>
      <c r="AP53" s="31" t="e">
        <f t="shared" si="134"/>
        <v>#REF!</v>
      </c>
      <c r="AQ53" s="31" t="e">
        <f t="shared" si="134"/>
        <v>#REF!</v>
      </c>
      <c r="AR53" s="31" t="e">
        <f t="shared" si="134"/>
        <v>#REF!</v>
      </c>
      <c r="AS53" s="31" t="e">
        <f t="shared" si="134"/>
        <v>#REF!</v>
      </c>
      <c r="AT53" s="31" t="e">
        <f t="shared" si="134"/>
        <v>#REF!</v>
      </c>
      <c r="AU53" s="31" t="e">
        <f t="shared" si="134"/>
        <v>#REF!</v>
      </c>
      <c r="AV53" s="31" t="e">
        <f t="shared" si="134"/>
        <v>#REF!</v>
      </c>
      <c r="AW53" s="31" t="e">
        <f t="shared" si="134"/>
        <v>#REF!</v>
      </c>
      <c r="AX53" s="31" t="e">
        <f t="shared" si="134"/>
        <v>#REF!</v>
      </c>
      <c r="AY53" s="31" t="e">
        <f t="shared" si="134"/>
        <v>#REF!</v>
      </c>
      <c r="AZ53" s="31" t="e">
        <f t="shared" si="134"/>
        <v>#REF!</v>
      </c>
      <c r="BA53" s="31" t="e">
        <f t="shared" si="134"/>
        <v>#REF!</v>
      </c>
      <c r="BB53" s="31" t="e">
        <f t="shared" si="134"/>
        <v>#REF!</v>
      </c>
      <c r="BC53" s="31" t="e">
        <f t="shared" si="134"/>
        <v>#REF!</v>
      </c>
      <c r="BD53" s="31" t="e">
        <f t="shared" si="134"/>
        <v>#REF!</v>
      </c>
      <c r="BE53" s="31" t="e">
        <f t="shared" si="134"/>
        <v>#REF!</v>
      </c>
      <c r="BF53" s="31" t="e">
        <f t="shared" si="134"/>
        <v>#REF!</v>
      </c>
      <c r="BG53" s="31" t="e">
        <f t="shared" si="134"/>
        <v>#REF!</v>
      </c>
      <c r="BH53" s="31" t="e">
        <f t="shared" si="134"/>
        <v>#REF!</v>
      </c>
      <c r="BI53" s="31" t="e">
        <f t="shared" si="134"/>
        <v>#REF!</v>
      </c>
      <c r="BJ53" s="31" t="e">
        <f t="shared" si="134"/>
        <v>#REF!</v>
      </c>
      <c r="BK53"/>
      <c r="BL53" s="5"/>
    </row>
    <row r="54" spans="1:64">
      <c r="A54"/>
      <c r="B54" t="s">
        <v>378</v>
      </c>
      <c r="C54" s="31">
        <f>+C64</f>
        <v>0</v>
      </c>
      <c r="D54" s="31" t="e">
        <f t="shared" ref="D54:BJ54" si="135">+D64</f>
        <v>#REF!</v>
      </c>
      <c r="E54" s="31" t="e">
        <f t="shared" si="135"/>
        <v>#REF!</v>
      </c>
      <c r="F54" s="31" t="e">
        <f t="shared" si="135"/>
        <v>#REF!</v>
      </c>
      <c r="G54" s="31" t="e">
        <f t="shared" si="135"/>
        <v>#REF!</v>
      </c>
      <c r="H54" s="31" t="e">
        <f t="shared" si="135"/>
        <v>#REF!</v>
      </c>
      <c r="I54" s="31" t="e">
        <f t="shared" si="135"/>
        <v>#REF!</v>
      </c>
      <c r="J54" s="31" t="e">
        <f t="shared" si="135"/>
        <v>#REF!</v>
      </c>
      <c r="K54" s="31" t="e">
        <f t="shared" si="135"/>
        <v>#REF!</v>
      </c>
      <c r="L54" s="31" t="e">
        <f t="shared" si="135"/>
        <v>#REF!</v>
      </c>
      <c r="M54" s="31" t="e">
        <f t="shared" si="135"/>
        <v>#REF!</v>
      </c>
      <c r="N54" s="31" t="e">
        <f t="shared" si="135"/>
        <v>#REF!</v>
      </c>
      <c r="O54" s="31" t="e">
        <f t="shared" si="135"/>
        <v>#REF!</v>
      </c>
      <c r="P54" s="31" t="e">
        <f t="shared" si="135"/>
        <v>#REF!</v>
      </c>
      <c r="Q54" s="31" t="e">
        <f t="shared" si="135"/>
        <v>#REF!</v>
      </c>
      <c r="R54" s="31" t="e">
        <f t="shared" si="135"/>
        <v>#REF!</v>
      </c>
      <c r="S54" s="31" t="e">
        <f t="shared" si="135"/>
        <v>#REF!</v>
      </c>
      <c r="T54" s="31" t="e">
        <f t="shared" si="135"/>
        <v>#REF!</v>
      </c>
      <c r="U54" s="31" t="e">
        <f t="shared" si="135"/>
        <v>#REF!</v>
      </c>
      <c r="V54" s="31" t="e">
        <f t="shared" si="135"/>
        <v>#REF!</v>
      </c>
      <c r="W54" s="31" t="e">
        <f t="shared" si="135"/>
        <v>#REF!</v>
      </c>
      <c r="X54" s="31" t="e">
        <f t="shared" si="135"/>
        <v>#REF!</v>
      </c>
      <c r="Y54" s="31" t="e">
        <f t="shared" si="135"/>
        <v>#REF!</v>
      </c>
      <c r="Z54" s="31" t="e">
        <f t="shared" si="135"/>
        <v>#REF!</v>
      </c>
      <c r="AA54" s="31" t="e">
        <f t="shared" si="135"/>
        <v>#REF!</v>
      </c>
      <c r="AB54" s="31" t="e">
        <f t="shared" si="135"/>
        <v>#REF!</v>
      </c>
      <c r="AC54" s="31" t="e">
        <f t="shared" si="135"/>
        <v>#REF!</v>
      </c>
      <c r="AD54" s="31" t="e">
        <f t="shared" si="135"/>
        <v>#REF!</v>
      </c>
      <c r="AE54" s="31" t="e">
        <f t="shared" si="135"/>
        <v>#REF!</v>
      </c>
      <c r="AF54" s="31" t="e">
        <f t="shared" si="135"/>
        <v>#REF!</v>
      </c>
      <c r="AG54" s="31" t="e">
        <f t="shared" si="135"/>
        <v>#REF!</v>
      </c>
      <c r="AH54" s="31" t="e">
        <f t="shared" si="135"/>
        <v>#REF!</v>
      </c>
      <c r="AI54" s="31" t="e">
        <f t="shared" si="135"/>
        <v>#REF!</v>
      </c>
      <c r="AJ54" s="31" t="e">
        <f t="shared" si="135"/>
        <v>#REF!</v>
      </c>
      <c r="AK54" s="31" t="e">
        <f t="shared" si="135"/>
        <v>#REF!</v>
      </c>
      <c r="AL54" s="31" t="e">
        <f t="shared" si="135"/>
        <v>#REF!</v>
      </c>
      <c r="AM54" s="31" t="e">
        <f t="shared" si="135"/>
        <v>#REF!</v>
      </c>
      <c r="AN54" s="31" t="e">
        <f t="shared" si="135"/>
        <v>#REF!</v>
      </c>
      <c r="AO54" s="31" t="e">
        <f t="shared" si="135"/>
        <v>#REF!</v>
      </c>
      <c r="AP54" s="31" t="e">
        <f t="shared" si="135"/>
        <v>#REF!</v>
      </c>
      <c r="AQ54" s="31" t="e">
        <f t="shared" si="135"/>
        <v>#REF!</v>
      </c>
      <c r="AR54" s="31" t="e">
        <f t="shared" si="135"/>
        <v>#REF!</v>
      </c>
      <c r="AS54" s="31" t="e">
        <f t="shared" si="135"/>
        <v>#REF!</v>
      </c>
      <c r="AT54" s="31" t="e">
        <f t="shared" si="135"/>
        <v>#REF!</v>
      </c>
      <c r="AU54" s="31" t="e">
        <f t="shared" si="135"/>
        <v>#REF!</v>
      </c>
      <c r="AV54" s="31" t="e">
        <f t="shared" si="135"/>
        <v>#REF!</v>
      </c>
      <c r="AW54" s="31" t="e">
        <f t="shared" si="135"/>
        <v>#REF!</v>
      </c>
      <c r="AX54" s="31" t="e">
        <f t="shared" si="135"/>
        <v>#REF!</v>
      </c>
      <c r="AY54" s="31" t="e">
        <f t="shared" si="135"/>
        <v>#REF!</v>
      </c>
      <c r="AZ54" s="31" t="e">
        <f t="shared" si="135"/>
        <v>#REF!</v>
      </c>
      <c r="BA54" s="31" t="e">
        <f t="shared" si="135"/>
        <v>#REF!</v>
      </c>
      <c r="BB54" s="31" t="e">
        <f t="shared" si="135"/>
        <v>#REF!</v>
      </c>
      <c r="BC54" s="31" t="e">
        <f t="shared" si="135"/>
        <v>#REF!</v>
      </c>
      <c r="BD54" s="31" t="e">
        <f t="shared" si="135"/>
        <v>#REF!</v>
      </c>
      <c r="BE54" s="31" t="e">
        <f t="shared" si="135"/>
        <v>#REF!</v>
      </c>
      <c r="BF54" s="31" t="e">
        <f t="shared" si="135"/>
        <v>#REF!</v>
      </c>
      <c r="BG54" s="31" t="e">
        <f t="shared" si="135"/>
        <v>#REF!</v>
      </c>
      <c r="BH54" s="31" t="e">
        <f t="shared" si="135"/>
        <v>#REF!</v>
      </c>
      <c r="BI54" s="31" t="e">
        <f t="shared" si="135"/>
        <v>#REF!</v>
      </c>
      <c r="BJ54" s="31" t="e">
        <f t="shared" si="135"/>
        <v>#REF!</v>
      </c>
      <c r="BK54"/>
      <c r="BL54" s="5"/>
    </row>
    <row r="55" spans="1:64">
      <c r="A55"/>
      <c r="B55" s="3" t="s">
        <v>451</v>
      </c>
      <c r="C55" s="118">
        <f>SUM(C50:C54)</f>
        <v>0</v>
      </c>
      <c r="D55" s="118" t="e">
        <f t="shared" ref="D55:BJ55" si="136">SUM(D50:D54)</f>
        <v>#REF!</v>
      </c>
      <c r="E55" s="118" t="e">
        <f t="shared" si="136"/>
        <v>#REF!</v>
      </c>
      <c r="F55" s="118" t="e">
        <f t="shared" si="136"/>
        <v>#REF!</v>
      </c>
      <c r="G55" s="118" t="e">
        <f t="shared" si="136"/>
        <v>#REF!</v>
      </c>
      <c r="H55" s="118" t="e">
        <f t="shared" si="136"/>
        <v>#REF!</v>
      </c>
      <c r="I55" s="118" t="e">
        <f t="shared" si="136"/>
        <v>#REF!</v>
      </c>
      <c r="J55" s="118" t="e">
        <f t="shared" si="136"/>
        <v>#REF!</v>
      </c>
      <c r="K55" s="118" t="e">
        <f t="shared" si="136"/>
        <v>#REF!</v>
      </c>
      <c r="L55" s="118" t="e">
        <f t="shared" si="136"/>
        <v>#REF!</v>
      </c>
      <c r="M55" s="118" t="e">
        <f t="shared" si="136"/>
        <v>#REF!</v>
      </c>
      <c r="N55" s="118" t="e">
        <f t="shared" si="136"/>
        <v>#REF!</v>
      </c>
      <c r="O55" s="118" t="e">
        <f t="shared" si="136"/>
        <v>#REF!</v>
      </c>
      <c r="P55" s="118" t="e">
        <f t="shared" si="136"/>
        <v>#REF!</v>
      </c>
      <c r="Q55" s="118" t="e">
        <f t="shared" si="136"/>
        <v>#REF!</v>
      </c>
      <c r="R55" s="118" t="e">
        <f t="shared" si="136"/>
        <v>#REF!</v>
      </c>
      <c r="S55" s="118" t="e">
        <f t="shared" si="136"/>
        <v>#REF!</v>
      </c>
      <c r="T55" s="118" t="e">
        <f t="shared" si="136"/>
        <v>#REF!</v>
      </c>
      <c r="U55" s="118" t="e">
        <f t="shared" si="136"/>
        <v>#REF!</v>
      </c>
      <c r="V55" s="118" t="e">
        <f t="shared" si="136"/>
        <v>#REF!</v>
      </c>
      <c r="W55" s="118" t="e">
        <f t="shared" si="136"/>
        <v>#REF!</v>
      </c>
      <c r="X55" s="118" t="e">
        <f t="shared" si="136"/>
        <v>#REF!</v>
      </c>
      <c r="Y55" s="118" t="e">
        <f t="shared" si="136"/>
        <v>#REF!</v>
      </c>
      <c r="Z55" s="118" t="e">
        <f t="shared" si="136"/>
        <v>#REF!</v>
      </c>
      <c r="AA55" s="118" t="e">
        <f t="shared" si="136"/>
        <v>#REF!</v>
      </c>
      <c r="AB55" s="118" t="e">
        <f t="shared" si="136"/>
        <v>#REF!</v>
      </c>
      <c r="AC55" s="118" t="e">
        <f t="shared" si="136"/>
        <v>#REF!</v>
      </c>
      <c r="AD55" s="118" t="e">
        <f t="shared" si="136"/>
        <v>#REF!</v>
      </c>
      <c r="AE55" s="118" t="e">
        <f t="shared" si="136"/>
        <v>#REF!</v>
      </c>
      <c r="AF55" s="118" t="e">
        <f t="shared" si="136"/>
        <v>#REF!</v>
      </c>
      <c r="AG55" s="118" t="e">
        <f t="shared" si="136"/>
        <v>#REF!</v>
      </c>
      <c r="AH55" s="118" t="e">
        <f t="shared" si="136"/>
        <v>#REF!</v>
      </c>
      <c r="AI55" s="118" t="e">
        <f t="shared" si="136"/>
        <v>#REF!</v>
      </c>
      <c r="AJ55" s="118" t="e">
        <f t="shared" si="136"/>
        <v>#REF!</v>
      </c>
      <c r="AK55" s="118" t="e">
        <f t="shared" si="136"/>
        <v>#REF!</v>
      </c>
      <c r="AL55" s="118" t="e">
        <f t="shared" si="136"/>
        <v>#REF!</v>
      </c>
      <c r="AM55" s="118" t="e">
        <f t="shared" si="136"/>
        <v>#REF!</v>
      </c>
      <c r="AN55" s="118" t="e">
        <f t="shared" si="136"/>
        <v>#REF!</v>
      </c>
      <c r="AO55" s="118" t="e">
        <f t="shared" si="136"/>
        <v>#REF!</v>
      </c>
      <c r="AP55" s="118" t="e">
        <f t="shared" si="136"/>
        <v>#REF!</v>
      </c>
      <c r="AQ55" s="118" t="e">
        <f t="shared" si="136"/>
        <v>#REF!</v>
      </c>
      <c r="AR55" s="118" t="e">
        <f t="shared" si="136"/>
        <v>#REF!</v>
      </c>
      <c r="AS55" s="118" t="e">
        <f t="shared" si="136"/>
        <v>#REF!</v>
      </c>
      <c r="AT55" s="118" t="e">
        <f t="shared" si="136"/>
        <v>#REF!</v>
      </c>
      <c r="AU55" s="118" t="e">
        <f t="shared" si="136"/>
        <v>#REF!</v>
      </c>
      <c r="AV55" s="118" t="e">
        <f t="shared" si="136"/>
        <v>#REF!</v>
      </c>
      <c r="AW55" s="118" t="e">
        <f t="shared" si="136"/>
        <v>#REF!</v>
      </c>
      <c r="AX55" s="118" t="e">
        <f t="shared" si="136"/>
        <v>#REF!</v>
      </c>
      <c r="AY55" s="118" t="e">
        <f t="shared" si="136"/>
        <v>#REF!</v>
      </c>
      <c r="AZ55" s="118" t="e">
        <f t="shared" si="136"/>
        <v>#REF!</v>
      </c>
      <c r="BA55" s="118" t="e">
        <f t="shared" si="136"/>
        <v>#REF!</v>
      </c>
      <c r="BB55" s="118" t="e">
        <f t="shared" si="136"/>
        <v>#REF!</v>
      </c>
      <c r="BC55" s="118" t="e">
        <f t="shared" si="136"/>
        <v>#REF!</v>
      </c>
      <c r="BD55" s="118" t="e">
        <f t="shared" si="136"/>
        <v>#REF!</v>
      </c>
      <c r="BE55" s="118" t="e">
        <f t="shared" si="136"/>
        <v>#REF!</v>
      </c>
      <c r="BF55" s="118" t="e">
        <f t="shared" si="136"/>
        <v>#REF!</v>
      </c>
      <c r="BG55" s="118" t="e">
        <f t="shared" si="136"/>
        <v>#REF!</v>
      </c>
      <c r="BH55" s="118" t="e">
        <f t="shared" si="136"/>
        <v>#REF!</v>
      </c>
      <c r="BI55" s="118" t="e">
        <f t="shared" si="136"/>
        <v>#REF!</v>
      </c>
      <c r="BJ55" s="118" t="e">
        <f t="shared" si="136"/>
        <v>#REF!</v>
      </c>
      <c r="BK55"/>
      <c r="BL55" s="5"/>
    </row>
    <row r="56" spans="1:64">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s="5"/>
    </row>
    <row r="57" spans="1:64">
      <c r="A57"/>
      <c r="B57" t="s">
        <v>358</v>
      </c>
      <c r="C57" s="30">
        <f>-C47</f>
        <v>0</v>
      </c>
      <c r="D57" s="30" t="e">
        <f t="shared" ref="D57:BJ57" si="137">-D47</f>
        <v>#REF!</v>
      </c>
      <c r="E57" s="30" t="e">
        <f t="shared" si="137"/>
        <v>#REF!</v>
      </c>
      <c r="F57" s="30" t="e">
        <f t="shared" si="137"/>
        <v>#REF!</v>
      </c>
      <c r="G57" s="30" t="e">
        <f t="shared" si="137"/>
        <v>#REF!</v>
      </c>
      <c r="H57" s="30" t="e">
        <f t="shared" si="137"/>
        <v>#REF!</v>
      </c>
      <c r="I57" s="30" t="e">
        <f t="shared" si="137"/>
        <v>#REF!</v>
      </c>
      <c r="J57" s="30" t="e">
        <f t="shared" si="137"/>
        <v>#REF!</v>
      </c>
      <c r="K57" s="30" t="e">
        <f t="shared" si="137"/>
        <v>#REF!</v>
      </c>
      <c r="L57" s="30" t="e">
        <f t="shared" si="137"/>
        <v>#REF!</v>
      </c>
      <c r="M57" s="30" t="e">
        <f t="shared" si="137"/>
        <v>#REF!</v>
      </c>
      <c r="N57" s="30" t="e">
        <f t="shared" si="137"/>
        <v>#REF!</v>
      </c>
      <c r="O57" s="30" t="e">
        <f t="shared" si="137"/>
        <v>#REF!</v>
      </c>
      <c r="P57" s="30" t="e">
        <f t="shared" si="137"/>
        <v>#REF!</v>
      </c>
      <c r="Q57" s="30" t="e">
        <f t="shared" si="137"/>
        <v>#REF!</v>
      </c>
      <c r="R57" s="30" t="e">
        <f t="shared" si="137"/>
        <v>#REF!</v>
      </c>
      <c r="S57" s="30" t="e">
        <f t="shared" si="137"/>
        <v>#REF!</v>
      </c>
      <c r="T57" s="30" t="e">
        <f t="shared" si="137"/>
        <v>#REF!</v>
      </c>
      <c r="U57" s="30" t="e">
        <f t="shared" si="137"/>
        <v>#REF!</v>
      </c>
      <c r="V57" s="30" t="e">
        <f t="shared" si="137"/>
        <v>#REF!</v>
      </c>
      <c r="W57" s="30" t="e">
        <f t="shared" si="137"/>
        <v>#REF!</v>
      </c>
      <c r="X57" s="30" t="e">
        <f t="shared" si="137"/>
        <v>#REF!</v>
      </c>
      <c r="Y57" s="30" t="e">
        <f t="shared" si="137"/>
        <v>#REF!</v>
      </c>
      <c r="Z57" s="30" t="e">
        <f t="shared" si="137"/>
        <v>#REF!</v>
      </c>
      <c r="AA57" s="30" t="e">
        <f t="shared" si="137"/>
        <v>#REF!</v>
      </c>
      <c r="AB57" s="30" t="e">
        <f t="shared" si="137"/>
        <v>#REF!</v>
      </c>
      <c r="AC57" s="30" t="e">
        <f t="shared" si="137"/>
        <v>#REF!</v>
      </c>
      <c r="AD57" s="30" t="e">
        <f t="shared" si="137"/>
        <v>#REF!</v>
      </c>
      <c r="AE57" s="30" t="e">
        <f t="shared" si="137"/>
        <v>#REF!</v>
      </c>
      <c r="AF57" s="30" t="e">
        <f t="shared" si="137"/>
        <v>#REF!</v>
      </c>
      <c r="AG57" s="30" t="e">
        <f t="shared" si="137"/>
        <v>#REF!</v>
      </c>
      <c r="AH57" s="30" t="e">
        <f t="shared" si="137"/>
        <v>#REF!</v>
      </c>
      <c r="AI57" s="30" t="e">
        <f t="shared" si="137"/>
        <v>#REF!</v>
      </c>
      <c r="AJ57" s="30" t="e">
        <f t="shared" si="137"/>
        <v>#REF!</v>
      </c>
      <c r="AK57" s="30" t="e">
        <f t="shared" si="137"/>
        <v>#REF!</v>
      </c>
      <c r="AL57" s="30" t="e">
        <f t="shared" si="137"/>
        <v>#REF!</v>
      </c>
      <c r="AM57" s="30" t="e">
        <f t="shared" si="137"/>
        <v>#REF!</v>
      </c>
      <c r="AN57" s="30" t="e">
        <f t="shared" si="137"/>
        <v>#REF!</v>
      </c>
      <c r="AO57" s="30" t="e">
        <f t="shared" si="137"/>
        <v>#REF!</v>
      </c>
      <c r="AP57" s="30" t="e">
        <f t="shared" si="137"/>
        <v>#REF!</v>
      </c>
      <c r="AQ57" s="30" t="e">
        <f t="shared" si="137"/>
        <v>#REF!</v>
      </c>
      <c r="AR57" s="30" t="e">
        <f t="shared" si="137"/>
        <v>#REF!</v>
      </c>
      <c r="AS57" s="30" t="e">
        <f t="shared" si="137"/>
        <v>#REF!</v>
      </c>
      <c r="AT57" s="30" t="e">
        <f t="shared" si="137"/>
        <v>#REF!</v>
      </c>
      <c r="AU57" s="30" t="e">
        <f t="shared" si="137"/>
        <v>#REF!</v>
      </c>
      <c r="AV57" s="30" t="e">
        <f t="shared" si="137"/>
        <v>#REF!</v>
      </c>
      <c r="AW57" s="30" t="e">
        <f t="shared" si="137"/>
        <v>#REF!</v>
      </c>
      <c r="AX57" s="30" t="e">
        <f t="shared" si="137"/>
        <v>#REF!</v>
      </c>
      <c r="AY57" s="30" t="e">
        <f t="shared" si="137"/>
        <v>#REF!</v>
      </c>
      <c r="AZ57" s="30" t="e">
        <f t="shared" si="137"/>
        <v>#REF!</v>
      </c>
      <c r="BA57" s="30" t="e">
        <f t="shared" si="137"/>
        <v>#REF!</v>
      </c>
      <c r="BB57" s="30" t="e">
        <f t="shared" si="137"/>
        <v>#REF!</v>
      </c>
      <c r="BC57" s="30" t="e">
        <f t="shared" si="137"/>
        <v>#REF!</v>
      </c>
      <c r="BD57" s="30" t="e">
        <f t="shared" si="137"/>
        <v>#REF!</v>
      </c>
      <c r="BE57" s="30" t="e">
        <f t="shared" si="137"/>
        <v>#REF!</v>
      </c>
      <c r="BF57" s="30" t="e">
        <f t="shared" si="137"/>
        <v>#REF!</v>
      </c>
      <c r="BG57" s="30" t="e">
        <f t="shared" si="137"/>
        <v>#REF!</v>
      </c>
      <c r="BH57" s="30" t="e">
        <f t="shared" si="137"/>
        <v>#REF!</v>
      </c>
      <c r="BI57" s="30" t="e">
        <f t="shared" si="137"/>
        <v>#REF!</v>
      </c>
      <c r="BJ57" s="30" t="e">
        <f t="shared" si="137"/>
        <v>#REF!</v>
      </c>
      <c r="BK57"/>
      <c r="BL57" s="5"/>
    </row>
    <row r="58" spans="1:64">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s="5"/>
    </row>
    <row r="59" spans="1:64">
      <c r="A59"/>
      <c r="B59" s="28" t="e">
        <f>TEXT($B$25,"")</f>
        <v>#REF!</v>
      </c>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t="s">
        <v>349</v>
      </c>
      <c r="C60" s="30">
        <f>+C43-C57</f>
        <v>0</v>
      </c>
      <c r="D60" s="30" t="e">
        <f t="shared" ref="D60" si="138">+D43-D57</f>
        <v>#REF!</v>
      </c>
      <c r="E60" s="30" t="e">
        <f t="shared" ref="E60:BJ60" si="139">+E43-E57</f>
        <v>#REF!</v>
      </c>
      <c r="F60" s="30" t="e">
        <f t="shared" si="139"/>
        <v>#REF!</v>
      </c>
      <c r="G60" s="30" t="e">
        <f t="shared" si="139"/>
        <v>#REF!</v>
      </c>
      <c r="H60" s="30" t="e">
        <f t="shared" si="139"/>
        <v>#REF!</v>
      </c>
      <c r="I60" s="30" t="e">
        <f t="shared" si="139"/>
        <v>#REF!</v>
      </c>
      <c r="J60" s="30" t="e">
        <f t="shared" si="139"/>
        <v>#REF!</v>
      </c>
      <c r="K60" s="30" t="e">
        <f t="shared" si="139"/>
        <v>#REF!</v>
      </c>
      <c r="L60" s="30" t="e">
        <f t="shared" si="139"/>
        <v>#REF!</v>
      </c>
      <c r="M60" s="30" t="e">
        <f t="shared" si="139"/>
        <v>#REF!</v>
      </c>
      <c r="N60" s="30" t="e">
        <f t="shared" si="139"/>
        <v>#REF!</v>
      </c>
      <c r="O60" s="30" t="e">
        <f t="shared" si="139"/>
        <v>#REF!</v>
      </c>
      <c r="P60" s="30" t="e">
        <f t="shared" si="139"/>
        <v>#REF!</v>
      </c>
      <c r="Q60" s="30" t="e">
        <f t="shared" si="139"/>
        <v>#REF!</v>
      </c>
      <c r="R60" s="30" t="e">
        <f t="shared" si="139"/>
        <v>#REF!</v>
      </c>
      <c r="S60" s="30" t="e">
        <f t="shared" si="139"/>
        <v>#REF!</v>
      </c>
      <c r="T60" s="30" t="e">
        <f t="shared" si="139"/>
        <v>#REF!</v>
      </c>
      <c r="U60" s="30" t="e">
        <f t="shared" si="139"/>
        <v>#REF!</v>
      </c>
      <c r="V60" s="30" t="e">
        <f t="shared" si="139"/>
        <v>#REF!</v>
      </c>
      <c r="W60" s="30" t="e">
        <f t="shared" si="139"/>
        <v>#REF!</v>
      </c>
      <c r="X60" s="30" t="e">
        <f t="shared" si="139"/>
        <v>#REF!</v>
      </c>
      <c r="Y60" s="30" t="e">
        <f t="shared" si="139"/>
        <v>#REF!</v>
      </c>
      <c r="Z60" s="30" t="e">
        <f t="shared" si="139"/>
        <v>#REF!</v>
      </c>
      <c r="AA60" s="30" t="e">
        <f t="shared" si="139"/>
        <v>#REF!</v>
      </c>
      <c r="AB60" s="30" t="e">
        <f t="shared" si="139"/>
        <v>#REF!</v>
      </c>
      <c r="AC60" s="30" t="e">
        <f t="shared" si="139"/>
        <v>#REF!</v>
      </c>
      <c r="AD60" s="30" t="e">
        <f t="shared" si="139"/>
        <v>#REF!</v>
      </c>
      <c r="AE60" s="30" t="e">
        <f t="shared" si="139"/>
        <v>#REF!</v>
      </c>
      <c r="AF60" s="30" t="e">
        <f t="shared" si="139"/>
        <v>#REF!</v>
      </c>
      <c r="AG60" s="30" t="e">
        <f t="shared" si="139"/>
        <v>#REF!</v>
      </c>
      <c r="AH60" s="30" t="e">
        <f t="shared" si="139"/>
        <v>#REF!</v>
      </c>
      <c r="AI60" s="30" t="e">
        <f t="shared" si="139"/>
        <v>#REF!</v>
      </c>
      <c r="AJ60" s="30" t="e">
        <f t="shared" si="139"/>
        <v>#REF!</v>
      </c>
      <c r="AK60" s="30" t="e">
        <f t="shared" si="139"/>
        <v>#REF!</v>
      </c>
      <c r="AL60" s="30" t="e">
        <f t="shared" si="139"/>
        <v>#REF!</v>
      </c>
      <c r="AM60" s="30" t="e">
        <f t="shared" si="139"/>
        <v>#REF!</v>
      </c>
      <c r="AN60" s="30" t="e">
        <f t="shared" si="139"/>
        <v>#REF!</v>
      </c>
      <c r="AO60" s="30" t="e">
        <f t="shared" si="139"/>
        <v>#REF!</v>
      </c>
      <c r="AP60" s="30" t="e">
        <f t="shared" si="139"/>
        <v>#REF!</v>
      </c>
      <c r="AQ60" s="30" t="e">
        <f t="shared" si="139"/>
        <v>#REF!</v>
      </c>
      <c r="AR60" s="30" t="e">
        <f t="shared" si="139"/>
        <v>#REF!</v>
      </c>
      <c r="AS60" s="30" t="e">
        <f t="shared" si="139"/>
        <v>#REF!</v>
      </c>
      <c r="AT60" s="30" t="e">
        <f t="shared" si="139"/>
        <v>#REF!</v>
      </c>
      <c r="AU60" s="30" t="e">
        <f t="shared" si="139"/>
        <v>#REF!</v>
      </c>
      <c r="AV60" s="30" t="e">
        <f t="shared" si="139"/>
        <v>#REF!</v>
      </c>
      <c r="AW60" s="30" t="e">
        <f t="shared" si="139"/>
        <v>#REF!</v>
      </c>
      <c r="AX60" s="30" t="e">
        <f t="shared" si="139"/>
        <v>#REF!</v>
      </c>
      <c r="AY60" s="30" t="e">
        <f t="shared" si="139"/>
        <v>#REF!</v>
      </c>
      <c r="AZ60" s="30" t="e">
        <f t="shared" si="139"/>
        <v>#REF!</v>
      </c>
      <c r="BA60" s="30" t="e">
        <f t="shared" si="139"/>
        <v>#REF!</v>
      </c>
      <c r="BB60" s="30" t="e">
        <f t="shared" si="139"/>
        <v>#REF!</v>
      </c>
      <c r="BC60" s="30" t="e">
        <f t="shared" si="139"/>
        <v>#REF!</v>
      </c>
      <c r="BD60" s="30" t="e">
        <f t="shared" si="139"/>
        <v>#REF!</v>
      </c>
      <c r="BE60" s="30" t="e">
        <f t="shared" si="139"/>
        <v>#REF!</v>
      </c>
      <c r="BF60" s="30" t="e">
        <f t="shared" si="139"/>
        <v>#REF!</v>
      </c>
      <c r="BG60" s="30" t="e">
        <f t="shared" si="139"/>
        <v>#REF!</v>
      </c>
      <c r="BH60" s="30" t="e">
        <f t="shared" si="139"/>
        <v>#REF!</v>
      </c>
      <c r="BI60" s="30" t="e">
        <f t="shared" si="139"/>
        <v>#REF!</v>
      </c>
      <c r="BJ60" s="30" t="e">
        <f t="shared" si="139"/>
        <v>#REF!</v>
      </c>
      <c r="BK60"/>
      <c r="BL60" s="5"/>
    </row>
    <row r="61" spans="1:64">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s="5"/>
    </row>
    <row r="62" spans="1:64">
      <c r="A62"/>
      <c r="B62" t="s">
        <v>452</v>
      </c>
      <c r="C62" s="14">
        <v>0</v>
      </c>
      <c r="D62" s="14">
        <f>+C65</f>
        <v>0</v>
      </c>
      <c r="E62" s="14" t="e">
        <f t="shared" ref="E62" si="140">+D65</f>
        <v>#REF!</v>
      </c>
      <c r="F62" s="14" t="e">
        <f t="shared" ref="F62:BJ62" si="141">+E65</f>
        <v>#REF!</v>
      </c>
      <c r="G62" s="14" t="e">
        <f t="shared" si="141"/>
        <v>#REF!</v>
      </c>
      <c r="H62" s="14" t="e">
        <f t="shared" si="141"/>
        <v>#REF!</v>
      </c>
      <c r="I62" s="14" t="e">
        <f t="shared" si="141"/>
        <v>#REF!</v>
      </c>
      <c r="J62" s="14" t="e">
        <f t="shared" si="141"/>
        <v>#REF!</v>
      </c>
      <c r="K62" s="14" t="e">
        <f t="shared" si="141"/>
        <v>#REF!</v>
      </c>
      <c r="L62" s="14" t="e">
        <f t="shared" si="141"/>
        <v>#REF!</v>
      </c>
      <c r="M62" s="14" t="e">
        <f t="shared" si="141"/>
        <v>#REF!</v>
      </c>
      <c r="N62" s="14" t="e">
        <f t="shared" si="141"/>
        <v>#REF!</v>
      </c>
      <c r="O62" s="14" t="e">
        <f t="shared" si="141"/>
        <v>#REF!</v>
      </c>
      <c r="P62" s="14" t="e">
        <f t="shared" si="141"/>
        <v>#REF!</v>
      </c>
      <c r="Q62" s="14" t="e">
        <f t="shared" si="141"/>
        <v>#REF!</v>
      </c>
      <c r="R62" s="14" t="e">
        <f t="shared" si="141"/>
        <v>#REF!</v>
      </c>
      <c r="S62" s="14" t="e">
        <f t="shared" si="141"/>
        <v>#REF!</v>
      </c>
      <c r="T62" s="14" t="e">
        <f t="shared" si="141"/>
        <v>#REF!</v>
      </c>
      <c r="U62" s="14" t="e">
        <f t="shared" si="141"/>
        <v>#REF!</v>
      </c>
      <c r="V62" s="14" t="e">
        <f t="shared" si="141"/>
        <v>#REF!</v>
      </c>
      <c r="W62" s="14" t="e">
        <f t="shared" si="141"/>
        <v>#REF!</v>
      </c>
      <c r="X62" s="14" t="e">
        <f t="shared" si="141"/>
        <v>#REF!</v>
      </c>
      <c r="Y62" s="14" t="e">
        <f t="shared" si="141"/>
        <v>#REF!</v>
      </c>
      <c r="Z62" s="14" t="e">
        <f t="shared" si="141"/>
        <v>#REF!</v>
      </c>
      <c r="AA62" s="14" t="e">
        <f t="shared" si="141"/>
        <v>#REF!</v>
      </c>
      <c r="AB62" s="14" t="e">
        <f t="shared" si="141"/>
        <v>#REF!</v>
      </c>
      <c r="AC62" s="14" t="e">
        <f t="shared" si="141"/>
        <v>#REF!</v>
      </c>
      <c r="AD62" s="14" t="e">
        <f t="shared" si="141"/>
        <v>#REF!</v>
      </c>
      <c r="AE62" s="14" t="e">
        <f t="shared" si="141"/>
        <v>#REF!</v>
      </c>
      <c r="AF62" s="14" t="e">
        <f t="shared" si="141"/>
        <v>#REF!</v>
      </c>
      <c r="AG62" s="14" t="e">
        <f t="shared" si="141"/>
        <v>#REF!</v>
      </c>
      <c r="AH62" s="14" t="e">
        <f t="shared" si="141"/>
        <v>#REF!</v>
      </c>
      <c r="AI62" s="14" t="e">
        <f t="shared" si="141"/>
        <v>#REF!</v>
      </c>
      <c r="AJ62" s="14" t="e">
        <f t="shared" si="141"/>
        <v>#REF!</v>
      </c>
      <c r="AK62" s="14" t="e">
        <f t="shared" si="141"/>
        <v>#REF!</v>
      </c>
      <c r="AL62" s="14" t="e">
        <f t="shared" si="141"/>
        <v>#REF!</v>
      </c>
      <c r="AM62" s="14" t="e">
        <f t="shared" si="141"/>
        <v>#REF!</v>
      </c>
      <c r="AN62" s="14" t="e">
        <f t="shared" si="141"/>
        <v>#REF!</v>
      </c>
      <c r="AO62" s="14" t="e">
        <f t="shared" si="141"/>
        <v>#REF!</v>
      </c>
      <c r="AP62" s="14" t="e">
        <f t="shared" si="141"/>
        <v>#REF!</v>
      </c>
      <c r="AQ62" s="14" t="e">
        <f t="shared" si="141"/>
        <v>#REF!</v>
      </c>
      <c r="AR62" s="14" t="e">
        <f t="shared" si="141"/>
        <v>#REF!</v>
      </c>
      <c r="AS62" s="14" t="e">
        <f t="shared" si="141"/>
        <v>#REF!</v>
      </c>
      <c r="AT62" s="14" t="e">
        <f t="shared" si="141"/>
        <v>#REF!</v>
      </c>
      <c r="AU62" s="14" t="e">
        <f t="shared" si="141"/>
        <v>#REF!</v>
      </c>
      <c r="AV62" s="14" t="e">
        <f t="shared" si="141"/>
        <v>#REF!</v>
      </c>
      <c r="AW62" s="14" t="e">
        <f t="shared" si="141"/>
        <v>#REF!</v>
      </c>
      <c r="AX62" s="14" t="e">
        <f t="shared" si="141"/>
        <v>#REF!</v>
      </c>
      <c r="AY62" s="14" t="e">
        <f t="shared" si="141"/>
        <v>#REF!</v>
      </c>
      <c r="AZ62" s="14" t="e">
        <f t="shared" si="141"/>
        <v>#REF!</v>
      </c>
      <c r="BA62" s="14" t="e">
        <f t="shared" si="141"/>
        <v>#REF!</v>
      </c>
      <c r="BB62" s="14" t="e">
        <f t="shared" si="141"/>
        <v>#REF!</v>
      </c>
      <c r="BC62" s="14" t="e">
        <f t="shared" si="141"/>
        <v>#REF!</v>
      </c>
      <c r="BD62" s="14" t="e">
        <f t="shared" si="141"/>
        <v>#REF!</v>
      </c>
      <c r="BE62" s="14" t="e">
        <f t="shared" si="141"/>
        <v>#REF!</v>
      </c>
      <c r="BF62" s="14" t="e">
        <f t="shared" si="141"/>
        <v>#REF!</v>
      </c>
      <c r="BG62" s="14" t="e">
        <f t="shared" si="141"/>
        <v>#REF!</v>
      </c>
      <c r="BH62" s="14" t="e">
        <f t="shared" si="141"/>
        <v>#REF!</v>
      </c>
      <c r="BI62" s="14" t="e">
        <f t="shared" si="141"/>
        <v>#REF!</v>
      </c>
      <c r="BJ62" s="14" t="e">
        <f t="shared" si="141"/>
        <v>#REF!</v>
      </c>
      <c r="BK62"/>
      <c r="BL62" s="5"/>
    </row>
    <row r="63" spans="1:64">
      <c r="A63"/>
      <c r="B63" t="s">
        <v>377</v>
      </c>
      <c r="C63" s="14">
        <f>-C32</f>
        <v>0</v>
      </c>
      <c r="D63" s="14">
        <f t="shared" ref="D63:BJ63" si="142">-D32</f>
        <v>0</v>
      </c>
      <c r="E63" s="14">
        <f t="shared" si="142"/>
        <v>0</v>
      </c>
      <c r="F63" s="14">
        <f t="shared" si="142"/>
        <v>0</v>
      </c>
      <c r="G63" s="14">
        <f t="shared" si="142"/>
        <v>0</v>
      </c>
      <c r="H63" s="14">
        <f t="shared" si="142"/>
        <v>0</v>
      </c>
      <c r="I63" s="14">
        <f t="shared" si="142"/>
        <v>0</v>
      </c>
      <c r="J63" s="14">
        <f t="shared" si="142"/>
        <v>0</v>
      </c>
      <c r="K63" s="14">
        <f t="shared" si="142"/>
        <v>0</v>
      </c>
      <c r="L63" s="14">
        <f t="shared" si="142"/>
        <v>0</v>
      </c>
      <c r="M63" s="14">
        <f t="shared" si="142"/>
        <v>0</v>
      </c>
      <c r="N63" s="14">
        <f t="shared" si="142"/>
        <v>0</v>
      </c>
      <c r="O63" s="14">
        <f t="shared" si="142"/>
        <v>0</v>
      </c>
      <c r="P63" s="14">
        <f t="shared" si="142"/>
        <v>0</v>
      </c>
      <c r="Q63" s="14">
        <f t="shared" si="142"/>
        <v>0</v>
      </c>
      <c r="R63" s="14">
        <f t="shared" si="142"/>
        <v>0</v>
      </c>
      <c r="S63" s="14">
        <f t="shared" si="142"/>
        <v>0</v>
      </c>
      <c r="T63" s="14">
        <f t="shared" si="142"/>
        <v>0</v>
      </c>
      <c r="U63" s="14">
        <f t="shared" si="142"/>
        <v>0</v>
      </c>
      <c r="V63" s="14">
        <f t="shared" si="142"/>
        <v>0</v>
      </c>
      <c r="W63" s="14">
        <f t="shared" si="142"/>
        <v>0</v>
      </c>
      <c r="X63" s="14">
        <f t="shared" si="142"/>
        <v>0</v>
      </c>
      <c r="Y63" s="14">
        <f t="shared" si="142"/>
        <v>0</v>
      </c>
      <c r="Z63" s="14">
        <f t="shared" si="142"/>
        <v>0</v>
      </c>
      <c r="AA63" s="14">
        <f t="shared" si="142"/>
        <v>0</v>
      </c>
      <c r="AB63" s="14">
        <f t="shared" si="142"/>
        <v>0</v>
      </c>
      <c r="AC63" s="14">
        <f t="shared" si="142"/>
        <v>0</v>
      </c>
      <c r="AD63" s="14">
        <f t="shared" si="142"/>
        <v>0</v>
      </c>
      <c r="AE63" s="14">
        <f t="shared" si="142"/>
        <v>0</v>
      </c>
      <c r="AF63" s="14">
        <f t="shared" si="142"/>
        <v>0</v>
      </c>
      <c r="AG63" s="14">
        <f t="shared" si="142"/>
        <v>0</v>
      </c>
      <c r="AH63" s="14">
        <f t="shared" si="142"/>
        <v>0</v>
      </c>
      <c r="AI63" s="14">
        <f t="shared" si="142"/>
        <v>0</v>
      </c>
      <c r="AJ63" s="14">
        <f t="shared" si="142"/>
        <v>0</v>
      </c>
      <c r="AK63" s="14">
        <f t="shared" si="142"/>
        <v>0</v>
      </c>
      <c r="AL63" s="14">
        <f t="shared" si="142"/>
        <v>0</v>
      </c>
      <c r="AM63" s="14">
        <f t="shared" si="142"/>
        <v>0</v>
      </c>
      <c r="AN63" s="14">
        <f t="shared" si="142"/>
        <v>0</v>
      </c>
      <c r="AO63" s="14">
        <f t="shared" si="142"/>
        <v>0</v>
      </c>
      <c r="AP63" s="14">
        <f t="shared" si="142"/>
        <v>0</v>
      </c>
      <c r="AQ63" s="14">
        <f t="shared" si="142"/>
        <v>0</v>
      </c>
      <c r="AR63" s="14">
        <f t="shared" si="142"/>
        <v>0</v>
      </c>
      <c r="AS63" s="14">
        <f t="shared" si="142"/>
        <v>0</v>
      </c>
      <c r="AT63" s="14">
        <f t="shared" si="142"/>
        <v>0</v>
      </c>
      <c r="AU63" s="14">
        <f t="shared" si="142"/>
        <v>0</v>
      </c>
      <c r="AV63" s="14">
        <f t="shared" si="142"/>
        <v>0</v>
      </c>
      <c r="AW63" s="14">
        <f t="shared" si="142"/>
        <v>0</v>
      </c>
      <c r="AX63" s="14">
        <f t="shared" si="142"/>
        <v>0</v>
      </c>
      <c r="AY63" s="14">
        <f t="shared" si="142"/>
        <v>0</v>
      </c>
      <c r="AZ63" s="14">
        <f t="shared" si="142"/>
        <v>0</v>
      </c>
      <c r="BA63" s="14">
        <f t="shared" si="142"/>
        <v>0</v>
      </c>
      <c r="BB63" s="14">
        <f t="shared" si="142"/>
        <v>0</v>
      </c>
      <c r="BC63" s="14">
        <f t="shared" si="142"/>
        <v>0</v>
      </c>
      <c r="BD63" s="14">
        <f t="shared" si="142"/>
        <v>0</v>
      </c>
      <c r="BE63" s="14">
        <f t="shared" si="142"/>
        <v>0</v>
      </c>
      <c r="BF63" s="14">
        <f t="shared" si="142"/>
        <v>0</v>
      </c>
      <c r="BG63" s="14">
        <f t="shared" si="142"/>
        <v>0</v>
      </c>
      <c r="BH63" s="14">
        <f t="shared" si="142"/>
        <v>0</v>
      </c>
      <c r="BI63" s="14">
        <f t="shared" si="142"/>
        <v>0</v>
      </c>
      <c r="BJ63" s="14">
        <f t="shared" si="142"/>
        <v>0</v>
      </c>
      <c r="BK63"/>
      <c r="BL63" s="5"/>
    </row>
    <row r="64" spans="1:64">
      <c r="A64"/>
      <c r="B64" t="s">
        <v>378</v>
      </c>
      <c r="C64" s="14">
        <f>-MAX(0,MIN(SUM(C62:C63),C60))</f>
        <v>0</v>
      </c>
      <c r="D64" s="14" t="e">
        <f>-MAX(0,MIN(SUM(D62:D63),D60))</f>
        <v>#REF!</v>
      </c>
      <c r="E64" s="14" t="e">
        <f t="shared" ref="E64:BJ64" si="143">-MAX(0,MIN(SUM(E62:E63),E60))</f>
        <v>#REF!</v>
      </c>
      <c r="F64" s="14" t="e">
        <f t="shared" si="143"/>
        <v>#REF!</v>
      </c>
      <c r="G64" s="14" t="e">
        <f t="shared" si="143"/>
        <v>#REF!</v>
      </c>
      <c r="H64" s="14" t="e">
        <f t="shared" si="143"/>
        <v>#REF!</v>
      </c>
      <c r="I64" s="14" t="e">
        <f t="shared" si="143"/>
        <v>#REF!</v>
      </c>
      <c r="J64" s="14" t="e">
        <f t="shared" si="143"/>
        <v>#REF!</v>
      </c>
      <c r="K64" s="14" t="e">
        <f t="shared" si="143"/>
        <v>#REF!</v>
      </c>
      <c r="L64" s="14" t="e">
        <f t="shared" si="143"/>
        <v>#REF!</v>
      </c>
      <c r="M64" s="14" t="e">
        <f t="shared" si="143"/>
        <v>#REF!</v>
      </c>
      <c r="N64" s="14" t="e">
        <f t="shared" si="143"/>
        <v>#REF!</v>
      </c>
      <c r="O64" s="14" t="e">
        <f t="shared" si="143"/>
        <v>#REF!</v>
      </c>
      <c r="P64" s="14" t="e">
        <f t="shared" si="143"/>
        <v>#REF!</v>
      </c>
      <c r="Q64" s="14" t="e">
        <f t="shared" si="143"/>
        <v>#REF!</v>
      </c>
      <c r="R64" s="14" t="e">
        <f t="shared" si="143"/>
        <v>#REF!</v>
      </c>
      <c r="S64" s="14" t="e">
        <f t="shared" si="143"/>
        <v>#REF!</v>
      </c>
      <c r="T64" s="14" t="e">
        <f t="shared" si="143"/>
        <v>#REF!</v>
      </c>
      <c r="U64" s="14" t="e">
        <f t="shared" si="143"/>
        <v>#REF!</v>
      </c>
      <c r="V64" s="14" t="e">
        <f t="shared" si="143"/>
        <v>#REF!</v>
      </c>
      <c r="W64" s="14" t="e">
        <f t="shared" si="143"/>
        <v>#REF!</v>
      </c>
      <c r="X64" s="14" t="e">
        <f t="shared" si="143"/>
        <v>#REF!</v>
      </c>
      <c r="Y64" s="14" t="e">
        <f t="shared" si="143"/>
        <v>#REF!</v>
      </c>
      <c r="Z64" s="14" t="e">
        <f t="shared" si="143"/>
        <v>#REF!</v>
      </c>
      <c r="AA64" s="14" t="e">
        <f t="shared" si="143"/>
        <v>#REF!</v>
      </c>
      <c r="AB64" s="14" t="e">
        <f t="shared" si="143"/>
        <v>#REF!</v>
      </c>
      <c r="AC64" s="14" t="e">
        <f t="shared" si="143"/>
        <v>#REF!</v>
      </c>
      <c r="AD64" s="14" t="e">
        <f t="shared" si="143"/>
        <v>#REF!</v>
      </c>
      <c r="AE64" s="14" t="e">
        <f t="shared" si="143"/>
        <v>#REF!</v>
      </c>
      <c r="AF64" s="14" t="e">
        <f t="shared" si="143"/>
        <v>#REF!</v>
      </c>
      <c r="AG64" s="14" t="e">
        <f t="shared" si="143"/>
        <v>#REF!</v>
      </c>
      <c r="AH64" s="14" t="e">
        <f t="shared" si="143"/>
        <v>#REF!</v>
      </c>
      <c r="AI64" s="14" t="e">
        <f t="shared" si="143"/>
        <v>#REF!</v>
      </c>
      <c r="AJ64" s="14" t="e">
        <f t="shared" si="143"/>
        <v>#REF!</v>
      </c>
      <c r="AK64" s="14" t="e">
        <f t="shared" si="143"/>
        <v>#REF!</v>
      </c>
      <c r="AL64" s="14" t="e">
        <f t="shared" si="143"/>
        <v>#REF!</v>
      </c>
      <c r="AM64" s="14" t="e">
        <f t="shared" si="143"/>
        <v>#REF!</v>
      </c>
      <c r="AN64" s="14" t="e">
        <f t="shared" si="143"/>
        <v>#REF!</v>
      </c>
      <c r="AO64" s="14" t="e">
        <f t="shared" si="143"/>
        <v>#REF!</v>
      </c>
      <c r="AP64" s="14" t="e">
        <f t="shared" si="143"/>
        <v>#REF!</v>
      </c>
      <c r="AQ64" s="14" t="e">
        <f t="shared" si="143"/>
        <v>#REF!</v>
      </c>
      <c r="AR64" s="14" t="e">
        <f t="shared" si="143"/>
        <v>#REF!</v>
      </c>
      <c r="AS64" s="14" t="e">
        <f t="shared" si="143"/>
        <v>#REF!</v>
      </c>
      <c r="AT64" s="14" t="e">
        <f t="shared" si="143"/>
        <v>#REF!</v>
      </c>
      <c r="AU64" s="14" t="e">
        <f t="shared" si="143"/>
        <v>#REF!</v>
      </c>
      <c r="AV64" s="14" t="e">
        <f t="shared" si="143"/>
        <v>#REF!</v>
      </c>
      <c r="AW64" s="14" t="e">
        <f t="shared" si="143"/>
        <v>#REF!</v>
      </c>
      <c r="AX64" s="14" t="e">
        <f t="shared" si="143"/>
        <v>#REF!</v>
      </c>
      <c r="AY64" s="14" t="e">
        <f t="shared" si="143"/>
        <v>#REF!</v>
      </c>
      <c r="AZ64" s="14" t="e">
        <f t="shared" si="143"/>
        <v>#REF!</v>
      </c>
      <c r="BA64" s="14" t="e">
        <f t="shared" si="143"/>
        <v>#REF!</v>
      </c>
      <c r="BB64" s="14" t="e">
        <f t="shared" si="143"/>
        <v>#REF!</v>
      </c>
      <c r="BC64" s="14" t="e">
        <f t="shared" si="143"/>
        <v>#REF!</v>
      </c>
      <c r="BD64" s="14" t="e">
        <f t="shared" si="143"/>
        <v>#REF!</v>
      </c>
      <c r="BE64" s="14" t="e">
        <f t="shared" si="143"/>
        <v>#REF!</v>
      </c>
      <c r="BF64" s="14" t="e">
        <f t="shared" si="143"/>
        <v>#REF!</v>
      </c>
      <c r="BG64" s="14" t="e">
        <f t="shared" si="143"/>
        <v>#REF!</v>
      </c>
      <c r="BH64" s="14" t="e">
        <f t="shared" si="143"/>
        <v>#REF!</v>
      </c>
      <c r="BI64" s="14" t="e">
        <f t="shared" si="143"/>
        <v>#REF!</v>
      </c>
      <c r="BJ64" s="14" t="e">
        <f t="shared" si="143"/>
        <v>#REF!</v>
      </c>
      <c r="BK64"/>
      <c r="BL64" s="5"/>
    </row>
    <row r="65" spans="1:64">
      <c r="A65"/>
      <c r="B65" s="3" t="s">
        <v>453</v>
      </c>
      <c r="C65" s="13">
        <f>SUM(C62:C64)</f>
        <v>0</v>
      </c>
      <c r="D65" s="13" t="e">
        <f t="shared" ref="D65:BJ65" si="144">SUM(D62:D64)</f>
        <v>#REF!</v>
      </c>
      <c r="E65" s="13" t="e">
        <f t="shared" si="144"/>
        <v>#REF!</v>
      </c>
      <c r="F65" s="13" t="e">
        <f t="shared" si="144"/>
        <v>#REF!</v>
      </c>
      <c r="G65" s="13" t="e">
        <f t="shared" si="144"/>
        <v>#REF!</v>
      </c>
      <c r="H65" s="13" t="e">
        <f t="shared" si="144"/>
        <v>#REF!</v>
      </c>
      <c r="I65" s="13" t="e">
        <f t="shared" si="144"/>
        <v>#REF!</v>
      </c>
      <c r="J65" s="13" t="e">
        <f t="shared" si="144"/>
        <v>#REF!</v>
      </c>
      <c r="K65" s="13" t="e">
        <f t="shared" si="144"/>
        <v>#REF!</v>
      </c>
      <c r="L65" s="13" t="e">
        <f t="shared" si="144"/>
        <v>#REF!</v>
      </c>
      <c r="M65" s="13" t="e">
        <f t="shared" si="144"/>
        <v>#REF!</v>
      </c>
      <c r="N65" s="13" t="e">
        <f t="shared" si="144"/>
        <v>#REF!</v>
      </c>
      <c r="O65" s="13" t="e">
        <f t="shared" si="144"/>
        <v>#REF!</v>
      </c>
      <c r="P65" s="13" t="e">
        <f t="shared" si="144"/>
        <v>#REF!</v>
      </c>
      <c r="Q65" s="13" t="e">
        <f t="shared" si="144"/>
        <v>#REF!</v>
      </c>
      <c r="R65" s="13" t="e">
        <f t="shared" si="144"/>
        <v>#REF!</v>
      </c>
      <c r="S65" s="13" t="e">
        <f t="shared" si="144"/>
        <v>#REF!</v>
      </c>
      <c r="T65" s="13" t="e">
        <f t="shared" si="144"/>
        <v>#REF!</v>
      </c>
      <c r="U65" s="13" t="e">
        <f t="shared" si="144"/>
        <v>#REF!</v>
      </c>
      <c r="V65" s="13" t="e">
        <f t="shared" si="144"/>
        <v>#REF!</v>
      </c>
      <c r="W65" s="13" t="e">
        <f t="shared" si="144"/>
        <v>#REF!</v>
      </c>
      <c r="X65" s="13" t="e">
        <f t="shared" si="144"/>
        <v>#REF!</v>
      </c>
      <c r="Y65" s="13" t="e">
        <f t="shared" si="144"/>
        <v>#REF!</v>
      </c>
      <c r="Z65" s="13" t="e">
        <f t="shared" si="144"/>
        <v>#REF!</v>
      </c>
      <c r="AA65" s="13" t="e">
        <f t="shared" si="144"/>
        <v>#REF!</v>
      </c>
      <c r="AB65" s="13" t="e">
        <f t="shared" si="144"/>
        <v>#REF!</v>
      </c>
      <c r="AC65" s="13" t="e">
        <f t="shared" si="144"/>
        <v>#REF!</v>
      </c>
      <c r="AD65" s="13" t="e">
        <f t="shared" si="144"/>
        <v>#REF!</v>
      </c>
      <c r="AE65" s="13" t="e">
        <f t="shared" si="144"/>
        <v>#REF!</v>
      </c>
      <c r="AF65" s="13" t="e">
        <f t="shared" si="144"/>
        <v>#REF!</v>
      </c>
      <c r="AG65" s="13" t="e">
        <f t="shared" si="144"/>
        <v>#REF!</v>
      </c>
      <c r="AH65" s="13" t="e">
        <f t="shared" si="144"/>
        <v>#REF!</v>
      </c>
      <c r="AI65" s="13" t="e">
        <f t="shared" si="144"/>
        <v>#REF!</v>
      </c>
      <c r="AJ65" s="13" t="e">
        <f t="shared" si="144"/>
        <v>#REF!</v>
      </c>
      <c r="AK65" s="13" t="e">
        <f t="shared" si="144"/>
        <v>#REF!</v>
      </c>
      <c r="AL65" s="13" t="e">
        <f t="shared" si="144"/>
        <v>#REF!</v>
      </c>
      <c r="AM65" s="13" t="e">
        <f t="shared" si="144"/>
        <v>#REF!</v>
      </c>
      <c r="AN65" s="13" t="e">
        <f t="shared" si="144"/>
        <v>#REF!</v>
      </c>
      <c r="AO65" s="13" t="e">
        <f t="shared" si="144"/>
        <v>#REF!</v>
      </c>
      <c r="AP65" s="13" t="e">
        <f t="shared" si="144"/>
        <v>#REF!</v>
      </c>
      <c r="AQ65" s="13" t="e">
        <f t="shared" si="144"/>
        <v>#REF!</v>
      </c>
      <c r="AR65" s="13" t="e">
        <f t="shared" si="144"/>
        <v>#REF!</v>
      </c>
      <c r="AS65" s="13" t="e">
        <f t="shared" si="144"/>
        <v>#REF!</v>
      </c>
      <c r="AT65" s="13" t="e">
        <f t="shared" si="144"/>
        <v>#REF!</v>
      </c>
      <c r="AU65" s="13" t="e">
        <f t="shared" si="144"/>
        <v>#REF!</v>
      </c>
      <c r="AV65" s="13" t="e">
        <f t="shared" si="144"/>
        <v>#REF!</v>
      </c>
      <c r="AW65" s="13" t="e">
        <f t="shared" si="144"/>
        <v>#REF!</v>
      </c>
      <c r="AX65" s="13" t="e">
        <f t="shared" si="144"/>
        <v>#REF!</v>
      </c>
      <c r="AY65" s="13" t="e">
        <f t="shared" si="144"/>
        <v>#REF!</v>
      </c>
      <c r="AZ65" s="13" t="e">
        <f t="shared" si="144"/>
        <v>#REF!</v>
      </c>
      <c r="BA65" s="13" t="e">
        <f t="shared" si="144"/>
        <v>#REF!</v>
      </c>
      <c r="BB65" s="13" t="e">
        <f t="shared" si="144"/>
        <v>#REF!</v>
      </c>
      <c r="BC65" s="13" t="e">
        <f t="shared" si="144"/>
        <v>#REF!</v>
      </c>
      <c r="BD65" s="13" t="e">
        <f t="shared" si="144"/>
        <v>#REF!</v>
      </c>
      <c r="BE65" s="13" t="e">
        <f t="shared" si="144"/>
        <v>#REF!</v>
      </c>
      <c r="BF65" s="13" t="e">
        <f t="shared" si="144"/>
        <v>#REF!</v>
      </c>
      <c r="BG65" s="13" t="e">
        <f t="shared" si="144"/>
        <v>#REF!</v>
      </c>
      <c r="BH65" s="13" t="e">
        <f t="shared" si="144"/>
        <v>#REF!</v>
      </c>
      <c r="BI65" s="13" t="e">
        <f t="shared" si="144"/>
        <v>#REF!</v>
      </c>
      <c r="BJ65" s="13" t="e">
        <f t="shared" si="144"/>
        <v>#REF!</v>
      </c>
      <c r="BK65"/>
      <c r="BL65" s="5"/>
    </row>
    <row r="66" spans="1:64">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s="5"/>
    </row>
    <row r="67" spans="1:64">
      <c r="A67"/>
      <c r="B67" t="s">
        <v>362</v>
      </c>
      <c r="C67" s="30">
        <f>-C64</f>
        <v>0</v>
      </c>
      <c r="D67" s="30" t="e">
        <f t="shared" ref="D67:BJ67" si="145">-D64</f>
        <v>#REF!</v>
      </c>
      <c r="E67" s="30" t="e">
        <f t="shared" si="145"/>
        <v>#REF!</v>
      </c>
      <c r="F67" s="30" t="e">
        <f t="shared" si="145"/>
        <v>#REF!</v>
      </c>
      <c r="G67" s="30" t="e">
        <f t="shared" si="145"/>
        <v>#REF!</v>
      </c>
      <c r="H67" s="30" t="e">
        <f t="shared" si="145"/>
        <v>#REF!</v>
      </c>
      <c r="I67" s="30" t="e">
        <f t="shared" si="145"/>
        <v>#REF!</v>
      </c>
      <c r="J67" s="30" t="e">
        <f t="shared" si="145"/>
        <v>#REF!</v>
      </c>
      <c r="K67" s="30" t="e">
        <f t="shared" si="145"/>
        <v>#REF!</v>
      </c>
      <c r="L67" s="30" t="e">
        <f t="shared" si="145"/>
        <v>#REF!</v>
      </c>
      <c r="M67" s="30" t="e">
        <f t="shared" si="145"/>
        <v>#REF!</v>
      </c>
      <c r="N67" s="30" t="e">
        <f t="shared" si="145"/>
        <v>#REF!</v>
      </c>
      <c r="O67" s="30" t="e">
        <f t="shared" si="145"/>
        <v>#REF!</v>
      </c>
      <c r="P67" s="30" t="e">
        <f t="shared" si="145"/>
        <v>#REF!</v>
      </c>
      <c r="Q67" s="30" t="e">
        <f t="shared" si="145"/>
        <v>#REF!</v>
      </c>
      <c r="R67" s="30" t="e">
        <f t="shared" si="145"/>
        <v>#REF!</v>
      </c>
      <c r="S67" s="30" t="e">
        <f t="shared" si="145"/>
        <v>#REF!</v>
      </c>
      <c r="T67" s="30" t="e">
        <f t="shared" si="145"/>
        <v>#REF!</v>
      </c>
      <c r="U67" s="30" t="e">
        <f t="shared" si="145"/>
        <v>#REF!</v>
      </c>
      <c r="V67" s="30" t="e">
        <f t="shared" si="145"/>
        <v>#REF!</v>
      </c>
      <c r="W67" s="30" t="e">
        <f t="shared" si="145"/>
        <v>#REF!</v>
      </c>
      <c r="X67" s="30" t="e">
        <f t="shared" si="145"/>
        <v>#REF!</v>
      </c>
      <c r="Y67" s="30" t="e">
        <f t="shared" si="145"/>
        <v>#REF!</v>
      </c>
      <c r="Z67" s="30" t="e">
        <f t="shared" si="145"/>
        <v>#REF!</v>
      </c>
      <c r="AA67" s="30" t="e">
        <f t="shared" si="145"/>
        <v>#REF!</v>
      </c>
      <c r="AB67" s="30" t="e">
        <f t="shared" si="145"/>
        <v>#REF!</v>
      </c>
      <c r="AC67" s="30" t="e">
        <f t="shared" si="145"/>
        <v>#REF!</v>
      </c>
      <c r="AD67" s="30" t="e">
        <f t="shared" si="145"/>
        <v>#REF!</v>
      </c>
      <c r="AE67" s="30" t="e">
        <f t="shared" si="145"/>
        <v>#REF!</v>
      </c>
      <c r="AF67" s="30" t="e">
        <f t="shared" si="145"/>
        <v>#REF!</v>
      </c>
      <c r="AG67" s="30" t="e">
        <f t="shared" si="145"/>
        <v>#REF!</v>
      </c>
      <c r="AH67" s="30" t="e">
        <f t="shared" si="145"/>
        <v>#REF!</v>
      </c>
      <c r="AI67" s="30" t="e">
        <f t="shared" si="145"/>
        <v>#REF!</v>
      </c>
      <c r="AJ67" s="30" t="e">
        <f t="shared" si="145"/>
        <v>#REF!</v>
      </c>
      <c r="AK67" s="30" t="e">
        <f t="shared" si="145"/>
        <v>#REF!</v>
      </c>
      <c r="AL67" s="30" t="e">
        <f t="shared" si="145"/>
        <v>#REF!</v>
      </c>
      <c r="AM67" s="30" t="e">
        <f t="shared" si="145"/>
        <v>#REF!</v>
      </c>
      <c r="AN67" s="30" t="e">
        <f t="shared" si="145"/>
        <v>#REF!</v>
      </c>
      <c r="AO67" s="30" t="e">
        <f t="shared" si="145"/>
        <v>#REF!</v>
      </c>
      <c r="AP67" s="30" t="e">
        <f t="shared" si="145"/>
        <v>#REF!</v>
      </c>
      <c r="AQ67" s="30" t="e">
        <f t="shared" si="145"/>
        <v>#REF!</v>
      </c>
      <c r="AR67" s="30" t="e">
        <f t="shared" si="145"/>
        <v>#REF!</v>
      </c>
      <c r="AS67" s="30" t="e">
        <f t="shared" si="145"/>
        <v>#REF!</v>
      </c>
      <c r="AT67" s="30" t="e">
        <f t="shared" si="145"/>
        <v>#REF!</v>
      </c>
      <c r="AU67" s="30" t="e">
        <f t="shared" si="145"/>
        <v>#REF!</v>
      </c>
      <c r="AV67" s="30" t="e">
        <f t="shared" si="145"/>
        <v>#REF!</v>
      </c>
      <c r="AW67" s="30" t="e">
        <f t="shared" si="145"/>
        <v>#REF!</v>
      </c>
      <c r="AX67" s="30" t="e">
        <f t="shared" si="145"/>
        <v>#REF!</v>
      </c>
      <c r="AY67" s="30" t="e">
        <f t="shared" si="145"/>
        <v>#REF!</v>
      </c>
      <c r="AZ67" s="30" t="e">
        <f t="shared" si="145"/>
        <v>#REF!</v>
      </c>
      <c r="BA67" s="30" t="e">
        <f t="shared" si="145"/>
        <v>#REF!</v>
      </c>
      <c r="BB67" s="30" t="e">
        <f t="shared" si="145"/>
        <v>#REF!</v>
      </c>
      <c r="BC67" s="30" t="e">
        <f t="shared" si="145"/>
        <v>#REF!</v>
      </c>
      <c r="BD67" s="30" t="e">
        <f t="shared" si="145"/>
        <v>#REF!</v>
      </c>
      <c r="BE67" s="30" t="e">
        <f t="shared" si="145"/>
        <v>#REF!</v>
      </c>
      <c r="BF67" s="30" t="e">
        <f t="shared" si="145"/>
        <v>#REF!</v>
      </c>
      <c r="BG67" s="30" t="e">
        <f t="shared" si="145"/>
        <v>#REF!</v>
      </c>
      <c r="BH67" s="30" t="e">
        <f t="shared" si="145"/>
        <v>#REF!</v>
      </c>
      <c r="BI67" s="30" t="e">
        <f t="shared" si="145"/>
        <v>#REF!</v>
      </c>
      <c r="BJ67" s="30" t="e">
        <f t="shared" si="145"/>
        <v>#REF!</v>
      </c>
      <c r="BK67"/>
      <c r="BL67" s="5"/>
    </row>
    <row r="68" spans="1:64">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e">
        <f>TEXT($B$26,"")</f>
        <v>#REF!</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349</v>
      </c>
      <c r="C70" s="30">
        <f>+C60-C67</f>
        <v>0</v>
      </c>
      <c r="D70" s="30" t="e">
        <f t="shared" ref="D70:BJ70" si="146">+D60-D67</f>
        <v>#REF!</v>
      </c>
      <c r="E70" s="30" t="e">
        <f t="shared" si="146"/>
        <v>#REF!</v>
      </c>
      <c r="F70" s="30" t="e">
        <f t="shared" si="146"/>
        <v>#REF!</v>
      </c>
      <c r="G70" s="30" t="e">
        <f t="shared" si="146"/>
        <v>#REF!</v>
      </c>
      <c r="H70" s="30" t="e">
        <f t="shared" si="146"/>
        <v>#REF!</v>
      </c>
      <c r="I70" s="30" t="e">
        <f t="shared" si="146"/>
        <v>#REF!</v>
      </c>
      <c r="J70" s="30" t="e">
        <f t="shared" si="146"/>
        <v>#REF!</v>
      </c>
      <c r="K70" s="30" t="e">
        <f t="shared" si="146"/>
        <v>#REF!</v>
      </c>
      <c r="L70" s="30" t="e">
        <f t="shared" si="146"/>
        <v>#REF!</v>
      </c>
      <c r="M70" s="30" t="e">
        <f t="shared" si="146"/>
        <v>#REF!</v>
      </c>
      <c r="N70" s="30" t="e">
        <f t="shared" si="146"/>
        <v>#REF!</v>
      </c>
      <c r="O70" s="30" t="e">
        <f t="shared" si="146"/>
        <v>#REF!</v>
      </c>
      <c r="P70" s="30" t="e">
        <f t="shared" si="146"/>
        <v>#REF!</v>
      </c>
      <c r="Q70" s="30" t="e">
        <f t="shared" si="146"/>
        <v>#REF!</v>
      </c>
      <c r="R70" s="30" t="e">
        <f t="shared" si="146"/>
        <v>#REF!</v>
      </c>
      <c r="S70" s="30" t="e">
        <f t="shared" si="146"/>
        <v>#REF!</v>
      </c>
      <c r="T70" s="30" t="e">
        <f t="shared" si="146"/>
        <v>#REF!</v>
      </c>
      <c r="U70" s="30" t="e">
        <f t="shared" si="146"/>
        <v>#REF!</v>
      </c>
      <c r="V70" s="30" t="e">
        <f t="shared" si="146"/>
        <v>#REF!</v>
      </c>
      <c r="W70" s="30" t="e">
        <f t="shared" si="146"/>
        <v>#REF!</v>
      </c>
      <c r="X70" s="30" t="e">
        <f t="shared" si="146"/>
        <v>#REF!</v>
      </c>
      <c r="Y70" s="30" t="e">
        <f t="shared" si="146"/>
        <v>#REF!</v>
      </c>
      <c r="Z70" s="30" t="e">
        <f t="shared" si="146"/>
        <v>#REF!</v>
      </c>
      <c r="AA70" s="30" t="e">
        <f t="shared" si="146"/>
        <v>#REF!</v>
      </c>
      <c r="AB70" s="30" t="e">
        <f t="shared" si="146"/>
        <v>#REF!</v>
      </c>
      <c r="AC70" s="30" t="e">
        <f t="shared" si="146"/>
        <v>#REF!</v>
      </c>
      <c r="AD70" s="30" t="e">
        <f t="shared" si="146"/>
        <v>#REF!</v>
      </c>
      <c r="AE70" s="30" t="e">
        <f t="shared" si="146"/>
        <v>#REF!</v>
      </c>
      <c r="AF70" s="30" t="e">
        <f t="shared" si="146"/>
        <v>#REF!</v>
      </c>
      <c r="AG70" s="30" t="e">
        <f t="shared" si="146"/>
        <v>#REF!</v>
      </c>
      <c r="AH70" s="30" t="e">
        <f t="shared" si="146"/>
        <v>#REF!</v>
      </c>
      <c r="AI70" s="30" t="e">
        <f t="shared" si="146"/>
        <v>#REF!</v>
      </c>
      <c r="AJ70" s="30" t="e">
        <f t="shared" si="146"/>
        <v>#REF!</v>
      </c>
      <c r="AK70" s="30" t="e">
        <f t="shared" si="146"/>
        <v>#REF!</v>
      </c>
      <c r="AL70" s="30" t="e">
        <f t="shared" si="146"/>
        <v>#REF!</v>
      </c>
      <c r="AM70" s="30" t="e">
        <f t="shared" si="146"/>
        <v>#REF!</v>
      </c>
      <c r="AN70" s="30" t="e">
        <f t="shared" si="146"/>
        <v>#REF!</v>
      </c>
      <c r="AO70" s="30" t="e">
        <f t="shared" si="146"/>
        <v>#REF!</v>
      </c>
      <c r="AP70" s="30" t="e">
        <f t="shared" si="146"/>
        <v>#REF!</v>
      </c>
      <c r="AQ70" s="30" t="e">
        <f t="shared" si="146"/>
        <v>#REF!</v>
      </c>
      <c r="AR70" s="30" t="e">
        <f t="shared" si="146"/>
        <v>#REF!</v>
      </c>
      <c r="AS70" s="30" t="e">
        <f t="shared" si="146"/>
        <v>#REF!</v>
      </c>
      <c r="AT70" s="30" t="e">
        <f t="shared" si="146"/>
        <v>#REF!</v>
      </c>
      <c r="AU70" s="30" t="e">
        <f t="shared" si="146"/>
        <v>#REF!</v>
      </c>
      <c r="AV70" s="30" t="e">
        <f t="shared" si="146"/>
        <v>#REF!</v>
      </c>
      <c r="AW70" s="30" t="e">
        <f t="shared" si="146"/>
        <v>#REF!</v>
      </c>
      <c r="AX70" s="30" t="e">
        <f t="shared" si="146"/>
        <v>#REF!</v>
      </c>
      <c r="AY70" s="30" t="e">
        <f t="shared" si="146"/>
        <v>#REF!</v>
      </c>
      <c r="AZ70" s="30" t="e">
        <f t="shared" si="146"/>
        <v>#REF!</v>
      </c>
      <c r="BA70" s="30" t="e">
        <f t="shared" si="146"/>
        <v>#REF!</v>
      </c>
      <c r="BB70" s="30" t="e">
        <f t="shared" si="146"/>
        <v>#REF!</v>
      </c>
      <c r="BC70" s="30" t="e">
        <f t="shared" si="146"/>
        <v>#REF!</v>
      </c>
      <c r="BD70" s="30" t="e">
        <f t="shared" si="146"/>
        <v>#REF!</v>
      </c>
      <c r="BE70" s="30" t="e">
        <f t="shared" si="146"/>
        <v>#REF!</v>
      </c>
      <c r="BF70" s="30" t="e">
        <f t="shared" si="146"/>
        <v>#REF!</v>
      </c>
      <c r="BG70" s="30" t="e">
        <f t="shared" si="146"/>
        <v>#REF!</v>
      </c>
      <c r="BH70" s="30" t="e">
        <f t="shared" si="146"/>
        <v>#REF!</v>
      </c>
      <c r="BI70" s="30" t="e">
        <f t="shared" si="146"/>
        <v>#REF!</v>
      </c>
      <c r="BJ70" s="30" t="e">
        <f t="shared" si="146"/>
        <v>#REF!</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454</v>
      </c>
      <c r="C72" s="30" t="e">
        <f>C70*$D$26</f>
        <v>#REF!</v>
      </c>
      <c r="D72" s="30" t="e">
        <f t="shared" ref="D72:BJ72" si="147">D70*$D$26</f>
        <v>#REF!</v>
      </c>
      <c r="E72" s="30" t="e">
        <f t="shared" si="147"/>
        <v>#REF!</v>
      </c>
      <c r="F72" s="30" t="e">
        <f t="shared" si="147"/>
        <v>#REF!</v>
      </c>
      <c r="G72" s="30" t="e">
        <f t="shared" si="147"/>
        <v>#REF!</v>
      </c>
      <c r="H72" s="30" t="e">
        <f t="shared" si="147"/>
        <v>#REF!</v>
      </c>
      <c r="I72" s="30" t="e">
        <f t="shared" si="147"/>
        <v>#REF!</v>
      </c>
      <c r="J72" s="30" t="e">
        <f t="shared" si="147"/>
        <v>#REF!</v>
      </c>
      <c r="K72" s="30" t="e">
        <f t="shared" si="147"/>
        <v>#REF!</v>
      </c>
      <c r="L72" s="30" t="e">
        <f t="shared" si="147"/>
        <v>#REF!</v>
      </c>
      <c r="M72" s="30" t="e">
        <f t="shared" si="147"/>
        <v>#REF!</v>
      </c>
      <c r="N72" s="30" t="e">
        <f t="shared" si="147"/>
        <v>#REF!</v>
      </c>
      <c r="O72" s="30" t="e">
        <f t="shared" si="147"/>
        <v>#REF!</v>
      </c>
      <c r="P72" s="30" t="e">
        <f t="shared" si="147"/>
        <v>#REF!</v>
      </c>
      <c r="Q72" s="30" t="e">
        <f t="shared" si="147"/>
        <v>#REF!</v>
      </c>
      <c r="R72" s="30" t="e">
        <f t="shared" si="147"/>
        <v>#REF!</v>
      </c>
      <c r="S72" s="30" t="e">
        <f t="shared" si="147"/>
        <v>#REF!</v>
      </c>
      <c r="T72" s="30" t="e">
        <f t="shared" si="147"/>
        <v>#REF!</v>
      </c>
      <c r="U72" s="30" t="e">
        <f t="shared" si="147"/>
        <v>#REF!</v>
      </c>
      <c r="V72" s="30" t="e">
        <f t="shared" si="147"/>
        <v>#REF!</v>
      </c>
      <c r="W72" s="30" t="e">
        <f t="shared" si="147"/>
        <v>#REF!</v>
      </c>
      <c r="X72" s="30" t="e">
        <f t="shared" si="147"/>
        <v>#REF!</v>
      </c>
      <c r="Y72" s="30" t="e">
        <f t="shared" si="147"/>
        <v>#REF!</v>
      </c>
      <c r="Z72" s="30" t="e">
        <f t="shared" si="147"/>
        <v>#REF!</v>
      </c>
      <c r="AA72" s="30" t="e">
        <f t="shared" si="147"/>
        <v>#REF!</v>
      </c>
      <c r="AB72" s="30" t="e">
        <f t="shared" si="147"/>
        <v>#REF!</v>
      </c>
      <c r="AC72" s="30" t="e">
        <f t="shared" si="147"/>
        <v>#REF!</v>
      </c>
      <c r="AD72" s="30" t="e">
        <f t="shared" si="147"/>
        <v>#REF!</v>
      </c>
      <c r="AE72" s="30" t="e">
        <f t="shared" si="147"/>
        <v>#REF!</v>
      </c>
      <c r="AF72" s="30" t="e">
        <f t="shared" si="147"/>
        <v>#REF!</v>
      </c>
      <c r="AG72" s="30" t="e">
        <f t="shared" si="147"/>
        <v>#REF!</v>
      </c>
      <c r="AH72" s="30" t="e">
        <f t="shared" si="147"/>
        <v>#REF!</v>
      </c>
      <c r="AI72" s="30" t="e">
        <f t="shared" si="147"/>
        <v>#REF!</v>
      </c>
      <c r="AJ72" s="30" t="e">
        <f t="shared" si="147"/>
        <v>#REF!</v>
      </c>
      <c r="AK72" s="30" t="e">
        <f t="shared" si="147"/>
        <v>#REF!</v>
      </c>
      <c r="AL72" s="30" t="e">
        <f t="shared" si="147"/>
        <v>#REF!</v>
      </c>
      <c r="AM72" s="30" t="e">
        <f t="shared" si="147"/>
        <v>#REF!</v>
      </c>
      <c r="AN72" s="30" t="e">
        <f t="shared" si="147"/>
        <v>#REF!</v>
      </c>
      <c r="AO72" s="30" t="e">
        <f t="shared" si="147"/>
        <v>#REF!</v>
      </c>
      <c r="AP72" s="30" t="e">
        <f t="shared" si="147"/>
        <v>#REF!</v>
      </c>
      <c r="AQ72" s="30" t="e">
        <f t="shared" si="147"/>
        <v>#REF!</v>
      </c>
      <c r="AR72" s="30" t="e">
        <f t="shared" si="147"/>
        <v>#REF!</v>
      </c>
      <c r="AS72" s="30" t="e">
        <f t="shared" si="147"/>
        <v>#REF!</v>
      </c>
      <c r="AT72" s="30" t="e">
        <f t="shared" si="147"/>
        <v>#REF!</v>
      </c>
      <c r="AU72" s="30" t="e">
        <f t="shared" si="147"/>
        <v>#REF!</v>
      </c>
      <c r="AV72" s="30" t="e">
        <f t="shared" si="147"/>
        <v>#REF!</v>
      </c>
      <c r="AW72" s="30" t="e">
        <f t="shared" si="147"/>
        <v>#REF!</v>
      </c>
      <c r="AX72" s="30" t="e">
        <f t="shared" si="147"/>
        <v>#REF!</v>
      </c>
      <c r="AY72" s="30" t="e">
        <f t="shared" si="147"/>
        <v>#REF!</v>
      </c>
      <c r="AZ72" s="30" t="e">
        <f t="shared" si="147"/>
        <v>#REF!</v>
      </c>
      <c r="BA72" s="30" t="e">
        <f t="shared" si="147"/>
        <v>#REF!</v>
      </c>
      <c r="BB72" s="30" t="e">
        <f t="shared" si="147"/>
        <v>#REF!</v>
      </c>
      <c r="BC72" s="30" t="e">
        <f t="shared" si="147"/>
        <v>#REF!</v>
      </c>
      <c r="BD72" s="30" t="e">
        <f t="shared" si="147"/>
        <v>#REF!</v>
      </c>
      <c r="BE72" s="30" t="e">
        <f t="shared" si="147"/>
        <v>#REF!</v>
      </c>
      <c r="BF72" s="30" t="e">
        <f t="shared" si="147"/>
        <v>#REF!</v>
      </c>
      <c r="BG72" s="30" t="e">
        <f t="shared" si="147"/>
        <v>#REF!</v>
      </c>
      <c r="BH72" s="30" t="e">
        <f t="shared" si="147"/>
        <v>#REF!</v>
      </c>
      <c r="BI72" s="30" t="e">
        <f t="shared" si="147"/>
        <v>#REF!</v>
      </c>
      <c r="BJ72" s="30" t="e">
        <f t="shared" si="147"/>
        <v>#REF!</v>
      </c>
      <c r="BK72"/>
      <c r="BL72" s="5"/>
    </row>
    <row r="73" spans="1:64">
      <c r="A73"/>
      <c r="B73" t="s">
        <v>455</v>
      </c>
      <c r="C73" s="30" t="e">
        <f>+C70*$E$26</f>
        <v>#REF!</v>
      </c>
      <c r="D73" s="30" t="e">
        <f t="shared" ref="D73:BJ73" si="148">+D70*$E$26</f>
        <v>#REF!</v>
      </c>
      <c r="E73" s="30" t="e">
        <f t="shared" si="148"/>
        <v>#REF!</v>
      </c>
      <c r="F73" s="30" t="e">
        <f t="shared" si="148"/>
        <v>#REF!</v>
      </c>
      <c r="G73" s="30" t="e">
        <f t="shared" si="148"/>
        <v>#REF!</v>
      </c>
      <c r="H73" s="30" t="e">
        <f t="shared" si="148"/>
        <v>#REF!</v>
      </c>
      <c r="I73" s="30" t="e">
        <f t="shared" si="148"/>
        <v>#REF!</v>
      </c>
      <c r="J73" s="30" t="e">
        <f t="shared" si="148"/>
        <v>#REF!</v>
      </c>
      <c r="K73" s="30" t="e">
        <f t="shared" si="148"/>
        <v>#REF!</v>
      </c>
      <c r="L73" s="30" t="e">
        <f t="shared" si="148"/>
        <v>#REF!</v>
      </c>
      <c r="M73" s="30" t="e">
        <f t="shared" si="148"/>
        <v>#REF!</v>
      </c>
      <c r="N73" s="30" t="e">
        <f t="shared" si="148"/>
        <v>#REF!</v>
      </c>
      <c r="O73" s="30" t="e">
        <f t="shared" si="148"/>
        <v>#REF!</v>
      </c>
      <c r="P73" s="30" t="e">
        <f t="shared" si="148"/>
        <v>#REF!</v>
      </c>
      <c r="Q73" s="30" t="e">
        <f t="shared" si="148"/>
        <v>#REF!</v>
      </c>
      <c r="R73" s="30" t="e">
        <f t="shared" si="148"/>
        <v>#REF!</v>
      </c>
      <c r="S73" s="30" t="e">
        <f t="shared" si="148"/>
        <v>#REF!</v>
      </c>
      <c r="T73" s="30" t="e">
        <f t="shared" si="148"/>
        <v>#REF!</v>
      </c>
      <c r="U73" s="30" t="e">
        <f t="shared" si="148"/>
        <v>#REF!</v>
      </c>
      <c r="V73" s="30" t="e">
        <f t="shared" si="148"/>
        <v>#REF!</v>
      </c>
      <c r="W73" s="30" t="e">
        <f t="shared" si="148"/>
        <v>#REF!</v>
      </c>
      <c r="X73" s="30" t="e">
        <f t="shared" si="148"/>
        <v>#REF!</v>
      </c>
      <c r="Y73" s="30" t="e">
        <f t="shared" si="148"/>
        <v>#REF!</v>
      </c>
      <c r="Z73" s="30" t="e">
        <f t="shared" si="148"/>
        <v>#REF!</v>
      </c>
      <c r="AA73" s="30" t="e">
        <f t="shared" si="148"/>
        <v>#REF!</v>
      </c>
      <c r="AB73" s="30" t="e">
        <f t="shared" si="148"/>
        <v>#REF!</v>
      </c>
      <c r="AC73" s="30" t="e">
        <f t="shared" si="148"/>
        <v>#REF!</v>
      </c>
      <c r="AD73" s="30" t="e">
        <f t="shared" si="148"/>
        <v>#REF!</v>
      </c>
      <c r="AE73" s="30" t="e">
        <f t="shared" si="148"/>
        <v>#REF!</v>
      </c>
      <c r="AF73" s="30" t="e">
        <f t="shared" si="148"/>
        <v>#REF!</v>
      </c>
      <c r="AG73" s="30" t="e">
        <f t="shared" si="148"/>
        <v>#REF!</v>
      </c>
      <c r="AH73" s="30" t="e">
        <f t="shared" si="148"/>
        <v>#REF!</v>
      </c>
      <c r="AI73" s="30" t="e">
        <f t="shared" si="148"/>
        <v>#REF!</v>
      </c>
      <c r="AJ73" s="30" t="e">
        <f t="shared" si="148"/>
        <v>#REF!</v>
      </c>
      <c r="AK73" s="30" t="e">
        <f t="shared" si="148"/>
        <v>#REF!</v>
      </c>
      <c r="AL73" s="30" t="e">
        <f t="shared" si="148"/>
        <v>#REF!</v>
      </c>
      <c r="AM73" s="30" t="e">
        <f t="shared" si="148"/>
        <v>#REF!</v>
      </c>
      <c r="AN73" s="30" t="e">
        <f t="shared" si="148"/>
        <v>#REF!</v>
      </c>
      <c r="AO73" s="30" t="e">
        <f t="shared" si="148"/>
        <v>#REF!</v>
      </c>
      <c r="AP73" s="30" t="e">
        <f t="shared" si="148"/>
        <v>#REF!</v>
      </c>
      <c r="AQ73" s="30" t="e">
        <f t="shared" si="148"/>
        <v>#REF!</v>
      </c>
      <c r="AR73" s="30" t="e">
        <f t="shared" si="148"/>
        <v>#REF!</v>
      </c>
      <c r="AS73" s="30" t="e">
        <f t="shared" si="148"/>
        <v>#REF!</v>
      </c>
      <c r="AT73" s="30" t="e">
        <f t="shared" si="148"/>
        <v>#REF!</v>
      </c>
      <c r="AU73" s="30" t="e">
        <f t="shared" si="148"/>
        <v>#REF!</v>
      </c>
      <c r="AV73" s="30" t="e">
        <f t="shared" si="148"/>
        <v>#REF!</v>
      </c>
      <c r="AW73" s="30" t="e">
        <f t="shared" si="148"/>
        <v>#REF!</v>
      </c>
      <c r="AX73" s="30" t="e">
        <f t="shared" si="148"/>
        <v>#REF!</v>
      </c>
      <c r="AY73" s="30" t="e">
        <f t="shared" si="148"/>
        <v>#REF!</v>
      </c>
      <c r="AZ73" s="30" t="e">
        <f t="shared" si="148"/>
        <v>#REF!</v>
      </c>
      <c r="BA73" s="30" t="e">
        <f t="shared" si="148"/>
        <v>#REF!</v>
      </c>
      <c r="BB73" s="30" t="e">
        <f t="shared" si="148"/>
        <v>#REF!</v>
      </c>
      <c r="BC73" s="30" t="e">
        <f t="shared" si="148"/>
        <v>#REF!</v>
      </c>
      <c r="BD73" s="30" t="e">
        <f t="shared" si="148"/>
        <v>#REF!</v>
      </c>
      <c r="BE73" s="30" t="e">
        <f t="shared" si="148"/>
        <v>#REF!</v>
      </c>
      <c r="BF73" s="30" t="e">
        <f t="shared" si="148"/>
        <v>#REF!</v>
      </c>
      <c r="BG73" s="30" t="e">
        <f t="shared" si="148"/>
        <v>#REF!</v>
      </c>
      <c r="BH73" s="30" t="e">
        <f t="shared" si="148"/>
        <v>#REF!</v>
      </c>
      <c r="BI73" s="30" t="e">
        <f t="shared" si="148"/>
        <v>#REF!</v>
      </c>
      <c r="BJ73" s="30" t="e">
        <f t="shared" si="148"/>
        <v>#REF!</v>
      </c>
      <c r="BK73"/>
      <c r="BL73" s="5"/>
    </row>
    <row r="74" spans="1:64">
      <c r="A74"/>
      <c r="B74" s="3" t="s">
        <v>404</v>
      </c>
      <c r="C74" s="13" t="e">
        <f>SUM(C72:C73)</f>
        <v>#REF!</v>
      </c>
      <c r="D74" s="13" t="e">
        <f t="shared" ref="D74:E74" si="149">SUM(D72:D73)</f>
        <v>#REF!</v>
      </c>
      <c r="E74" s="13" t="e">
        <f t="shared" si="149"/>
        <v>#REF!</v>
      </c>
      <c r="F74" s="13" t="e">
        <f t="shared" ref="F74" si="150">SUM(F72:F73)</f>
        <v>#REF!</v>
      </c>
      <c r="G74" s="13" t="e">
        <f t="shared" ref="G74" si="151">SUM(G72:G73)</f>
        <v>#REF!</v>
      </c>
      <c r="H74" s="13" t="e">
        <f t="shared" ref="H74" si="152">SUM(H72:H73)</f>
        <v>#REF!</v>
      </c>
      <c r="I74" s="13" t="e">
        <f t="shared" ref="I74" si="153">SUM(I72:I73)</f>
        <v>#REF!</v>
      </c>
      <c r="J74" s="13" t="e">
        <f t="shared" ref="J74" si="154">SUM(J72:J73)</f>
        <v>#REF!</v>
      </c>
      <c r="K74" s="13" t="e">
        <f t="shared" ref="K74" si="155">SUM(K72:K73)</f>
        <v>#REF!</v>
      </c>
      <c r="L74" s="13" t="e">
        <f t="shared" ref="L74" si="156">SUM(L72:L73)</f>
        <v>#REF!</v>
      </c>
      <c r="M74" s="13" t="e">
        <f t="shared" ref="M74" si="157">SUM(M72:M73)</f>
        <v>#REF!</v>
      </c>
      <c r="N74" s="13" t="e">
        <f t="shared" ref="N74" si="158">SUM(N72:N73)</f>
        <v>#REF!</v>
      </c>
      <c r="O74" s="13" t="e">
        <f t="shared" ref="O74" si="159">SUM(O72:O73)</f>
        <v>#REF!</v>
      </c>
      <c r="P74" s="13" t="e">
        <f t="shared" ref="P74" si="160">SUM(P72:P73)</f>
        <v>#REF!</v>
      </c>
      <c r="Q74" s="13" t="e">
        <f t="shared" ref="Q74" si="161">SUM(Q72:Q73)</f>
        <v>#REF!</v>
      </c>
      <c r="R74" s="13" t="e">
        <f t="shared" ref="R74" si="162">SUM(R72:R73)</f>
        <v>#REF!</v>
      </c>
      <c r="S74" s="13" t="e">
        <f t="shared" ref="S74" si="163">SUM(S72:S73)</f>
        <v>#REF!</v>
      </c>
      <c r="T74" s="13" t="e">
        <f t="shared" ref="T74" si="164">SUM(T72:T73)</f>
        <v>#REF!</v>
      </c>
      <c r="U74" s="13" t="e">
        <f t="shared" ref="U74" si="165">SUM(U72:U73)</f>
        <v>#REF!</v>
      </c>
      <c r="V74" s="13" t="e">
        <f t="shared" ref="V74" si="166">SUM(V72:V73)</f>
        <v>#REF!</v>
      </c>
      <c r="W74" s="13" t="e">
        <f t="shared" ref="W74" si="167">SUM(W72:W73)</f>
        <v>#REF!</v>
      </c>
      <c r="X74" s="13" t="e">
        <f t="shared" ref="X74" si="168">SUM(X72:X73)</f>
        <v>#REF!</v>
      </c>
      <c r="Y74" s="13" t="e">
        <f t="shared" ref="Y74" si="169">SUM(Y72:Y73)</f>
        <v>#REF!</v>
      </c>
      <c r="Z74" s="13" t="e">
        <f t="shared" ref="Z74" si="170">SUM(Z72:Z73)</f>
        <v>#REF!</v>
      </c>
      <c r="AA74" s="13" t="e">
        <f t="shared" ref="AA74" si="171">SUM(AA72:AA73)</f>
        <v>#REF!</v>
      </c>
      <c r="AB74" s="13" t="e">
        <f t="shared" ref="AB74" si="172">SUM(AB72:AB73)</f>
        <v>#REF!</v>
      </c>
      <c r="AC74" s="13" t="e">
        <f t="shared" ref="AC74" si="173">SUM(AC72:AC73)</f>
        <v>#REF!</v>
      </c>
      <c r="AD74" s="13" t="e">
        <f t="shared" ref="AD74" si="174">SUM(AD72:AD73)</f>
        <v>#REF!</v>
      </c>
      <c r="AE74" s="13" t="e">
        <f t="shared" ref="AE74" si="175">SUM(AE72:AE73)</f>
        <v>#REF!</v>
      </c>
      <c r="AF74" s="13" t="e">
        <f t="shared" ref="AF74" si="176">SUM(AF72:AF73)</f>
        <v>#REF!</v>
      </c>
      <c r="AG74" s="13" t="e">
        <f t="shared" ref="AG74" si="177">SUM(AG72:AG73)</f>
        <v>#REF!</v>
      </c>
      <c r="AH74" s="13" t="e">
        <f t="shared" ref="AH74" si="178">SUM(AH72:AH73)</f>
        <v>#REF!</v>
      </c>
      <c r="AI74" s="13" t="e">
        <f t="shared" ref="AI74" si="179">SUM(AI72:AI73)</f>
        <v>#REF!</v>
      </c>
      <c r="AJ74" s="13" t="e">
        <f t="shared" ref="AJ74" si="180">SUM(AJ72:AJ73)</f>
        <v>#REF!</v>
      </c>
      <c r="AK74" s="13" t="e">
        <f t="shared" ref="AK74" si="181">SUM(AK72:AK73)</f>
        <v>#REF!</v>
      </c>
      <c r="AL74" s="13" t="e">
        <f t="shared" ref="AL74" si="182">SUM(AL72:AL73)</f>
        <v>#REF!</v>
      </c>
      <c r="AM74" s="13" t="e">
        <f t="shared" ref="AM74" si="183">SUM(AM72:AM73)</f>
        <v>#REF!</v>
      </c>
      <c r="AN74" s="13" t="e">
        <f t="shared" ref="AN74" si="184">SUM(AN72:AN73)</f>
        <v>#REF!</v>
      </c>
      <c r="AO74" s="13" t="e">
        <f t="shared" ref="AO74" si="185">SUM(AO72:AO73)</f>
        <v>#REF!</v>
      </c>
      <c r="AP74" s="13" t="e">
        <f t="shared" ref="AP74" si="186">SUM(AP72:AP73)</f>
        <v>#REF!</v>
      </c>
      <c r="AQ74" s="13" t="e">
        <f t="shared" ref="AQ74" si="187">SUM(AQ72:AQ73)</f>
        <v>#REF!</v>
      </c>
      <c r="AR74" s="13" t="e">
        <f t="shared" ref="AR74" si="188">SUM(AR72:AR73)</f>
        <v>#REF!</v>
      </c>
      <c r="AS74" s="13" t="e">
        <f t="shared" ref="AS74" si="189">SUM(AS72:AS73)</f>
        <v>#REF!</v>
      </c>
      <c r="AT74" s="13" t="e">
        <f t="shared" ref="AT74" si="190">SUM(AT72:AT73)</f>
        <v>#REF!</v>
      </c>
      <c r="AU74" s="13" t="e">
        <f t="shared" ref="AU74" si="191">SUM(AU72:AU73)</f>
        <v>#REF!</v>
      </c>
      <c r="AV74" s="13" t="e">
        <f t="shared" ref="AV74" si="192">SUM(AV72:AV73)</f>
        <v>#REF!</v>
      </c>
      <c r="AW74" s="13" t="e">
        <f t="shared" ref="AW74" si="193">SUM(AW72:AW73)</f>
        <v>#REF!</v>
      </c>
      <c r="AX74" s="13" t="e">
        <f t="shared" ref="AX74" si="194">SUM(AX72:AX73)</f>
        <v>#REF!</v>
      </c>
      <c r="AY74" s="13" t="e">
        <f t="shared" ref="AY74" si="195">SUM(AY72:AY73)</f>
        <v>#REF!</v>
      </c>
      <c r="AZ74" s="13" t="e">
        <f t="shared" ref="AZ74" si="196">SUM(AZ72:AZ73)</f>
        <v>#REF!</v>
      </c>
      <c r="BA74" s="13" t="e">
        <f t="shared" ref="BA74" si="197">SUM(BA72:BA73)</f>
        <v>#REF!</v>
      </c>
      <c r="BB74" s="13" t="e">
        <f t="shared" ref="BB74" si="198">SUM(BB72:BB73)</f>
        <v>#REF!</v>
      </c>
      <c r="BC74" s="13" t="e">
        <f t="shared" ref="BC74" si="199">SUM(BC72:BC73)</f>
        <v>#REF!</v>
      </c>
      <c r="BD74" s="13" t="e">
        <f t="shared" ref="BD74" si="200">SUM(BD72:BD73)</f>
        <v>#REF!</v>
      </c>
      <c r="BE74" s="13" t="e">
        <f t="shared" ref="BE74" si="201">SUM(BE72:BE73)</f>
        <v>#REF!</v>
      </c>
      <c r="BF74" s="13" t="e">
        <f t="shared" ref="BF74" si="202">SUM(BF72:BF73)</f>
        <v>#REF!</v>
      </c>
      <c r="BG74" s="13" t="e">
        <f t="shared" ref="BG74" si="203">SUM(BG72:BG73)</f>
        <v>#REF!</v>
      </c>
      <c r="BH74" s="13" t="e">
        <f t="shared" ref="BH74" si="204">SUM(BH72:BH73)</f>
        <v>#REF!</v>
      </c>
      <c r="BI74" s="13" t="e">
        <f t="shared" ref="BI74" si="205">SUM(BI72:BI73)</f>
        <v>#REF!</v>
      </c>
      <c r="BJ74" s="13" t="e">
        <f t="shared" ref="BJ74" si="206">SUM(BJ72:BJ73)</f>
        <v>#REF!</v>
      </c>
      <c r="BK74"/>
      <c r="BL74" s="5"/>
    </row>
    <row r="75" spans="1:64">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s="5"/>
    </row>
    <row r="76" spans="1:64">
      <c r="A76"/>
      <c r="B76" s="28" t="s">
        <v>456</v>
      </c>
      <c r="C76"/>
      <c r="D76"/>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c r="BL76" s="5"/>
    </row>
    <row r="77" spans="1:64">
      <c r="A77"/>
      <c r="B77" t="s">
        <v>316</v>
      </c>
      <c r="C77" s="30">
        <f>C32</f>
        <v>0</v>
      </c>
      <c r="D77" s="30">
        <f t="shared" ref="D77:BJ77" si="207">D32</f>
        <v>0</v>
      </c>
      <c r="E77" s="30">
        <f t="shared" si="207"/>
        <v>0</v>
      </c>
      <c r="F77" s="30">
        <f t="shared" si="207"/>
        <v>0</v>
      </c>
      <c r="G77" s="30">
        <f t="shared" si="207"/>
        <v>0</v>
      </c>
      <c r="H77" s="30">
        <f t="shared" si="207"/>
        <v>0</v>
      </c>
      <c r="I77" s="30">
        <f t="shared" si="207"/>
        <v>0</v>
      </c>
      <c r="J77" s="30">
        <f t="shared" si="207"/>
        <v>0</v>
      </c>
      <c r="K77" s="30">
        <f t="shared" si="207"/>
        <v>0</v>
      </c>
      <c r="L77" s="30">
        <f t="shared" si="207"/>
        <v>0</v>
      </c>
      <c r="M77" s="30">
        <f t="shared" si="207"/>
        <v>0</v>
      </c>
      <c r="N77" s="30">
        <f t="shared" si="207"/>
        <v>0</v>
      </c>
      <c r="O77" s="30">
        <f t="shared" si="207"/>
        <v>0</v>
      </c>
      <c r="P77" s="30">
        <f t="shared" si="207"/>
        <v>0</v>
      </c>
      <c r="Q77" s="30">
        <f t="shared" si="207"/>
        <v>0</v>
      </c>
      <c r="R77" s="30">
        <f t="shared" si="207"/>
        <v>0</v>
      </c>
      <c r="S77" s="30">
        <f t="shared" si="207"/>
        <v>0</v>
      </c>
      <c r="T77" s="30">
        <f t="shared" si="207"/>
        <v>0</v>
      </c>
      <c r="U77" s="30">
        <f t="shared" si="207"/>
        <v>0</v>
      </c>
      <c r="V77" s="30">
        <f t="shared" si="207"/>
        <v>0</v>
      </c>
      <c r="W77" s="30">
        <f t="shared" si="207"/>
        <v>0</v>
      </c>
      <c r="X77" s="30">
        <f t="shared" si="207"/>
        <v>0</v>
      </c>
      <c r="Y77" s="30">
        <f t="shared" si="207"/>
        <v>0</v>
      </c>
      <c r="Z77" s="30">
        <f t="shared" si="207"/>
        <v>0</v>
      </c>
      <c r="AA77" s="30">
        <f t="shared" si="207"/>
        <v>0</v>
      </c>
      <c r="AB77" s="30">
        <f t="shared" si="207"/>
        <v>0</v>
      </c>
      <c r="AC77" s="30">
        <f t="shared" si="207"/>
        <v>0</v>
      </c>
      <c r="AD77" s="30">
        <f t="shared" si="207"/>
        <v>0</v>
      </c>
      <c r="AE77" s="30">
        <f t="shared" si="207"/>
        <v>0</v>
      </c>
      <c r="AF77" s="30">
        <f t="shared" si="207"/>
        <v>0</v>
      </c>
      <c r="AG77" s="30">
        <f t="shared" si="207"/>
        <v>0</v>
      </c>
      <c r="AH77" s="30">
        <f t="shared" si="207"/>
        <v>0</v>
      </c>
      <c r="AI77" s="30">
        <f t="shared" si="207"/>
        <v>0</v>
      </c>
      <c r="AJ77" s="30">
        <f t="shared" si="207"/>
        <v>0</v>
      </c>
      <c r="AK77" s="30">
        <f t="shared" si="207"/>
        <v>0</v>
      </c>
      <c r="AL77" s="30">
        <f t="shared" si="207"/>
        <v>0</v>
      </c>
      <c r="AM77" s="30">
        <f t="shared" si="207"/>
        <v>0</v>
      </c>
      <c r="AN77" s="30">
        <f t="shared" si="207"/>
        <v>0</v>
      </c>
      <c r="AO77" s="30">
        <f t="shared" si="207"/>
        <v>0</v>
      </c>
      <c r="AP77" s="30">
        <f t="shared" si="207"/>
        <v>0</v>
      </c>
      <c r="AQ77" s="30">
        <f t="shared" si="207"/>
        <v>0</v>
      </c>
      <c r="AR77" s="30">
        <f t="shared" si="207"/>
        <v>0</v>
      </c>
      <c r="AS77" s="30">
        <f t="shared" si="207"/>
        <v>0</v>
      </c>
      <c r="AT77" s="30">
        <f t="shared" si="207"/>
        <v>0</v>
      </c>
      <c r="AU77" s="30">
        <f t="shared" si="207"/>
        <v>0</v>
      </c>
      <c r="AV77" s="30">
        <f t="shared" si="207"/>
        <v>0</v>
      </c>
      <c r="AW77" s="30">
        <f t="shared" si="207"/>
        <v>0</v>
      </c>
      <c r="AX77" s="30">
        <f t="shared" si="207"/>
        <v>0</v>
      </c>
      <c r="AY77" s="30">
        <f t="shared" si="207"/>
        <v>0</v>
      </c>
      <c r="AZ77" s="30">
        <f t="shared" si="207"/>
        <v>0</v>
      </c>
      <c r="BA77" s="30">
        <f t="shared" si="207"/>
        <v>0</v>
      </c>
      <c r="BB77" s="30">
        <f t="shared" si="207"/>
        <v>0</v>
      </c>
      <c r="BC77" s="30">
        <f t="shared" si="207"/>
        <v>0</v>
      </c>
      <c r="BD77" s="30">
        <f t="shared" si="207"/>
        <v>0</v>
      </c>
      <c r="BE77" s="30">
        <f t="shared" si="207"/>
        <v>0</v>
      </c>
      <c r="BF77" s="30">
        <f t="shared" si="207"/>
        <v>0</v>
      </c>
      <c r="BG77" s="30">
        <f t="shared" si="207"/>
        <v>0</v>
      </c>
      <c r="BH77" s="30">
        <f t="shared" si="207"/>
        <v>0</v>
      </c>
      <c r="BI77" s="30">
        <f t="shared" si="207"/>
        <v>0</v>
      </c>
      <c r="BJ77" s="30">
        <f t="shared" si="207"/>
        <v>0</v>
      </c>
      <c r="BK77"/>
      <c r="BL77" s="5"/>
    </row>
    <row r="78" spans="1:64">
      <c r="A78"/>
      <c r="B78" t="s">
        <v>358</v>
      </c>
      <c r="C78" s="30">
        <f>C57</f>
        <v>0</v>
      </c>
      <c r="D78" s="30" t="e">
        <f t="shared" ref="D78:BJ78" si="208">D57</f>
        <v>#REF!</v>
      </c>
      <c r="E78" s="30" t="e">
        <f t="shared" si="208"/>
        <v>#REF!</v>
      </c>
      <c r="F78" s="30" t="e">
        <f t="shared" si="208"/>
        <v>#REF!</v>
      </c>
      <c r="G78" s="30" t="e">
        <f t="shared" si="208"/>
        <v>#REF!</v>
      </c>
      <c r="H78" s="30" t="e">
        <f t="shared" si="208"/>
        <v>#REF!</v>
      </c>
      <c r="I78" s="30" t="e">
        <f t="shared" si="208"/>
        <v>#REF!</v>
      </c>
      <c r="J78" s="30" t="e">
        <f t="shared" si="208"/>
        <v>#REF!</v>
      </c>
      <c r="K78" s="30" t="e">
        <f t="shared" si="208"/>
        <v>#REF!</v>
      </c>
      <c r="L78" s="30" t="e">
        <f t="shared" si="208"/>
        <v>#REF!</v>
      </c>
      <c r="M78" s="30" t="e">
        <f t="shared" si="208"/>
        <v>#REF!</v>
      </c>
      <c r="N78" s="30" t="e">
        <f t="shared" si="208"/>
        <v>#REF!</v>
      </c>
      <c r="O78" s="30" t="e">
        <f t="shared" si="208"/>
        <v>#REF!</v>
      </c>
      <c r="P78" s="30" t="e">
        <f t="shared" si="208"/>
        <v>#REF!</v>
      </c>
      <c r="Q78" s="30" t="e">
        <f t="shared" si="208"/>
        <v>#REF!</v>
      </c>
      <c r="R78" s="30" t="e">
        <f t="shared" si="208"/>
        <v>#REF!</v>
      </c>
      <c r="S78" s="30" t="e">
        <f t="shared" si="208"/>
        <v>#REF!</v>
      </c>
      <c r="T78" s="30" t="e">
        <f t="shared" si="208"/>
        <v>#REF!</v>
      </c>
      <c r="U78" s="30" t="e">
        <f t="shared" si="208"/>
        <v>#REF!</v>
      </c>
      <c r="V78" s="30" t="e">
        <f t="shared" si="208"/>
        <v>#REF!</v>
      </c>
      <c r="W78" s="30" t="e">
        <f t="shared" si="208"/>
        <v>#REF!</v>
      </c>
      <c r="X78" s="30" t="e">
        <f t="shared" si="208"/>
        <v>#REF!</v>
      </c>
      <c r="Y78" s="30" t="e">
        <f t="shared" si="208"/>
        <v>#REF!</v>
      </c>
      <c r="Z78" s="30" t="e">
        <f t="shared" si="208"/>
        <v>#REF!</v>
      </c>
      <c r="AA78" s="30" t="e">
        <f t="shared" si="208"/>
        <v>#REF!</v>
      </c>
      <c r="AB78" s="30" t="e">
        <f t="shared" si="208"/>
        <v>#REF!</v>
      </c>
      <c r="AC78" s="30" t="e">
        <f t="shared" si="208"/>
        <v>#REF!</v>
      </c>
      <c r="AD78" s="30" t="e">
        <f t="shared" si="208"/>
        <v>#REF!</v>
      </c>
      <c r="AE78" s="30" t="e">
        <f t="shared" si="208"/>
        <v>#REF!</v>
      </c>
      <c r="AF78" s="30" t="e">
        <f t="shared" si="208"/>
        <v>#REF!</v>
      </c>
      <c r="AG78" s="30" t="e">
        <f t="shared" si="208"/>
        <v>#REF!</v>
      </c>
      <c r="AH78" s="30" t="e">
        <f t="shared" si="208"/>
        <v>#REF!</v>
      </c>
      <c r="AI78" s="30" t="e">
        <f t="shared" si="208"/>
        <v>#REF!</v>
      </c>
      <c r="AJ78" s="30" t="e">
        <f t="shared" si="208"/>
        <v>#REF!</v>
      </c>
      <c r="AK78" s="30" t="e">
        <f t="shared" si="208"/>
        <v>#REF!</v>
      </c>
      <c r="AL78" s="30" t="e">
        <f t="shared" si="208"/>
        <v>#REF!</v>
      </c>
      <c r="AM78" s="30" t="e">
        <f t="shared" si="208"/>
        <v>#REF!</v>
      </c>
      <c r="AN78" s="30" t="e">
        <f t="shared" si="208"/>
        <v>#REF!</v>
      </c>
      <c r="AO78" s="30" t="e">
        <f t="shared" si="208"/>
        <v>#REF!</v>
      </c>
      <c r="AP78" s="30" t="e">
        <f t="shared" si="208"/>
        <v>#REF!</v>
      </c>
      <c r="AQ78" s="30" t="e">
        <f t="shared" si="208"/>
        <v>#REF!</v>
      </c>
      <c r="AR78" s="30" t="e">
        <f t="shared" si="208"/>
        <v>#REF!</v>
      </c>
      <c r="AS78" s="30" t="e">
        <f t="shared" si="208"/>
        <v>#REF!</v>
      </c>
      <c r="AT78" s="30" t="e">
        <f t="shared" si="208"/>
        <v>#REF!</v>
      </c>
      <c r="AU78" s="30" t="e">
        <f t="shared" si="208"/>
        <v>#REF!</v>
      </c>
      <c r="AV78" s="30" t="e">
        <f t="shared" si="208"/>
        <v>#REF!</v>
      </c>
      <c r="AW78" s="30" t="e">
        <f t="shared" si="208"/>
        <v>#REF!</v>
      </c>
      <c r="AX78" s="30" t="e">
        <f t="shared" si="208"/>
        <v>#REF!</v>
      </c>
      <c r="AY78" s="30" t="e">
        <f t="shared" si="208"/>
        <v>#REF!</v>
      </c>
      <c r="AZ78" s="30" t="e">
        <f t="shared" si="208"/>
        <v>#REF!</v>
      </c>
      <c r="BA78" s="30" t="e">
        <f t="shared" si="208"/>
        <v>#REF!</v>
      </c>
      <c r="BB78" s="30" t="e">
        <f t="shared" si="208"/>
        <v>#REF!</v>
      </c>
      <c r="BC78" s="30" t="e">
        <f t="shared" si="208"/>
        <v>#REF!</v>
      </c>
      <c r="BD78" s="30" t="e">
        <f t="shared" si="208"/>
        <v>#REF!</v>
      </c>
      <c r="BE78" s="30" t="e">
        <f t="shared" si="208"/>
        <v>#REF!</v>
      </c>
      <c r="BF78" s="30" t="e">
        <f t="shared" si="208"/>
        <v>#REF!</v>
      </c>
      <c r="BG78" s="30" t="e">
        <f t="shared" si="208"/>
        <v>#REF!</v>
      </c>
      <c r="BH78" s="30" t="e">
        <f t="shared" si="208"/>
        <v>#REF!</v>
      </c>
      <c r="BI78" s="30" t="e">
        <f t="shared" si="208"/>
        <v>#REF!</v>
      </c>
      <c r="BJ78" s="30" t="e">
        <f t="shared" si="208"/>
        <v>#REF!</v>
      </c>
      <c r="BK78"/>
      <c r="BL78" s="5"/>
    </row>
    <row r="79" spans="1:64">
      <c r="A79"/>
      <c r="B79" t="s">
        <v>362</v>
      </c>
      <c r="C79" s="30">
        <f>+C67</f>
        <v>0</v>
      </c>
      <c r="D79" s="30" t="e">
        <f t="shared" ref="D79:BJ79" si="209">+D67</f>
        <v>#REF!</v>
      </c>
      <c r="E79" s="30" t="e">
        <f t="shared" si="209"/>
        <v>#REF!</v>
      </c>
      <c r="F79" s="30" t="e">
        <f t="shared" si="209"/>
        <v>#REF!</v>
      </c>
      <c r="G79" s="30" t="e">
        <f t="shared" si="209"/>
        <v>#REF!</v>
      </c>
      <c r="H79" s="30" t="e">
        <f t="shared" si="209"/>
        <v>#REF!</v>
      </c>
      <c r="I79" s="30" t="e">
        <f t="shared" si="209"/>
        <v>#REF!</v>
      </c>
      <c r="J79" s="30" t="e">
        <f t="shared" si="209"/>
        <v>#REF!</v>
      </c>
      <c r="K79" s="30" t="e">
        <f t="shared" si="209"/>
        <v>#REF!</v>
      </c>
      <c r="L79" s="30" t="e">
        <f t="shared" si="209"/>
        <v>#REF!</v>
      </c>
      <c r="M79" s="30" t="e">
        <f t="shared" si="209"/>
        <v>#REF!</v>
      </c>
      <c r="N79" s="30" t="e">
        <f t="shared" si="209"/>
        <v>#REF!</v>
      </c>
      <c r="O79" s="30" t="e">
        <f t="shared" si="209"/>
        <v>#REF!</v>
      </c>
      <c r="P79" s="30" t="e">
        <f t="shared" si="209"/>
        <v>#REF!</v>
      </c>
      <c r="Q79" s="30" t="e">
        <f t="shared" si="209"/>
        <v>#REF!</v>
      </c>
      <c r="R79" s="30" t="e">
        <f t="shared" si="209"/>
        <v>#REF!</v>
      </c>
      <c r="S79" s="30" t="e">
        <f t="shared" si="209"/>
        <v>#REF!</v>
      </c>
      <c r="T79" s="30" t="e">
        <f t="shared" si="209"/>
        <v>#REF!</v>
      </c>
      <c r="U79" s="30" t="e">
        <f t="shared" si="209"/>
        <v>#REF!</v>
      </c>
      <c r="V79" s="30" t="e">
        <f t="shared" si="209"/>
        <v>#REF!</v>
      </c>
      <c r="W79" s="30" t="e">
        <f t="shared" si="209"/>
        <v>#REF!</v>
      </c>
      <c r="X79" s="30" t="e">
        <f t="shared" si="209"/>
        <v>#REF!</v>
      </c>
      <c r="Y79" s="30" t="e">
        <f t="shared" si="209"/>
        <v>#REF!</v>
      </c>
      <c r="Z79" s="30" t="e">
        <f t="shared" si="209"/>
        <v>#REF!</v>
      </c>
      <c r="AA79" s="30" t="e">
        <f t="shared" si="209"/>
        <v>#REF!</v>
      </c>
      <c r="AB79" s="30" t="e">
        <f t="shared" si="209"/>
        <v>#REF!</v>
      </c>
      <c r="AC79" s="30" t="e">
        <f t="shared" si="209"/>
        <v>#REF!</v>
      </c>
      <c r="AD79" s="30" t="e">
        <f t="shared" si="209"/>
        <v>#REF!</v>
      </c>
      <c r="AE79" s="30" t="e">
        <f t="shared" si="209"/>
        <v>#REF!</v>
      </c>
      <c r="AF79" s="30" t="e">
        <f t="shared" si="209"/>
        <v>#REF!</v>
      </c>
      <c r="AG79" s="30" t="e">
        <f t="shared" si="209"/>
        <v>#REF!</v>
      </c>
      <c r="AH79" s="30" t="e">
        <f t="shared" si="209"/>
        <v>#REF!</v>
      </c>
      <c r="AI79" s="30" t="e">
        <f t="shared" si="209"/>
        <v>#REF!</v>
      </c>
      <c r="AJ79" s="30" t="e">
        <f t="shared" si="209"/>
        <v>#REF!</v>
      </c>
      <c r="AK79" s="30" t="e">
        <f t="shared" si="209"/>
        <v>#REF!</v>
      </c>
      <c r="AL79" s="30" t="e">
        <f t="shared" si="209"/>
        <v>#REF!</v>
      </c>
      <c r="AM79" s="30" t="e">
        <f t="shared" si="209"/>
        <v>#REF!</v>
      </c>
      <c r="AN79" s="30" t="e">
        <f t="shared" si="209"/>
        <v>#REF!</v>
      </c>
      <c r="AO79" s="30" t="e">
        <f t="shared" si="209"/>
        <v>#REF!</v>
      </c>
      <c r="AP79" s="30" t="e">
        <f t="shared" si="209"/>
        <v>#REF!</v>
      </c>
      <c r="AQ79" s="30" t="e">
        <f t="shared" si="209"/>
        <v>#REF!</v>
      </c>
      <c r="AR79" s="30" t="e">
        <f t="shared" si="209"/>
        <v>#REF!</v>
      </c>
      <c r="AS79" s="30" t="e">
        <f t="shared" si="209"/>
        <v>#REF!</v>
      </c>
      <c r="AT79" s="30" t="e">
        <f t="shared" si="209"/>
        <v>#REF!</v>
      </c>
      <c r="AU79" s="30" t="e">
        <f t="shared" si="209"/>
        <v>#REF!</v>
      </c>
      <c r="AV79" s="30" t="e">
        <f t="shared" si="209"/>
        <v>#REF!</v>
      </c>
      <c r="AW79" s="30" t="e">
        <f t="shared" si="209"/>
        <v>#REF!</v>
      </c>
      <c r="AX79" s="30" t="e">
        <f t="shared" si="209"/>
        <v>#REF!</v>
      </c>
      <c r="AY79" s="30" t="e">
        <f t="shared" si="209"/>
        <v>#REF!</v>
      </c>
      <c r="AZ79" s="30" t="e">
        <f t="shared" si="209"/>
        <v>#REF!</v>
      </c>
      <c r="BA79" s="30" t="e">
        <f t="shared" si="209"/>
        <v>#REF!</v>
      </c>
      <c r="BB79" s="30" t="e">
        <f t="shared" si="209"/>
        <v>#REF!</v>
      </c>
      <c r="BC79" s="30" t="e">
        <f t="shared" si="209"/>
        <v>#REF!</v>
      </c>
      <c r="BD79" s="30" t="e">
        <f t="shared" si="209"/>
        <v>#REF!</v>
      </c>
      <c r="BE79" s="30" t="e">
        <f t="shared" si="209"/>
        <v>#REF!</v>
      </c>
      <c r="BF79" s="30" t="e">
        <f t="shared" si="209"/>
        <v>#REF!</v>
      </c>
      <c r="BG79" s="30" t="e">
        <f t="shared" si="209"/>
        <v>#REF!</v>
      </c>
      <c r="BH79" s="30" t="e">
        <f t="shared" si="209"/>
        <v>#REF!</v>
      </c>
      <c r="BI79" s="30" t="e">
        <f t="shared" si="209"/>
        <v>#REF!</v>
      </c>
      <c r="BJ79" s="30" t="e">
        <f t="shared" si="209"/>
        <v>#REF!</v>
      </c>
      <c r="BK79"/>
      <c r="BL79" s="5"/>
    </row>
    <row r="80" spans="1:64">
      <c r="A80"/>
      <c r="B80" t="s">
        <v>364</v>
      </c>
      <c r="C80" s="30" t="e">
        <f>+C73</f>
        <v>#REF!</v>
      </c>
      <c r="D80" s="30" t="e">
        <f t="shared" ref="D80:BJ80" si="210">+D73</f>
        <v>#REF!</v>
      </c>
      <c r="E80" s="30" t="e">
        <f t="shared" si="210"/>
        <v>#REF!</v>
      </c>
      <c r="F80" s="30" t="e">
        <f t="shared" si="210"/>
        <v>#REF!</v>
      </c>
      <c r="G80" s="30" t="e">
        <f t="shared" si="210"/>
        <v>#REF!</v>
      </c>
      <c r="H80" s="30" t="e">
        <f t="shared" si="210"/>
        <v>#REF!</v>
      </c>
      <c r="I80" s="30" t="e">
        <f t="shared" si="210"/>
        <v>#REF!</v>
      </c>
      <c r="J80" s="30" t="e">
        <f t="shared" si="210"/>
        <v>#REF!</v>
      </c>
      <c r="K80" s="30" t="e">
        <f t="shared" si="210"/>
        <v>#REF!</v>
      </c>
      <c r="L80" s="30" t="e">
        <f t="shared" si="210"/>
        <v>#REF!</v>
      </c>
      <c r="M80" s="30" t="e">
        <f t="shared" si="210"/>
        <v>#REF!</v>
      </c>
      <c r="N80" s="30" t="e">
        <f t="shared" si="210"/>
        <v>#REF!</v>
      </c>
      <c r="O80" s="30" t="e">
        <f t="shared" si="210"/>
        <v>#REF!</v>
      </c>
      <c r="P80" s="30" t="e">
        <f t="shared" si="210"/>
        <v>#REF!</v>
      </c>
      <c r="Q80" s="30" t="e">
        <f t="shared" si="210"/>
        <v>#REF!</v>
      </c>
      <c r="R80" s="30" t="e">
        <f t="shared" si="210"/>
        <v>#REF!</v>
      </c>
      <c r="S80" s="30" t="e">
        <f t="shared" si="210"/>
        <v>#REF!</v>
      </c>
      <c r="T80" s="30" t="e">
        <f t="shared" si="210"/>
        <v>#REF!</v>
      </c>
      <c r="U80" s="30" t="e">
        <f t="shared" si="210"/>
        <v>#REF!</v>
      </c>
      <c r="V80" s="30" t="e">
        <f t="shared" si="210"/>
        <v>#REF!</v>
      </c>
      <c r="W80" s="30" t="e">
        <f t="shared" si="210"/>
        <v>#REF!</v>
      </c>
      <c r="X80" s="30" t="e">
        <f t="shared" si="210"/>
        <v>#REF!</v>
      </c>
      <c r="Y80" s="30" t="e">
        <f t="shared" si="210"/>
        <v>#REF!</v>
      </c>
      <c r="Z80" s="30" t="e">
        <f t="shared" si="210"/>
        <v>#REF!</v>
      </c>
      <c r="AA80" s="30" t="e">
        <f t="shared" si="210"/>
        <v>#REF!</v>
      </c>
      <c r="AB80" s="30" t="e">
        <f t="shared" si="210"/>
        <v>#REF!</v>
      </c>
      <c r="AC80" s="30" t="e">
        <f t="shared" si="210"/>
        <v>#REF!</v>
      </c>
      <c r="AD80" s="30" t="e">
        <f t="shared" si="210"/>
        <v>#REF!</v>
      </c>
      <c r="AE80" s="30" t="e">
        <f t="shared" si="210"/>
        <v>#REF!</v>
      </c>
      <c r="AF80" s="30" t="e">
        <f t="shared" si="210"/>
        <v>#REF!</v>
      </c>
      <c r="AG80" s="30" t="e">
        <f t="shared" si="210"/>
        <v>#REF!</v>
      </c>
      <c r="AH80" s="30" t="e">
        <f t="shared" si="210"/>
        <v>#REF!</v>
      </c>
      <c r="AI80" s="30" t="e">
        <f t="shared" si="210"/>
        <v>#REF!</v>
      </c>
      <c r="AJ80" s="30" t="e">
        <f t="shared" si="210"/>
        <v>#REF!</v>
      </c>
      <c r="AK80" s="30" t="e">
        <f t="shared" si="210"/>
        <v>#REF!</v>
      </c>
      <c r="AL80" s="30" t="e">
        <f t="shared" si="210"/>
        <v>#REF!</v>
      </c>
      <c r="AM80" s="30" t="e">
        <f t="shared" si="210"/>
        <v>#REF!</v>
      </c>
      <c r="AN80" s="30" t="e">
        <f t="shared" si="210"/>
        <v>#REF!</v>
      </c>
      <c r="AO80" s="30" t="e">
        <f t="shared" si="210"/>
        <v>#REF!</v>
      </c>
      <c r="AP80" s="30" t="e">
        <f t="shared" si="210"/>
        <v>#REF!</v>
      </c>
      <c r="AQ80" s="30" t="e">
        <f t="shared" si="210"/>
        <v>#REF!</v>
      </c>
      <c r="AR80" s="30" t="e">
        <f t="shared" si="210"/>
        <v>#REF!</v>
      </c>
      <c r="AS80" s="30" t="e">
        <f t="shared" si="210"/>
        <v>#REF!</v>
      </c>
      <c r="AT80" s="30" t="e">
        <f t="shared" si="210"/>
        <v>#REF!</v>
      </c>
      <c r="AU80" s="30" t="e">
        <f t="shared" si="210"/>
        <v>#REF!</v>
      </c>
      <c r="AV80" s="30" t="e">
        <f t="shared" si="210"/>
        <v>#REF!</v>
      </c>
      <c r="AW80" s="30" t="e">
        <f t="shared" si="210"/>
        <v>#REF!</v>
      </c>
      <c r="AX80" s="30" t="e">
        <f t="shared" si="210"/>
        <v>#REF!</v>
      </c>
      <c r="AY80" s="30" t="e">
        <f t="shared" si="210"/>
        <v>#REF!</v>
      </c>
      <c r="AZ80" s="30" t="e">
        <f t="shared" si="210"/>
        <v>#REF!</v>
      </c>
      <c r="BA80" s="30" t="e">
        <f t="shared" si="210"/>
        <v>#REF!</v>
      </c>
      <c r="BB80" s="30" t="e">
        <f t="shared" si="210"/>
        <v>#REF!</v>
      </c>
      <c r="BC80" s="30" t="e">
        <f t="shared" si="210"/>
        <v>#REF!</v>
      </c>
      <c r="BD80" s="30" t="e">
        <f t="shared" si="210"/>
        <v>#REF!</v>
      </c>
      <c r="BE80" s="30" t="e">
        <f t="shared" si="210"/>
        <v>#REF!</v>
      </c>
      <c r="BF80" s="30" t="e">
        <f t="shared" si="210"/>
        <v>#REF!</v>
      </c>
      <c r="BG80" s="30" t="e">
        <f t="shared" si="210"/>
        <v>#REF!</v>
      </c>
      <c r="BH80" s="30" t="e">
        <f t="shared" si="210"/>
        <v>#REF!</v>
      </c>
      <c r="BI80" s="30" t="e">
        <f t="shared" si="210"/>
        <v>#REF!</v>
      </c>
      <c r="BJ80" s="30" t="e">
        <f t="shared" si="210"/>
        <v>#REF!</v>
      </c>
      <c r="BK80"/>
      <c r="BL80" s="5"/>
    </row>
    <row r="81" spans="1:64">
      <c r="A81"/>
      <c r="B81" s="3" t="s">
        <v>64</v>
      </c>
      <c r="C81" s="13" t="e">
        <f>SUM(C77:C80)</f>
        <v>#REF!</v>
      </c>
      <c r="D81" s="13" t="e">
        <f t="shared" ref="D81:BJ81" si="211">SUM(D77:D80)</f>
        <v>#REF!</v>
      </c>
      <c r="E81" s="13" t="e">
        <f t="shared" si="211"/>
        <v>#REF!</v>
      </c>
      <c r="F81" s="13" t="e">
        <f t="shared" si="211"/>
        <v>#REF!</v>
      </c>
      <c r="G81" s="13" t="e">
        <f t="shared" si="211"/>
        <v>#REF!</v>
      </c>
      <c r="H81" s="13" t="e">
        <f t="shared" si="211"/>
        <v>#REF!</v>
      </c>
      <c r="I81" s="13" t="e">
        <f t="shared" si="211"/>
        <v>#REF!</v>
      </c>
      <c r="J81" s="13" t="e">
        <f t="shared" si="211"/>
        <v>#REF!</v>
      </c>
      <c r="K81" s="13" t="e">
        <f t="shared" si="211"/>
        <v>#REF!</v>
      </c>
      <c r="L81" s="13" t="e">
        <f t="shared" si="211"/>
        <v>#REF!</v>
      </c>
      <c r="M81" s="13" t="e">
        <f t="shared" si="211"/>
        <v>#REF!</v>
      </c>
      <c r="N81" s="13" t="e">
        <f t="shared" si="211"/>
        <v>#REF!</v>
      </c>
      <c r="O81" s="13" t="e">
        <f t="shared" si="211"/>
        <v>#REF!</v>
      </c>
      <c r="P81" s="13" t="e">
        <f t="shared" si="211"/>
        <v>#REF!</v>
      </c>
      <c r="Q81" s="13" t="e">
        <f t="shared" si="211"/>
        <v>#REF!</v>
      </c>
      <c r="R81" s="13" t="e">
        <f t="shared" si="211"/>
        <v>#REF!</v>
      </c>
      <c r="S81" s="13" t="e">
        <f t="shared" si="211"/>
        <v>#REF!</v>
      </c>
      <c r="T81" s="13" t="e">
        <f t="shared" si="211"/>
        <v>#REF!</v>
      </c>
      <c r="U81" s="13" t="e">
        <f t="shared" si="211"/>
        <v>#REF!</v>
      </c>
      <c r="V81" s="13" t="e">
        <f t="shared" si="211"/>
        <v>#REF!</v>
      </c>
      <c r="W81" s="13" t="e">
        <f t="shared" si="211"/>
        <v>#REF!</v>
      </c>
      <c r="X81" s="13" t="e">
        <f t="shared" si="211"/>
        <v>#REF!</v>
      </c>
      <c r="Y81" s="13" t="e">
        <f t="shared" si="211"/>
        <v>#REF!</v>
      </c>
      <c r="Z81" s="13" t="e">
        <f t="shared" si="211"/>
        <v>#REF!</v>
      </c>
      <c r="AA81" s="13" t="e">
        <f t="shared" si="211"/>
        <v>#REF!</v>
      </c>
      <c r="AB81" s="13" t="e">
        <f t="shared" si="211"/>
        <v>#REF!</v>
      </c>
      <c r="AC81" s="13" t="e">
        <f t="shared" si="211"/>
        <v>#REF!</v>
      </c>
      <c r="AD81" s="13" t="e">
        <f t="shared" si="211"/>
        <v>#REF!</v>
      </c>
      <c r="AE81" s="13" t="e">
        <f t="shared" si="211"/>
        <v>#REF!</v>
      </c>
      <c r="AF81" s="13" t="e">
        <f t="shared" si="211"/>
        <v>#REF!</v>
      </c>
      <c r="AG81" s="13" t="e">
        <f t="shared" si="211"/>
        <v>#REF!</v>
      </c>
      <c r="AH81" s="13" t="e">
        <f t="shared" si="211"/>
        <v>#REF!</v>
      </c>
      <c r="AI81" s="13" t="e">
        <f t="shared" si="211"/>
        <v>#REF!</v>
      </c>
      <c r="AJ81" s="13" t="e">
        <f t="shared" si="211"/>
        <v>#REF!</v>
      </c>
      <c r="AK81" s="13" t="e">
        <f t="shared" si="211"/>
        <v>#REF!</v>
      </c>
      <c r="AL81" s="13" t="e">
        <f t="shared" si="211"/>
        <v>#REF!</v>
      </c>
      <c r="AM81" s="13" t="e">
        <f t="shared" si="211"/>
        <v>#REF!</v>
      </c>
      <c r="AN81" s="13" t="e">
        <f t="shared" si="211"/>
        <v>#REF!</v>
      </c>
      <c r="AO81" s="13" t="e">
        <f t="shared" si="211"/>
        <v>#REF!</v>
      </c>
      <c r="AP81" s="13" t="e">
        <f t="shared" si="211"/>
        <v>#REF!</v>
      </c>
      <c r="AQ81" s="13" t="e">
        <f t="shared" si="211"/>
        <v>#REF!</v>
      </c>
      <c r="AR81" s="13" t="e">
        <f t="shared" si="211"/>
        <v>#REF!</v>
      </c>
      <c r="AS81" s="13" t="e">
        <f t="shared" si="211"/>
        <v>#REF!</v>
      </c>
      <c r="AT81" s="13" t="e">
        <f t="shared" si="211"/>
        <v>#REF!</v>
      </c>
      <c r="AU81" s="13" t="e">
        <f t="shared" si="211"/>
        <v>#REF!</v>
      </c>
      <c r="AV81" s="13" t="e">
        <f t="shared" si="211"/>
        <v>#REF!</v>
      </c>
      <c r="AW81" s="13" t="e">
        <f t="shared" si="211"/>
        <v>#REF!</v>
      </c>
      <c r="AX81" s="13" t="e">
        <f t="shared" si="211"/>
        <v>#REF!</v>
      </c>
      <c r="AY81" s="13" t="e">
        <f t="shared" si="211"/>
        <v>#REF!</v>
      </c>
      <c r="AZ81" s="13" t="e">
        <f t="shared" si="211"/>
        <v>#REF!</v>
      </c>
      <c r="BA81" s="13" t="e">
        <f t="shared" si="211"/>
        <v>#REF!</v>
      </c>
      <c r="BB81" s="13" t="e">
        <f t="shared" si="211"/>
        <v>#REF!</v>
      </c>
      <c r="BC81" s="13" t="e">
        <f t="shared" si="211"/>
        <v>#REF!</v>
      </c>
      <c r="BD81" s="13" t="e">
        <f t="shared" si="211"/>
        <v>#REF!</v>
      </c>
      <c r="BE81" s="13" t="e">
        <f t="shared" si="211"/>
        <v>#REF!</v>
      </c>
      <c r="BF81" s="13" t="e">
        <f t="shared" si="211"/>
        <v>#REF!</v>
      </c>
      <c r="BG81" s="13" t="e">
        <f t="shared" si="211"/>
        <v>#REF!</v>
      </c>
      <c r="BH81" s="13" t="e">
        <f t="shared" si="211"/>
        <v>#REF!</v>
      </c>
      <c r="BI81" s="13" t="e">
        <f t="shared" si="211"/>
        <v>#REF!</v>
      </c>
      <c r="BJ81" s="13" t="e">
        <f t="shared" si="211"/>
        <v>#REF!</v>
      </c>
      <c r="BK81"/>
      <c r="BL81" s="5"/>
    </row>
    <row r="82" spans="1:6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s="5"/>
    </row>
    <row r="83" spans="1:64">
      <c r="A83"/>
      <c r="B83" s="28" t="s">
        <v>457</v>
      </c>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316</v>
      </c>
      <c r="C84" s="30">
        <v>0</v>
      </c>
      <c r="D84" s="30">
        <v>0</v>
      </c>
      <c r="E84" s="30">
        <v>0</v>
      </c>
      <c r="F84" s="30">
        <v>0</v>
      </c>
      <c r="G84" s="30">
        <v>0</v>
      </c>
      <c r="H84" s="30">
        <v>0</v>
      </c>
      <c r="I84" s="30">
        <v>0</v>
      </c>
      <c r="J84" s="30">
        <v>0</v>
      </c>
      <c r="K84" s="30">
        <v>0</v>
      </c>
      <c r="L84" s="30">
        <v>0</v>
      </c>
      <c r="M84" s="30">
        <v>0</v>
      </c>
      <c r="N84" s="30">
        <v>0</v>
      </c>
      <c r="O84" s="30">
        <v>0</v>
      </c>
      <c r="P84" s="30">
        <v>0</v>
      </c>
      <c r="Q84" s="30">
        <v>0</v>
      </c>
      <c r="R84" s="30">
        <v>0</v>
      </c>
      <c r="S84" s="30">
        <v>0</v>
      </c>
      <c r="T84" s="30">
        <v>0</v>
      </c>
      <c r="U84" s="30">
        <v>0</v>
      </c>
      <c r="V84" s="30">
        <v>0</v>
      </c>
      <c r="W84" s="30">
        <v>0</v>
      </c>
      <c r="X84" s="30">
        <v>0</v>
      </c>
      <c r="Y84" s="30">
        <v>0</v>
      </c>
      <c r="Z84" s="30">
        <v>0</v>
      </c>
      <c r="AA84" s="30">
        <v>0</v>
      </c>
      <c r="AB84" s="30">
        <v>0</v>
      </c>
      <c r="AC84" s="30">
        <v>0</v>
      </c>
      <c r="AD84" s="30">
        <v>0</v>
      </c>
      <c r="AE84" s="30">
        <v>0</v>
      </c>
      <c r="AF84" s="30">
        <v>0</v>
      </c>
      <c r="AG84" s="30">
        <v>0</v>
      </c>
      <c r="AH84" s="30">
        <v>0</v>
      </c>
      <c r="AI84" s="30">
        <v>0</v>
      </c>
      <c r="AJ84" s="30">
        <v>0</v>
      </c>
      <c r="AK84" s="30">
        <v>0</v>
      </c>
      <c r="AL84" s="30">
        <v>0</v>
      </c>
      <c r="AM84" s="30">
        <v>0</v>
      </c>
      <c r="AN84" s="30">
        <v>0</v>
      </c>
      <c r="AO84" s="30">
        <v>0</v>
      </c>
      <c r="AP84" s="30">
        <v>0</v>
      </c>
      <c r="AQ84" s="30">
        <v>0</v>
      </c>
      <c r="AR84" s="30">
        <v>0</v>
      </c>
      <c r="AS84" s="30">
        <v>0</v>
      </c>
      <c r="AT84" s="30">
        <v>0</v>
      </c>
      <c r="AU84" s="30">
        <v>0</v>
      </c>
      <c r="AV84" s="30">
        <v>0</v>
      </c>
      <c r="AW84" s="30">
        <v>0</v>
      </c>
      <c r="AX84" s="30">
        <v>0</v>
      </c>
      <c r="AY84" s="30">
        <v>0</v>
      </c>
      <c r="AZ84" s="30">
        <v>0</v>
      </c>
      <c r="BA84" s="30">
        <v>0</v>
      </c>
      <c r="BB84" s="30">
        <v>0</v>
      </c>
      <c r="BC84" s="30">
        <v>0</v>
      </c>
      <c r="BD84" s="30">
        <v>0</v>
      </c>
      <c r="BE84" s="30">
        <v>0</v>
      </c>
      <c r="BF84" s="30">
        <v>0</v>
      </c>
      <c r="BG84" s="30">
        <v>0</v>
      </c>
      <c r="BH84" s="30">
        <v>0</v>
      </c>
      <c r="BI84" s="30">
        <v>0</v>
      </c>
      <c r="BJ84" s="30">
        <v>0</v>
      </c>
      <c r="BK84"/>
      <c r="BL84" s="5"/>
    </row>
    <row r="85" spans="1:64">
      <c r="A85"/>
      <c r="B85" t="s">
        <v>358</v>
      </c>
      <c r="C85" s="30">
        <v>0</v>
      </c>
      <c r="D85" s="30">
        <v>0</v>
      </c>
      <c r="E85" s="30">
        <v>0</v>
      </c>
      <c r="F85" s="30">
        <v>0</v>
      </c>
      <c r="G85" s="30">
        <v>0</v>
      </c>
      <c r="H85" s="30">
        <v>0</v>
      </c>
      <c r="I85" s="30">
        <v>0</v>
      </c>
      <c r="J85" s="30">
        <v>0</v>
      </c>
      <c r="K85" s="30">
        <v>0</v>
      </c>
      <c r="L85" s="30">
        <v>0</v>
      </c>
      <c r="M85" s="30">
        <v>0</v>
      </c>
      <c r="N85" s="30">
        <v>0</v>
      </c>
      <c r="O85" s="30">
        <v>0</v>
      </c>
      <c r="P85" s="30">
        <v>0</v>
      </c>
      <c r="Q85" s="30">
        <v>0</v>
      </c>
      <c r="R85" s="30">
        <v>0</v>
      </c>
      <c r="S85" s="30">
        <v>0</v>
      </c>
      <c r="T85" s="30">
        <v>0</v>
      </c>
      <c r="U85" s="30">
        <v>0</v>
      </c>
      <c r="V85" s="30">
        <v>0</v>
      </c>
      <c r="W85" s="30">
        <v>0</v>
      </c>
      <c r="X85" s="30">
        <v>0</v>
      </c>
      <c r="Y85" s="30">
        <v>0</v>
      </c>
      <c r="Z85" s="30">
        <v>0</v>
      </c>
      <c r="AA85" s="30">
        <v>0</v>
      </c>
      <c r="AB85" s="30">
        <v>0</v>
      </c>
      <c r="AC85" s="30">
        <v>0</v>
      </c>
      <c r="AD85" s="30">
        <v>0</v>
      </c>
      <c r="AE85" s="30">
        <v>0</v>
      </c>
      <c r="AF85" s="30">
        <v>0</v>
      </c>
      <c r="AG85" s="30">
        <v>0</v>
      </c>
      <c r="AH85" s="30">
        <v>0</v>
      </c>
      <c r="AI85" s="30">
        <v>0</v>
      </c>
      <c r="AJ85" s="30">
        <v>0</v>
      </c>
      <c r="AK85" s="30">
        <v>0</v>
      </c>
      <c r="AL85" s="30">
        <v>0</v>
      </c>
      <c r="AM85" s="30">
        <v>0</v>
      </c>
      <c r="AN85" s="30">
        <v>0</v>
      </c>
      <c r="AO85" s="30">
        <v>0</v>
      </c>
      <c r="AP85" s="30">
        <v>0</v>
      </c>
      <c r="AQ85" s="30">
        <v>0</v>
      </c>
      <c r="AR85" s="30">
        <v>0</v>
      </c>
      <c r="AS85" s="30">
        <v>0</v>
      </c>
      <c r="AT85" s="30">
        <v>0</v>
      </c>
      <c r="AU85" s="30">
        <v>0</v>
      </c>
      <c r="AV85" s="30">
        <v>0</v>
      </c>
      <c r="AW85" s="30">
        <v>0</v>
      </c>
      <c r="AX85" s="30">
        <v>0</v>
      </c>
      <c r="AY85" s="30">
        <v>0</v>
      </c>
      <c r="AZ85" s="30">
        <v>0</v>
      </c>
      <c r="BA85" s="30">
        <v>0</v>
      </c>
      <c r="BB85" s="30">
        <v>0</v>
      </c>
      <c r="BC85" s="30">
        <v>0</v>
      </c>
      <c r="BD85" s="30">
        <v>0</v>
      </c>
      <c r="BE85" s="30">
        <v>0</v>
      </c>
      <c r="BF85" s="30">
        <v>0</v>
      </c>
      <c r="BG85" s="30">
        <v>0</v>
      </c>
      <c r="BH85" s="30">
        <v>0</v>
      </c>
      <c r="BI85" s="30">
        <v>0</v>
      </c>
      <c r="BJ85" s="30">
        <v>0</v>
      </c>
      <c r="BK85"/>
      <c r="BL85" s="5"/>
    </row>
    <row r="86" spans="1:64">
      <c r="A86"/>
      <c r="B86" t="s">
        <v>362</v>
      </c>
      <c r="C86" s="30">
        <v>0</v>
      </c>
      <c r="D86" s="30">
        <v>0</v>
      </c>
      <c r="E86" s="30">
        <v>0</v>
      </c>
      <c r="F86" s="30">
        <v>0</v>
      </c>
      <c r="G86" s="30">
        <v>0</v>
      </c>
      <c r="H86" s="30">
        <v>0</v>
      </c>
      <c r="I86" s="30">
        <v>0</v>
      </c>
      <c r="J86" s="30">
        <v>0</v>
      </c>
      <c r="K86" s="30">
        <v>0</v>
      </c>
      <c r="L86" s="30">
        <v>0</v>
      </c>
      <c r="M86" s="30">
        <v>0</v>
      </c>
      <c r="N86" s="30">
        <v>0</v>
      </c>
      <c r="O86" s="30">
        <v>0</v>
      </c>
      <c r="P86" s="30">
        <v>0</v>
      </c>
      <c r="Q86" s="30">
        <v>0</v>
      </c>
      <c r="R86" s="30">
        <v>0</v>
      </c>
      <c r="S86" s="30">
        <v>0</v>
      </c>
      <c r="T86" s="30">
        <v>0</v>
      </c>
      <c r="U86" s="30">
        <v>0</v>
      </c>
      <c r="V86" s="30">
        <v>0</v>
      </c>
      <c r="W86" s="30">
        <v>0</v>
      </c>
      <c r="X86" s="30">
        <v>0</v>
      </c>
      <c r="Y86" s="30">
        <v>0</v>
      </c>
      <c r="Z86" s="30">
        <v>0</v>
      </c>
      <c r="AA86" s="30">
        <v>0</v>
      </c>
      <c r="AB86" s="30">
        <v>0</v>
      </c>
      <c r="AC86" s="30">
        <v>0</v>
      </c>
      <c r="AD86" s="30">
        <v>0</v>
      </c>
      <c r="AE86" s="30">
        <v>0</v>
      </c>
      <c r="AF86" s="30">
        <v>0</v>
      </c>
      <c r="AG86" s="30">
        <v>0</v>
      </c>
      <c r="AH86" s="30">
        <v>0</v>
      </c>
      <c r="AI86" s="30">
        <v>0</v>
      </c>
      <c r="AJ86" s="30">
        <v>0</v>
      </c>
      <c r="AK86" s="30">
        <v>0</v>
      </c>
      <c r="AL86" s="30">
        <v>0</v>
      </c>
      <c r="AM86" s="30">
        <v>0</v>
      </c>
      <c r="AN86" s="30">
        <v>0</v>
      </c>
      <c r="AO86" s="30">
        <v>0</v>
      </c>
      <c r="AP86" s="30">
        <v>0</v>
      </c>
      <c r="AQ86" s="30">
        <v>0</v>
      </c>
      <c r="AR86" s="30">
        <v>0</v>
      </c>
      <c r="AS86" s="30">
        <v>0</v>
      </c>
      <c r="AT86" s="30">
        <v>0</v>
      </c>
      <c r="AU86" s="30">
        <v>0</v>
      </c>
      <c r="AV86" s="30">
        <v>0</v>
      </c>
      <c r="AW86" s="30">
        <v>0</v>
      </c>
      <c r="AX86" s="30">
        <v>0</v>
      </c>
      <c r="AY86" s="30">
        <v>0</v>
      </c>
      <c r="AZ86" s="30">
        <v>0</v>
      </c>
      <c r="BA86" s="30">
        <v>0</v>
      </c>
      <c r="BB86" s="30">
        <v>0</v>
      </c>
      <c r="BC86" s="30">
        <v>0</v>
      </c>
      <c r="BD86" s="30">
        <v>0</v>
      </c>
      <c r="BE86" s="30">
        <v>0</v>
      </c>
      <c r="BF86" s="30">
        <v>0</v>
      </c>
      <c r="BG86" s="30">
        <v>0</v>
      </c>
      <c r="BH86" s="30">
        <v>0</v>
      </c>
      <c r="BI86" s="30">
        <v>0</v>
      </c>
      <c r="BJ86" s="30">
        <v>0</v>
      </c>
      <c r="BK86"/>
      <c r="BL86" s="5"/>
    </row>
    <row r="87" spans="1:64">
      <c r="A87"/>
      <c r="B87" t="s">
        <v>364</v>
      </c>
      <c r="C87" s="30" t="e">
        <f>+C72</f>
        <v>#REF!</v>
      </c>
      <c r="D87" s="30" t="e">
        <f t="shared" ref="D87:BJ87" si="212">+D72</f>
        <v>#REF!</v>
      </c>
      <c r="E87" s="30" t="e">
        <f t="shared" si="212"/>
        <v>#REF!</v>
      </c>
      <c r="F87" s="30" t="e">
        <f t="shared" si="212"/>
        <v>#REF!</v>
      </c>
      <c r="G87" s="30" t="e">
        <f t="shared" si="212"/>
        <v>#REF!</v>
      </c>
      <c r="H87" s="30" t="e">
        <f t="shared" si="212"/>
        <v>#REF!</v>
      </c>
      <c r="I87" s="30" t="e">
        <f t="shared" si="212"/>
        <v>#REF!</v>
      </c>
      <c r="J87" s="30" t="e">
        <f t="shared" si="212"/>
        <v>#REF!</v>
      </c>
      <c r="K87" s="30" t="e">
        <f t="shared" si="212"/>
        <v>#REF!</v>
      </c>
      <c r="L87" s="30" t="e">
        <f t="shared" si="212"/>
        <v>#REF!</v>
      </c>
      <c r="M87" s="30" t="e">
        <f t="shared" si="212"/>
        <v>#REF!</v>
      </c>
      <c r="N87" s="30" t="e">
        <f t="shared" si="212"/>
        <v>#REF!</v>
      </c>
      <c r="O87" s="30" t="e">
        <f t="shared" si="212"/>
        <v>#REF!</v>
      </c>
      <c r="P87" s="30" t="e">
        <f t="shared" si="212"/>
        <v>#REF!</v>
      </c>
      <c r="Q87" s="30" t="e">
        <f t="shared" si="212"/>
        <v>#REF!</v>
      </c>
      <c r="R87" s="30" t="e">
        <f t="shared" si="212"/>
        <v>#REF!</v>
      </c>
      <c r="S87" s="30" t="e">
        <f t="shared" si="212"/>
        <v>#REF!</v>
      </c>
      <c r="T87" s="30" t="e">
        <f t="shared" si="212"/>
        <v>#REF!</v>
      </c>
      <c r="U87" s="30" t="e">
        <f t="shared" si="212"/>
        <v>#REF!</v>
      </c>
      <c r="V87" s="30" t="e">
        <f t="shared" si="212"/>
        <v>#REF!</v>
      </c>
      <c r="W87" s="30" t="e">
        <f t="shared" si="212"/>
        <v>#REF!</v>
      </c>
      <c r="X87" s="30" t="e">
        <f t="shared" si="212"/>
        <v>#REF!</v>
      </c>
      <c r="Y87" s="30" t="e">
        <f t="shared" si="212"/>
        <v>#REF!</v>
      </c>
      <c r="Z87" s="30" t="e">
        <f t="shared" si="212"/>
        <v>#REF!</v>
      </c>
      <c r="AA87" s="30" t="e">
        <f t="shared" si="212"/>
        <v>#REF!</v>
      </c>
      <c r="AB87" s="30" t="e">
        <f t="shared" si="212"/>
        <v>#REF!</v>
      </c>
      <c r="AC87" s="30" t="e">
        <f t="shared" si="212"/>
        <v>#REF!</v>
      </c>
      <c r="AD87" s="30" t="e">
        <f t="shared" si="212"/>
        <v>#REF!</v>
      </c>
      <c r="AE87" s="30" t="e">
        <f t="shared" si="212"/>
        <v>#REF!</v>
      </c>
      <c r="AF87" s="30" t="e">
        <f t="shared" si="212"/>
        <v>#REF!</v>
      </c>
      <c r="AG87" s="30" t="e">
        <f t="shared" si="212"/>
        <v>#REF!</v>
      </c>
      <c r="AH87" s="30" t="e">
        <f t="shared" si="212"/>
        <v>#REF!</v>
      </c>
      <c r="AI87" s="30" t="e">
        <f t="shared" si="212"/>
        <v>#REF!</v>
      </c>
      <c r="AJ87" s="30" t="e">
        <f t="shared" si="212"/>
        <v>#REF!</v>
      </c>
      <c r="AK87" s="30" t="e">
        <f t="shared" si="212"/>
        <v>#REF!</v>
      </c>
      <c r="AL87" s="30" t="e">
        <f t="shared" si="212"/>
        <v>#REF!</v>
      </c>
      <c r="AM87" s="30" t="e">
        <f t="shared" si="212"/>
        <v>#REF!</v>
      </c>
      <c r="AN87" s="30" t="e">
        <f t="shared" si="212"/>
        <v>#REF!</v>
      </c>
      <c r="AO87" s="30" t="e">
        <f t="shared" si="212"/>
        <v>#REF!</v>
      </c>
      <c r="AP87" s="30" t="e">
        <f t="shared" si="212"/>
        <v>#REF!</v>
      </c>
      <c r="AQ87" s="30" t="e">
        <f t="shared" si="212"/>
        <v>#REF!</v>
      </c>
      <c r="AR87" s="30" t="e">
        <f t="shared" si="212"/>
        <v>#REF!</v>
      </c>
      <c r="AS87" s="30" t="e">
        <f t="shared" si="212"/>
        <v>#REF!</v>
      </c>
      <c r="AT87" s="30" t="e">
        <f t="shared" si="212"/>
        <v>#REF!</v>
      </c>
      <c r="AU87" s="30" t="e">
        <f t="shared" si="212"/>
        <v>#REF!</v>
      </c>
      <c r="AV87" s="30" t="e">
        <f t="shared" si="212"/>
        <v>#REF!</v>
      </c>
      <c r="AW87" s="30" t="e">
        <f t="shared" si="212"/>
        <v>#REF!</v>
      </c>
      <c r="AX87" s="30" t="e">
        <f t="shared" si="212"/>
        <v>#REF!</v>
      </c>
      <c r="AY87" s="30" t="e">
        <f t="shared" si="212"/>
        <v>#REF!</v>
      </c>
      <c r="AZ87" s="30" t="e">
        <f t="shared" si="212"/>
        <v>#REF!</v>
      </c>
      <c r="BA87" s="30" t="e">
        <f t="shared" si="212"/>
        <v>#REF!</v>
      </c>
      <c r="BB87" s="30" t="e">
        <f t="shared" si="212"/>
        <v>#REF!</v>
      </c>
      <c r="BC87" s="30" t="e">
        <f t="shared" si="212"/>
        <v>#REF!</v>
      </c>
      <c r="BD87" s="30" t="e">
        <f t="shared" si="212"/>
        <v>#REF!</v>
      </c>
      <c r="BE87" s="30" t="e">
        <f t="shared" si="212"/>
        <v>#REF!</v>
      </c>
      <c r="BF87" s="30" t="e">
        <f t="shared" si="212"/>
        <v>#REF!</v>
      </c>
      <c r="BG87" s="30" t="e">
        <f t="shared" si="212"/>
        <v>#REF!</v>
      </c>
      <c r="BH87" s="30" t="e">
        <f t="shared" si="212"/>
        <v>#REF!</v>
      </c>
      <c r="BI87" s="30" t="e">
        <f t="shared" si="212"/>
        <v>#REF!</v>
      </c>
      <c r="BJ87" s="30" t="e">
        <f t="shared" si="212"/>
        <v>#REF!</v>
      </c>
      <c r="BK87"/>
      <c r="BL87" s="5"/>
    </row>
    <row r="88" spans="1:64">
      <c r="A88"/>
      <c r="B88" s="3" t="s">
        <v>64</v>
      </c>
      <c r="C88" s="13" t="e">
        <f>SUM(C84:C87)</f>
        <v>#REF!</v>
      </c>
      <c r="D88" s="13" t="e">
        <f t="shared" ref="D88" si="213">SUM(D84:D87)</f>
        <v>#REF!</v>
      </c>
      <c r="E88" s="13" t="e">
        <f t="shared" ref="E88" si="214">SUM(E84:E87)</f>
        <v>#REF!</v>
      </c>
      <c r="F88" s="13" t="e">
        <f t="shared" ref="F88" si="215">SUM(F84:F87)</f>
        <v>#REF!</v>
      </c>
      <c r="G88" s="13" t="e">
        <f t="shared" ref="G88" si="216">SUM(G84:G87)</f>
        <v>#REF!</v>
      </c>
      <c r="H88" s="13" t="e">
        <f t="shared" ref="H88" si="217">SUM(H84:H87)</f>
        <v>#REF!</v>
      </c>
      <c r="I88" s="13" t="e">
        <f t="shared" ref="I88" si="218">SUM(I84:I87)</f>
        <v>#REF!</v>
      </c>
      <c r="J88" s="13" t="e">
        <f t="shared" ref="J88" si="219">SUM(J84:J87)</f>
        <v>#REF!</v>
      </c>
      <c r="K88" s="13" t="e">
        <f t="shared" ref="K88" si="220">SUM(K84:K87)</f>
        <v>#REF!</v>
      </c>
      <c r="L88" s="13" t="e">
        <f t="shared" ref="L88" si="221">SUM(L84:L87)</f>
        <v>#REF!</v>
      </c>
      <c r="M88" s="13" t="e">
        <f t="shared" ref="M88" si="222">SUM(M84:M87)</f>
        <v>#REF!</v>
      </c>
      <c r="N88" s="13" t="e">
        <f t="shared" ref="N88" si="223">SUM(N84:N87)</f>
        <v>#REF!</v>
      </c>
      <c r="O88" s="13" t="e">
        <f t="shared" ref="O88" si="224">SUM(O84:O87)</f>
        <v>#REF!</v>
      </c>
      <c r="P88" s="13" t="e">
        <f t="shared" ref="P88" si="225">SUM(P84:P87)</f>
        <v>#REF!</v>
      </c>
      <c r="Q88" s="13" t="e">
        <f t="shared" ref="Q88" si="226">SUM(Q84:Q87)</f>
        <v>#REF!</v>
      </c>
      <c r="R88" s="13" t="e">
        <f t="shared" ref="R88" si="227">SUM(R84:R87)</f>
        <v>#REF!</v>
      </c>
      <c r="S88" s="13" t="e">
        <f t="shared" ref="S88" si="228">SUM(S84:S87)</f>
        <v>#REF!</v>
      </c>
      <c r="T88" s="13" t="e">
        <f t="shared" ref="T88" si="229">SUM(T84:T87)</f>
        <v>#REF!</v>
      </c>
      <c r="U88" s="13" t="e">
        <f t="shared" ref="U88" si="230">SUM(U84:U87)</f>
        <v>#REF!</v>
      </c>
      <c r="V88" s="13" t="e">
        <f t="shared" ref="V88" si="231">SUM(V84:V87)</f>
        <v>#REF!</v>
      </c>
      <c r="W88" s="13" t="e">
        <f t="shared" ref="W88" si="232">SUM(W84:W87)</f>
        <v>#REF!</v>
      </c>
      <c r="X88" s="13" t="e">
        <f t="shared" ref="X88" si="233">SUM(X84:X87)</f>
        <v>#REF!</v>
      </c>
      <c r="Y88" s="13" t="e">
        <f t="shared" ref="Y88" si="234">SUM(Y84:Y87)</f>
        <v>#REF!</v>
      </c>
      <c r="Z88" s="13" t="e">
        <f t="shared" ref="Z88" si="235">SUM(Z84:Z87)</f>
        <v>#REF!</v>
      </c>
      <c r="AA88" s="13" t="e">
        <f t="shared" ref="AA88" si="236">SUM(AA84:AA87)</f>
        <v>#REF!</v>
      </c>
      <c r="AB88" s="13" t="e">
        <f t="shared" ref="AB88" si="237">SUM(AB84:AB87)</f>
        <v>#REF!</v>
      </c>
      <c r="AC88" s="13" t="e">
        <f t="shared" ref="AC88" si="238">SUM(AC84:AC87)</f>
        <v>#REF!</v>
      </c>
      <c r="AD88" s="13" t="e">
        <f t="shared" ref="AD88" si="239">SUM(AD84:AD87)</f>
        <v>#REF!</v>
      </c>
      <c r="AE88" s="13" t="e">
        <f t="shared" ref="AE88" si="240">SUM(AE84:AE87)</f>
        <v>#REF!</v>
      </c>
      <c r="AF88" s="13" t="e">
        <f t="shared" ref="AF88" si="241">SUM(AF84:AF87)</f>
        <v>#REF!</v>
      </c>
      <c r="AG88" s="13" t="e">
        <f t="shared" ref="AG88" si="242">SUM(AG84:AG87)</f>
        <v>#REF!</v>
      </c>
      <c r="AH88" s="13" t="e">
        <f t="shared" ref="AH88" si="243">SUM(AH84:AH87)</f>
        <v>#REF!</v>
      </c>
      <c r="AI88" s="13" t="e">
        <f t="shared" ref="AI88" si="244">SUM(AI84:AI87)</f>
        <v>#REF!</v>
      </c>
      <c r="AJ88" s="13" t="e">
        <f t="shared" ref="AJ88" si="245">SUM(AJ84:AJ87)</f>
        <v>#REF!</v>
      </c>
      <c r="AK88" s="13" t="e">
        <f t="shared" ref="AK88" si="246">SUM(AK84:AK87)</f>
        <v>#REF!</v>
      </c>
      <c r="AL88" s="13" t="e">
        <f t="shared" ref="AL88" si="247">SUM(AL84:AL87)</f>
        <v>#REF!</v>
      </c>
      <c r="AM88" s="13" t="e">
        <f t="shared" ref="AM88" si="248">SUM(AM84:AM87)</f>
        <v>#REF!</v>
      </c>
      <c r="AN88" s="13" t="e">
        <f t="shared" ref="AN88" si="249">SUM(AN84:AN87)</f>
        <v>#REF!</v>
      </c>
      <c r="AO88" s="13" t="e">
        <f t="shared" ref="AO88" si="250">SUM(AO84:AO87)</f>
        <v>#REF!</v>
      </c>
      <c r="AP88" s="13" t="e">
        <f t="shared" ref="AP88" si="251">SUM(AP84:AP87)</f>
        <v>#REF!</v>
      </c>
      <c r="AQ88" s="13" t="e">
        <f t="shared" ref="AQ88" si="252">SUM(AQ84:AQ87)</f>
        <v>#REF!</v>
      </c>
      <c r="AR88" s="13" t="e">
        <f t="shared" ref="AR88" si="253">SUM(AR84:AR87)</f>
        <v>#REF!</v>
      </c>
      <c r="AS88" s="13" t="e">
        <f t="shared" ref="AS88" si="254">SUM(AS84:AS87)</f>
        <v>#REF!</v>
      </c>
      <c r="AT88" s="13" t="e">
        <f t="shared" ref="AT88" si="255">SUM(AT84:AT87)</f>
        <v>#REF!</v>
      </c>
      <c r="AU88" s="13" t="e">
        <f t="shared" ref="AU88" si="256">SUM(AU84:AU87)</f>
        <v>#REF!</v>
      </c>
      <c r="AV88" s="13" t="e">
        <f t="shared" ref="AV88" si="257">SUM(AV84:AV87)</f>
        <v>#REF!</v>
      </c>
      <c r="AW88" s="13" t="e">
        <f t="shared" ref="AW88" si="258">SUM(AW84:AW87)</f>
        <v>#REF!</v>
      </c>
      <c r="AX88" s="13" t="e">
        <f t="shared" ref="AX88" si="259">SUM(AX84:AX87)</f>
        <v>#REF!</v>
      </c>
      <c r="AY88" s="13" t="e">
        <f t="shared" ref="AY88" si="260">SUM(AY84:AY87)</f>
        <v>#REF!</v>
      </c>
      <c r="AZ88" s="13" t="e">
        <f t="shared" ref="AZ88" si="261">SUM(AZ84:AZ87)</f>
        <v>#REF!</v>
      </c>
      <c r="BA88" s="13" t="e">
        <f t="shared" ref="BA88" si="262">SUM(BA84:BA87)</f>
        <v>#REF!</v>
      </c>
      <c r="BB88" s="13" t="e">
        <f t="shared" ref="BB88" si="263">SUM(BB84:BB87)</f>
        <v>#REF!</v>
      </c>
      <c r="BC88" s="13" t="e">
        <f t="shared" ref="BC88" si="264">SUM(BC84:BC87)</f>
        <v>#REF!</v>
      </c>
      <c r="BD88" s="13" t="e">
        <f t="shared" ref="BD88" si="265">SUM(BD84:BD87)</f>
        <v>#REF!</v>
      </c>
      <c r="BE88" s="13" t="e">
        <f t="shared" ref="BE88" si="266">SUM(BE84:BE87)</f>
        <v>#REF!</v>
      </c>
      <c r="BF88" s="13" t="e">
        <f t="shared" ref="BF88" si="267">SUM(BF84:BF87)</f>
        <v>#REF!</v>
      </c>
      <c r="BG88" s="13" t="e">
        <f t="shared" ref="BG88" si="268">SUM(BG84:BG87)</f>
        <v>#REF!</v>
      </c>
      <c r="BH88" s="13" t="e">
        <f t="shared" ref="BH88" si="269">SUM(BH84:BH87)</f>
        <v>#REF!</v>
      </c>
      <c r="BI88" s="13" t="e">
        <f t="shared" ref="BI88" si="270">SUM(BI84:BI87)</f>
        <v>#REF!</v>
      </c>
      <c r="BJ88" s="13" t="e">
        <f t="shared" ref="BJ88" si="271">SUM(BJ84:BJ87)</f>
        <v>#REF!</v>
      </c>
      <c r="BK88"/>
      <c r="BL88" s="5"/>
    </row>
    <row r="89" spans="1:64">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s="5"/>
    </row>
    <row r="90" spans="1:64">
      <c r="A90"/>
      <c r="B90" s="28" t="s">
        <v>448</v>
      </c>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s="5"/>
    </row>
    <row r="91" spans="1:64">
      <c r="A91"/>
      <c r="B91" t="s">
        <v>316</v>
      </c>
      <c r="C91" s="30">
        <f>SUM(C77,C84)</f>
        <v>0</v>
      </c>
      <c r="D91" s="30">
        <f t="shared" ref="D91:BJ94" si="272">SUM(D77,D84)</f>
        <v>0</v>
      </c>
      <c r="E91" s="30">
        <f t="shared" si="272"/>
        <v>0</v>
      </c>
      <c r="F91" s="30">
        <f t="shared" si="272"/>
        <v>0</v>
      </c>
      <c r="G91" s="30">
        <f t="shared" si="272"/>
        <v>0</v>
      </c>
      <c r="H91" s="30">
        <f t="shared" si="272"/>
        <v>0</v>
      </c>
      <c r="I91" s="30">
        <f t="shared" si="272"/>
        <v>0</v>
      </c>
      <c r="J91" s="30">
        <f t="shared" si="272"/>
        <v>0</v>
      </c>
      <c r="K91" s="30">
        <f t="shared" si="272"/>
        <v>0</v>
      </c>
      <c r="L91" s="30">
        <f t="shared" si="272"/>
        <v>0</v>
      </c>
      <c r="M91" s="30">
        <f t="shared" si="272"/>
        <v>0</v>
      </c>
      <c r="N91" s="30">
        <f t="shared" si="272"/>
        <v>0</v>
      </c>
      <c r="O91" s="30">
        <f t="shared" si="272"/>
        <v>0</v>
      </c>
      <c r="P91" s="30">
        <f t="shared" si="272"/>
        <v>0</v>
      </c>
      <c r="Q91" s="30">
        <f t="shared" si="272"/>
        <v>0</v>
      </c>
      <c r="R91" s="30">
        <f t="shared" si="272"/>
        <v>0</v>
      </c>
      <c r="S91" s="30">
        <f t="shared" si="272"/>
        <v>0</v>
      </c>
      <c r="T91" s="30">
        <f t="shared" si="272"/>
        <v>0</v>
      </c>
      <c r="U91" s="30">
        <f t="shared" si="272"/>
        <v>0</v>
      </c>
      <c r="V91" s="30">
        <f t="shared" si="272"/>
        <v>0</v>
      </c>
      <c r="W91" s="30">
        <f t="shared" si="272"/>
        <v>0</v>
      </c>
      <c r="X91" s="30">
        <f t="shared" si="272"/>
        <v>0</v>
      </c>
      <c r="Y91" s="30">
        <f t="shared" si="272"/>
        <v>0</v>
      </c>
      <c r="Z91" s="30">
        <f t="shared" si="272"/>
        <v>0</v>
      </c>
      <c r="AA91" s="30">
        <f t="shared" si="272"/>
        <v>0</v>
      </c>
      <c r="AB91" s="30">
        <f t="shared" si="272"/>
        <v>0</v>
      </c>
      <c r="AC91" s="30">
        <f t="shared" si="272"/>
        <v>0</v>
      </c>
      <c r="AD91" s="30">
        <f t="shared" si="272"/>
        <v>0</v>
      </c>
      <c r="AE91" s="30">
        <f t="shared" si="272"/>
        <v>0</v>
      </c>
      <c r="AF91" s="30">
        <f t="shared" si="272"/>
        <v>0</v>
      </c>
      <c r="AG91" s="30">
        <f t="shared" si="272"/>
        <v>0</v>
      </c>
      <c r="AH91" s="30">
        <f t="shared" si="272"/>
        <v>0</v>
      </c>
      <c r="AI91" s="30">
        <f t="shared" si="272"/>
        <v>0</v>
      </c>
      <c r="AJ91" s="30">
        <f t="shared" si="272"/>
        <v>0</v>
      </c>
      <c r="AK91" s="30">
        <f t="shared" si="272"/>
        <v>0</v>
      </c>
      <c r="AL91" s="30">
        <f t="shared" si="272"/>
        <v>0</v>
      </c>
      <c r="AM91" s="30">
        <f t="shared" si="272"/>
        <v>0</v>
      </c>
      <c r="AN91" s="30">
        <f t="shared" si="272"/>
        <v>0</v>
      </c>
      <c r="AO91" s="30">
        <f t="shared" si="272"/>
        <v>0</v>
      </c>
      <c r="AP91" s="30">
        <f t="shared" si="272"/>
        <v>0</v>
      </c>
      <c r="AQ91" s="30">
        <f t="shared" si="272"/>
        <v>0</v>
      </c>
      <c r="AR91" s="30">
        <f t="shared" si="272"/>
        <v>0</v>
      </c>
      <c r="AS91" s="30">
        <f t="shared" si="272"/>
        <v>0</v>
      </c>
      <c r="AT91" s="30">
        <f t="shared" si="272"/>
        <v>0</v>
      </c>
      <c r="AU91" s="30">
        <f t="shared" si="272"/>
        <v>0</v>
      </c>
      <c r="AV91" s="30">
        <f t="shared" si="272"/>
        <v>0</v>
      </c>
      <c r="AW91" s="30">
        <f t="shared" si="272"/>
        <v>0</v>
      </c>
      <c r="AX91" s="30">
        <f t="shared" si="272"/>
        <v>0</v>
      </c>
      <c r="AY91" s="30">
        <f t="shared" si="272"/>
        <v>0</v>
      </c>
      <c r="AZ91" s="30">
        <f t="shared" si="272"/>
        <v>0</v>
      </c>
      <c r="BA91" s="30">
        <f t="shared" si="272"/>
        <v>0</v>
      </c>
      <c r="BB91" s="30">
        <f t="shared" si="272"/>
        <v>0</v>
      </c>
      <c r="BC91" s="30">
        <f t="shared" si="272"/>
        <v>0</v>
      </c>
      <c r="BD91" s="30">
        <f t="shared" si="272"/>
        <v>0</v>
      </c>
      <c r="BE91" s="30">
        <f t="shared" si="272"/>
        <v>0</v>
      </c>
      <c r="BF91" s="30">
        <f t="shared" si="272"/>
        <v>0</v>
      </c>
      <c r="BG91" s="30">
        <f t="shared" si="272"/>
        <v>0</v>
      </c>
      <c r="BH91" s="30">
        <f t="shared" si="272"/>
        <v>0</v>
      </c>
      <c r="BI91" s="30">
        <f t="shared" si="272"/>
        <v>0</v>
      </c>
      <c r="BJ91" s="30">
        <f t="shared" si="272"/>
        <v>0</v>
      </c>
      <c r="BK91"/>
      <c r="BL91" s="5"/>
    </row>
    <row r="92" spans="1:64">
      <c r="A92"/>
      <c r="B92" t="s">
        <v>358</v>
      </c>
      <c r="C92" s="30">
        <f t="shared" ref="C92:R94" si="273">SUM(C78,C85)</f>
        <v>0</v>
      </c>
      <c r="D92" s="30" t="e">
        <f t="shared" si="273"/>
        <v>#REF!</v>
      </c>
      <c r="E92" s="30" t="e">
        <f t="shared" si="273"/>
        <v>#REF!</v>
      </c>
      <c r="F92" s="30" t="e">
        <f t="shared" si="273"/>
        <v>#REF!</v>
      </c>
      <c r="G92" s="30" t="e">
        <f t="shared" si="273"/>
        <v>#REF!</v>
      </c>
      <c r="H92" s="30" t="e">
        <f t="shared" si="273"/>
        <v>#REF!</v>
      </c>
      <c r="I92" s="30" t="e">
        <f t="shared" si="273"/>
        <v>#REF!</v>
      </c>
      <c r="J92" s="30" t="e">
        <f t="shared" si="273"/>
        <v>#REF!</v>
      </c>
      <c r="K92" s="30" t="e">
        <f t="shared" si="273"/>
        <v>#REF!</v>
      </c>
      <c r="L92" s="30" t="e">
        <f t="shared" si="273"/>
        <v>#REF!</v>
      </c>
      <c r="M92" s="30" t="e">
        <f t="shared" si="273"/>
        <v>#REF!</v>
      </c>
      <c r="N92" s="30" t="e">
        <f t="shared" si="273"/>
        <v>#REF!</v>
      </c>
      <c r="O92" s="30" t="e">
        <f t="shared" si="273"/>
        <v>#REF!</v>
      </c>
      <c r="P92" s="30" t="e">
        <f t="shared" si="273"/>
        <v>#REF!</v>
      </c>
      <c r="Q92" s="30" t="e">
        <f t="shared" si="273"/>
        <v>#REF!</v>
      </c>
      <c r="R92" s="30" t="e">
        <f t="shared" si="273"/>
        <v>#REF!</v>
      </c>
      <c r="S92" s="30" t="e">
        <f t="shared" si="272"/>
        <v>#REF!</v>
      </c>
      <c r="T92" s="30" t="e">
        <f t="shared" si="272"/>
        <v>#REF!</v>
      </c>
      <c r="U92" s="30" t="e">
        <f t="shared" si="272"/>
        <v>#REF!</v>
      </c>
      <c r="V92" s="30" t="e">
        <f t="shared" si="272"/>
        <v>#REF!</v>
      </c>
      <c r="W92" s="30" t="e">
        <f t="shared" si="272"/>
        <v>#REF!</v>
      </c>
      <c r="X92" s="30" t="e">
        <f t="shared" si="272"/>
        <v>#REF!</v>
      </c>
      <c r="Y92" s="30" t="e">
        <f t="shared" si="272"/>
        <v>#REF!</v>
      </c>
      <c r="Z92" s="30" t="e">
        <f t="shared" si="272"/>
        <v>#REF!</v>
      </c>
      <c r="AA92" s="30" t="e">
        <f t="shared" si="272"/>
        <v>#REF!</v>
      </c>
      <c r="AB92" s="30" t="e">
        <f t="shared" si="272"/>
        <v>#REF!</v>
      </c>
      <c r="AC92" s="30" t="e">
        <f t="shared" si="272"/>
        <v>#REF!</v>
      </c>
      <c r="AD92" s="30" t="e">
        <f t="shared" si="272"/>
        <v>#REF!</v>
      </c>
      <c r="AE92" s="30" t="e">
        <f t="shared" si="272"/>
        <v>#REF!</v>
      </c>
      <c r="AF92" s="30" t="e">
        <f t="shared" si="272"/>
        <v>#REF!</v>
      </c>
      <c r="AG92" s="30" t="e">
        <f t="shared" si="272"/>
        <v>#REF!</v>
      </c>
      <c r="AH92" s="30" t="e">
        <f t="shared" si="272"/>
        <v>#REF!</v>
      </c>
      <c r="AI92" s="30" t="e">
        <f t="shared" si="272"/>
        <v>#REF!</v>
      </c>
      <c r="AJ92" s="30" t="e">
        <f t="shared" si="272"/>
        <v>#REF!</v>
      </c>
      <c r="AK92" s="30" t="e">
        <f t="shared" si="272"/>
        <v>#REF!</v>
      </c>
      <c r="AL92" s="30" t="e">
        <f t="shared" si="272"/>
        <v>#REF!</v>
      </c>
      <c r="AM92" s="30" t="e">
        <f t="shared" si="272"/>
        <v>#REF!</v>
      </c>
      <c r="AN92" s="30" t="e">
        <f t="shared" si="272"/>
        <v>#REF!</v>
      </c>
      <c r="AO92" s="30" t="e">
        <f t="shared" si="272"/>
        <v>#REF!</v>
      </c>
      <c r="AP92" s="30" t="e">
        <f t="shared" si="272"/>
        <v>#REF!</v>
      </c>
      <c r="AQ92" s="30" t="e">
        <f t="shared" si="272"/>
        <v>#REF!</v>
      </c>
      <c r="AR92" s="30" t="e">
        <f t="shared" si="272"/>
        <v>#REF!</v>
      </c>
      <c r="AS92" s="30" t="e">
        <f t="shared" si="272"/>
        <v>#REF!</v>
      </c>
      <c r="AT92" s="30" t="e">
        <f t="shared" si="272"/>
        <v>#REF!</v>
      </c>
      <c r="AU92" s="30" t="e">
        <f t="shared" si="272"/>
        <v>#REF!</v>
      </c>
      <c r="AV92" s="30" t="e">
        <f t="shared" si="272"/>
        <v>#REF!</v>
      </c>
      <c r="AW92" s="30" t="e">
        <f t="shared" si="272"/>
        <v>#REF!</v>
      </c>
      <c r="AX92" s="30" t="e">
        <f t="shared" si="272"/>
        <v>#REF!</v>
      </c>
      <c r="AY92" s="30" t="e">
        <f t="shared" si="272"/>
        <v>#REF!</v>
      </c>
      <c r="AZ92" s="30" t="e">
        <f t="shared" si="272"/>
        <v>#REF!</v>
      </c>
      <c r="BA92" s="30" t="e">
        <f t="shared" si="272"/>
        <v>#REF!</v>
      </c>
      <c r="BB92" s="30" t="e">
        <f t="shared" si="272"/>
        <v>#REF!</v>
      </c>
      <c r="BC92" s="30" t="e">
        <f t="shared" si="272"/>
        <v>#REF!</v>
      </c>
      <c r="BD92" s="30" t="e">
        <f t="shared" si="272"/>
        <v>#REF!</v>
      </c>
      <c r="BE92" s="30" t="e">
        <f t="shared" si="272"/>
        <v>#REF!</v>
      </c>
      <c r="BF92" s="30" t="e">
        <f t="shared" si="272"/>
        <v>#REF!</v>
      </c>
      <c r="BG92" s="30" t="e">
        <f t="shared" si="272"/>
        <v>#REF!</v>
      </c>
      <c r="BH92" s="30" t="e">
        <f t="shared" si="272"/>
        <v>#REF!</v>
      </c>
      <c r="BI92" s="30" t="e">
        <f t="shared" si="272"/>
        <v>#REF!</v>
      </c>
      <c r="BJ92" s="30" t="e">
        <f t="shared" si="272"/>
        <v>#REF!</v>
      </c>
      <c r="BK92"/>
      <c r="BL92" s="5"/>
    </row>
    <row r="93" spans="1:64">
      <c r="A93"/>
      <c r="B93" t="s">
        <v>362</v>
      </c>
      <c r="C93" s="30">
        <f t="shared" si="273"/>
        <v>0</v>
      </c>
      <c r="D93" s="30" t="e">
        <f t="shared" si="272"/>
        <v>#REF!</v>
      </c>
      <c r="E93" s="30" t="e">
        <f t="shared" si="272"/>
        <v>#REF!</v>
      </c>
      <c r="F93" s="30" t="e">
        <f t="shared" si="272"/>
        <v>#REF!</v>
      </c>
      <c r="G93" s="30" t="e">
        <f t="shared" si="272"/>
        <v>#REF!</v>
      </c>
      <c r="H93" s="30" t="e">
        <f t="shared" si="272"/>
        <v>#REF!</v>
      </c>
      <c r="I93" s="30" t="e">
        <f t="shared" si="272"/>
        <v>#REF!</v>
      </c>
      <c r="J93" s="30" t="e">
        <f t="shared" si="272"/>
        <v>#REF!</v>
      </c>
      <c r="K93" s="30" t="e">
        <f t="shared" si="272"/>
        <v>#REF!</v>
      </c>
      <c r="L93" s="30" t="e">
        <f t="shared" si="272"/>
        <v>#REF!</v>
      </c>
      <c r="M93" s="30" t="e">
        <f t="shared" si="272"/>
        <v>#REF!</v>
      </c>
      <c r="N93" s="30" t="e">
        <f t="shared" si="272"/>
        <v>#REF!</v>
      </c>
      <c r="O93" s="30" t="e">
        <f t="shared" si="272"/>
        <v>#REF!</v>
      </c>
      <c r="P93" s="30" t="e">
        <f t="shared" si="272"/>
        <v>#REF!</v>
      </c>
      <c r="Q93" s="30" t="e">
        <f t="shared" si="272"/>
        <v>#REF!</v>
      </c>
      <c r="R93" s="30" t="e">
        <f t="shared" si="272"/>
        <v>#REF!</v>
      </c>
      <c r="S93" s="30" t="e">
        <f t="shared" si="272"/>
        <v>#REF!</v>
      </c>
      <c r="T93" s="30" t="e">
        <f t="shared" si="272"/>
        <v>#REF!</v>
      </c>
      <c r="U93" s="30" t="e">
        <f t="shared" si="272"/>
        <v>#REF!</v>
      </c>
      <c r="V93" s="30" t="e">
        <f t="shared" si="272"/>
        <v>#REF!</v>
      </c>
      <c r="W93" s="30" t="e">
        <f t="shared" si="272"/>
        <v>#REF!</v>
      </c>
      <c r="X93" s="30" t="e">
        <f t="shared" si="272"/>
        <v>#REF!</v>
      </c>
      <c r="Y93" s="30" t="e">
        <f t="shared" si="272"/>
        <v>#REF!</v>
      </c>
      <c r="Z93" s="30" t="e">
        <f t="shared" si="272"/>
        <v>#REF!</v>
      </c>
      <c r="AA93" s="30" t="e">
        <f t="shared" si="272"/>
        <v>#REF!</v>
      </c>
      <c r="AB93" s="30" t="e">
        <f t="shared" si="272"/>
        <v>#REF!</v>
      </c>
      <c r="AC93" s="30" t="e">
        <f t="shared" si="272"/>
        <v>#REF!</v>
      </c>
      <c r="AD93" s="30" t="e">
        <f t="shared" si="272"/>
        <v>#REF!</v>
      </c>
      <c r="AE93" s="30" t="e">
        <f t="shared" si="272"/>
        <v>#REF!</v>
      </c>
      <c r="AF93" s="30" t="e">
        <f t="shared" si="272"/>
        <v>#REF!</v>
      </c>
      <c r="AG93" s="30" t="e">
        <f t="shared" si="272"/>
        <v>#REF!</v>
      </c>
      <c r="AH93" s="30" t="e">
        <f t="shared" si="272"/>
        <v>#REF!</v>
      </c>
      <c r="AI93" s="30" t="e">
        <f t="shared" si="272"/>
        <v>#REF!</v>
      </c>
      <c r="AJ93" s="30" t="e">
        <f t="shared" si="272"/>
        <v>#REF!</v>
      </c>
      <c r="AK93" s="30" t="e">
        <f t="shared" si="272"/>
        <v>#REF!</v>
      </c>
      <c r="AL93" s="30" t="e">
        <f t="shared" si="272"/>
        <v>#REF!</v>
      </c>
      <c r="AM93" s="30" t="e">
        <f t="shared" si="272"/>
        <v>#REF!</v>
      </c>
      <c r="AN93" s="30" t="e">
        <f t="shared" si="272"/>
        <v>#REF!</v>
      </c>
      <c r="AO93" s="30" t="e">
        <f t="shared" si="272"/>
        <v>#REF!</v>
      </c>
      <c r="AP93" s="30" t="e">
        <f t="shared" si="272"/>
        <v>#REF!</v>
      </c>
      <c r="AQ93" s="30" t="e">
        <f t="shared" si="272"/>
        <v>#REF!</v>
      </c>
      <c r="AR93" s="30" t="e">
        <f t="shared" si="272"/>
        <v>#REF!</v>
      </c>
      <c r="AS93" s="30" t="e">
        <f t="shared" si="272"/>
        <v>#REF!</v>
      </c>
      <c r="AT93" s="30" t="e">
        <f t="shared" si="272"/>
        <v>#REF!</v>
      </c>
      <c r="AU93" s="30" t="e">
        <f t="shared" si="272"/>
        <v>#REF!</v>
      </c>
      <c r="AV93" s="30" t="e">
        <f t="shared" si="272"/>
        <v>#REF!</v>
      </c>
      <c r="AW93" s="30" t="e">
        <f t="shared" si="272"/>
        <v>#REF!</v>
      </c>
      <c r="AX93" s="30" t="e">
        <f t="shared" si="272"/>
        <v>#REF!</v>
      </c>
      <c r="AY93" s="30" t="e">
        <f t="shared" si="272"/>
        <v>#REF!</v>
      </c>
      <c r="AZ93" s="30" t="e">
        <f t="shared" si="272"/>
        <v>#REF!</v>
      </c>
      <c r="BA93" s="30" t="e">
        <f t="shared" si="272"/>
        <v>#REF!</v>
      </c>
      <c r="BB93" s="30" t="e">
        <f t="shared" si="272"/>
        <v>#REF!</v>
      </c>
      <c r="BC93" s="30" t="e">
        <f t="shared" si="272"/>
        <v>#REF!</v>
      </c>
      <c r="BD93" s="30" t="e">
        <f t="shared" si="272"/>
        <v>#REF!</v>
      </c>
      <c r="BE93" s="30" t="e">
        <f t="shared" si="272"/>
        <v>#REF!</v>
      </c>
      <c r="BF93" s="30" t="e">
        <f t="shared" si="272"/>
        <v>#REF!</v>
      </c>
      <c r="BG93" s="30" t="e">
        <f t="shared" si="272"/>
        <v>#REF!</v>
      </c>
      <c r="BH93" s="30" t="e">
        <f t="shared" si="272"/>
        <v>#REF!</v>
      </c>
      <c r="BI93" s="30" t="e">
        <f t="shared" si="272"/>
        <v>#REF!</v>
      </c>
      <c r="BJ93" s="30" t="e">
        <f t="shared" si="272"/>
        <v>#REF!</v>
      </c>
      <c r="BK93"/>
      <c r="BL93" s="5"/>
    </row>
    <row r="94" spans="1:64">
      <c r="A94"/>
      <c r="B94" t="s">
        <v>364</v>
      </c>
      <c r="C94" s="30" t="e">
        <f t="shared" si="273"/>
        <v>#REF!</v>
      </c>
      <c r="D94" s="30" t="e">
        <f t="shared" si="272"/>
        <v>#REF!</v>
      </c>
      <c r="E94" s="30" t="e">
        <f t="shared" si="272"/>
        <v>#REF!</v>
      </c>
      <c r="F94" s="30" t="e">
        <f t="shared" si="272"/>
        <v>#REF!</v>
      </c>
      <c r="G94" s="30" t="e">
        <f t="shared" si="272"/>
        <v>#REF!</v>
      </c>
      <c r="H94" s="30" t="e">
        <f t="shared" si="272"/>
        <v>#REF!</v>
      </c>
      <c r="I94" s="30" t="e">
        <f t="shared" si="272"/>
        <v>#REF!</v>
      </c>
      <c r="J94" s="30" t="e">
        <f t="shared" si="272"/>
        <v>#REF!</v>
      </c>
      <c r="K94" s="30" t="e">
        <f t="shared" si="272"/>
        <v>#REF!</v>
      </c>
      <c r="L94" s="30" t="e">
        <f t="shared" si="272"/>
        <v>#REF!</v>
      </c>
      <c r="M94" s="30" t="e">
        <f t="shared" si="272"/>
        <v>#REF!</v>
      </c>
      <c r="N94" s="30" t="e">
        <f t="shared" si="272"/>
        <v>#REF!</v>
      </c>
      <c r="O94" s="30" t="e">
        <f t="shared" si="272"/>
        <v>#REF!</v>
      </c>
      <c r="P94" s="30" t="e">
        <f t="shared" si="272"/>
        <v>#REF!</v>
      </c>
      <c r="Q94" s="30" t="e">
        <f t="shared" si="272"/>
        <v>#REF!</v>
      </c>
      <c r="R94" s="30" t="e">
        <f t="shared" si="272"/>
        <v>#REF!</v>
      </c>
      <c r="S94" s="30" t="e">
        <f t="shared" si="272"/>
        <v>#REF!</v>
      </c>
      <c r="T94" s="30" t="e">
        <f t="shared" si="272"/>
        <v>#REF!</v>
      </c>
      <c r="U94" s="30" t="e">
        <f t="shared" si="272"/>
        <v>#REF!</v>
      </c>
      <c r="V94" s="30" t="e">
        <f t="shared" si="272"/>
        <v>#REF!</v>
      </c>
      <c r="W94" s="30" t="e">
        <f t="shared" si="272"/>
        <v>#REF!</v>
      </c>
      <c r="X94" s="30" t="e">
        <f t="shared" si="272"/>
        <v>#REF!</v>
      </c>
      <c r="Y94" s="30" t="e">
        <f t="shared" si="272"/>
        <v>#REF!</v>
      </c>
      <c r="Z94" s="30" t="e">
        <f t="shared" si="272"/>
        <v>#REF!</v>
      </c>
      <c r="AA94" s="30" t="e">
        <f t="shared" si="272"/>
        <v>#REF!</v>
      </c>
      <c r="AB94" s="30" t="e">
        <f t="shared" si="272"/>
        <v>#REF!</v>
      </c>
      <c r="AC94" s="30" t="e">
        <f t="shared" si="272"/>
        <v>#REF!</v>
      </c>
      <c r="AD94" s="30" t="e">
        <f t="shared" si="272"/>
        <v>#REF!</v>
      </c>
      <c r="AE94" s="30" t="e">
        <f t="shared" si="272"/>
        <v>#REF!</v>
      </c>
      <c r="AF94" s="30" t="e">
        <f t="shared" si="272"/>
        <v>#REF!</v>
      </c>
      <c r="AG94" s="30" t="e">
        <f t="shared" si="272"/>
        <v>#REF!</v>
      </c>
      <c r="AH94" s="30" t="e">
        <f t="shared" si="272"/>
        <v>#REF!</v>
      </c>
      <c r="AI94" s="30" t="e">
        <f t="shared" si="272"/>
        <v>#REF!</v>
      </c>
      <c r="AJ94" s="30" t="e">
        <f t="shared" si="272"/>
        <v>#REF!</v>
      </c>
      <c r="AK94" s="30" t="e">
        <f t="shared" si="272"/>
        <v>#REF!</v>
      </c>
      <c r="AL94" s="30" t="e">
        <f t="shared" si="272"/>
        <v>#REF!</v>
      </c>
      <c r="AM94" s="30" t="e">
        <f t="shared" si="272"/>
        <v>#REF!</v>
      </c>
      <c r="AN94" s="30" t="e">
        <f t="shared" si="272"/>
        <v>#REF!</v>
      </c>
      <c r="AO94" s="30" t="e">
        <f t="shared" si="272"/>
        <v>#REF!</v>
      </c>
      <c r="AP94" s="30" t="e">
        <f t="shared" si="272"/>
        <v>#REF!</v>
      </c>
      <c r="AQ94" s="30" t="e">
        <f t="shared" si="272"/>
        <v>#REF!</v>
      </c>
      <c r="AR94" s="30" t="e">
        <f t="shared" si="272"/>
        <v>#REF!</v>
      </c>
      <c r="AS94" s="30" t="e">
        <f t="shared" si="272"/>
        <v>#REF!</v>
      </c>
      <c r="AT94" s="30" t="e">
        <f t="shared" si="272"/>
        <v>#REF!</v>
      </c>
      <c r="AU94" s="30" t="e">
        <f t="shared" si="272"/>
        <v>#REF!</v>
      </c>
      <c r="AV94" s="30" t="e">
        <f t="shared" si="272"/>
        <v>#REF!</v>
      </c>
      <c r="AW94" s="30" t="e">
        <f t="shared" si="272"/>
        <v>#REF!</v>
      </c>
      <c r="AX94" s="30" t="e">
        <f t="shared" si="272"/>
        <v>#REF!</v>
      </c>
      <c r="AY94" s="30" t="e">
        <f t="shared" si="272"/>
        <v>#REF!</v>
      </c>
      <c r="AZ94" s="30" t="e">
        <f t="shared" si="272"/>
        <v>#REF!</v>
      </c>
      <c r="BA94" s="30" t="e">
        <f t="shared" si="272"/>
        <v>#REF!</v>
      </c>
      <c r="BB94" s="30" t="e">
        <f t="shared" si="272"/>
        <v>#REF!</v>
      </c>
      <c r="BC94" s="30" t="e">
        <f t="shared" si="272"/>
        <v>#REF!</v>
      </c>
      <c r="BD94" s="30" t="e">
        <f t="shared" si="272"/>
        <v>#REF!</v>
      </c>
      <c r="BE94" s="30" t="e">
        <f t="shared" si="272"/>
        <v>#REF!</v>
      </c>
      <c r="BF94" s="30" t="e">
        <f t="shared" si="272"/>
        <v>#REF!</v>
      </c>
      <c r="BG94" s="30" t="e">
        <f t="shared" si="272"/>
        <v>#REF!</v>
      </c>
      <c r="BH94" s="30" t="e">
        <f t="shared" si="272"/>
        <v>#REF!</v>
      </c>
      <c r="BI94" s="30" t="e">
        <f t="shared" si="272"/>
        <v>#REF!</v>
      </c>
      <c r="BJ94" s="30" t="e">
        <f t="shared" si="272"/>
        <v>#REF!</v>
      </c>
      <c r="BK94"/>
      <c r="BL94" s="5"/>
    </row>
    <row r="95" spans="1:64">
      <c r="A95"/>
      <c r="B95" s="3" t="s">
        <v>64</v>
      </c>
      <c r="C95" s="13" t="e">
        <f>SUM(C91:C94)</f>
        <v>#REF!</v>
      </c>
      <c r="D95" s="13" t="e">
        <f t="shared" ref="D95:BJ95" si="274">SUM(D91:D94)</f>
        <v>#REF!</v>
      </c>
      <c r="E95" s="13" t="e">
        <f t="shared" si="274"/>
        <v>#REF!</v>
      </c>
      <c r="F95" s="13" t="e">
        <f t="shared" si="274"/>
        <v>#REF!</v>
      </c>
      <c r="G95" s="13" t="e">
        <f t="shared" si="274"/>
        <v>#REF!</v>
      </c>
      <c r="H95" s="13" t="e">
        <f t="shared" si="274"/>
        <v>#REF!</v>
      </c>
      <c r="I95" s="13" t="e">
        <f t="shared" si="274"/>
        <v>#REF!</v>
      </c>
      <c r="J95" s="13" t="e">
        <f t="shared" si="274"/>
        <v>#REF!</v>
      </c>
      <c r="K95" s="13" t="e">
        <f t="shared" si="274"/>
        <v>#REF!</v>
      </c>
      <c r="L95" s="13" t="e">
        <f t="shared" si="274"/>
        <v>#REF!</v>
      </c>
      <c r="M95" s="13" t="e">
        <f t="shared" si="274"/>
        <v>#REF!</v>
      </c>
      <c r="N95" s="13" t="e">
        <f t="shared" si="274"/>
        <v>#REF!</v>
      </c>
      <c r="O95" s="13" t="e">
        <f t="shared" si="274"/>
        <v>#REF!</v>
      </c>
      <c r="P95" s="13" t="e">
        <f t="shared" si="274"/>
        <v>#REF!</v>
      </c>
      <c r="Q95" s="13" t="e">
        <f t="shared" si="274"/>
        <v>#REF!</v>
      </c>
      <c r="R95" s="13" t="e">
        <f t="shared" si="274"/>
        <v>#REF!</v>
      </c>
      <c r="S95" s="13" t="e">
        <f t="shared" si="274"/>
        <v>#REF!</v>
      </c>
      <c r="T95" s="13" t="e">
        <f t="shared" si="274"/>
        <v>#REF!</v>
      </c>
      <c r="U95" s="13" t="e">
        <f t="shared" si="274"/>
        <v>#REF!</v>
      </c>
      <c r="V95" s="13" t="e">
        <f t="shared" si="274"/>
        <v>#REF!</v>
      </c>
      <c r="W95" s="13" t="e">
        <f t="shared" si="274"/>
        <v>#REF!</v>
      </c>
      <c r="X95" s="13" t="e">
        <f t="shared" si="274"/>
        <v>#REF!</v>
      </c>
      <c r="Y95" s="13" t="e">
        <f t="shared" si="274"/>
        <v>#REF!</v>
      </c>
      <c r="Z95" s="13" t="e">
        <f t="shared" si="274"/>
        <v>#REF!</v>
      </c>
      <c r="AA95" s="13" t="e">
        <f t="shared" si="274"/>
        <v>#REF!</v>
      </c>
      <c r="AB95" s="13" t="e">
        <f t="shared" si="274"/>
        <v>#REF!</v>
      </c>
      <c r="AC95" s="13" t="e">
        <f t="shared" si="274"/>
        <v>#REF!</v>
      </c>
      <c r="AD95" s="13" t="e">
        <f t="shared" si="274"/>
        <v>#REF!</v>
      </c>
      <c r="AE95" s="13" t="e">
        <f t="shared" si="274"/>
        <v>#REF!</v>
      </c>
      <c r="AF95" s="13" t="e">
        <f t="shared" si="274"/>
        <v>#REF!</v>
      </c>
      <c r="AG95" s="13" t="e">
        <f t="shared" si="274"/>
        <v>#REF!</v>
      </c>
      <c r="AH95" s="13" t="e">
        <f t="shared" si="274"/>
        <v>#REF!</v>
      </c>
      <c r="AI95" s="13" t="e">
        <f t="shared" si="274"/>
        <v>#REF!</v>
      </c>
      <c r="AJ95" s="13" t="e">
        <f t="shared" si="274"/>
        <v>#REF!</v>
      </c>
      <c r="AK95" s="13" t="e">
        <f t="shared" si="274"/>
        <v>#REF!</v>
      </c>
      <c r="AL95" s="13" t="e">
        <f t="shared" si="274"/>
        <v>#REF!</v>
      </c>
      <c r="AM95" s="13" t="e">
        <f t="shared" si="274"/>
        <v>#REF!</v>
      </c>
      <c r="AN95" s="13" t="e">
        <f t="shared" si="274"/>
        <v>#REF!</v>
      </c>
      <c r="AO95" s="13" t="e">
        <f t="shared" si="274"/>
        <v>#REF!</v>
      </c>
      <c r="AP95" s="13" t="e">
        <f t="shared" si="274"/>
        <v>#REF!</v>
      </c>
      <c r="AQ95" s="13" t="e">
        <f t="shared" si="274"/>
        <v>#REF!</v>
      </c>
      <c r="AR95" s="13" t="e">
        <f t="shared" si="274"/>
        <v>#REF!</v>
      </c>
      <c r="AS95" s="13" t="e">
        <f t="shared" si="274"/>
        <v>#REF!</v>
      </c>
      <c r="AT95" s="13" t="e">
        <f t="shared" si="274"/>
        <v>#REF!</v>
      </c>
      <c r="AU95" s="13" t="e">
        <f t="shared" si="274"/>
        <v>#REF!</v>
      </c>
      <c r="AV95" s="13" t="e">
        <f t="shared" si="274"/>
        <v>#REF!</v>
      </c>
      <c r="AW95" s="13" t="e">
        <f t="shared" si="274"/>
        <v>#REF!</v>
      </c>
      <c r="AX95" s="13" t="e">
        <f t="shared" si="274"/>
        <v>#REF!</v>
      </c>
      <c r="AY95" s="13" t="e">
        <f t="shared" si="274"/>
        <v>#REF!</v>
      </c>
      <c r="AZ95" s="13" t="e">
        <f t="shared" si="274"/>
        <v>#REF!</v>
      </c>
      <c r="BA95" s="13" t="e">
        <f t="shared" si="274"/>
        <v>#REF!</v>
      </c>
      <c r="BB95" s="13" t="e">
        <f t="shared" si="274"/>
        <v>#REF!</v>
      </c>
      <c r="BC95" s="13" t="e">
        <f t="shared" si="274"/>
        <v>#REF!</v>
      </c>
      <c r="BD95" s="13" t="e">
        <f t="shared" si="274"/>
        <v>#REF!</v>
      </c>
      <c r="BE95" s="13" t="e">
        <f t="shared" si="274"/>
        <v>#REF!</v>
      </c>
      <c r="BF95" s="13" t="e">
        <f t="shared" si="274"/>
        <v>#REF!</v>
      </c>
      <c r="BG95" s="13" t="e">
        <f t="shared" si="274"/>
        <v>#REF!</v>
      </c>
      <c r="BH95" s="13" t="e">
        <f t="shared" si="274"/>
        <v>#REF!</v>
      </c>
      <c r="BI95" s="13" t="e">
        <f t="shared" si="274"/>
        <v>#REF!</v>
      </c>
      <c r="BJ95" s="13" t="e">
        <f t="shared" si="274"/>
        <v>#REF!</v>
      </c>
      <c r="BK95"/>
      <c r="BL95" s="5"/>
    </row>
    <row r="96" spans="1:64">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s="28" t="s">
        <v>458</v>
      </c>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s="5"/>
    </row>
    <row r="98" spans="1:64">
      <c r="A98"/>
      <c r="B98" t="s">
        <v>316</v>
      </c>
      <c r="C98" s="14">
        <f>+C91*$D$19</f>
        <v>0</v>
      </c>
      <c r="D98" s="14">
        <f t="shared" ref="D98:BJ98" si="275">+D91*$D$19</f>
        <v>0</v>
      </c>
      <c r="E98" s="14">
        <f t="shared" si="275"/>
        <v>0</v>
      </c>
      <c r="F98" s="14">
        <f t="shared" si="275"/>
        <v>0</v>
      </c>
      <c r="G98" s="14">
        <f t="shared" si="275"/>
        <v>0</v>
      </c>
      <c r="H98" s="14">
        <f t="shared" si="275"/>
        <v>0</v>
      </c>
      <c r="I98" s="14">
        <f t="shared" si="275"/>
        <v>0</v>
      </c>
      <c r="J98" s="14">
        <f t="shared" si="275"/>
        <v>0</v>
      </c>
      <c r="K98" s="14">
        <f t="shared" si="275"/>
        <v>0</v>
      </c>
      <c r="L98" s="14">
        <f t="shared" si="275"/>
        <v>0</v>
      </c>
      <c r="M98" s="14">
        <f t="shared" si="275"/>
        <v>0</v>
      </c>
      <c r="N98" s="14">
        <f t="shared" si="275"/>
        <v>0</v>
      </c>
      <c r="O98" s="14">
        <f t="shared" si="275"/>
        <v>0</v>
      </c>
      <c r="P98" s="14">
        <f t="shared" si="275"/>
        <v>0</v>
      </c>
      <c r="Q98" s="14">
        <f t="shared" si="275"/>
        <v>0</v>
      </c>
      <c r="R98" s="14">
        <f t="shared" si="275"/>
        <v>0</v>
      </c>
      <c r="S98" s="14">
        <f t="shared" si="275"/>
        <v>0</v>
      </c>
      <c r="T98" s="14">
        <f t="shared" si="275"/>
        <v>0</v>
      </c>
      <c r="U98" s="14">
        <f t="shared" si="275"/>
        <v>0</v>
      </c>
      <c r="V98" s="14">
        <f t="shared" si="275"/>
        <v>0</v>
      </c>
      <c r="W98" s="14">
        <f t="shared" si="275"/>
        <v>0</v>
      </c>
      <c r="X98" s="14">
        <f t="shared" si="275"/>
        <v>0</v>
      </c>
      <c r="Y98" s="14">
        <f t="shared" si="275"/>
        <v>0</v>
      </c>
      <c r="Z98" s="14">
        <f t="shared" si="275"/>
        <v>0</v>
      </c>
      <c r="AA98" s="14">
        <f t="shared" si="275"/>
        <v>0</v>
      </c>
      <c r="AB98" s="14">
        <f t="shared" si="275"/>
        <v>0</v>
      </c>
      <c r="AC98" s="14">
        <f t="shared" si="275"/>
        <v>0</v>
      </c>
      <c r="AD98" s="14">
        <f t="shared" si="275"/>
        <v>0</v>
      </c>
      <c r="AE98" s="14">
        <f t="shared" si="275"/>
        <v>0</v>
      </c>
      <c r="AF98" s="14">
        <f t="shared" si="275"/>
        <v>0</v>
      </c>
      <c r="AG98" s="14">
        <f t="shared" si="275"/>
        <v>0</v>
      </c>
      <c r="AH98" s="14">
        <f t="shared" si="275"/>
        <v>0</v>
      </c>
      <c r="AI98" s="14">
        <f t="shared" si="275"/>
        <v>0</v>
      </c>
      <c r="AJ98" s="14">
        <f t="shared" si="275"/>
        <v>0</v>
      </c>
      <c r="AK98" s="14">
        <f t="shared" si="275"/>
        <v>0</v>
      </c>
      <c r="AL98" s="14">
        <f t="shared" si="275"/>
        <v>0</v>
      </c>
      <c r="AM98" s="14">
        <f t="shared" si="275"/>
        <v>0</v>
      </c>
      <c r="AN98" s="14">
        <f t="shared" si="275"/>
        <v>0</v>
      </c>
      <c r="AO98" s="14">
        <f t="shared" si="275"/>
        <v>0</v>
      </c>
      <c r="AP98" s="14">
        <f t="shared" si="275"/>
        <v>0</v>
      </c>
      <c r="AQ98" s="14">
        <f t="shared" si="275"/>
        <v>0</v>
      </c>
      <c r="AR98" s="14">
        <f t="shared" si="275"/>
        <v>0</v>
      </c>
      <c r="AS98" s="14">
        <f t="shared" si="275"/>
        <v>0</v>
      </c>
      <c r="AT98" s="14">
        <f t="shared" si="275"/>
        <v>0</v>
      </c>
      <c r="AU98" s="14">
        <f t="shared" si="275"/>
        <v>0</v>
      </c>
      <c r="AV98" s="14">
        <f t="shared" si="275"/>
        <v>0</v>
      </c>
      <c r="AW98" s="14">
        <f t="shared" si="275"/>
        <v>0</v>
      </c>
      <c r="AX98" s="14">
        <f t="shared" si="275"/>
        <v>0</v>
      </c>
      <c r="AY98" s="14">
        <f t="shared" si="275"/>
        <v>0</v>
      </c>
      <c r="AZ98" s="14">
        <f t="shared" si="275"/>
        <v>0</v>
      </c>
      <c r="BA98" s="14">
        <f t="shared" si="275"/>
        <v>0</v>
      </c>
      <c r="BB98" s="14">
        <f t="shared" si="275"/>
        <v>0</v>
      </c>
      <c r="BC98" s="14">
        <f t="shared" si="275"/>
        <v>0</v>
      </c>
      <c r="BD98" s="14">
        <f t="shared" si="275"/>
        <v>0</v>
      </c>
      <c r="BE98" s="14">
        <f t="shared" si="275"/>
        <v>0</v>
      </c>
      <c r="BF98" s="14">
        <f t="shared" si="275"/>
        <v>0</v>
      </c>
      <c r="BG98" s="14">
        <f t="shared" si="275"/>
        <v>0</v>
      </c>
      <c r="BH98" s="14">
        <f t="shared" si="275"/>
        <v>0</v>
      </c>
      <c r="BI98" s="14">
        <f t="shared" si="275"/>
        <v>0</v>
      </c>
      <c r="BJ98" s="14">
        <f t="shared" si="275"/>
        <v>0</v>
      </c>
      <c r="BK98"/>
      <c r="BL98" s="5"/>
    </row>
    <row r="99" spans="1:64">
      <c r="A99"/>
      <c r="B99" t="s">
        <v>459</v>
      </c>
      <c r="C99" s="14" t="e">
        <f>+SUM(C78:C80)*$D$19</f>
        <v>#REF!</v>
      </c>
      <c r="D99" s="14" t="e">
        <f t="shared" ref="D99:BJ99" si="276">+SUM(D78:D80)*$D$19</f>
        <v>#REF!</v>
      </c>
      <c r="E99" s="14" t="e">
        <f t="shared" si="276"/>
        <v>#REF!</v>
      </c>
      <c r="F99" s="14" t="e">
        <f t="shared" si="276"/>
        <v>#REF!</v>
      </c>
      <c r="G99" s="14" t="e">
        <f t="shared" si="276"/>
        <v>#REF!</v>
      </c>
      <c r="H99" s="14" t="e">
        <f t="shared" si="276"/>
        <v>#REF!</v>
      </c>
      <c r="I99" s="14" t="e">
        <f t="shared" si="276"/>
        <v>#REF!</v>
      </c>
      <c r="J99" s="14" t="e">
        <f t="shared" si="276"/>
        <v>#REF!</v>
      </c>
      <c r="K99" s="14" t="e">
        <f t="shared" si="276"/>
        <v>#REF!</v>
      </c>
      <c r="L99" s="14" t="e">
        <f t="shared" si="276"/>
        <v>#REF!</v>
      </c>
      <c r="M99" s="14" t="e">
        <f t="shared" si="276"/>
        <v>#REF!</v>
      </c>
      <c r="N99" s="14" t="e">
        <f t="shared" si="276"/>
        <v>#REF!</v>
      </c>
      <c r="O99" s="14" t="e">
        <f t="shared" si="276"/>
        <v>#REF!</v>
      </c>
      <c r="P99" s="14" t="e">
        <f t="shared" si="276"/>
        <v>#REF!</v>
      </c>
      <c r="Q99" s="14" t="e">
        <f t="shared" si="276"/>
        <v>#REF!</v>
      </c>
      <c r="R99" s="14" t="e">
        <f t="shared" si="276"/>
        <v>#REF!</v>
      </c>
      <c r="S99" s="14" t="e">
        <f t="shared" si="276"/>
        <v>#REF!</v>
      </c>
      <c r="T99" s="14" t="e">
        <f t="shared" si="276"/>
        <v>#REF!</v>
      </c>
      <c r="U99" s="14" t="e">
        <f t="shared" si="276"/>
        <v>#REF!</v>
      </c>
      <c r="V99" s="14" t="e">
        <f t="shared" si="276"/>
        <v>#REF!</v>
      </c>
      <c r="W99" s="14" t="e">
        <f t="shared" si="276"/>
        <v>#REF!</v>
      </c>
      <c r="X99" s="14" t="e">
        <f t="shared" si="276"/>
        <v>#REF!</v>
      </c>
      <c r="Y99" s="14" t="e">
        <f t="shared" si="276"/>
        <v>#REF!</v>
      </c>
      <c r="Z99" s="14" t="e">
        <f t="shared" si="276"/>
        <v>#REF!</v>
      </c>
      <c r="AA99" s="14" t="e">
        <f t="shared" si="276"/>
        <v>#REF!</v>
      </c>
      <c r="AB99" s="14" t="e">
        <f t="shared" si="276"/>
        <v>#REF!</v>
      </c>
      <c r="AC99" s="14" t="e">
        <f t="shared" si="276"/>
        <v>#REF!</v>
      </c>
      <c r="AD99" s="14" t="e">
        <f t="shared" si="276"/>
        <v>#REF!</v>
      </c>
      <c r="AE99" s="14" t="e">
        <f t="shared" si="276"/>
        <v>#REF!</v>
      </c>
      <c r="AF99" s="14" t="e">
        <f t="shared" si="276"/>
        <v>#REF!</v>
      </c>
      <c r="AG99" s="14" t="e">
        <f t="shared" si="276"/>
        <v>#REF!</v>
      </c>
      <c r="AH99" s="14" t="e">
        <f t="shared" si="276"/>
        <v>#REF!</v>
      </c>
      <c r="AI99" s="14" t="e">
        <f t="shared" si="276"/>
        <v>#REF!</v>
      </c>
      <c r="AJ99" s="14" t="e">
        <f t="shared" si="276"/>
        <v>#REF!</v>
      </c>
      <c r="AK99" s="14" t="e">
        <f t="shared" si="276"/>
        <v>#REF!</v>
      </c>
      <c r="AL99" s="14" t="e">
        <f t="shared" si="276"/>
        <v>#REF!</v>
      </c>
      <c r="AM99" s="14" t="e">
        <f t="shared" si="276"/>
        <v>#REF!</v>
      </c>
      <c r="AN99" s="14" t="e">
        <f t="shared" si="276"/>
        <v>#REF!</v>
      </c>
      <c r="AO99" s="14" t="e">
        <f t="shared" si="276"/>
        <v>#REF!</v>
      </c>
      <c r="AP99" s="14" t="e">
        <f t="shared" si="276"/>
        <v>#REF!</v>
      </c>
      <c r="AQ99" s="14" t="e">
        <f t="shared" si="276"/>
        <v>#REF!</v>
      </c>
      <c r="AR99" s="14" t="e">
        <f t="shared" si="276"/>
        <v>#REF!</v>
      </c>
      <c r="AS99" s="14" t="e">
        <f t="shared" si="276"/>
        <v>#REF!</v>
      </c>
      <c r="AT99" s="14" t="e">
        <f t="shared" si="276"/>
        <v>#REF!</v>
      </c>
      <c r="AU99" s="14" t="e">
        <f t="shared" si="276"/>
        <v>#REF!</v>
      </c>
      <c r="AV99" s="14" t="e">
        <f t="shared" si="276"/>
        <v>#REF!</v>
      </c>
      <c r="AW99" s="14" t="e">
        <f t="shared" si="276"/>
        <v>#REF!</v>
      </c>
      <c r="AX99" s="14" t="e">
        <f t="shared" si="276"/>
        <v>#REF!</v>
      </c>
      <c r="AY99" s="14" t="e">
        <f t="shared" si="276"/>
        <v>#REF!</v>
      </c>
      <c r="AZ99" s="14" t="e">
        <f t="shared" si="276"/>
        <v>#REF!</v>
      </c>
      <c r="BA99" s="14" t="e">
        <f t="shared" si="276"/>
        <v>#REF!</v>
      </c>
      <c r="BB99" s="14" t="e">
        <f t="shared" si="276"/>
        <v>#REF!</v>
      </c>
      <c r="BC99" s="14" t="e">
        <f t="shared" si="276"/>
        <v>#REF!</v>
      </c>
      <c r="BD99" s="14" t="e">
        <f t="shared" si="276"/>
        <v>#REF!</v>
      </c>
      <c r="BE99" s="14" t="e">
        <f t="shared" si="276"/>
        <v>#REF!</v>
      </c>
      <c r="BF99" s="14" t="e">
        <f t="shared" si="276"/>
        <v>#REF!</v>
      </c>
      <c r="BG99" s="14" t="e">
        <f t="shared" si="276"/>
        <v>#REF!</v>
      </c>
      <c r="BH99" s="14" t="e">
        <f t="shared" si="276"/>
        <v>#REF!</v>
      </c>
      <c r="BI99" s="14" t="e">
        <f t="shared" si="276"/>
        <v>#REF!</v>
      </c>
      <c r="BJ99" s="14" t="e">
        <f t="shared" si="276"/>
        <v>#REF!</v>
      </c>
      <c r="BK99"/>
      <c r="BL99" s="5"/>
    </row>
    <row r="100" spans="1:64">
      <c r="A100"/>
      <c r="B100" t="s">
        <v>460</v>
      </c>
      <c r="C100" s="30" t="e">
        <f>SUM(C85:C87)</f>
        <v>#REF!</v>
      </c>
      <c r="D100" s="30" t="e">
        <f t="shared" ref="D100:BJ100" si="277">SUM(D85:D87)</f>
        <v>#REF!</v>
      </c>
      <c r="E100" s="30" t="e">
        <f t="shared" si="277"/>
        <v>#REF!</v>
      </c>
      <c r="F100" s="30" t="e">
        <f t="shared" si="277"/>
        <v>#REF!</v>
      </c>
      <c r="G100" s="30" t="e">
        <f t="shared" si="277"/>
        <v>#REF!</v>
      </c>
      <c r="H100" s="30" t="e">
        <f t="shared" si="277"/>
        <v>#REF!</v>
      </c>
      <c r="I100" s="30" t="e">
        <f t="shared" si="277"/>
        <v>#REF!</v>
      </c>
      <c r="J100" s="30" t="e">
        <f t="shared" si="277"/>
        <v>#REF!</v>
      </c>
      <c r="K100" s="30" t="e">
        <f t="shared" si="277"/>
        <v>#REF!</v>
      </c>
      <c r="L100" s="30" t="e">
        <f t="shared" si="277"/>
        <v>#REF!</v>
      </c>
      <c r="M100" s="30" t="e">
        <f t="shared" si="277"/>
        <v>#REF!</v>
      </c>
      <c r="N100" s="30" t="e">
        <f t="shared" si="277"/>
        <v>#REF!</v>
      </c>
      <c r="O100" s="30" t="e">
        <f t="shared" si="277"/>
        <v>#REF!</v>
      </c>
      <c r="P100" s="30" t="e">
        <f t="shared" si="277"/>
        <v>#REF!</v>
      </c>
      <c r="Q100" s="30" t="e">
        <f t="shared" si="277"/>
        <v>#REF!</v>
      </c>
      <c r="R100" s="30" t="e">
        <f t="shared" si="277"/>
        <v>#REF!</v>
      </c>
      <c r="S100" s="30" t="e">
        <f t="shared" si="277"/>
        <v>#REF!</v>
      </c>
      <c r="T100" s="30" t="e">
        <f t="shared" si="277"/>
        <v>#REF!</v>
      </c>
      <c r="U100" s="30" t="e">
        <f t="shared" si="277"/>
        <v>#REF!</v>
      </c>
      <c r="V100" s="30" t="e">
        <f t="shared" si="277"/>
        <v>#REF!</v>
      </c>
      <c r="W100" s="30" t="e">
        <f t="shared" si="277"/>
        <v>#REF!</v>
      </c>
      <c r="X100" s="30" t="e">
        <f t="shared" si="277"/>
        <v>#REF!</v>
      </c>
      <c r="Y100" s="30" t="e">
        <f t="shared" si="277"/>
        <v>#REF!</v>
      </c>
      <c r="Z100" s="30" t="e">
        <f t="shared" si="277"/>
        <v>#REF!</v>
      </c>
      <c r="AA100" s="30" t="e">
        <f t="shared" si="277"/>
        <v>#REF!</v>
      </c>
      <c r="AB100" s="30" t="e">
        <f t="shared" si="277"/>
        <v>#REF!</v>
      </c>
      <c r="AC100" s="30" t="e">
        <f t="shared" si="277"/>
        <v>#REF!</v>
      </c>
      <c r="AD100" s="30" t="e">
        <f t="shared" si="277"/>
        <v>#REF!</v>
      </c>
      <c r="AE100" s="30" t="e">
        <f t="shared" si="277"/>
        <v>#REF!</v>
      </c>
      <c r="AF100" s="30" t="e">
        <f t="shared" si="277"/>
        <v>#REF!</v>
      </c>
      <c r="AG100" s="30" t="e">
        <f t="shared" si="277"/>
        <v>#REF!</v>
      </c>
      <c r="AH100" s="30" t="e">
        <f t="shared" si="277"/>
        <v>#REF!</v>
      </c>
      <c r="AI100" s="30" t="e">
        <f t="shared" si="277"/>
        <v>#REF!</v>
      </c>
      <c r="AJ100" s="30" t="e">
        <f t="shared" si="277"/>
        <v>#REF!</v>
      </c>
      <c r="AK100" s="30" t="e">
        <f t="shared" si="277"/>
        <v>#REF!</v>
      </c>
      <c r="AL100" s="30" t="e">
        <f t="shared" si="277"/>
        <v>#REF!</v>
      </c>
      <c r="AM100" s="30" t="e">
        <f t="shared" si="277"/>
        <v>#REF!</v>
      </c>
      <c r="AN100" s="30" t="e">
        <f t="shared" si="277"/>
        <v>#REF!</v>
      </c>
      <c r="AO100" s="30" t="e">
        <f t="shared" si="277"/>
        <v>#REF!</v>
      </c>
      <c r="AP100" s="30" t="e">
        <f t="shared" si="277"/>
        <v>#REF!</v>
      </c>
      <c r="AQ100" s="30" t="e">
        <f t="shared" si="277"/>
        <v>#REF!</v>
      </c>
      <c r="AR100" s="30" t="e">
        <f t="shared" si="277"/>
        <v>#REF!</v>
      </c>
      <c r="AS100" s="30" t="e">
        <f t="shared" si="277"/>
        <v>#REF!</v>
      </c>
      <c r="AT100" s="30" t="e">
        <f t="shared" si="277"/>
        <v>#REF!</v>
      </c>
      <c r="AU100" s="30" t="e">
        <f t="shared" si="277"/>
        <v>#REF!</v>
      </c>
      <c r="AV100" s="30" t="e">
        <f t="shared" si="277"/>
        <v>#REF!</v>
      </c>
      <c r="AW100" s="30" t="e">
        <f t="shared" si="277"/>
        <v>#REF!</v>
      </c>
      <c r="AX100" s="30" t="e">
        <f t="shared" si="277"/>
        <v>#REF!</v>
      </c>
      <c r="AY100" s="30" t="e">
        <f t="shared" si="277"/>
        <v>#REF!</v>
      </c>
      <c r="AZ100" s="30" t="e">
        <f t="shared" si="277"/>
        <v>#REF!</v>
      </c>
      <c r="BA100" s="30" t="e">
        <f t="shared" si="277"/>
        <v>#REF!</v>
      </c>
      <c r="BB100" s="30" t="e">
        <f t="shared" si="277"/>
        <v>#REF!</v>
      </c>
      <c r="BC100" s="30" t="e">
        <f t="shared" si="277"/>
        <v>#REF!</v>
      </c>
      <c r="BD100" s="30" t="e">
        <f t="shared" si="277"/>
        <v>#REF!</v>
      </c>
      <c r="BE100" s="30" t="e">
        <f t="shared" si="277"/>
        <v>#REF!</v>
      </c>
      <c r="BF100" s="30" t="e">
        <f t="shared" si="277"/>
        <v>#REF!</v>
      </c>
      <c r="BG100" s="30" t="e">
        <f t="shared" si="277"/>
        <v>#REF!</v>
      </c>
      <c r="BH100" s="30" t="e">
        <f t="shared" si="277"/>
        <v>#REF!</v>
      </c>
      <c r="BI100" s="30" t="e">
        <f t="shared" si="277"/>
        <v>#REF!</v>
      </c>
      <c r="BJ100" s="30" t="e">
        <f t="shared" si="277"/>
        <v>#REF!</v>
      </c>
      <c r="BK100"/>
      <c r="BL100" s="5"/>
    </row>
    <row r="101" spans="1:64">
      <c r="A101"/>
      <c r="B101" s="3" t="s">
        <v>64</v>
      </c>
      <c r="C101" s="13" t="e">
        <f>SUM(C98:C100)</f>
        <v>#REF!</v>
      </c>
      <c r="D101" s="13" t="e">
        <f t="shared" ref="D101:BJ101" si="278">SUM(D98:D100)</f>
        <v>#REF!</v>
      </c>
      <c r="E101" s="13" t="e">
        <f t="shared" si="278"/>
        <v>#REF!</v>
      </c>
      <c r="F101" s="13" t="e">
        <f t="shared" si="278"/>
        <v>#REF!</v>
      </c>
      <c r="G101" s="13" t="e">
        <f t="shared" si="278"/>
        <v>#REF!</v>
      </c>
      <c r="H101" s="13" t="e">
        <f t="shared" si="278"/>
        <v>#REF!</v>
      </c>
      <c r="I101" s="13" t="e">
        <f t="shared" si="278"/>
        <v>#REF!</v>
      </c>
      <c r="J101" s="13" t="e">
        <f t="shared" si="278"/>
        <v>#REF!</v>
      </c>
      <c r="K101" s="13" t="e">
        <f t="shared" si="278"/>
        <v>#REF!</v>
      </c>
      <c r="L101" s="13" t="e">
        <f t="shared" si="278"/>
        <v>#REF!</v>
      </c>
      <c r="M101" s="13" t="e">
        <f t="shared" si="278"/>
        <v>#REF!</v>
      </c>
      <c r="N101" s="13" t="e">
        <f t="shared" si="278"/>
        <v>#REF!</v>
      </c>
      <c r="O101" s="13" t="e">
        <f t="shared" si="278"/>
        <v>#REF!</v>
      </c>
      <c r="P101" s="13" t="e">
        <f t="shared" si="278"/>
        <v>#REF!</v>
      </c>
      <c r="Q101" s="13" t="e">
        <f t="shared" si="278"/>
        <v>#REF!</v>
      </c>
      <c r="R101" s="13" t="e">
        <f t="shared" si="278"/>
        <v>#REF!</v>
      </c>
      <c r="S101" s="13" t="e">
        <f t="shared" si="278"/>
        <v>#REF!</v>
      </c>
      <c r="T101" s="13" t="e">
        <f t="shared" si="278"/>
        <v>#REF!</v>
      </c>
      <c r="U101" s="13" t="e">
        <f t="shared" si="278"/>
        <v>#REF!</v>
      </c>
      <c r="V101" s="13" t="e">
        <f t="shared" si="278"/>
        <v>#REF!</v>
      </c>
      <c r="W101" s="13" t="e">
        <f t="shared" si="278"/>
        <v>#REF!</v>
      </c>
      <c r="X101" s="13" t="e">
        <f t="shared" si="278"/>
        <v>#REF!</v>
      </c>
      <c r="Y101" s="13" t="e">
        <f t="shared" si="278"/>
        <v>#REF!</v>
      </c>
      <c r="Z101" s="13" t="e">
        <f t="shared" si="278"/>
        <v>#REF!</v>
      </c>
      <c r="AA101" s="13" t="e">
        <f t="shared" si="278"/>
        <v>#REF!</v>
      </c>
      <c r="AB101" s="13" t="e">
        <f t="shared" si="278"/>
        <v>#REF!</v>
      </c>
      <c r="AC101" s="13" t="e">
        <f t="shared" si="278"/>
        <v>#REF!</v>
      </c>
      <c r="AD101" s="13" t="e">
        <f t="shared" si="278"/>
        <v>#REF!</v>
      </c>
      <c r="AE101" s="13" t="e">
        <f t="shared" si="278"/>
        <v>#REF!</v>
      </c>
      <c r="AF101" s="13" t="e">
        <f t="shared" si="278"/>
        <v>#REF!</v>
      </c>
      <c r="AG101" s="13" t="e">
        <f t="shared" si="278"/>
        <v>#REF!</v>
      </c>
      <c r="AH101" s="13" t="e">
        <f t="shared" si="278"/>
        <v>#REF!</v>
      </c>
      <c r="AI101" s="13" t="e">
        <f t="shared" si="278"/>
        <v>#REF!</v>
      </c>
      <c r="AJ101" s="13" t="e">
        <f t="shared" si="278"/>
        <v>#REF!</v>
      </c>
      <c r="AK101" s="13" t="e">
        <f t="shared" si="278"/>
        <v>#REF!</v>
      </c>
      <c r="AL101" s="13" t="e">
        <f t="shared" si="278"/>
        <v>#REF!</v>
      </c>
      <c r="AM101" s="13" t="e">
        <f t="shared" si="278"/>
        <v>#REF!</v>
      </c>
      <c r="AN101" s="13" t="e">
        <f t="shared" si="278"/>
        <v>#REF!</v>
      </c>
      <c r="AO101" s="13" t="e">
        <f t="shared" si="278"/>
        <v>#REF!</v>
      </c>
      <c r="AP101" s="13" t="e">
        <f t="shared" si="278"/>
        <v>#REF!</v>
      </c>
      <c r="AQ101" s="13" t="e">
        <f t="shared" si="278"/>
        <v>#REF!</v>
      </c>
      <c r="AR101" s="13" t="e">
        <f t="shared" si="278"/>
        <v>#REF!</v>
      </c>
      <c r="AS101" s="13" t="e">
        <f t="shared" si="278"/>
        <v>#REF!</v>
      </c>
      <c r="AT101" s="13" t="e">
        <f t="shared" si="278"/>
        <v>#REF!</v>
      </c>
      <c r="AU101" s="13" t="e">
        <f t="shared" si="278"/>
        <v>#REF!</v>
      </c>
      <c r="AV101" s="13" t="e">
        <f t="shared" si="278"/>
        <v>#REF!</v>
      </c>
      <c r="AW101" s="13" t="e">
        <f t="shared" si="278"/>
        <v>#REF!</v>
      </c>
      <c r="AX101" s="13" t="e">
        <f t="shared" si="278"/>
        <v>#REF!</v>
      </c>
      <c r="AY101" s="13" t="e">
        <f t="shared" si="278"/>
        <v>#REF!</v>
      </c>
      <c r="AZ101" s="13" t="e">
        <f t="shared" si="278"/>
        <v>#REF!</v>
      </c>
      <c r="BA101" s="13" t="e">
        <f t="shared" si="278"/>
        <v>#REF!</v>
      </c>
      <c r="BB101" s="13" t="e">
        <f t="shared" si="278"/>
        <v>#REF!</v>
      </c>
      <c r="BC101" s="13" t="e">
        <f t="shared" si="278"/>
        <v>#REF!</v>
      </c>
      <c r="BD101" s="13" t="e">
        <f t="shared" si="278"/>
        <v>#REF!</v>
      </c>
      <c r="BE101" s="13" t="e">
        <f t="shared" si="278"/>
        <v>#REF!</v>
      </c>
      <c r="BF101" s="13" t="e">
        <f t="shared" si="278"/>
        <v>#REF!</v>
      </c>
      <c r="BG101" s="13" t="e">
        <f t="shared" si="278"/>
        <v>#REF!</v>
      </c>
      <c r="BH101" s="13" t="e">
        <f t="shared" si="278"/>
        <v>#REF!</v>
      </c>
      <c r="BI101" s="13" t="e">
        <f t="shared" si="278"/>
        <v>#REF!</v>
      </c>
      <c r="BJ101" s="13" t="e">
        <f t="shared" si="278"/>
        <v>#REF!</v>
      </c>
      <c r="BK101"/>
      <c r="BL101" s="5"/>
    </row>
    <row r="102" spans="1:64">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s="5"/>
    </row>
    <row r="103" spans="1:64">
      <c r="A103"/>
      <c r="B103" s="28" t="s">
        <v>461</v>
      </c>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s="5"/>
    </row>
    <row r="104" spans="1:64">
      <c r="A104"/>
      <c r="B104" t="s">
        <v>316</v>
      </c>
      <c r="C104" s="14">
        <f>+C91*$D$20</f>
        <v>0</v>
      </c>
      <c r="D104" s="14">
        <f t="shared" ref="D104:BJ104" si="279">+D91*$D$20</f>
        <v>0</v>
      </c>
      <c r="E104" s="14">
        <f t="shared" si="279"/>
        <v>0</v>
      </c>
      <c r="F104" s="14">
        <f t="shared" si="279"/>
        <v>0</v>
      </c>
      <c r="G104" s="14">
        <f t="shared" si="279"/>
        <v>0</v>
      </c>
      <c r="H104" s="14">
        <f t="shared" si="279"/>
        <v>0</v>
      </c>
      <c r="I104" s="14">
        <f t="shared" si="279"/>
        <v>0</v>
      </c>
      <c r="J104" s="14">
        <f t="shared" si="279"/>
        <v>0</v>
      </c>
      <c r="K104" s="14">
        <f t="shared" si="279"/>
        <v>0</v>
      </c>
      <c r="L104" s="14">
        <f t="shared" si="279"/>
        <v>0</v>
      </c>
      <c r="M104" s="14">
        <f t="shared" si="279"/>
        <v>0</v>
      </c>
      <c r="N104" s="14">
        <f t="shared" si="279"/>
        <v>0</v>
      </c>
      <c r="O104" s="14">
        <f t="shared" si="279"/>
        <v>0</v>
      </c>
      <c r="P104" s="14">
        <f t="shared" si="279"/>
        <v>0</v>
      </c>
      <c r="Q104" s="14">
        <f t="shared" si="279"/>
        <v>0</v>
      </c>
      <c r="R104" s="14">
        <f t="shared" si="279"/>
        <v>0</v>
      </c>
      <c r="S104" s="14">
        <f t="shared" si="279"/>
        <v>0</v>
      </c>
      <c r="T104" s="14">
        <f t="shared" si="279"/>
        <v>0</v>
      </c>
      <c r="U104" s="14">
        <f t="shared" si="279"/>
        <v>0</v>
      </c>
      <c r="V104" s="14">
        <f t="shared" si="279"/>
        <v>0</v>
      </c>
      <c r="W104" s="14">
        <f t="shared" si="279"/>
        <v>0</v>
      </c>
      <c r="X104" s="14">
        <f t="shared" si="279"/>
        <v>0</v>
      </c>
      <c r="Y104" s="14">
        <f t="shared" si="279"/>
        <v>0</v>
      </c>
      <c r="Z104" s="14">
        <f t="shared" si="279"/>
        <v>0</v>
      </c>
      <c r="AA104" s="14">
        <f t="shared" si="279"/>
        <v>0</v>
      </c>
      <c r="AB104" s="14">
        <f t="shared" si="279"/>
        <v>0</v>
      </c>
      <c r="AC104" s="14">
        <f t="shared" si="279"/>
        <v>0</v>
      </c>
      <c r="AD104" s="14">
        <f t="shared" si="279"/>
        <v>0</v>
      </c>
      <c r="AE104" s="14">
        <f t="shared" si="279"/>
        <v>0</v>
      </c>
      <c r="AF104" s="14">
        <f t="shared" si="279"/>
        <v>0</v>
      </c>
      <c r="AG104" s="14">
        <f t="shared" si="279"/>
        <v>0</v>
      </c>
      <c r="AH104" s="14">
        <f t="shared" si="279"/>
        <v>0</v>
      </c>
      <c r="AI104" s="14">
        <f t="shared" si="279"/>
        <v>0</v>
      </c>
      <c r="AJ104" s="14">
        <f t="shared" si="279"/>
        <v>0</v>
      </c>
      <c r="AK104" s="14">
        <f t="shared" si="279"/>
        <v>0</v>
      </c>
      <c r="AL104" s="14">
        <f t="shared" si="279"/>
        <v>0</v>
      </c>
      <c r="AM104" s="14">
        <f t="shared" si="279"/>
        <v>0</v>
      </c>
      <c r="AN104" s="14">
        <f t="shared" si="279"/>
        <v>0</v>
      </c>
      <c r="AO104" s="14">
        <f t="shared" si="279"/>
        <v>0</v>
      </c>
      <c r="AP104" s="14">
        <f t="shared" si="279"/>
        <v>0</v>
      </c>
      <c r="AQ104" s="14">
        <f t="shared" si="279"/>
        <v>0</v>
      </c>
      <c r="AR104" s="14">
        <f t="shared" si="279"/>
        <v>0</v>
      </c>
      <c r="AS104" s="14">
        <f t="shared" si="279"/>
        <v>0</v>
      </c>
      <c r="AT104" s="14">
        <f t="shared" si="279"/>
        <v>0</v>
      </c>
      <c r="AU104" s="14">
        <f t="shared" si="279"/>
        <v>0</v>
      </c>
      <c r="AV104" s="14">
        <f t="shared" si="279"/>
        <v>0</v>
      </c>
      <c r="AW104" s="14">
        <f t="shared" si="279"/>
        <v>0</v>
      </c>
      <c r="AX104" s="14">
        <f t="shared" si="279"/>
        <v>0</v>
      </c>
      <c r="AY104" s="14">
        <f t="shared" si="279"/>
        <v>0</v>
      </c>
      <c r="AZ104" s="14">
        <f t="shared" si="279"/>
        <v>0</v>
      </c>
      <c r="BA104" s="14">
        <f t="shared" si="279"/>
        <v>0</v>
      </c>
      <c r="BB104" s="14">
        <f t="shared" si="279"/>
        <v>0</v>
      </c>
      <c r="BC104" s="14">
        <f t="shared" si="279"/>
        <v>0</v>
      </c>
      <c r="BD104" s="14">
        <f t="shared" si="279"/>
        <v>0</v>
      </c>
      <c r="BE104" s="14">
        <f t="shared" si="279"/>
        <v>0</v>
      </c>
      <c r="BF104" s="14">
        <f t="shared" si="279"/>
        <v>0</v>
      </c>
      <c r="BG104" s="14">
        <f t="shared" si="279"/>
        <v>0</v>
      </c>
      <c r="BH104" s="14">
        <f t="shared" si="279"/>
        <v>0</v>
      </c>
      <c r="BI104" s="14">
        <f t="shared" si="279"/>
        <v>0</v>
      </c>
      <c r="BJ104" s="14">
        <f t="shared" si="279"/>
        <v>0</v>
      </c>
      <c r="BK104"/>
      <c r="BL104" s="5"/>
    </row>
    <row r="105" spans="1:64">
      <c r="A105"/>
      <c r="B105" t="s">
        <v>459</v>
      </c>
      <c r="C105" s="14" t="e">
        <f>+SUM(C78:C80)*$D$20</f>
        <v>#REF!</v>
      </c>
      <c r="D105" s="14" t="e">
        <f t="shared" ref="D105:BJ105" si="280">+SUM(D78:D80)*$D$20</f>
        <v>#REF!</v>
      </c>
      <c r="E105" s="14" t="e">
        <f t="shared" si="280"/>
        <v>#REF!</v>
      </c>
      <c r="F105" s="14" t="e">
        <f t="shared" si="280"/>
        <v>#REF!</v>
      </c>
      <c r="G105" s="14" t="e">
        <f t="shared" si="280"/>
        <v>#REF!</v>
      </c>
      <c r="H105" s="14" t="e">
        <f t="shared" si="280"/>
        <v>#REF!</v>
      </c>
      <c r="I105" s="14" t="e">
        <f t="shared" si="280"/>
        <v>#REF!</v>
      </c>
      <c r="J105" s="14" t="e">
        <f t="shared" si="280"/>
        <v>#REF!</v>
      </c>
      <c r="K105" s="14" t="e">
        <f t="shared" si="280"/>
        <v>#REF!</v>
      </c>
      <c r="L105" s="14" t="e">
        <f t="shared" si="280"/>
        <v>#REF!</v>
      </c>
      <c r="M105" s="14" t="e">
        <f t="shared" si="280"/>
        <v>#REF!</v>
      </c>
      <c r="N105" s="14" t="e">
        <f t="shared" si="280"/>
        <v>#REF!</v>
      </c>
      <c r="O105" s="14" t="e">
        <f t="shared" si="280"/>
        <v>#REF!</v>
      </c>
      <c r="P105" s="14" t="e">
        <f t="shared" si="280"/>
        <v>#REF!</v>
      </c>
      <c r="Q105" s="14" t="e">
        <f t="shared" si="280"/>
        <v>#REF!</v>
      </c>
      <c r="R105" s="14" t="e">
        <f t="shared" si="280"/>
        <v>#REF!</v>
      </c>
      <c r="S105" s="14" t="e">
        <f t="shared" si="280"/>
        <v>#REF!</v>
      </c>
      <c r="T105" s="14" t="e">
        <f t="shared" si="280"/>
        <v>#REF!</v>
      </c>
      <c r="U105" s="14" t="e">
        <f t="shared" si="280"/>
        <v>#REF!</v>
      </c>
      <c r="V105" s="14" t="e">
        <f t="shared" si="280"/>
        <v>#REF!</v>
      </c>
      <c r="W105" s="14" t="e">
        <f t="shared" si="280"/>
        <v>#REF!</v>
      </c>
      <c r="X105" s="14" t="e">
        <f t="shared" si="280"/>
        <v>#REF!</v>
      </c>
      <c r="Y105" s="14" t="e">
        <f t="shared" si="280"/>
        <v>#REF!</v>
      </c>
      <c r="Z105" s="14" t="e">
        <f t="shared" si="280"/>
        <v>#REF!</v>
      </c>
      <c r="AA105" s="14" t="e">
        <f t="shared" si="280"/>
        <v>#REF!</v>
      </c>
      <c r="AB105" s="14" t="e">
        <f t="shared" si="280"/>
        <v>#REF!</v>
      </c>
      <c r="AC105" s="14" t="e">
        <f t="shared" si="280"/>
        <v>#REF!</v>
      </c>
      <c r="AD105" s="14" t="e">
        <f t="shared" si="280"/>
        <v>#REF!</v>
      </c>
      <c r="AE105" s="14" t="e">
        <f t="shared" si="280"/>
        <v>#REF!</v>
      </c>
      <c r="AF105" s="14" t="e">
        <f t="shared" si="280"/>
        <v>#REF!</v>
      </c>
      <c r="AG105" s="14" t="e">
        <f t="shared" si="280"/>
        <v>#REF!</v>
      </c>
      <c r="AH105" s="14" t="e">
        <f t="shared" si="280"/>
        <v>#REF!</v>
      </c>
      <c r="AI105" s="14" t="e">
        <f t="shared" si="280"/>
        <v>#REF!</v>
      </c>
      <c r="AJ105" s="14" t="e">
        <f t="shared" si="280"/>
        <v>#REF!</v>
      </c>
      <c r="AK105" s="14" t="e">
        <f t="shared" si="280"/>
        <v>#REF!</v>
      </c>
      <c r="AL105" s="14" t="e">
        <f t="shared" si="280"/>
        <v>#REF!</v>
      </c>
      <c r="AM105" s="14" t="e">
        <f t="shared" si="280"/>
        <v>#REF!</v>
      </c>
      <c r="AN105" s="14" t="e">
        <f t="shared" si="280"/>
        <v>#REF!</v>
      </c>
      <c r="AO105" s="14" t="e">
        <f t="shared" si="280"/>
        <v>#REF!</v>
      </c>
      <c r="AP105" s="14" t="e">
        <f t="shared" si="280"/>
        <v>#REF!</v>
      </c>
      <c r="AQ105" s="14" t="e">
        <f t="shared" si="280"/>
        <v>#REF!</v>
      </c>
      <c r="AR105" s="14" t="e">
        <f t="shared" si="280"/>
        <v>#REF!</v>
      </c>
      <c r="AS105" s="14" t="e">
        <f t="shared" si="280"/>
        <v>#REF!</v>
      </c>
      <c r="AT105" s="14" t="e">
        <f t="shared" si="280"/>
        <v>#REF!</v>
      </c>
      <c r="AU105" s="14" t="e">
        <f t="shared" si="280"/>
        <v>#REF!</v>
      </c>
      <c r="AV105" s="14" t="e">
        <f t="shared" si="280"/>
        <v>#REF!</v>
      </c>
      <c r="AW105" s="14" t="e">
        <f t="shared" si="280"/>
        <v>#REF!</v>
      </c>
      <c r="AX105" s="14" t="e">
        <f t="shared" si="280"/>
        <v>#REF!</v>
      </c>
      <c r="AY105" s="14" t="e">
        <f t="shared" si="280"/>
        <v>#REF!</v>
      </c>
      <c r="AZ105" s="14" t="e">
        <f t="shared" si="280"/>
        <v>#REF!</v>
      </c>
      <c r="BA105" s="14" t="e">
        <f t="shared" si="280"/>
        <v>#REF!</v>
      </c>
      <c r="BB105" s="14" t="e">
        <f t="shared" si="280"/>
        <v>#REF!</v>
      </c>
      <c r="BC105" s="14" t="e">
        <f t="shared" si="280"/>
        <v>#REF!</v>
      </c>
      <c r="BD105" s="14" t="e">
        <f t="shared" si="280"/>
        <v>#REF!</v>
      </c>
      <c r="BE105" s="14" t="e">
        <f t="shared" si="280"/>
        <v>#REF!</v>
      </c>
      <c r="BF105" s="14" t="e">
        <f t="shared" si="280"/>
        <v>#REF!</v>
      </c>
      <c r="BG105" s="14" t="e">
        <f t="shared" si="280"/>
        <v>#REF!</v>
      </c>
      <c r="BH105" s="14" t="e">
        <f t="shared" si="280"/>
        <v>#REF!</v>
      </c>
      <c r="BI105" s="14" t="e">
        <f t="shared" si="280"/>
        <v>#REF!</v>
      </c>
      <c r="BJ105" s="14" t="e">
        <f t="shared" si="280"/>
        <v>#REF!</v>
      </c>
      <c r="BK105"/>
      <c r="BL105" s="5"/>
    </row>
    <row r="106" spans="1:64">
      <c r="A106"/>
      <c r="B106" t="s">
        <v>460</v>
      </c>
      <c r="C106" s="30">
        <v>0</v>
      </c>
      <c r="D106" s="30">
        <v>0</v>
      </c>
      <c r="E106" s="30">
        <v>0</v>
      </c>
      <c r="F106" s="30">
        <v>0</v>
      </c>
      <c r="G106" s="30">
        <v>0</v>
      </c>
      <c r="H106" s="30">
        <v>0</v>
      </c>
      <c r="I106" s="30">
        <v>0</v>
      </c>
      <c r="J106" s="30">
        <v>0</v>
      </c>
      <c r="K106" s="30">
        <v>0</v>
      </c>
      <c r="L106" s="30">
        <v>0</v>
      </c>
      <c r="M106" s="30">
        <v>0</v>
      </c>
      <c r="N106" s="30">
        <v>0</v>
      </c>
      <c r="O106" s="30">
        <v>0</v>
      </c>
      <c r="P106" s="30">
        <v>0</v>
      </c>
      <c r="Q106" s="30">
        <v>0</v>
      </c>
      <c r="R106" s="30">
        <v>0</v>
      </c>
      <c r="S106" s="30">
        <v>0</v>
      </c>
      <c r="T106" s="30">
        <v>0</v>
      </c>
      <c r="U106" s="30">
        <v>0</v>
      </c>
      <c r="V106" s="30">
        <v>0</v>
      </c>
      <c r="W106" s="30">
        <v>0</v>
      </c>
      <c r="X106" s="30">
        <v>0</v>
      </c>
      <c r="Y106" s="30">
        <v>0</v>
      </c>
      <c r="Z106" s="30">
        <v>0</v>
      </c>
      <c r="AA106" s="30">
        <v>0</v>
      </c>
      <c r="AB106" s="30">
        <v>0</v>
      </c>
      <c r="AC106" s="30">
        <v>0</v>
      </c>
      <c r="AD106" s="30">
        <v>0</v>
      </c>
      <c r="AE106" s="30">
        <v>0</v>
      </c>
      <c r="AF106" s="30">
        <v>0</v>
      </c>
      <c r="AG106" s="30">
        <v>0</v>
      </c>
      <c r="AH106" s="30">
        <v>0</v>
      </c>
      <c r="AI106" s="30">
        <v>0</v>
      </c>
      <c r="AJ106" s="30">
        <v>0</v>
      </c>
      <c r="AK106" s="30">
        <v>0</v>
      </c>
      <c r="AL106" s="30">
        <v>0</v>
      </c>
      <c r="AM106" s="30">
        <v>0</v>
      </c>
      <c r="AN106" s="30">
        <v>0</v>
      </c>
      <c r="AO106" s="30">
        <v>0</v>
      </c>
      <c r="AP106" s="30">
        <v>0</v>
      </c>
      <c r="AQ106" s="30">
        <v>0</v>
      </c>
      <c r="AR106" s="30">
        <v>0</v>
      </c>
      <c r="AS106" s="30">
        <v>0</v>
      </c>
      <c r="AT106" s="30">
        <v>0</v>
      </c>
      <c r="AU106" s="30">
        <v>0</v>
      </c>
      <c r="AV106" s="30">
        <v>0</v>
      </c>
      <c r="AW106" s="30">
        <v>0</v>
      </c>
      <c r="AX106" s="30">
        <v>0</v>
      </c>
      <c r="AY106" s="30">
        <v>0</v>
      </c>
      <c r="AZ106" s="30">
        <v>0</v>
      </c>
      <c r="BA106" s="30">
        <v>0</v>
      </c>
      <c r="BB106" s="30">
        <v>0</v>
      </c>
      <c r="BC106" s="30">
        <v>0</v>
      </c>
      <c r="BD106" s="30">
        <v>0</v>
      </c>
      <c r="BE106" s="30">
        <v>0</v>
      </c>
      <c r="BF106" s="30">
        <v>0</v>
      </c>
      <c r="BG106" s="30">
        <v>0</v>
      </c>
      <c r="BH106" s="30">
        <v>0</v>
      </c>
      <c r="BI106" s="30">
        <v>0</v>
      </c>
      <c r="BJ106" s="30">
        <v>0</v>
      </c>
      <c r="BK106"/>
      <c r="BL106" s="5"/>
    </row>
    <row r="107" spans="1:64">
      <c r="A107"/>
      <c r="B107" s="3" t="s">
        <v>64</v>
      </c>
      <c r="C107" s="13" t="e">
        <f>SUM(C104:C106)</f>
        <v>#REF!</v>
      </c>
      <c r="D107" s="13" t="e">
        <f t="shared" ref="D107:BJ107" si="281">SUM(D104:D106)</f>
        <v>#REF!</v>
      </c>
      <c r="E107" s="13" t="e">
        <f t="shared" si="281"/>
        <v>#REF!</v>
      </c>
      <c r="F107" s="13" t="e">
        <f t="shared" si="281"/>
        <v>#REF!</v>
      </c>
      <c r="G107" s="13" t="e">
        <f t="shared" si="281"/>
        <v>#REF!</v>
      </c>
      <c r="H107" s="13" t="e">
        <f t="shared" si="281"/>
        <v>#REF!</v>
      </c>
      <c r="I107" s="13" t="e">
        <f t="shared" si="281"/>
        <v>#REF!</v>
      </c>
      <c r="J107" s="13" t="e">
        <f t="shared" si="281"/>
        <v>#REF!</v>
      </c>
      <c r="K107" s="13" t="e">
        <f t="shared" si="281"/>
        <v>#REF!</v>
      </c>
      <c r="L107" s="13" t="e">
        <f t="shared" si="281"/>
        <v>#REF!</v>
      </c>
      <c r="M107" s="13" t="e">
        <f t="shared" si="281"/>
        <v>#REF!</v>
      </c>
      <c r="N107" s="13" t="e">
        <f t="shared" si="281"/>
        <v>#REF!</v>
      </c>
      <c r="O107" s="13" t="e">
        <f t="shared" si="281"/>
        <v>#REF!</v>
      </c>
      <c r="P107" s="13" t="e">
        <f t="shared" si="281"/>
        <v>#REF!</v>
      </c>
      <c r="Q107" s="13" t="e">
        <f t="shared" si="281"/>
        <v>#REF!</v>
      </c>
      <c r="R107" s="13" t="e">
        <f t="shared" si="281"/>
        <v>#REF!</v>
      </c>
      <c r="S107" s="13" t="e">
        <f t="shared" si="281"/>
        <v>#REF!</v>
      </c>
      <c r="T107" s="13" t="e">
        <f t="shared" si="281"/>
        <v>#REF!</v>
      </c>
      <c r="U107" s="13" t="e">
        <f t="shared" si="281"/>
        <v>#REF!</v>
      </c>
      <c r="V107" s="13" t="e">
        <f t="shared" si="281"/>
        <v>#REF!</v>
      </c>
      <c r="W107" s="13" t="e">
        <f t="shared" si="281"/>
        <v>#REF!</v>
      </c>
      <c r="X107" s="13" t="e">
        <f t="shared" si="281"/>
        <v>#REF!</v>
      </c>
      <c r="Y107" s="13" t="e">
        <f t="shared" si="281"/>
        <v>#REF!</v>
      </c>
      <c r="Z107" s="13" t="e">
        <f t="shared" si="281"/>
        <v>#REF!</v>
      </c>
      <c r="AA107" s="13" t="e">
        <f t="shared" si="281"/>
        <v>#REF!</v>
      </c>
      <c r="AB107" s="13" t="e">
        <f t="shared" si="281"/>
        <v>#REF!</v>
      </c>
      <c r="AC107" s="13" t="e">
        <f t="shared" si="281"/>
        <v>#REF!</v>
      </c>
      <c r="AD107" s="13" t="e">
        <f t="shared" si="281"/>
        <v>#REF!</v>
      </c>
      <c r="AE107" s="13" t="e">
        <f t="shared" si="281"/>
        <v>#REF!</v>
      </c>
      <c r="AF107" s="13" t="e">
        <f t="shared" si="281"/>
        <v>#REF!</v>
      </c>
      <c r="AG107" s="13" t="e">
        <f t="shared" si="281"/>
        <v>#REF!</v>
      </c>
      <c r="AH107" s="13" t="e">
        <f t="shared" si="281"/>
        <v>#REF!</v>
      </c>
      <c r="AI107" s="13" t="e">
        <f t="shared" si="281"/>
        <v>#REF!</v>
      </c>
      <c r="AJ107" s="13" t="e">
        <f t="shared" si="281"/>
        <v>#REF!</v>
      </c>
      <c r="AK107" s="13" t="e">
        <f t="shared" si="281"/>
        <v>#REF!</v>
      </c>
      <c r="AL107" s="13" t="e">
        <f t="shared" si="281"/>
        <v>#REF!</v>
      </c>
      <c r="AM107" s="13" t="e">
        <f t="shared" si="281"/>
        <v>#REF!</v>
      </c>
      <c r="AN107" s="13" t="e">
        <f t="shared" si="281"/>
        <v>#REF!</v>
      </c>
      <c r="AO107" s="13" t="e">
        <f t="shared" si="281"/>
        <v>#REF!</v>
      </c>
      <c r="AP107" s="13" t="e">
        <f t="shared" si="281"/>
        <v>#REF!</v>
      </c>
      <c r="AQ107" s="13" t="e">
        <f t="shared" si="281"/>
        <v>#REF!</v>
      </c>
      <c r="AR107" s="13" t="e">
        <f t="shared" si="281"/>
        <v>#REF!</v>
      </c>
      <c r="AS107" s="13" t="e">
        <f t="shared" si="281"/>
        <v>#REF!</v>
      </c>
      <c r="AT107" s="13" t="e">
        <f t="shared" si="281"/>
        <v>#REF!</v>
      </c>
      <c r="AU107" s="13" t="e">
        <f t="shared" si="281"/>
        <v>#REF!</v>
      </c>
      <c r="AV107" s="13" t="e">
        <f t="shared" si="281"/>
        <v>#REF!</v>
      </c>
      <c r="AW107" s="13" t="e">
        <f t="shared" si="281"/>
        <v>#REF!</v>
      </c>
      <c r="AX107" s="13" t="e">
        <f t="shared" si="281"/>
        <v>#REF!</v>
      </c>
      <c r="AY107" s="13" t="e">
        <f t="shared" si="281"/>
        <v>#REF!</v>
      </c>
      <c r="AZ107" s="13" t="e">
        <f t="shared" si="281"/>
        <v>#REF!</v>
      </c>
      <c r="BA107" s="13" t="e">
        <f t="shared" si="281"/>
        <v>#REF!</v>
      </c>
      <c r="BB107" s="13" t="e">
        <f t="shared" si="281"/>
        <v>#REF!</v>
      </c>
      <c r="BC107" s="13" t="e">
        <f t="shared" si="281"/>
        <v>#REF!</v>
      </c>
      <c r="BD107" s="13" t="e">
        <f t="shared" si="281"/>
        <v>#REF!</v>
      </c>
      <c r="BE107" s="13" t="e">
        <f t="shared" si="281"/>
        <v>#REF!</v>
      </c>
      <c r="BF107" s="13" t="e">
        <f t="shared" si="281"/>
        <v>#REF!</v>
      </c>
      <c r="BG107" s="13" t="e">
        <f t="shared" si="281"/>
        <v>#REF!</v>
      </c>
      <c r="BH107" s="13" t="e">
        <f t="shared" si="281"/>
        <v>#REF!</v>
      </c>
      <c r="BI107" s="13" t="e">
        <f t="shared" si="281"/>
        <v>#REF!</v>
      </c>
      <c r="BJ107" s="13" t="e">
        <f t="shared" si="281"/>
        <v>#REF!</v>
      </c>
      <c r="BK107"/>
      <c r="BL107" s="5"/>
    </row>
    <row r="108" spans="1:64">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s="5"/>
    </row>
    <row r="109" spans="1:64">
      <c r="A109"/>
      <c r="B109" s="40" t="s">
        <v>420</v>
      </c>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s="5"/>
    </row>
    <row r="110" spans="1:64">
      <c r="A110"/>
      <c r="B110" t="s">
        <v>462</v>
      </c>
      <c r="C110" s="30">
        <f>+C32</f>
        <v>0</v>
      </c>
      <c r="D110" s="30">
        <f t="shared" ref="D110:BJ110" si="282">+D32</f>
        <v>0</v>
      </c>
      <c r="E110" s="30">
        <f t="shared" si="282"/>
        <v>0</v>
      </c>
      <c r="F110" s="30">
        <f t="shared" si="282"/>
        <v>0</v>
      </c>
      <c r="G110" s="30">
        <f t="shared" si="282"/>
        <v>0</v>
      </c>
      <c r="H110" s="30">
        <f t="shared" si="282"/>
        <v>0</v>
      </c>
      <c r="I110" s="30">
        <f t="shared" si="282"/>
        <v>0</v>
      </c>
      <c r="J110" s="30">
        <f t="shared" si="282"/>
        <v>0</v>
      </c>
      <c r="K110" s="30">
        <f t="shared" si="282"/>
        <v>0</v>
      </c>
      <c r="L110" s="30">
        <f t="shared" si="282"/>
        <v>0</v>
      </c>
      <c r="M110" s="30">
        <f t="shared" si="282"/>
        <v>0</v>
      </c>
      <c r="N110" s="30">
        <f t="shared" si="282"/>
        <v>0</v>
      </c>
      <c r="O110" s="30">
        <f t="shared" si="282"/>
        <v>0</v>
      </c>
      <c r="P110" s="30">
        <f t="shared" si="282"/>
        <v>0</v>
      </c>
      <c r="Q110" s="30">
        <f t="shared" si="282"/>
        <v>0</v>
      </c>
      <c r="R110" s="30">
        <f t="shared" si="282"/>
        <v>0</v>
      </c>
      <c r="S110" s="30">
        <f t="shared" si="282"/>
        <v>0</v>
      </c>
      <c r="T110" s="30">
        <f t="shared" si="282"/>
        <v>0</v>
      </c>
      <c r="U110" s="30">
        <f t="shared" si="282"/>
        <v>0</v>
      </c>
      <c r="V110" s="30">
        <f t="shared" si="282"/>
        <v>0</v>
      </c>
      <c r="W110" s="30">
        <f t="shared" si="282"/>
        <v>0</v>
      </c>
      <c r="X110" s="30">
        <f t="shared" si="282"/>
        <v>0</v>
      </c>
      <c r="Y110" s="30">
        <f t="shared" si="282"/>
        <v>0</v>
      </c>
      <c r="Z110" s="30">
        <f t="shared" si="282"/>
        <v>0</v>
      </c>
      <c r="AA110" s="30">
        <f t="shared" si="282"/>
        <v>0</v>
      </c>
      <c r="AB110" s="30">
        <f t="shared" si="282"/>
        <v>0</v>
      </c>
      <c r="AC110" s="30">
        <f t="shared" si="282"/>
        <v>0</v>
      </c>
      <c r="AD110" s="30">
        <f t="shared" si="282"/>
        <v>0</v>
      </c>
      <c r="AE110" s="30">
        <f t="shared" si="282"/>
        <v>0</v>
      </c>
      <c r="AF110" s="30">
        <f t="shared" si="282"/>
        <v>0</v>
      </c>
      <c r="AG110" s="30">
        <f t="shared" si="282"/>
        <v>0</v>
      </c>
      <c r="AH110" s="30">
        <f t="shared" si="282"/>
        <v>0</v>
      </c>
      <c r="AI110" s="30">
        <f t="shared" si="282"/>
        <v>0</v>
      </c>
      <c r="AJ110" s="30">
        <f t="shared" si="282"/>
        <v>0</v>
      </c>
      <c r="AK110" s="30">
        <f t="shared" si="282"/>
        <v>0</v>
      </c>
      <c r="AL110" s="30">
        <f t="shared" si="282"/>
        <v>0</v>
      </c>
      <c r="AM110" s="30">
        <f t="shared" si="282"/>
        <v>0</v>
      </c>
      <c r="AN110" s="30">
        <f t="shared" si="282"/>
        <v>0</v>
      </c>
      <c r="AO110" s="30">
        <f t="shared" si="282"/>
        <v>0</v>
      </c>
      <c r="AP110" s="30">
        <f t="shared" si="282"/>
        <v>0</v>
      </c>
      <c r="AQ110" s="30">
        <f t="shared" si="282"/>
        <v>0</v>
      </c>
      <c r="AR110" s="30">
        <f t="shared" si="282"/>
        <v>0</v>
      </c>
      <c r="AS110" s="30">
        <f t="shared" si="282"/>
        <v>0</v>
      </c>
      <c r="AT110" s="30">
        <f t="shared" si="282"/>
        <v>0</v>
      </c>
      <c r="AU110" s="30">
        <f t="shared" si="282"/>
        <v>0</v>
      </c>
      <c r="AV110" s="30">
        <f t="shared" si="282"/>
        <v>0</v>
      </c>
      <c r="AW110" s="30">
        <f t="shared" si="282"/>
        <v>0</v>
      </c>
      <c r="AX110" s="30">
        <f t="shared" si="282"/>
        <v>0</v>
      </c>
      <c r="AY110" s="30">
        <f t="shared" si="282"/>
        <v>0</v>
      </c>
      <c r="AZ110" s="30">
        <f t="shared" si="282"/>
        <v>0</v>
      </c>
      <c r="BA110" s="30">
        <f t="shared" si="282"/>
        <v>0</v>
      </c>
      <c r="BB110" s="30">
        <f t="shared" si="282"/>
        <v>0</v>
      </c>
      <c r="BC110" s="30">
        <f t="shared" si="282"/>
        <v>0</v>
      </c>
      <c r="BD110" s="30">
        <f t="shared" si="282"/>
        <v>0</v>
      </c>
      <c r="BE110" s="30">
        <f t="shared" si="282"/>
        <v>0</v>
      </c>
      <c r="BF110" s="30">
        <f t="shared" si="282"/>
        <v>0</v>
      </c>
      <c r="BG110" s="30">
        <f t="shared" si="282"/>
        <v>0</v>
      </c>
      <c r="BH110" s="30">
        <f t="shared" si="282"/>
        <v>0</v>
      </c>
      <c r="BI110" s="30">
        <f t="shared" si="282"/>
        <v>0</v>
      </c>
      <c r="BJ110" s="30">
        <f t="shared" si="282"/>
        <v>0</v>
      </c>
      <c r="BK110"/>
      <c r="BL110" s="5"/>
    </row>
    <row r="111" spans="1:64">
      <c r="A111"/>
      <c r="B111" t="s">
        <v>463</v>
      </c>
      <c r="C111" s="30">
        <f>+C37</f>
        <v>0</v>
      </c>
      <c r="D111" s="30" t="e">
        <f t="shared" ref="D111:BJ111" si="283">+D37</f>
        <v>#REF!</v>
      </c>
      <c r="E111" s="30" t="e">
        <f t="shared" si="283"/>
        <v>#REF!</v>
      </c>
      <c r="F111" s="30">
        <f t="shared" si="283"/>
        <v>0</v>
      </c>
      <c r="G111" s="30">
        <f t="shared" si="283"/>
        <v>0</v>
      </c>
      <c r="H111" s="30">
        <f t="shared" si="283"/>
        <v>0</v>
      </c>
      <c r="I111" s="30">
        <f t="shared" si="283"/>
        <v>0</v>
      </c>
      <c r="J111" s="30">
        <f t="shared" si="283"/>
        <v>0</v>
      </c>
      <c r="K111" s="30">
        <f t="shared" si="283"/>
        <v>0</v>
      </c>
      <c r="L111" s="30">
        <f t="shared" si="283"/>
        <v>0</v>
      </c>
      <c r="M111" s="30">
        <f t="shared" si="283"/>
        <v>0</v>
      </c>
      <c r="N111" s="30">
        <f t="shared" si="283"/>
        <v>0</v>
      </c>
      <c r="O111" s="30">
        <f t="shared" si="283"/>
        <v>0</v>
      </c>
      <c r="P111" s="30">
        <f t="shared" si="283"/>
        <v>0</v>
      </c>
      <c r="Q111" s="30">
        <f t="shared" si="283"/>
        <v>0</v>
      </c>
      <c r="R111" s="30">
        <f t="shared" si="283"/>
        <v>0</v>
      </c>
      <c r="S111" s="30">
        <f t="shared" si="283"/>
        <v>0</v>
      </c>
      <c r="T111" s="30">
        <f t="shared" si="283"/>
        <v>0</v>
      </c>
      <c r="U111" s="30">
        <f t="shared" si="283"/>
        <v>0</v>
      </c>
      <c r="V111" s="30">
        <f t="shared" si="283"/>
        <v>0</v>
      </c>
      <c r="W111" s="30">
        <f t="shared" si="283"/>
        <v>0</v>
      </c>
      <c r="X111" s="30">
        <f t="shared" si="283"/>
        <v>0</v>
      </c>
      <c r="Y111" s="30">
        <f t="shared" si="283"/>
        <v>0</v>
      </c>
      <c r="Z111" s="30">
        <f t="shared" si="283"/>
        <v>0</v>
      </c>
      <c r="AA111" s="30">
        <f t="shared" si="283"/>
        <v>0</v>
      </c>
      <c r="AB111" s="30">
        <f t="shared" si="283"/>
        <v>0</v>
      </c>
      <c r="AC111" s="30">
        <f t="shared" si="283"/>
        <v>0</v>
      </c>
      <c r="AD111" s="30">
        <f t="shared" si="283"/>
        <v>0</v>
      </c>
      <c r="AE111" s="30">
        <f t="shared" si="283"/>
        <v>0</v>
      </c>
      <c r="AF111" s="30">
        <f t="shared" si="283"/>
        <v>0</v>
      </c>
      <c r="AG111" s="30">
        <f t="shared" si="283"/>
        <v>0</v>
      </c>
      <c r="AH111" s="30">
        <f t="shared" si="283"/>
        <v>0</v>
      </c>
      <c r="AI111" s="30">
        <f t="shared" si="283"/>
        <v>0</v>
      </c>
      <c r="AJ111" s="30">
        <f t="shared" si="283"/>
        <v>0</v>
      </c>
      <c r="AK111" s="30">
        <f t="shared" si="283"/>
        <v>0</v>
      </c>
      <c r="AL111" s="30">
        <f t="shared" si="283"/>
        <v>0</v>
      </c>
      <c r="AM111" s="30">
        <f t="shared" si="283"/>
        <v>0</v>
      </c>
      <c r="AN111" s="30">
        <f t="shared" si="283"/>
        <v>0</v>
      </c>
      <c r="AO111" s="30">
        <f t="shared" si="283"/>
        <v>0</v>
      </c>
      <c r="AP111" s="30">
        <f t="shared" si="283"/>
        <v>0</v>
      </c>
      <c r="AQ111" s="30">
        <f t="shared" si="283"/>
        <v>0</v>
      </c>
      <c r="AR111" s="30">
        <f t="shared" si="283"/>
        <v>0</v>
      </c>
      <c r="AS111" s="30">
        <f t="shared" si="283"/>
        <v>0</v>
      </c>
      <c r="AT111" s="30">
        <f t="shared" si="283"/>
        <v>0</v>
      </c>
      <c r="AU111" s="30">
        <f t="shared" si="283"/>
        <v>0</v>
      </c>
      <c r="AV111" s="30">
        <f t="shared" si="283"/>
        <v>0</v>
      </c>
      <c r="AW111" s="30">
        <f t="shared" si="283"/>
        <v>0</v>
      </c>
      <c r="AX111" s="30">
        <f t="shared" si="283"/>
        <v>0</v>
      </c>
      <c r="AY111" s="30">
        <f t="shared" si="283"/>
        <v>0</v>
      </c>
      <c r="AZ111" s="30">
        <f t="shared" si="283"/>
        <v>0</v>
      </c>
      <c r="BA111" s="30">
        <f t="shared" si="283"/>
        <v>0</v>
      </c>
      <c r="BB111" s="30">
        <f t="shared" si="283"/>
        <v>0</v>
      </c>
      <c r="BC111" s="30">
        <f t="shared" si="283"/>
        <v>0</v>
      </c>
      <c r="BD111" s="30">
        <f t="shared" si="283"/>
        <v>0</v>
      </c>
      <c r="BE111" s="30">
        <f t="shared" si="283"/>
        <v>0</v>
      </c>
      <c r="BF111" s="30">
        <f t="shared" si="283"/>
        <v>0</v>
      </c>
      <c r="BG111" s="30">
        <f t="shared" si="283"/>
        <v>0</v>
      </c>
      <c r="BH111" s="30">
        <f t="shared" si="283"/>
        <v>0</v>
      </c>
      <c r="BI111" s="30">
        <f t="shared" si="283"/>
        <v>0</v>
      </c>
      <c r="BJ111" s="30">
        <f t="shared" si="283"/>
        <v>0</v>
      </c>
      <c r="BK111"/>
      <c r="BL111" s="5"/>
    </row>
    <row r="112" spans="1:64">
      <c r="A112"/>
      <c r="B112" s="3" t="s">
        <v>64</v>
      </c>
      <c r="C112" s="29">
        <f>SUM(C110:C111)</f>
        <v>0</v>
      </c>
      <c r="D112" s="29" t="e">
        <f t="shared" ref="D112:BJ112" si="284">SUM(D110:D111)</f>
        <v>#REF!</v>
      </c>
      <c r="E112" s="29" t="e">
        <f t="shared" si="284"/>
        <v>#REF!</v>
      </c>
      <c r="F112" s="29">
        <f t="shared" si="284"/>
        <v>0</v>
      </c>
      <c r="G112" s="29">
        <f t="shared" si="284"/>
        <v>0</v>
      </c>
      <c r="H112" s="29">
        <f t="shared" si="284"/>
        <v>0</v>
      </c>
      <c r="I112" s="29">
        <f t="shared" si="284"/>
        <v>0</v>
      </c>
      <c r="J112" s="29">
        <f t="shared" si="284"/>
        <v>0</v>
      </c>
      <c r="K112" s="29">
        <f t="shared" si="284"/>
        <v>0</v>
      </c>
      <c r="L112" s="29">
        <f t="shared" si="284"/>
        <v>0</v>
      </c>
      <c r="M112" s="29">
        <f t="shared" si="284"/>
        <v>0</v>
      </c>
      <c r="N112" s="29">
        <f t="shared" si="284"/>
        <v>0</v>
      </c>
      <c r="O112" s="29">
        <f t="shared" si="284"/>
        <v>0</v>
      </c>
      <c r="P112" s="29">
        <f t="shared" si="284"/>
        <v>0</v>
      </c>
      <c r="Q112" s="29">
        <f t="shared" si="284"/>
        <v>0</v>
      </c>
      <c r="R112" s="29">
        <f t="shared" si="284"/>
        <v>0</v>
      </c>
      <c r="S112" s="29">
        <f t="shared" si="284"/>
        <v>0</v>
      </c>
      <c r="T112" s="29">
        <f t="shared" si="284"/>
        <v>0</v>
      </c>
      <c r="U112" s="29">
        <f t="shared" si="284"/>
        <v>0</v>
      </c>
      <c r="V112" s="29">
        <f t="shared" si="284"/>
        <v>0</v>
      </c>
      <c r="W112" s="29">
        <f t="shared" si="284"/>
        <v>0</v>
      </c>
      <c r="X112" s="29">
        <f t="shared" si="284"/>
        <v>0</v>
      </c>
      <c r="Y112" s="29">
        <f t="shared" si="284"/>
        <v>0</v>
      </c>
      <c r="Z112" s="29">
        <f t="shared" si="284"/>
        <v>0</v>
      </c>
      <c r="AA112" s="29">
        <f t="shared" si="284"/>
        <v>0</v>
      </c>
      <c r="AB112" s="29">
        <f t="shared" si="284"/>
        <v>0</v>
      </c>
      <c r="AC112" s="29">
        <f t="shared" si="284"/>
        <v>0</v>
      </c>
      <c r="AD112" s="29">
        <f t="shared" si="284"/>
        <v>0</v>
      </c>
      <c r="AE112" s="29">
        <f t="shared" si="284"/>
        <v>0</v>
      </c>
      <c r="AF112" s="29">
        <f t="shared" si="284"/>
        <v>0</v>
      </c>
      <c r="AG112" s="29">
        <f t="shared" si="284"/>
        <v>0</v>
      </c>
      <c r="AH112" s="29">
        <f t="shared" si="284"/>
        <v>0</v>
      </c>
      <c r="AI112" s="29">
        <f t="shared" si="284"/>
        <v>0</v>
      </c>
      <c r="AJ112" s="29">
        <f t="shared" si="284"/>
        <v>0</v>
      </c>
      <c r="AK112" s="29">
        <f t="shared" si="284"/>
        <v>0</v>
      </c>
      <c r="AL112" s="29">
        <f t="shared" si="284"/>
        <v>0</v>
      </c>
      <c r="AM112" s="29">
        <f t="shared" si="284"/>
        <v>0</v>
      </c>
      <c r="AN112" s="29">
        <f t="shared" si="284"/>
        <v>0</v>
      </c>
      <c r="AO112" s="29">
        <f t="shared" si="284"/>
        <v>0</v>
      </c>
      <c r="AP112" s="29">
        <f t="shared" si="284"/>
        <v>0</v>
      </c>
      <c r="AQ112" s="29">
        <f t="shared" si="284"/>
        <v>0</v>
      </c>
      <c r="AR112" s="29">
        <f t="shared" si="284"/>
        <v>0</v>
      </c>
      <c r="AS112" s="29">
        <f t="shared" si="284"/>
        <v>0</v>
      </c>
      <c r="AT112" s="29">
        <f t="shared" si="284"/>
        <v>0</v>
      </c>
      <c r="AU112" s="29">
        <f t="shared" si="284"/>
        <v>0</v>
      </c>
      <c r="AV112" s="29">
        <f t="shared" si="284"/>
        <v>0</v>
      </c>
      <c r="AW112" s="29">
        <f t="shared" si="284"/>
        <v>0</v>
      </c>
      <c r="AX112" s="29">
        <f t="shared" si="284"/>
        <v>0</v>
      </c>
      <c r="AY112" s="29">
        <f t="shared" si="284"/>
        <v>0</v>
      </c>
      <c r="AZ112" s="29">
        <f t="shared" si="284"/>
        <v>0</v>
      </c>
      <c r="BA112" s="29">
        <f t="shared" si="284"/>
        <v>0</v>
      </c>
      <c r="BB112" s="29">
        <f t="shared" si="284"/>
        <v>0</v>
      </c>
      <c r="BC112" s="29">
        <f t="shared" si="284"/>
        <v>0</v>
      </c>
      <c r="BD112" s="29">
        <f t="shared" si="284"/>
        <v>0</v>
      </c>
      <c r="BE112" s="29">
        <f t="shared" si="284"/>
        <v>0</v>
      </c>
      <c r="BF112" s="29">
        <f t="shared" si="284"/>
        <v>0</v>
      </c>
      <c r="BG112" s="29">
        <f t="shared" si="284"/>
        <v>0</v>
      </c>
      <c r="BH112" s="29">
        <f t="shared" si="284"/>
        <v>0</v>
      </c>
      <c r="BI112" s="29">
        <f t="shared" si="284"/>
        <v>0</v>
      </c>
      <c r="BJ112" s="29">
        <f t="shared" si="284"/>
        <v>0</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t="s">
        <v>424</v>
      </c>
      <c r="C114" s="30">
        <f>+C91</f>
        <v>0</v>
      </c>
      <c r="D114" s="30">
        <f t="shared" ref="D114:BJ114" si="285">+D91</f>
        <v>0</v>
      </c>
      <c r="E114" s="30">
        <f t="shared" si="285"/>
        <v>0</v>
      </c>
      <c r="F114" s="30">
        <f t="shared" si="285"/>
        <v>0</v>
      </c>
      <c r="G114" s="30">
        <f t="shared" si="285"/>
        <v>0</v>
      </c>
      <c r="H114" s="30">
        <f t="shared" si="285"/>
        <v>0</v>
      </c>
      <c r="I114" s="30">
        <f t="shared" si="285"/>
        <v>0</v>
      </c>
      <c r="J114" s="30">
        <f t="shared" si="285"/>
        <v>0</v>
      </c>
      <c r="K114" s="30">
        <f t="shared" si="285"/>
        <v>0</v>
      </c>
      <c r="L114" s="30">
        <f t="shared" si="285"/>
        <v>0</v>
      </c>
      <c r="M114" s="30">
        <f t="shared" si="285"/>
        <v>0</v>
      </c>
      <c r="N114" s="30">
        <f t="shared" si="285"/>
        <v>0</v>
      </c>
      <c r="O114" s="30">
        <f t="shared" si="285"/>
        <v>0</v>
      </c>
      <c r="P114" s="30">
        <f t="shared" si="285"/>
        <v>0</v>
      </c>
      <c r="Q114" s="30">
        <f t="shared" si="285"/>
        <v>0</v>
      </c>
      <c r="R114" s="30">
        <f t="shared" si="285"/>
        <v>0</v>
      </c>
      <c r="S114" s="30">
        <f t="shared" si="285"/>
        <v>0</v>
      </c>
      <c r="T114" s="30">
        <f t="shared" si="285"/>
        <v>0</v>
      </c>
      <c r="U114" s="30">
        <f t="shared" si="285"/>
        <v>0</v>
      </c>
      <c r="V114" s="30">
        <f t="shared" si="285"/>
        <v>0</v>
      </c>
      <c r="W114" s="30">
        <f t="shared" si="285"/>
        <v>0</v>
      </c>
      <c r="X114" s="30">
        <f t="shared" si="285"/>
        <v>0</v>
      </c>
      <c r="Y114" s="30">
        <f t="shared" si="285"/>
        <v>0</v>
      </c>
      <c r="Z114" s="30">
        <f t="shared" si="285"/>
        <v>0</v>
      </c>
      <c r="AA114" s="30">
        <f t="shared" si="285"/>
        <v>0</v>
      </c>
      <c r="AB114" s="30">
        <f t="shared" si="285"/>
        <v>0</v>
      </c>
      <c r="AC114" s="30">
        <f t="shared" si="285"/>
        <v>0</v>
      </c>
      <c r="AD114" s="30">
        <f t="shared" si="285"/>
        <v>0</v>
      </c>
      <c r="AE114" s="30">
        <f t="shared" si="285"/>
        <v>0</v>
      </c>
      <c r="AF114" s="30">
        <f t="shared" si="285"/>
        <v>0</v>
      </c>
      <c r="AG114" s="30">
        <f t="shared" si="285"/>
        <v>0</v>
      </c>
      <c r="AH114" s="30">
        <f t="shared" si="285"/>
        <v>0</v>
      </c>
      <c r="AI114" s="30">
        <f t="shared" si="285"/>
        <v>0</v>
      </c>
      <c r="AJ114" s="30">
        <f t="shared" si="285"/>
        <v>0</v>
      </c>
      <c r="AK114" s="30">
        <f t="shared" si="285"/>
        <v>0</v>
      </c>
      <c r="AL114" s="30">
        <f t="shared" si="285"/>
        <v>0</v>
      </c>
      <c r="AM114" s="30">
        <f t="shared" si="285"/>
        <v>0</v>
      </c>
      <c r="AN114" s="30">
        <f t="shared" si="285"/>
        <v>0</v>
      </c>
      <c r="AO114" s="30">
        <f t="shared" si="285"/>
        <v>0</v>
      </c>
      <c r="AP114" s="30">
        <f t="shared" si="285"/>
        <v>0</v>
      </c>
      <c r="AQ114" s="30">
        <f t="shared" si="285"/>
        <v>0</v>
      </c>
      <c r="AR114" s="30">
        <f t="shared" si="285"/>
        <v>0</v>
      </c>
      <c r="AS114" s="30">
        <f t="shared" si="285"/>
        <v>0</v>
      </c>
      <c r="AT114" s="30">
        <f t="shared" si="285"/>
        <v>0</v>
      </c>
      <c r="AU114" s="30">
        <f t="shared" si="285"/>
        <v>0</v>
      </c>
      <c r="AV114" s="30">
        <f t="shared" si="285"/>
        <v>0</v>
      </c>
      <c r="AW114" s="30">
        <f t="shared" si="285"/>
        <v>0</v>
      </c>
      <c r="AX114" s="30">
        <f t="shared" si="285"/>
        <v>0</v>
      </c>
      <c r="AY114" s="30">
        <f t="shared" si="285"/>
        <v>0</v>
      </c>
      <c r="AZ114" s="30">
        <f t="shared" si="285"/>
        <v>0</v>
      </c>
      <c r="BA114" s="30">
        <f t="shared" si="285"/>
        <v>0</v>
      </c>
      <c r="BB114" s="30">
        <f t="shared" si="285"/>
        <v>0</v>
      </c>
      <c r="BC114" s="30">
        <f t="shared" si="285"/>
        <v>0</v>
      </c>
      <c r="BD114" s="30">
        <f t="shared" si="285"/>
        <v>0</v>
      </c>
      <c r="BE114" s="30">
        <f t="shared" si="285"/>
        <v>0</v>
      </c>
      <c r="BF114" s="30">
        <f t="shared" si="285"/>
        <v>0</v>
      </c>
      <c r="BG114" s="30">
        <f t="shared" si="285"/>
        <v>0</v>
      </c>
      <c r="BH114" s="30">
        <f t="shared" si="285"/>
        <v>0</v>
      </c>
      <c r="BI114" s="30">
        <f t="shared" si="285"/>
        <v>0</v>
      </c>
      <c r="BJ114" s="30">
        <f t="shared" si="285"/>
        <v>0</v>
      </c>
      <c r="BK114"/>
      <c r="BL114" s="5"/>
    </row>
    <row r="115" spans="1:64">
      <c r="A115"/>
      <c r="B115" t="s">
        <v>425</v>
      </c>
      <c r="C115" s="30" t="e">
        <f>+SUM(C92:C94)</f>
        <v>#REF!</v>
      </c>
      <c r="D115" s="30" t="e">
        <f t="shared" ref="D115:BJ115" si="286">+SUM(D92:D94)</f>
        <v>#REF!</v>
      </c>
      <c r="E115" s="30" t="e">
        <f t="shared" si="286"/>
        <v>#REF!</v>
      </c>
      <c r="F115" s="30" t="e">
        <f t="shared" si="286"/>
        <v>#REF!</v>
      </c>
      <c r="G115" s="30" t="e">
        <f t="shared" si="286"/>
        <v>#REF!</v>
      </c>
      <c r="H115" s="30" t="e">
        <f t="shared" si="286"/>
        <v>#REF!</v>
      </c>
      <c r="I115" s="30" t="e">
        <f t="shared" si="286"/>
        <v>#REF!</v>
      </c>
      <c r="J115" s="30" t="e">
        <f t="shared" si="286"/>
        <v>#REF!</v>
      </c>
      <c r="K115" s="30" t="e">
        <f t="shared" si="286"/>
        <v>#REF!</v>
      </c>
      <c r="L115" s="30" t="e">
        <f t="shared" si="286"/>
        <v>#REF!</v>
      </c>
      <c r="M115" s="30" t="e">
        <f t="shared" si="286"/>
        <v>#REF!</v>
      </c>
      <c r="N115" s="30" t="e">
        <f t="shared" si="286"/>
        <v>#REF!</v>
      </c>
      <c r="O115" s="30" t="e">
        <f t="shared" si="286"/>
        <v>#REF!</v>
      </c>
      <c r="P115" s="30" t="e">
        <f t="shared" si="286"/>
        <v>#REF!</v>
      </c>
      <c r="Q115" s="30" t="e">
        <f t="shared" si="286"/>
        <v>#REF!</v>
      </c>
      <c r="R115" s="30" t="e">
        <f t="shared" si="286"/>
        <v>#REF!</v>
      </c>
      <c r="S115" s="30" t="e">
        <f t="shared" si="286"/>
        <v>#REF!</v>
      </c>
      <c r="T115" s="30" t="e">
        <f t="shared" si="286"/>
        <v>#REF!</v>
      </c>
      <c r="U115" s="30" t="e">
        <f t="shared" si="286"/>
        <v>#REF!</v>
      </c>
      <c r="V115" s="30" t="e">
        <f t="shared" si="286"/>
        <v>#REF!</v>
      </c>
      <c r="W115" s="30" t="e">
        <f t="shared" si="286"/>
        <v>#REF!</v>
      </c>
      <c r="X115" s="30" t="e">
        <f t="shared" si="286"/>
        <v>#REF!</v>
      </c>
      <c r="Y115" s="30" t="e">
        <f t="shared" si="286"/>
        <v>#REF!</v>
      </c>
      <c r="Z115" s="30" t="e">
        <f t="shared" si="286"/>
        <v>#REF!</v>
      </c>
      <c r="AA115" s="30" t="e">
        <f t="shared" si="286"/>
        <v>#REF!</v>
      </c>
      <c r="AB115" s="30" t="e">
        <f t="shared" si="286"/>
        <v>#REF!</v>
      </c>
      <c r="AC115" s="30" t="e">
        <f t="shared" si="286"/>
        <v>#REF!</v>
      </c>
      <c r="AD115" s="30" t="e">
        <f t="shared" si="286"/>
        <v>#REF!</v>
      </c>
      <c r="AE115" s="30" t="e">
        <f t="shared" si="286"/>
        <v>#REF!</v>
      </c>
      <c r="AF115" s="30" t="e">
        <f t="shared" si="286"/>
        <v>#REF!</v>
      </c>
      <c r="AG115" s="30" t="e">
        <f t="shared" si="286"/>
        <v>#REF!</v>
      </c>
      <c r="AH115" s="30" t="e">
        <f t="shared" si="286"/>
        <v>#REF!</v>
      </c>
      <c r="AI115" s="30" t="e">
        <f t="shared" si="286"/>
        <v>#REF!</v>
      </c>
      <c r="AJ115" s="30" t="e">
        <f t="shared" si="286"/>
        <v>#REF!</v>
      </c>
      <c r="AK115" s="30" t="e">
        <f t="shared" si="286"/>
        <v>#REF!</v>
      </c>
      <c r="AL115" s="30" t="e">
        <f t="shared" si="286"/>
        <v>#REF!</v>
      </c>
      <c r="AM115" s="30" t="e">
        <f t="shared" si="286"/>
        <v>#REF!</v>
      </c>
      <c r="AN115" s="30" t="e">
        <f t="shared" si="286"/>
        <v>#REF!</v>
      </c>
      <c r="AO115" s="30" t="e">
        <f t="shared" si="286"/>
        <v>#REF!</v>
      </c>
      <c r="AP115" s="30" t="e">
        <f t="shared" si="286"/>
        <v>#REF!</v>
      </c>
      <c r="AQ115" s="30" t="e">
        <f t="shared" si="286"/>
        <v>#REF!</v>
      </c>
      <c r="AR115" s="30" t="e">
        <f t="shared" si="286"/>
        <v>#REF!</v>
      </c>
      <c r="AS115" s="30" t="e">
        <f t="shared" si="286"/>
        <v>#REF!</v>
      </c>
      <c r="AT115" s="30" t="e">
        <f t="shared" si="286"/>
        <v>#REF!</v>
      </c>
      <c r="AU115" s="30" t="e">
        <f t="shared" si="286"/>
        <v>#REF!</v>
      </c>
      <c r="AV115" s="30" t="e">
        <f t="shared" si="286"/>
        <v>#REF!</v>
      </c>
      <c r="AW115" s="30" t="e">
        <f t="shared" si="286"/>
        <v>#REF!</v>
      </c>
      <c r="AX115" s="30" t="e">
        <f t="shared" si="286"/>
        <v>#REF!</v>
      </c>
      <c r="AY115" s="30" t="e">
        <f t="shared" si="286"/>
        <v>#REF!</v>
      </c>
      <c r="AZ115" s="30" t="e">
        <f t="shared" si="286"/>
        <v>#REF!</v>
      </c>
      <c r="BA115" s="30" t="e">
        <f t="shared" si="286"/>
        <v>#REF!</v>
      </c>
      <c r="BB115" s="30" t="e">
        <f t="shared" si="286"/>
        <v>#REF!</v>
      </c>
      <c r="BC115" s="30" t="e">
        <f t="shared" si="286"/>
        <v>#REF!</v>
      </c>
      <c r="BD115" s="30" t="e">
        <f t="shared" si="286"/>
        <v>#REF!</v>
      </c>
      <c r="BE115" s="30" t="e">
        <f t="shared" si="286"/>
        <v>#REF!</v>
      </c>
      <c r="BF115" s="30" t="e">
        <f t="shared" si="286"/>
        <v>#REF!</v>
      </c>
      <c r="BG115" s="30" t="e">
        <f t="shared" si="286"/>
        <v>#REF!</v>
      </c>
      <c r="BH115" s="30" t="e">
        <f t="shared" si="286"/>
        <v>#REF!</v>
      </c>
      <c r="BI115" s="30" t="e">
        <f t="shared" si="286"/>
        <v>#REF!</v>
      </c>
      <c r="BJ115" s="30" t="e">
        <f t="shared" si="286"/>
        <v>#REF!</v>
      </c>
      <c r="BK115"/>
      <c r="BL115" s="5"/>
    </row>
    <row r="116" spans="1:64">
      <c r="A116"/>
      <c r="B116" s="3" t="s">
        <v>426</v>
      </c>
      <c r="C116" s="29" t="e">
        <f>SUM(C114:C115)</f>
        <v>#REF!</v>
      </c>
      <c r="D116" s="29" t="e">
        <f t="shared" ref="D116:BJ116" si="287">SUM(D114:D115)</f>
        <v>#REF!</v>
      </c>
      <c r="E116" s="29" t="e">
        <f t="shared" si="287"/>
        <v>#REF!</v>
      </c>
      <c r="F116" s="29" t="e">
        <f t="shared" si="287"/>
        <v>#REF!</v>
      </c>
      <c r="G116" s="29" t="e">
        <f t="shared" si="287"/>
        <v>#REF!</v>
      </c>
      <c r="H116" s="29" t="e">
        <f t="shared" si="287"/>
        <v>#REF!</v>
      </c>
      <c r="I116" s="29" t="e">
        <f t="shared" si="287"/>
        <v>#REF!</v>
      </c>
      <c r="J116" s="29" t="e">
        <f t="shared" si="287"/>
        <v>#REF!</v>
      </c>
      <c r="K116" s="29" t="e">
        <f t="shared" si="287"/>
        <v>#REF!</v>
      </c>
      <c r="L116" s="29" t="e">
        <f t="shared" si="287"/>
        <v>#REF!</v>
      </c>
      <c r="M116" s="29" t="e">
        <f t="shared" si="287"/>
        <v>#REF!</v>
      </c>
      <c r="N116" s="29" t="e">
        <f t="shared" si="287"/>
        <v>#REF!</v>
      </c>
      <c r="O116" s="29" t="e">
        <f t="shared" si="287"/>
        <v>#REF!</v>
      </c>
      <c r="P116" s="29" t="e">
        <f t="shared" si="287"/>
        <v>#REF!</v>
      </c>
      <c r="Q116" s="29" t="e">
        <f t="shared" si="287"/>
        <v>#REF!</v>
      </c>
      <c r="R116" s="29" t="e">
        <f t="shared" si="287"/>
        <v>#REF!</v>
      </c>
      <c r="S116" s="29" t="e">
        <f t="shared" si="287"/>
        <v>#REF!</v>
      </c>
      <c r="T116" s="29" t="e">
        <f t="shared" si="287"/>
        <v>#REF!</v>
      </c>
      <c r="U116" s="29" t="e">
        <f t="shared" si="287"/>
        <v>#REF!</v>
      </c>
      <c r="V116" s="29" t="e">
        <f t="shared" si="287"/>
        <v>#REF!</v>
      </c>
      <c r="W116" s="29" t="e">
        <f t="shared" si="287"/>
        <v>#REF!</v>
      </c>
      <c r="X116" s="29" t="e">
        <f t="shared" si="287"/>
        <v>#REF!</v>
      </c>
      <c r="Y116" s="29" t="e">
        <f t="shared" si="287"/>
        <v>#REF!</v>
      </c>
      <c r="Z116" s="29" t="e">
        <f t="shared" si="287"/>
        <v>#REF!</v>
      </c>
      <c r="AA116" s="29" t="e">
        <f t="shared" si="287"/>
        <v>#REF!</v>
      </c>
      <c r="AB116" s="29" t="e">
        <f t="shared" si="287"/>
        <v>#REF!</v>
      </c>
      <c r="AC116" s="29" t="e">
        <f t="shared" si="287"/>
        <v>#REF!</v>
      </c>
      <c r="AD116" s="29" t="e">
        <f t="shared" si="287"/>
        <v>#REF!</v>
      </c>
      <c r="AE116" s="29" t="e">
        <f t="shared" si="287"/>
        <v>#REF!</v>
      </c>
      <c r="AF116" s="29" t="e">
        <f t="shared" si="287"/>
        <v>#REF!</v>
      </c>
      <c r="AG116" s="29" t="e">
        <f t="shared" si="287"/>
        <v>#REF!</v>
      </c>
      <c r="AH116" s="29" t="e">
        <f t="shared" si="287"/>
        <v>#REF!</v>
      </c>
      <c r="AI116" s="29" t="e">
        <f t="shared" si="287"/>
        <v>#REF!</v>
      </c>
      <c r="AJ116" s="29" t="e">
        <f t="shared" si="287"/>
        <v>#REF!</v>
      </c>
      <c r="AK116" s="29" t="e">
        <f t="shared" si="287"/>
        <v>#REF!</v>
      </c>
      <c r="AL116" s="29" t="e">
        <f t="shared" si="287"/>
        <v>#REF!</v>
      </c>
      <c r="AM116" s="29" t="e">
        <f t="shared" si="287"/>
        <v>#REF!</v>
      </c>
      <c r="AN116" s="29" t="e">
        <f t="shared" si="287"/>
        <v>#REF!</v>
      </c>
      <c r="AO116" s="29" t="e">
        <f t="shared" si="287"/>
        <v>#REF!</v>
      </c>
      <c r="AP116" s="29" t="e">
        <f t="shared" si="287"/>
        <v>#REF!</v>
      </c>
      <c r="AQ116" s="29" t="e">
        <f t="shared" si="287"/>
        <v>#REF!</v>
      </c>
      <c r="AR116" s="29" t="e">
        <f t="shared" si="287"/>
        <v>#REF!</v>
      </c>
      <c r="AS116" s="29" t="e">
        <f t="shared" si="287"/>
        <v>#REF!</v>
      </c>
      <c r="AT116" s="29" t="e">
        <f t="shared" si="287"/>
        <v>#REF!</v>
      </c>
      <c r="AU116" s="29" t="e">
        <f t="shared" si="287"/>
        <v>#REF!</v>
      </c>
      <c r="AV116" s="29" t="e">
        <f t="shared" si="287"/>
        <v>#REF!</v>
      </c>
      <c r="AW116" s="29" t="e">
        <f t="shared" si="287"/>
        <v>#REF!</v>
      </c>
      <c r="AX116" s="29" t="e">
        <f t="shared" si="287"/>
        <v>#REF!</v>
      </c>
      <c r="AY116" s="29" t="e">
        <f t="shared" si="287"/>
        <v>#REF!</v>
      </c>
      <c r="AZ116" s="29" t="e">
        <f t="shared" si="287"/>
        <v>#REF!</v>
      </c>
      <c r="BA116" s="29" t="e">
        <f t="shared" si="287"/>
        <v>#REF!</v>
      </c>
      <c r="BB116" s="29" t="e">
        <f t="shared" si="287"/>
        <v>#REF!</v>
      </c>
      <c r="BC116" s="29" t="e">
        <f t="shared" si="287"/>
        <v>#REF!</v>
      </c>
      <c r="BD116" s="29" t="e">
        <f t="shared" si="287"/>
        <v>#REF!</v>
      </c>
      <c r="BE116" s="29" t="e">
        <f t="shared" si="287"/>
        <v>#REF!</v>
      </c>
      <c r="BF116" s="29" t="e">
        <f t="shared" si="287"/>
        <v>#REF!</v>
      </c>
      <c r="BG116" s="29" t="e">
        <f t="shared" si="287"/>
        <v>#REF!</v>
      </c>
      <c r="BH116" s="29" t="e">
        <f t="shared" si="287"/>
        <v>#REF!</v>
      </c>
      <c r="BI116" s="29" t="e">
        <f t="shared" si="287"/>
        <v>#REF!</v>
      </c>
      <c r="BJ116" s="29" t="e">
        <f t="shared" si="287"/>
        <v>#REF!</v>
      </c>
      <c r="BK116"/>
      <c r="BL116" s="5"/>
    </row>
    <row r="117" spans="1:64">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s="5"/>
    </row>
    <row r="118" spans="1:64">
      <c r="A118"/>
      <c r="B118" t="s">
        <v>301</v>
      </c>
      <c r="C118" s="30" t="e">
        <f>+C112-C116</f>
        <v>#REF!</v>
      </c>
      <c r="D118" s="30" t="e">
        <f t="shared" ref="D118:BJ118" si="288">+D112-D116</f>
        <v>#REF!</v>
      </c>
      <c r="E118" s="30" t="e">
        <f t="shared" si="288"/>
        <v>#REF!</v>
      </c>
      <c r="F118" s="30" t="e">
        <f t="shared" si="288"/>
        <v>#REF!</v>
      </c>
      <c r="G118" s="30" t="e">
        <f t="shared" si="288"/>
        <v>#REF!</v>
      </c>
      <c r="H118" s="30" t="e">
        <f t="shared" si="288"/>
        <v>#REF!</v>
      </c>
      <c r="I118" s="30" t="e">
        <f t="shared" si="288"/>
        <v>#REF!</v>
      </c>
      <c r="J118" s="30" t="e">
        <f t="shared" si="288"/>
        <v>#REF!</v>
      </c>
      <c r="K118" s="30" t="e">
        <f t="shared" si="288"/>
        <v>#REF!</v>
      </c>
      <c r="L118" s="30" t="e">
        <f t="shared" si="288"/>
        <v>#REF!</v>
      </c>
      <c r="M118" s="30" t="e">
        <f t="shared" si="288"/>
        <v>#REF!</v>
      </c>
      <c r="N118" s="30" t="e">
        <f t="shared" si="288"/>
        <v>#REF!</v>
      </c>
      <c r="O118" s="30" t="e">
        <f t="shared" si="288"/>
        <v>#REF!</v>
      </c>
      <c r="P118" s="30" t="e">
        <f t="shared" si="288"/>
        <v>#REF!</v>
      </c>
      <c r="Q118" s="30" t="e">
        <f t="shared" si="288"/>
        <v>#REF!</v>
      </c>
      <c r="R118" s="30" t="e">
        <f t="shared" si="288"/>
        <v>#REF!</v>
      </c>
      <c r="S118" s="30" t="e">
        <f t="shared" si="288"/>
        <v>#REF!</v>
      </c>
      <c r="T118" s="30" t="e">
        <f t="shared" si="288"/>
        <v>#REF!</v>
      </c>
      <c r="U118" s="30" t="e">
        <f t="shared" si="288"/>
        <v>#REF!</v>
      </c>
      <c r="V118" s="30" t="e">
        <f t="shared" si="288"/>
        <v>#REF!</v>
      </c>
      <c r="W118" s="30" t="e">
        <f t="shared" si="288"/>
        <v>#REF!</v>
      </c>
      <c r="X118" s="30" t="e">
        <f t="shared" si="288"/>
        <v>#REF!</v>
      </c>
      <c r="Y118" s="30" t="e">
        <f t="shared" si="288"/>
        <v>#REF!</v>
      </c>
      <c r="Z118" s="30" t="e">
        <f t="shared" si="288"/>
        <v>#REF!</v>
      </c>
      <c r="AA118" s="30" t="e">
        <f t="shared" si="288"/>
        <v>#REF!</v>
      </c>
      <c r="AB118" s="30" t="e">
        <f t="shared" si="288"/>
        <v>#REF!</v>
      </c>
      <c r="AC118" s="30" t="e">
        <f t="shared" si="288"/>
        <v>#REF!</v>
      </c>
      <c r="AD118" s="30" t="e">
        <f t="shared" si="288"/>
        <v>#REF!</v>
      </c>
      <c r="AE118" s="30" t="e">
        <f t="shared" si="288"/>
        <v>#REF!</v>
      </c>
      <c r="AF118" s="30" t="e">
        <f t="shared" si="288"/>
        <v>#REF!</v>
      </c>
      <c r="AG118" s="30" t="e">
        <f t="shared" si="288"/>
        <v>#REF!</v>
      </c>
      <c r="AH118" s="30" t="e">
        <f t="shared" si="288"/>
        <v>#REF!</v>
      </c>
      <c r="AI118" s="30" t="e">
        <f t="shared" si="288"/>
        <v>#REF!</v>
      </c>
      <c r="AJ118" s="30" t="e">
        <f t="shared" si="288"/>
        <v>#REF!</v>
      </c>
      <c r="AK118" s="30" t="e">
        <f t="shared" si="288"/>
        <v>#REF!</v>
      </c>
      <c r="AL118" s="30" t="e">
        <f t="shared" si="288"/>
        <v>#REF!</v>
      </c>
      <c r="AM118" s="30" t="e">
        <f t="shared" si="288"/>
        <v>#REF!</v>
      </c>
      <c r="AN118" s="30" t="e">
        <f t="shared" si="288"/>
        <v>#REF!</v>
      </c>
      <c r="AO118" s="30" t="e">
        <f t="shared" si="288"/>
        <v>#REF!</v>
      </c>
      <c r="AP118" s="30" t="e">
        <f t="shared" si="288"/>
        <v>#REF!</v>
      </c>
      <c r="AQ118" s="30" t="e">
        <f t="shared" si="288"/>
        <v>#REF!</v>
      </c>
      <c r="AR118" s="30" t="e">
        <f t="shared" si="288"/>
        <v>#REF!</v>
      </c>
      <c r="AS118" s="30" t="e">
        <f t="shared" si="288"/>
        <v>#REF!</v>
      </c>
      <c r="AT118" s="30" t="e">
        <f t="shared" si="288"/>
        <v>#REF!</v>
      </c>
      <c r="AU118" s="30" t="e">
        <f t="shared" si="288"/>
        <v>#REF!</v>
      </c>
      <c r="AV118" s="30" t="e">
        <f t="shared" si="288"/>
        <v>#REF!</v>
      </c>
      <c r="AW118" s="30" t="e">
        <f t="shared" si="288"/>
        <v>#REF!</v>
      </c>
      <c r="AX118" s="30" t="e">
        <f t="shared" si="288"/>
        <v>#REF!</v>
      </c>
      <c r="AY118" s="30" t="e">
        <f t="shared" si="288"/>
        <v>#REF!</v>
      </c>
      <c r="AZ118" s="30" t="e">
        <f t="shared" si="288"/>
        <v>#REF!</v>
      </c>
      <c r="BA118" s="30" t="e">
        <f t="shared" si="288"/>
        <v>#REF!</v>
      </c>
      <c r="BB118" s="30" t="e">
        <f t="shared" si="288"/>
        <v>#REF!</v>
      </c>
      <c r="BC118" s="30" t="e">
        <f t="shared" si="288"/>
        <v>#REF!</v>
      </c>
      <c r="BD118" s="30" t="e">
        <f t="shared" si="288"/>
        <v>#REF!</v>
      </c>
      <c r="BE118" s="30" t="e">
        <f t="shared" si="288"/>
        <v>#REF!</v>
      </c>
      <c r="BF118" s="30" t="e">
        <f t="shared" si="288"/>
        <v>#REF!</v>
      </c>
      <c r="BG118" s="30" t="e">
        <f t="shared" si="288"/>
        <v>#REF!</v>
      </c>
      <c r="BH118" s="30" t="e">
        <f t="shared" si="288"/>
        <v>#REF!</v>
      </c>
      <c r="BI118" s="30" t="e">
        <f t="shared" si="288"/>
        <v>#REF!</v>
      </c>
      <c r="BJ118" s="30" t="e">
        <f t="shared" si="288"/>
        <v>#REF!</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row>
  </sheetData>
  <conditionalFormatting sqref="N12">
    <cfRule type="containsText" dxfId="1" priority="1" operator="containsText" text="No">
      <formula>NOT(ISERROR(SEARCH("No",N12)))</formula>
    </cfRule>
    <cfRule type="containsText" dxfId="0" priority="2" operator="containsText" text="Yes">
      <formula>NOT(ISERROR(SEARCH("Yes",N12)))</formula>
    </cfRule>
  </conditionalFormatting>
  <dataValidations count="2">
    <dataValidation type="list" allowBlank="1" showInputMessage="1" showErrorMessage="1" sqref="C9:BJ9" xr:uid="{81A0E0C3-0189-468F-8C4A-50A9EEF018B4}">
      <formula1>"Actual,Projected"</formula1>
    </dataValidation>
    <dataValidation type="list" allowBlank="1" showInputMessage="1" showErrorMessage="1" sqref="C21:C22" xr:uid="{DDAA4C05-C66C-44F1-9211-6F6699EB7722}">
      <formula1>"On,Off"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23214-3DB8-4DF4-B9B7-09F61A99EB8A}">
  <sheetPr>
    <tabColor theme="3" tint="0.89999084444715716"/>
  </sheetPr>
  <dimension ref="A1:G128"/>
  <sheetViews>
    <sheetView showGridLines="0" zoomScaleNormal="100" workbookViewId="0">
      <selection activeCell="B1" sqref="B1"/>
    </sheetView>
  </sheetViews>
  <sheetFormatPr defaultColWidth="9.140625" defaultRowHeight="14.45"/>
  <cols>
    <col min="1" max="1" width="3.7109375" style="4" customWidth="1"/>
    <col min="2" max="4" width="14.7109375" style="4" customWidth="1"/>
    <col min="5" max="6" width="3.7109375" style="4" customWidth="1"/>
    <col min="7" max="16384" width="9.140625" style="4"/>
  </cols>
  <sheetData>
    <row r="1" spans="1:7" ht="25.9">
      <c r="A1" s="7" t="str">
        <f>TEXT(Global!$C$7,"")</f>
        <v>607 Cedar St</v>
      </c>
      <c r="B1"/>
      <c r="C1"/>
      <c r="D1"/>
      <c r="E1"/>
      <c r="F1" s="5"/>
    </row>
    <row r="2" spans="1:7" ht="20.45" thickBot="1">
      <c r="A2" s="8" t="s">
        <v>464</v>
      </c>
      <c r="B2" s="2"/>
      <c r="C2" s="2"/>
      <c r="D2" s="2"/>
      <c r="E2" s="2"/>
      <c r="F2" s="5"/>
    </row>
    <row r="5" spans="1:7">
      <c r="A5" s="3"/>
      <c r="B5" s="3"/>
      <c r="C5" s="3"/>
      <c r="D5" s="3"/>
      <c r="E5" s="3"/>
      <c r="F5" s="5"/>
    </row>
    <row r="6" spans="1:7">
      <c r="A6"/>
      <c r="B6" s="11" t="s">
        <v>303</v>
      </c>
      <c r="C6" s="11" t="s">
        <v>465</v>
      </c>
      <c r="D6" s="11" t="s">
        <v>112</v>
      </c>
      <c r="E6"/>
      <c r="F6" s="5"/>
      <c r="G6" s="61"/>
    </row>
    <row r="7" spans="1:7">
      <c r="A7"/>
      <c r="B7" s="38">
        <v>45443</v>
      </c>
      <c r="C7" s="39">
        <f>EOMONTH(B7,0)</f>
        <v>45443</v>
      </c>
      <c r="D7" s="60">
        <v>5.3298100000000001E-2</v>
      </c>
      <c r="E7"/>
      <c r="F7" s="5"/>
    </row>
    <row r="8" spans="1:7">
      <c r="A8"/>
      <c r="B8" s="38">
        <v>45473</v>
      </c>
      <c r="C8" s="39">
        <f t="shared" ref="C8:C71" si="0">EOMONTH(B8,0)</f>
        <v>45473</v>
      </c>
      <c r="D8" s="60">
        <v>5.3242200000000003E-2</v>
      </c>
      <c r="E8"/>
      <c r="F8" s="5"/>
    </row>
    <row r="9" spans="1:7">
      <c r="A9"/>
      <c r="B9" s="38">
        <v>45504</v>
      </c>
      <c r="C9" s="39">
        <f t="shared" si="0"/>
        <v>45504</v>
      </c>
      <c r="D9" s="60">
        <v>5.2961799999999996E-2</v>
      </c>
      <c r="E9"/>
      <c r="F9" s="5"/>
    </row>
    <row r="10" spans="1:7">
      <c r="A10"/>
      <c r="B10" s="38">
        <v>45535</v>
      </c>
      <c r="C10" s="39">
        <f t="shared" si="0"/>
        <v>45535</v>
      </c>
      <c r="D10" s="60">
        <v>5.2364399999999998E-2</v>
      </c>
      <c r="E10"/>
      <c r="F10" s="5"/>
    </row>
    <row r="11" spans="1:7">
      <c r="A11"/>
      <c r="B11" s="38">
        <v>45565</v>
      </c>
      <c r="C11" s="39">
        <f t="shared" si="0"/>
        <v>45565</v>
      </c>
      <c r="D11" s="60">
        <v>5.1806900000000003E-2</v>
      </c>
      <c r="E11"/>
      <c r="F11" s="5"/>
    </row>
    <row r="12" spans="1:7">
      <c r="A12"/>
      <c r="B12" s="38">
        <v>45596</v>
      </c>
      <c r="C12" s="39">
        <f t="shared" si="0"/>
        <v>45596</v>
      </c>
      <c r="D12" s="60">
        <v>5.1173099999999999E-2</v>
      </c>
      <c r="E12"/>
      <c r="F12" s="5"/>
    </row>
    <row r="13" spans="1:7">
      <c r="A13"/>
      <c r="B13" s="38">
        <v>45626</v>
      </c>
      <c r="C13" s="39">
        <f t="shared" si="0"/>
        <v>45626</v>
      </c>
      <c r="D13" s="60">
        <v>5.0455699999999999E-2</v>
      </c>
      <c r="E13"/>
      <c r="F13" s="5"/>
    </row>
    <row r="14" spans="1:7">
      <c r="A14"/>
      <c r="B14" s="38">
        <v>45657</v>
      </c>
      <c r="C14" s="39">
        <f t="shared" si="0"/>
        <v>45657</v>
      </c>
      <c r="D14" s="60">
        <v>4.9756500000000002E-2</v>
      </c>
      <c r="E14"/>
      <c r="F14" s="5"/>
    </row>
    <row r="15" spans="1:7">
      <c r="A15"/>
      <c r="B15" s="38">
        <v>45688</v>
      </c>
      <c r="C15" s="39">
        <f t="shared" si="0"/>
        <v>45688</v>
      </c>
      <c r="D15" s="60">
        <v>4.8939500000000004E-2</v>
      </c>
      <c r="E15"/>
      <c r="F15" s="5"/>
    </row>
    <row r="16" spans="1:7">
      <c r="A16"/>
      <c r="B16" s="38">
        <v>45716</v>
      </c>
      <c r="C16" s="39">
        <f t="shared" si="0"/>
        <v>45716</v>
      </c>
      <c r="D16" s="60">
        <v>4.8378300000000006E-2</v>
      </c>
      <c r="E16"/>
      <c r="F16" s="5"/>
    </row>
    <row r="17" spans="1:6">
      <c r="A17"/>
      <c r="B17" s="38">
        <v>45747</v>
      </c>
      <c r="C17" s="39">
        <f t="shared" si="0"/>
        <v>45747</v>
      </c>
      <c r="D17" s="60">
        <v>4.77116E-2</v>
      </c>
      <c r="E17"/>
      <c r="F17" s="5"/>
    </row>
    <row r="18" spans="1:6">
      <c r="A18"/>
      <c r="B18" s="38">
        <v>45777</v>
      </c>
      <c r="C18" s="39">
        <f t="shared" si="0"/>
        <v>45777</v>
      </c>
      <c r="D18" s="60">
        <v>4.6902600000000003E-2</v>
      </c>
      <c r="E18"/>
      <c r="F18" s="5"/>
    </row>
    <row r="19" spans="1:6">
      <c r="A19"/>
      <c r="B19" s="38">
        <v>45808</v>
      </c>
      <c r="C19" s="39">
        <f t="shared" si="0"/>
        <v>45808</v>
      </c>
      <c r="D19" s="60">
        <v>4.4623100000000006E-2</v>
      </c>
      <c r="E19"/>
      <c r="F19" s="5"/>
    </row>
    <row r="20" spans="1:6">
      <c r="A20"/>
      <c r="B20" s="38">
        <v>45838</v>
      </c>
      <c r="C20" s="39">
        <f t="shared" si="0"/>
        <v>45838</v>
      </c>
      <c r="D20" s="60">
        <v>4.4555699999999997E-2</v>
      </c>
      <c r="E20"/>
      <c r="F20" s="5"/>
    </row>
    <row r="21" spans="1:6">
      <c r="A21"/>
      <c r="B21" s="38">
        <v>45869</v>
      </c>
      <c r="C21" s="39">
        <f t="shared" si="0"/>
        <v>45869</v>
      </c>
      <c r="D21" s="60">
        <v>4.4550200000000005E-2</v>
      </c>
      <c r="E21"/>
      <c r="F21" s="5"/>
    </row>
    <row r="22" spans="1:6">
      <c r="A22"/>
      <c r="B22" s="38">
        <v>45900</v>
      </c>
      <c r="C22" s="39">
        <f t="shared" si="0"/>
        <v>45900</v>
      </c>
      <c r="D22" s="60">
        <v>4.4547400000000001E-2</v>
      </c>
      <c r="E22"/>
      <c r="F22" s="5"/>
    </row>
    <row r="23" spans="1:6">
      <c r="A23"/>
      <c r="B23" s="38">
        <v>45930</v>
      </c>
      <c r="C23" s="39">
        <f t="shared" si="0"/>
        <v>45930</v>
      </c>
      <c r="D23" s="60">
        <v>4.4553000000000002E-2</v>
      </c>
      <c r="E23"/>
      <c r="F23" s="5"/>
    </row>
    <row r="24" spans="1:6">
      <c r="A24"/>
      <c r="B24" s="38">
        <v>45961</v>
      </c>
      <c r="C24" s="39">
        <f t="shared" si="0"/>
        <v>45961</v>
      </c>
      <c r="D24" s="60">
        <v>4.4547400000000001E-2</v>
      </c>
      <c r="E24"/>
      <c r="F24" s="5"/>
    </row>
    <row r="25" spans="1:6">
      <c r="A25"/>
      <c r="B25" s="38">
        <v>45991</v>
      </c>
      <c r="C25" s="39">
        <f t="shared" si="0"/>
        <v>45991</v>
      </c>
      <c r="D25" s="60">
        <v>4.1920400000000003E-2</v>
      </c>
      <c r="E25"/>
      <c r="F25" s="5"/>
    </row>
    <row r="26" spans="1:6">
      <c r="A26"/>
      <c r="B26" s="38">
        <v>46022</v>
      </c>
      <c r="C26" s="39">
        <f t="shared" si="0"/>
        <v>46022</v>
      </c>
      <c r="D26" s="60">
        <v>4.1289400000000004E-2</v>
      </c>
      <c r="E26"/>
      <c r="F26" s="5"/>
    </row>
    <row r="27" spans="1:6">
      <c r="A27"/>
      <c r="B27" s="38">
        <v>46053</v>
      </c>
      <c r="C27" s="39">
        <f t="shared" si="0"/>
        <v>46053</v>
      </c>
      <c r="D27" s="60">
        <v>4.1282300000000001E-2</v>
      </c>
      <c r="E27"/>
      <c r="F27" s="5"/>
    </row>
    <row r="28" spans="1:6">
      <c r="A28"/>
      <c r="B28" s="38">
        <v>46081</v>
      </c>
      <c r="C28" s="39">
        <f t="shared" si="0"/>
        <v>46081</v>
      </c>
      <c r="D28" s="60">
        <v>4.1289400000000004E-2</v>
      </c>
      <c r="E28"/>
      <c r="F28" s="5"/>
    </row>
    <row r="29" spans="1:6">
      <c r="A29"/>
      <c r="B29" s="38">
        <v>46112</v>
      </c>
      <c r="C29" s="39">
        <f t="shared" si="0"/>
        <v>46112</v>
      </c>
      <c r="D29" s="60">
        <v>4.1291700000000001E-2</v>
      </c>
      <c r="E29"/>
      <c r="F29" s="5"/>
    </row>
    <row r="30" spans="1:6">
      <c r="A30"/>
      <c r="B30" s="38">
        <v>46142</v>
      </c>
      <c r="C30" s="39">
        <f t="shared" si="0"/>
        <v>46142</v>
      </c>
      <c r="D30" s="60">
        <v>4.1289400000000004E-2</v>
      </c>
      <c r="E30"/>
      <c r="F30" s="5"/>
    </row>
    <row r="31" spans="1:6">
      <c r="A31"/>
      <c r="B31" s="38">
        <v>46173</v>
      </c>
      <c r="C31" s="39">
        <f t="shared" si="0"/>
        <v>46173</v>
      </c>
      <c r="D31" s="60">
        <v>3.9487800000000003E-2</v>
      </c>
      <c r="E31"/>
      <c r="F31" s="5"/>
    </row>
    <row r="32" spans="1:6">
      <c r="A32"/>
      <c r="B32" s="38">
        <v>46203</v>
      </c>
      <c r="C32" s="39">
        <f t="shared" si="0"/>
        <v>46203</v>
      </c>
      <c r="D32" s="60">
        <v>3.9042300000000002E-2</v>
      </c>
      <c r="E32"/>
      <c r="F32" s="5"/>
    </row>
    <row r="33" spans="1:6">
      <c r="A33"/>
      <c r="B33" s="38">
        <v>46234</v>
      </c>
      <c r="C33" s="39">
        <f t="shared" si="0"/>
        <v>46234</v>
      </c>
      <c r="D33" s="60">
        <v>3.9040199999999997E-2</v>
      </c>
      <c r="E33"/>
      <c r="F33" s="5"/>
    </row>
    <row r="34" spans="1:6">
      <c r="A34"/>
      <c r="B34" s="38">
        <v>46265</v>
      </c>
      <c r="C34" s="39">
        <f t="shared" si="0"/>
        <v>46265</v>
      </c>
      <c r="D34" s="60">
        <v>3.9038099999999999E-2</v>
      </c>
      <c r="E34"/>
      <c r="F34" s="5"/>
    </row>
    <row r="35" spans="1:6">
      <c r="A35"/>
      <c r="B35" s="38">
        <v>46295</v>
      </c>
      <c r="C35" s="39">
        <f t="shared" si="0"/>
        <v>46295</v>
      </c>
      <c r="D35" s="60">
        <v>3.9040199999999997E-2</v>
      </c>
      <c r="E35"/>
      <c r="F35" s="5"/>
    </row>
    <row r="36" spans="1:6">
      <c r="A36"/>
      <c r="B36" s="38">
        <v>46326</v>
      </c>
      <c r="C36" s="39">
        <f t="shared" si="0"/>
        <v>46326</v>
      </c>
      <c r="D36" s="60">
        <v>3.9038099999999999E-2</v>
      </c>
      <c r="E36"/>
      <c r="F36" s="5"/>
    </row>
    <row r="37" spans="1:6">
      <c r="A37"/>
      <c r="B37" s="38">
        <v>46356</v>
      </c>
      <c r="C37" s="39">
        <f t="shared" si="0"/>
        <v>46356</v>
      </c>
      <c r="D37" s="60">
        <v>3.90444E-2</v>
      </c>
      <c r="E37"/>
      <c r="F37" s="5"/>
    </row>
    <row r="38" spans="1:6">
      <c r="A38"/>
      <c r="B38" s="38">
        <v>46387</v>
      </c>
      <c r="C38" s="39">
        <f t="shared" si="0"/>
        <v>46387</v>
      </c>
      <c r="D38" s="60">
        <v>3.9040199999999997E-2</v>
      </c>
      <c r="E38"/>
      <c r="F38" s="5"/>
    </row>
    <row r="39" spans="1:6">
      <c r="A39"/>
      <c r="B39" s="38">
        <v>46418</v>
      </c>
      <c r="C39" s="39">
        <f t="shared" si="0"/>
        <v>46418</v>
      </c>
      <c r="D39" s="60">
        <v>3.90338E-2</v>
      </c>
      <c r="E39"/>
      <c r="F39" s="5"/>
    </row>
    <row r="40" spans="1:6">
      <c r="A40"/>
      <c r="B40" s="38">
        <v>46446</v>
      </c>
      <c r="C40" s="39">
        <f t="shared" si="0"/>
        <v>46446</v>
      </c>
      <c r="D40" s="60">
        <v>3.9040199999999997E-2</v>
      </c>
      <c r="E40"/>
      <c r="F40" s="5"/>
    </row>
    <row r="41" spans="1:6">
      <c r="A41"/>
      <c r="B41" s="38">
        <v>46477</v>
      </c>
      <c r="C41" s="39">
        <f t="shared" si="0"/>
        <v>46477</v>
      </c>
      <c r="D41" s="60">
        <v>3.9040199999999997E-2</v>
      </c>
      <c r="E41"/>
      <c r="F41" s="5"/>
    </row>
    <row r="42" spans="1:6">
      <c r="A42"/>
      <c r="B42" s="38">
        <v>46507</v>
      </c>
      <c r="C42" s="39">
        <f t="shared" si="0"/>
        <v>46507</v>
      </c>
      <c r="D42" s="60">
        <v>3.9040199999999997E-2</v>
      </c>
      <c r="E42"/>
      <c r="F42" s="5"/>
    </row>
    <row r="43" spans="1:6">
      <c r="A43"/>
      <c r="B43" s="38">
        <v>46538</v>
      </c>
      <c r="C43" s="39">
        <f t="shared" si="0"/>
        <v>46538</v>
      </c>
      <c r="D43" s="60">
        <v>3.8041800000000001E-2</v>
      </c>
      <c r="E43"/>
      <c r="F43" s="5"/>
    </row>
    <row r="44" spans="1:6">
      <c r="A44"/>
      <c r="B44" s="38">
        <v>46568</v>
      </c>
      <c r="C44" s="39">
        <f t="shared" si="0"/>
        <v>46568</v>
      </c>
      <c r="D44" s="60">
        <v>3.7794700000000001E-2</v>
      </c>
      <c r="E44"/>
      <c r="F44" s="5"/>
    </row>
    <row r="45" spans="1:6">
      <c r="A45"/>
      <c r="B45" s="38">
        <v>46599</v>
      </c>
      <c r="C45" s="39">
        <f t="shared" si="0"/>
        <v>46599</v>
      </c>
      <c r="D45" s="60">
        <v>3.7794700000000001E-2</v>
      </c>
      <c r="E45"/>
      <c r="F45" s="5"/>
    </row>
    <row r="46" spans="1:6">
      <c r="A46"/>
      <c r="B46" s="38">
        <v>46630</v>
      </c>
      <c r="C46" s="39">
        <f t="shared" si="0"/>
        <v>46630</v>
      </c>
      <c r="D46" s="60">
        <v>3.7796699999999996E-2</v>
      </c>
      <c r="E46"/>
      <c r="F46" s="5"/>
    </row>
    <row r="47" spans="1:6">
      <c r="A47"/>
      <c r="B47" s="38">
        <v>46660</v>
      </c>
      <c r="C47" s="39">
        <f t="shared" si="0"/>
        <v>46660</v>
      </c>
      <c r="D47" s="60">
        <v>3.7794700000000001E-2</v>
      </c>
      <c r="E47"/>
      <c r="F47" s="5"/>
    </row>
    <row r="48" spans="1:6">
      <c r="A48"/>
      <c r="B48" s="38">
        <v>46691</v>
      </c>
      <c r="C48" s="39">
        <f t="shared" si="0"/>
        <v>46691</v>
      </c>
      <c r="D48" s="60">
        <v>3.7792800000000001E-2</v>
      </c>
      <c r="E48"/>
      <c r="F48" s="5"/>
    </row>
    <row r="49" spans="1:6">
      <c r="A49"/>
      <c r="B49" s="38">
        <v>46721</v>
      </c>
      <c r="C49" s="39">
        <f t="shared" si="0"/>
        <v>46721</v>
      </c>
      <c r="D49" s="60">
        <v>3.7796699999999996E-2</v>
      </c>
      <c r="E49"/>
      <c r="F49" s="5"/>
    </row>
    <row r="50" spans="1:6">
      <c r="A50"/>
      <c r="B50" s="38">
        <v>46752</v>
      </c>
      <c r="C50" s="39">
        <f t="shared" si="0"/>
        <v>46752</v>
      </c>
      <c r="D50" s="60">
        <v>3.7794700000000001E-2</v>
      </c>
      <c r="E50"/>
      <c r="F50" s="5"/>
    </row>
    <row r="51" spans="1:6">
      <c r="A51"/>
      <c r="B51" s="38">
        <v>46783</v>
      </c>
      <c r="C51" s="39">
        <f t="shared" si="0"/>
        <v>46783</v>
      </c>
      <c r="D51" s="60">
        <v>3.7790799999999999E-2</v>
      </c>
      <c r="E51"/>
      <c r="F51" s="5"/>
    </row>
    <row r="52" spans="1:6">
      <c r="A52"/>
      <c r="B52" s="38">
        <v>46812</v>
      </c>
      <c r="C52" s="39">
        <f t="shared" si="0"/>
        <v>46812</v>
      </c>
      <c r="D52" s="60">
        <v>3.7796699999999996E-2</v>
      </c>
      <c r="E52"/>
      <c r="F52" s="5"/>
    </row>
    <row r="53" spans="1:6">
      <c r="A53"/>
      <c r="B53" s="38">
        <v>46843</v>
      </c>
      <c r="C53" s="39">
        <f t="shared" si="0"/>
        <v>46843</v>
      </c>
      <c r="D53" s="60">
        <v>3.7792800000000001E-2</v>
      </c>
      <c r="E53"/>
      <c r="F53" s="5"/>
    </row>
    <row r="54" spans="1:6">
      <c r="A54"/>
      <c r="B54" s="38">
        <v>46873</v>
      </c>
      <c r="C54" s="39">
        <f t="shared" si="0"/>
        <v>46873</v>
      </c>
      <c r="D54" s="60">
        <v>3.7794700000000001E-2</v>
      </c>
      <c r="E54"/>
      <c r="F54" s="5"/>
    </row>
    <row r="55" spans="1:6">
      <c r="A55"/>
      <c r="B55" s="38">
        <v>46904</v>
      </c>
      <c r="C55" s="39">
        <f t="shared" si="0"/>
        <v>46904</v>
      </c>
      <c r="D55" s="60">
        <v>3.7699699999999996E-2</v>
      </c>
      <c r="E55"/>
      <c r="F55" s="5"/>
    </row>
    <row r="56" spans="1:6">
      <c r="A56"/>
      <c r="B56" s="38">
        <v>46934</v>
      </c>
      <c r="C56" s="39">
        <f t="shared" si="0"/>
        <v>46934</v>
      </c>
      <c r="D56" s="60">
        <v>3.7685400000000001E-2</v>
      </c>
      <c r="E56"/>
      <c r="F56" s="5"/>
    </row>
    <row r="57" spans="1:6">
      <c r="A57"/>
      <c r="B57" s="38">
        <v>46965</v>
      </c>
      <c r="C57" s="39">
        <f t="shared" si="0"/>
        <v>46965</v>
      </c>
      <c r="D57" s="60">
        <v>3.76873E-2</v>
      </c>
      <c r="E57"/>
      <c r="F57" s="5"/>
    </row>
    <row r="58" spans="1:6">
      <c r="A58"/>
      <c r="B58" s="38">
        <v>46996</v>
      </c>
      <c r="C58" s="39">
        <f t="shared" si="0"/>
        <v>46996</v>
      </c>
      <c r="D58" s="60">
        <v>3.7679499999999998E-2</v>
      </c>
      <c r="E58"/>
      <c r="F58" s="5"/>
    </row>
    <row r="59" spans="1:6">
      <c r="A59"/>
      <c r="B59" s="38">
        <v>47026</v>
      </c>
      <c r="C59" s="39">
        <f t="shared" si="0"/>
        <v>47026</v>
      </c>
      <c r="D59" s="60">
        <v>3.7681399999999997E-2</v>
      </c>
      <c r="E59"/>
      <c r="F59" s="5"/>
    </row>
    <row r="60" spans="1:6">
      <c r="A60"/>
      <c r="B60" s="38">
        <v>47057</v>
      </c>
      <c r="C60" s="39">
        <f t="shared" si="0"/>
        <v>47057</v>
      </c>
      <c r="D60" s="60">
        <v>3.7683399999999999E-2</v>
      </c>
      <c r="E60"/>
      <c r="F60" s="5"/>
    </row>
    <row r="61" spans="1:6">
      <c r="A61"/>
      <c r="B61" s="38">
        <v>47087</v>
      </c>
      <c r="C61" s="39">
        <f t="shared" si="0"/>
        <v>47087</v>
      </c>
      <c r="D61" s="60">
        <v>3.7681399999999997E-2</v>
      </c>
      <c r="E61"/>
      <c r="F61" s="5"/>
    </row>
    <row r="62" spans="1:6">
      <c r="A62"/>
      <c r="B62" s="38">
        <v>47118</v>
      </c>
      <c r="C62" s="39">
        <f t="shared" si="0"/>
        <v>47118</v>
      </c>
      <c r="D62" s="60">
        <v>3.7685400000000001E-2</v>
      </c>
      <c r="E62"/>
      <c r="F62" s="5"/>
    </row>
    <row r="63" spans="1:6">
      <c r="A63"/>
      <c r="B63" s="38">
        <v>47149</v>
      </c>
      <c r="C63" s="39">
        <f t="shared" si="0"/>
        <v>47149</v>
      </c>
      <c r="D63" s="60">
        <v>3.7675500000000001E-2</v>
      </c>
      <c r="E63"/>
      <c r="F63" s="5"/>
    </row>
    <row r="64" spans="1:6">
      <c r="A64"/>
      <c r="B64" s="38">
        <v>47177</v>
      </c>
      <c r="C64" s="39">
        <f t="shared" si="0"/>
        <v>47177</v>
      </c>
      <c r="D64" s="60">
        <v>3.7681399999999997E-2</v>
      </c>
      <c r="E64"/>
      <c r="F64" s="5"/>
    </row>
    <row r="65" spans="1:6">
      <c r="A65"/>
      <c r="B65" s="38">
        <v>47208</v>
      </c>
      <c r="C65" s="39">
        <f t="shared" si="0"/>
        <v>47208</v>
      </c>
      <c r="D65" s="60">
        <v>3.7679499999999998E-2</v>
      </c>
      <c r="E65"/>
      <c r="F65" s="5"/>
    </row>
    <row r="66" spans="1:6">
      <c r="A66"/>
      <c r="B66" s="38">
        <v>47238</v>
      </c>
      <c r="C66" s="39">
        <f t="shared" si="0"/>
        <v>47238</v>
      </c>
      <c r="D66" s="60">
        <v>3.7685400000000001E-2</v>
      </c>
      <c r="E66"/>
      <c r="F66" s="5"/>
    </row>
    <row r="67" spans="1:6">
      <c r="A67"/>
      <c r="B67" s="38">
        <v>47269</v>
      </c>
      <c r="C67" s="39">
        <f t="shared" si="0"/>
        <v>47269</v>
      </c>
      <c r="D67" s="60">
        <v>3.8156099999999998E-2</v>
      </c>
      <c r="E67"/>
      <c r="F67" s="5"/>
    </row>
    <row r="68" spans="1:6">
      <c r="A68"/>
      <c r="B68" s="38">
        <v>47299</v>
      </c>
      <c r="C68" s="39">
        <f t="shared" si="0"/>
        <v>47299</v>
      </c>
      <c r="D68" s="60">
        <v>3.8188800000000002E-2</v>
      </c>
      <c r="E68"/>
      <c r="F68" s="5"/>
    </row>
    <row r="69" spans="1:6">
      <c r="A69"/>
      <c r="B69" s="38">
        <v>47330</v>
      </c>
      <c r="C69" s="39">
        <f t="shared" si="0"/>
        <v>47330</v>
      </c>
      <c r="D69" s="60">
        <v>3.8192900000000002E-2</v>
      </c>
      <c r="E69"/>
      <c r="F69" s="5"/>
    </row>
    <row r="70" spans="1:6">
      <c r="A70"/>
      <c r="B70" s="38">
        <v>47361</v>
      </c>
      <c r="C70" s="39">
        <f t="shared" si="0"/>
        <v>47361</v>
      </c>
      <c r="D70" s="60">
        <v>3.81868E-2</v>
      </c>
      <c r="E70"/>
      <c r="F70" s="5"/>
    </row>
    <row r="71" spans="1:6">
      <c r="A71"/>
      <c r="B71" s="38">
        <v>47391</v>
      </c>
      <c r="C71" s="39">
        <f t="shared" si="0"/>
        <v>47391</v>
      </c>
      <c r="D71" s="60">
        <v>3.8188800000000002E-2</v>
      </c>
      <c r="E71"/>
      <c r="F71" s="5"/>
    </row>
    <row r="72" spans="1:6">
      <c r="A72"/>
      <c r="B72" s="38">
        <v>47422</v>
      </c>
      <c r="C72" s="39">
        <f t="shared" ref="C72:C126" si="1">EOMONTH(B72,0)</f>
        <v>47422</v>
      </c>
      <c r="D72" s="60">
        <v>3.8188800000000002E-2</v>
      </c>
      <c r="E72"/>
      <c r="F72" s="5"/>
    </row>
    <row r="73" spans="1:6">
      <c r="A73"/>
      <c r="B73" s="38">
        <v>47452</v>
      </c>
      <c r="C73" s="39">
        <f t="shared" si="1"/>
        <v>47452</v>
      </c>
      <c r="D73" s="60">
        <v>3.8188800000000002E-2</v>
      </c>
      <c r="E73"/>
      <c r="F73" s="5"/>
    </row>
    <row r="74" spans="1:6">
      <c r="A74"/>
      <c r="B74" s="38">
        <v>47483</v>
      </c>
      <c r="C74" s="39">
        <f t="shared" si="1"/>
        <v>47483</v>
      </c>
      <c r="D74" s="60">
        <v>3.81909E-2</v>
      </c>
      <c r="E74"/>
      <c r="F74" s="5"/>
    </row>
    <row r="75" spans="1:6">
      <c r="A75"/>
      <c r="B75" s="38">
        <v>47514</v>
      </c>
      <c r="C75" s="39">
        <f t="shared" si="1"/>
        <v>47514</v>
      </c>
      <c r="D75" s="60">
        <v>3.8182800000000003E-2</v>
      </c>
      <c r="E75"/>
      <c r="F75" s="5"/>
    </row>
    <row r="76" spans="1:6">
      <c r="A76"/>
      <c r="B76" s="38">
        <v>47542</v>
      </c>
      <c r="C76" s="39">
        <f t="shared" si="1"/>
        <v>47542</v>
      </c>
      <c r="D76" s="60">
        <v>3.8188800000000002E-2</v>
      </c>
      <c r="E76"/>
      <c r="F76" s="5"/>
    </row>
    <row r="77" spans="1:6">
      <c r="A77"/>
      <c r="B77" s="38">
        <v>47573</v>
      </c>
      <c r="C77" s="39">
        <f t="shared" si="1"/>
        <v>47573</v>
      </c>
      <c r="D77" s="60">
        <v>3.81868E-2</v>
      </c>
      <c r="E77"/>
      <c r="F77" s="5"/>
    </row>
    <row r="78" spans="1:6">
      <c r="A78"/>
      <c r="B78" s="38">
        <v>47603</v>
      </c>
      <c r="C78" s="39">
        <f t="shared" si="1"/>
        <v>47603</v>
      </c>
      <c r="D78" s="60">
        <v>3.81909E-2</v>
      </c>
      <c r="E78"/>
      <c r="F78" s="5"/>
    </row>
    <row r="79" spans="1:6">
      <c r="A79"/>
      <c r="B79" s="38">
        <v>47634</v>
      </c>
      <c r="C79" s="39">
        <f t="shared" si="1"/>
        <v>47634</v>
      </c>
      <c r="D79" s="60">
        <v>3.8445699999999999E-2</v>
      </c>
      <c r="E79"/>
      <c r="F79" s="5"/>
    </row>
    <row r="80" spans="1:6">
      <c r="A80"/>
      <c r="B80" s="38">
        <v>47664</v>
      </c>
      <c r="C80" s="39">
        <f t="shared" si="1"/>
        <v>47664</v>
      </c>
      <c r="D80" s="60">
        <v>3.8463500000000005E-2</v>
      </c>
      <c r="E80"/>
      <c r="F80" s="5"/>
    </row>
    <row r="81" spans="1:6">
      <c r="A81"/>
      <c r="B81" s="38">
        <v>47695</v>
      </c>
      <c r="C81" s="39">
        <f t="shared" si="1"/>
        <v>47695</v>
      </c>
      <c r="D81" s="60">
        <v>3.84655E-2</v>
      </c>
      <c r="E81"/>
      <c r="F81" s="5"/>
    </row>
    <row r="82" spans="1:6">
      <c r="A82"/>
      <c r="B82" s="38">
        <v>47726</v>
      </c>
      <c r="C82" s="39">
        <f t="shared" si="1"/>
        <v>47726</v>
      </c>
      <c r="D82" s="60">
        <v>3.84614E-2</v>
      </c>
      <c r="E82"/>
      <c r="F82" s="5"/>
    </row>
    <row r="83" spans="1:6">
      <c r="A83"/>
      <c r="B83" s="38">
        <v>47756</v>
      </c>
      <c r="C83" s="39">
        <f t="shared" si="1"/>
        <v>47756</v>
      </c>
      <c r="D83" s="60">
        <v>3.8467600000000005E-2</v>
      </c>
      <c r="E83"/>
      <c r="F83" s="5"/>
    </row>
    <row r="84" spans="1:6">
      <c r="A84"/>
      <c r="B84" s="38">
        <v>47787</v>
      </c>
      <c r="C84" s="39">
        <f t="shared" si="1"/>
        <v>47787</v>
      </c>
      <c r="D84" s="60">
        <v>3.84614E-2</v>
      </c>
      <c r="E84"/>
      <c r="F84" s="5"/>
    </row>
    <row r="85" spans="1:6">
      <c r="A85"/>
      <c r="B85" s="38">
        <v>47817</v>
      </c>
      <c r="C85" s="39">
        <f t="shared" si="1"/>
        <v>47817</v>
      </c>
      <c r="D85" s="60">
        <v>3.8463500000000005E-2</v>
      </c>
      <c r="E85"/>
      <c r="F85" s="5"/>
    </row>
    <row r="86" spans="1:6">
      <c r="A86"/>
      <c r="B86" s="38">
        <v>47848</v>
      </c>
      <c r="C86" s="39">
        <f t="shared" si="1"/>
        <v>47848</v>
      </c>
      <c r="D86" s="60">
        <v>3.8463500000000005E-2</v>
      </c>
      <c r="E86"/>
      <c r="F86" s="5"/>
    </row>
    <row r="87" spans="1:6">
      <c r="A87"/>
      <c r="B87" s="38">
        <v>47879</v>
      </c>
      <c r="C87" s="39">
        <f t="shared" si="1"/>
        <v>47879</v>
      </c>
      <c r="D87" s="60">
        <v>3.84573E-2</v>
      </c>
      <c r="E87"/>
      <c r="F87" s="5"/>
    </row>
    <row r="88" spans="1:6">
      <c r="A88"/>
      <c r="B88" s="38">
        <v>47907</v>
      </c>
      <c r="C88" s="39">
        <f t="shared" si="1"/>
        <v>47907</v>
      </c>
      <c r="D88" s="60">
        <v>3.8463500000000005E-2</v>
      </c>
      <c r="E88"/>
      <c r="F88" s="5"/>
    </row>
    <row r="89" spans="1:6">
      <c r="A89"/>
      <c r="B89" s="38">
        <v>47938</v>
      </c>
      <c r="C89" s="39">
        <f t="shared" si="1"/>
        <v>47938</v>
      </c>
      <c r="D89" s="60">
        <v>3.84614E-2</v>
      </c>
      <c r="E89"/>
      <c r="F89" s="5"/>
    </row>
    <row r="90" spans="1:6">
      <c r="A90"/>
      <c r="B90" s="38">
        <v>47968</v>
      </c>
      <c r="C90" s="39">
        <f t="shared" si="1"/>
        <v>47968</v>
      </c>
      <c r="D90" s="60">
        <v>3.8463500000000005E-2</v>
      </c>
      <c r="E90"/>
      <c r="F90" s="5"/>
    </row>
    <row r="91" spans="1:6">
      <c r="A91"/>
      <c r="B91" s="38">
        <v>47999</v>
      </c>
      <c r="C91" s="39">
        <f t="shared" si="1"/>
        <v>47999</v>
      </c>
      <c r="D91" s="60">
        <v>3.8732099999999998E-2</v>
      </c>
      <c r="E91"/>
      <c r="F91" s="5"/>
    </row>
    <row r="92" spans="1:6">
      <c r="A92"/>
      <c r="B92" s="38">
        <v>48029</v>
      </c>
      <c r="C92" s="39">
        <f t="shared" si="1"/>
        <v>48029</v>
      </c>
      <c r="D92" s="60">
        <v>3.8768500000000004E-2</v>
      </c>
      <c r="E92"/>
      <c r="F92" s="5"/>
    </row>
    <row r="93" spans="1:6">
      <c r="A93"/>
      <c r="B93" s="38">
        <v>48060</v>
      </c>
      <c r="C93" s="39">
        <f t="shared" si="1"/>
        <v>48060</v>
      </c>
      <c r="D93" s="60">
        <v>3.8764300000000002E-2</v>
      </c>
      <c r="E93"/>
      <c r="F93" s="5"/>
    </row>
    <row r="94" spans="1:6">
      <c r="A94"/>
      <c r="B94" s="38">
        <v>48091</v>
      </c>
      <c r="C94" s="39">
        <f t="shared" si="1"/>
        <v>48091</v>
      </c>
      <c r="D94" s="60">
        <v>3.8762199999999997E-2</v>
      </c>
      <c r="E94"/>
      <c r="F94" s="5"/>
    </row>
    <row r="95" spans="1:6">
      <c r="A95"/>
      <c r="B95" s="38">
        <v>48121</v>
      </c>
      <c r="C95" s="39">
        <f t="shared" si="1"/>
        <v>48121</v>
      </c>
      <c r="D95" s="60">
        <v>3.8766399999999999E-2</v>
      </c>
      <c r="E95"/>
      <c r="F95" s="5"/>
    </row>
    <row r="96" spans="1:6">
      <c r="A96"/>
      <c r="B96" s="38">
        <v>48152</v>
      </c>
      <c r="C96" s="39">
        <f t="shared" si="1"/>
        <v>48152</v>
      </c>
      <c r="D96" s="60">
        <v>3.8762199999999997E-2</v>
      </c>
      <c r="E96"/>
      <c r="F96" s="5"/>
    </row>
    <row r="97" spans="1:6">
      <c r="A97"/>
      <c r="B97" s="38">
        <v>48182</v>
      </c>
      <c r="C97" s="39">
        <f t="shared" si="1"/>
        <v>48182</v>
      </c>
      <c r="D97" s="60">
        <v>3.8764300000000002E-2</v>
      </c>
      <c r="E97"/>
      <c r="F97" s="5"/>
    </row>
    <row r="98" spans="1:6">
      <c r="A98"/>
      <c r="B98" s="38">
        <v>48213</v>
      </c>
      <c r="C98" s="39">
        <f t="shared" si="1"/>
        <v>48213</v>
      </c>
      <c r="D98" s="60">
        <v>3.8764300000000002E-2</v>
      </c>
      <c r="E98"/>
      <c r="F98" s="5"/>
    </row>
    <row r="99" spans="1:6">
      <c r="A99"/>
      <c r="B99" s="38">
        <v>48244</v>
      </c>
      <c r="C99" s="39">
        <f t="shared" si="1"/>
        <v>48244</v>
      </c>
      <c r="D99" s="60">
        <v>3.8760099999999999E-2</v>
      </c>
      <c r="E99"/>
      <c r="F99" s="5"/>
    </row>
    <row r="100" spans="1:6">
      <c r="A100"/>
      <c r="B100" s="38">
        <v>48273</v>
      </c>
      <c r="C100" s="39">
        <f t="shared" si="1"/>
        <v>48273</v>
      </c>
      <c r="D100" s="60">
        <v>3.8764300000000002E-2</v>
      </c>
      <c r="E100"/>
      <c r="F100" s="5"/>
    </row>
    <row r="101" spans="1:6">
      <c r="A101"/>
      <c r="B101" s="38">
        <v>48304</v>
      </c>
      <c r="C101" s="39">
        <f t="shared" si="1"/>
        <v>48304</v>
      </c>
      <c r="D101" s="60">
        <v>3.8764300000000002E-2</v>
      </c>
      <c r="E101"/>
      <c r="F101" s="5"/>
    </row>
    <row r="102" spans="1:6">
      <c r="A102"/>
      <c r="B102" s="38">
        <v>48334</v>
      </c>
      <c r="C102" s="39">
        <f t="shared" si="1"/>
        <v>48334</v>
      </c>
      <c r="D102" s="60">
        <v>3.8764300000000002E-2</v>
      </c>
      <c r="E102"/>
      <c r="F102" s="5"/>
    </row>
    <row r="103" spans="1:6">
      <c r="A103"/>
      <c r="B103" s="38">
        <v>48365</v>
      </c>
      <c r="C103" s="39">
        <f t="shared" si="1"/>
        <v>48365</v>
      </c>
      <c r="D103" s="60">
        <v>3.9089800000000001E-2</v>
      </c>
      <c r="E103"/>
      <c r="F103" s="5"/>
    </row>
    <row r="104" spans="1:6">
      <c r="A104"/>
      <c r="B104" s="38">
        <v>48395</v>
      </c>
      <c r="C104" s="39">
        <f t="shared" si="1"/>
        <v>48395</v>
      </c>
      <c r="D104" s="60">
        <v>3.9173800000000002E-2</v>
      </c>
      <c r="E104"/>
      <c r="F104" s="5"/>
    </row>
    <row r="105" spans="1:6">
      <c r="A105"/>
      <c r="B105" s="38">
        <v>48426</v>
      </c>
      <c r="C105" s="39">
        <f t="shared" si="1"/>
        <v>48426</v>
      </c>
      <c r="D105" s="60">
        <v>3.9173800000000002E-2</v>
      </c>
      <c r="E105"/>
      <c r="F105" s="5"/>
    </row>
    <row r="106" spans="1:6">
      <c r="A106"/>
      <c r="B106" s="38">
        <v>48457</v>
      </c>
      <c r="C106" s="39">
        <f t="shared" si="1"/>
        <v>48457</v>
      </c>
      <c r="D106" s="60">
        <v>3.9176000000000002E-2</v>
      </c>
      <c r="E106"/>
      <c r="F106" s="5"/>
    </row>
    <row r="107" spans="1:6">
      <c r="A107"/>
      <c r="B107" s="38">
        <v>48487</v>
      </c>
      <c r="C107" s="39">
        <f t="shared" si="1"/>
        <v>48487</v>
      </c>
      <c r="D107" s="60">
        <v>3.9173800000000002E-2</v>
      </c>
      <c r="E107"/>
      <c r="F107" s="5"/>
    </row>
    <row r="108" spans="1:6">
      <c r="A108"/>
      <c r="B108" s="38">
        <v>48518</v>
      </c>
      <c r="C108" s="39">
        <f t="shared" si="1"/>
        <v>48518</v>
      </c>
      <c r="D108" s="60">
        <v>3.9171700000000004E-2</v>
      </c>
      <c r="E108"/>
      <c r="F108" s="5"/>
    </row>
    <row r="109" spans="1:6">
      <c r="A109"/>
      <c r="B109" s="38">
        <v>48548</v>
      </c>
      <c r="C109" s="39">
        <f t="shared" si="1"/>
        <v>48548</v>
      </c>
      <c r="D109" s="60">
        <v>3.9176000000000002E-2</v>
      </c>
      <c r="E109"/>
      <c r="F109" s="5"/>
    </row>
    <row r="110" spans="1:6">
      <c r="A110"/>
      <c r="B110" s="38">
        <v>48579</v>
      </c>
      <c r="C110" s="39">
        <f t="shared" si="1"/>
        <v>48579</v>
      </c>
      <c r="D110" s="60">
        <v>3.9173800000000002E-2</v>
      </c>
      <c r="E110"/>
      <c r="F110" s="5"/>
    </row>
    <row r="111" spans="1:6">
      <c r="A111"/>
      <c r="B111" s="38">
        <v>48610</v>
      </c>
      <c r="C111" s="39">
        <f t="shared" si="1"/>
        <v>48610</v>
      </c>
      <c r="D111" s="60">
        <v>3.9167399999999998E-2</v>
      </c>
      <c r="E111"/>
      <c r="F111" s="5"/>
    </row>
    <row r="112" spans="1:6">
      <c r="A112"/>
      <c r="B112" s="38">
        <v>48638</v>
      </c>
      <c r="C112" s="39">
        <f t="shared" si="1"/>
        <v>48638</v>
      </c>
      <c r="D112" s="60">
        <v>3.91781E-2</v>
      </c>
      <c r="E112"/>
      <c r="F112" s="5"/>
    </row>
    <row r="113" spans="1:6">
      <c r="A113"/>
      <c r="B113" s="38">
        <v>48669</v>
      </c>
      <c r="C113" s="39">
        <f t="shared" si="1"/>
        <v>48669</v>
      </c>
      <c r="D113" s="60">
        <v>3.9171700000000004E-2</v>
      </c>
      <c r="E113"/>
      <c r="F113" s="5"/>
    </row>
    <row r="114" spans="1:6">
      <c r="A114"/>
      <c r="B114" s="38">
        <v>48699</v>
      </c>
      <c r="C114" s="39">
        <f t="shared" si="1"/>
        <v>48699</v>
      </c>
      <c r="D114" s="60">
        <v>3.9173800000000002E-2</v>
      </c>
      <c r="E114"/>
      <c r="F114" s="5"/>
    </row>
    <row r="115" spans="1:6">
      <c r="A115"/>
      <c r="B115" s="38">
        <v>48730</v>
      </c>
      <c r="C115" s="39">
        <f t="shared" si="1"/>
        <v>48730</v>
      </c>
      <c r="D115" s="60">
        <v>3.9434499999999997E-2</v>
      </c>
      <c r="E115"/>
      <c r="F115" s="5"/>
    </row>
    <row r="116" spans="1:6">
      <c r="A116"/>
      <c r="B116" s="38">
        <v>48760</v>
      </c>
      <c r="C116" s="39">
        <f t="shared" si="1"/>
        <v>48760</v>
      </c>
      <c r="D116" s="60">
        <v>3.9487100000000004E-2</v>
      </c>
      <c r="E116"/>
      <c r="F116" s="5"/>
    </row>
    <row r="117" spans="1:6">
      <c r="A117"/>
      <c r="B117" s="38">
        <v>48791</v>
      </c>
      <c r="C117" s="39">
        <f t="shared" si="1"/>
        <v>48791</v>
      </c>
      <c r="D117" s="60">
        <v>3.9487100000000004E-2</v>
      </c>
      <c r="E117"/>
      <c r="F117" s="5"/>
    </row>
    <row r="118" spans="1:6">
      <c r="A118"/>
      <c r="B118" s="38">
        <v>48822</v>
      </c>
      <c r="C118" s="39">
        <f t="shared" si="1"/>
        <v>48822</v>
      </c>
      <c r="D118" s="60">
        <v>3.9487100000000004E-2</v>
      </c>
      <c r="E118"/>
      <c r="F118" s="5"/>
    </row>
    <row r="119" spans="1:6">
      <c r="A119"/>
      <c r="B119" s="38">
        <v>48852</v>
      </c>
      <c r="C119" s="39">
        <f t="shared" si="1"/>
        <v>48852</v>
      </c>
      <c r="D119" s="60">
        <v>3.9487100000000004E-2</v>
      </c>
      <c r="E119"/>
      <c r="F119" s="5"/>
    </row>
    <row r="120" spans="1:6">
      <c r="A120"/>
      <c r="B120" s="38">
        <v>48883</v>
      </c>
      <c r="C120" s="39">
        <f t="shared" si="1"/>
        <v>48883</v>
      </c>
      <c r="D120" s="60">
        <v>3.9484999999999999E-2</v>
      </c>
      <c r="E120"/>
      <c r="F120" s="5"/>
    </row>
    <row r="121" spans="1:6">
      <c r="A121"/>
      <c r="B121" s="38">
        <v>48913</v>
      </c>
      <c r="C121" s="39">
        <f t="shared" si="1"/>
        <v>48913</v>
      </c>
      <c r="D121" s="60">
        <v>3.9489299999999998E-2</v>
      </c>
      <c r="E121"/>
      <c r="F121" s="5"/>
    </row>
    <row r="122" spans="1:6">
      <c r="A122"/>
      <c r="B122" s="38">
        <v>48944</v>
      </c>
      <c r="C122" s="39">
        <f t="shared" si="1"/>
        <v>48944</v>
      </c>
      <c r="D122" s="60">
        <v>3.9491399999999996E-2</v>
      </c>
      <c r="E122"/>
      <c r="F122" s="5"/>
    </row>
    <row r="123" spans="1:6">
      <c r="A123"/>
      <c r="B123" s="38">
        <v>48975</v>
      </c>
      <c r="C123" s="39">
        <f t="shared" si="1"/>
        <v>48975</v>
      </c>
      <c r="D123" s="60">
        <v>3.9480599999999998E-2</v>
      </c>
      <c r="E123"/>
      <c r="F123" s="5"/>
    </row>
    <row r="124" spans="1:6">
      <c r="A124"/>
      <c r="B124" s="38">
        <v>49003</v>
      </c>
      <c r="C124" s="39">
        <f t="shared" si="1"/>
        <v>49003</v>
      </c>
      <c r="D124" s="60">
        <v>3.9489299999999998E-2</v>
      </c>
      <c r="E124"/>
      <c r="F124" s="5"/>
    </row>
    <row r="125" spans="1:6">
      <c r="A125"/>
      <c r="B125" s="38">
        <v>49034</v>
      </c>
      <c r="C125" s="39">
        <f t="shared" si="1"/>
        <v>49034</v>
      </c>
      <c r="D125" s="60">
        <v>3.9484999999999999E-2</v>
      </c>
      <c r="E125"/>
      <c r="F125" s="5"/>
    </row>
    <row r="126" spans="1:6">
      <c r="A126"/>
      <c r="B126" s="38">
        <v>49064</v>
      </c>
      <c r="C126" s="39">
        <f t="shared" si="1"/>
        <v>49064</v>
      </c>
      <c r="D126" s="60">
        <v>3.9487100000000004E-2</v>
      </c>
      <c r="E126"/>
      <c r="F126" s="5"/>
    </row>
    <row r="127" spans="1:6">
      <c r="A127"/>
      <c r="B127"/>
      <c r="C127"/>
      <c r="D127"/>
      <c r="E127"/>
      <c r="F127" s="5"/>
    </row>
    <row r="128" spans="1:6">
      <c r="A128" s="6"/>
      <c r="B128" s="6"/>
      <c r="C128" s="6"/>
      <c r="D128" s="6"/>
      <c r="E128"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8375C9C6EDA4439E79CC47C5FECFB7" ma:contentTypeVersion="16" ma:contentTypeDescription="Create a new document." ma:contentTypeScope="" ma:versionID="44ca2349cbd8cc60824bbb199653a678">
  <xsd:schema xmlns:xsd="http://www.w3.org/2001/XMLSchema" xmlns:xs="http://www.w3.org/2001/XMLSchema" xmlns:p="http://schemas.microsoft.com/office/2006/metadata/properties" xmlns:ns2="a4cbd9de-38f3-4023-bf37-52b0c987fcdd" xmlns:ns3="c51240cb-92b5-4df4-8f5e-edd8d705b6df" targetNamespace="http://schemas.microsoft.com/office/2006/metadata/properties" ma:root="true" ma:fieldsID="cdb636c49f89fdf9a72eb7f03933823b" ns2:_="" ns3:_="">
    <xsd:import namespace="a4cbd9de-38f3-4023-bf37-52b0c987fcdd"/>
    <xsd:import namespace="c51240cb-92b5-4df4-8f5e-edd8d705b6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cbd9de-38f3-4023-bf37-52b0c987fc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929095a-56c2-4ea0-964d-41cf69b08d2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descrip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1240cb-92b5-4df4-8f5e-edd8d705b6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89267c1-ea1e-4448-9fd3-35357c193eb6}" ma:internalName="TaxCatchAll" ma:showField="CatchAllData" ma:web="c51240cb-92b5-4df4-8f5e-edd8d705b6d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4cbd9de-38f3-4023-bf37-52b0c987fcdd">
      <Terms xmlns="http://schemas.microsoft.com/office/infopath/2007/PartnerControls"/>
    </lcf76f155ced4ddcb4097134ff3c332f>
    <TaxCatchAll xmlns="c51240cb-92b5-4df4-8f5e-edd8d705b6df" xsi:nil="true"/>
  </documentManagement>
</p:properties>
</file>

<file path=customXml/itemProps1.xml><?xml version="1.0" encoding="utf-8"?>
<ds:datastoreItem xmlns:ds="http://schemas.openxmlformats.org/officeDocument/2006/customXml" ds:itemID="{49082EFF-04D5-4BF3-9159-A11267B5C375}"/>
</file>

<file path=customXml/itemProps2.xml><?xml version="1.0" encoding="utf-8"?>
<ds:datastoreItem xmlns:ds="http://schemas.openxmlformats.org/officeDocument/2006/customXml" ds:itemID="{925EE4B4-E307-41EE-9FB0-2152597E229F}"/>
</file>

<file path=customXml/itemProps3.xml><?xml version="1.0" encoding="utf-8"?>
<ds:datastoreItem xmlns:ds="http://schemas.openxmlformats.org/officeDocument/2006/customXml" ds:itemID="{646F55AF-1E59-4690-9D1F-04A969E618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Austin Blondell</dc:creator>
  <cp:keywords/>
  <dc:description/>
  <cp:lastModifiedBy/>
  <cp:revision/>
  <dcterms:created xsi:type="dcterms:W3CDTF">2024-03-25T15:55:55Z</dcterms:created>
  <dcterms:modified xsi:type="dcterms:W3CDTF">2026-04-27T19:35:37Z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0x0101008F8375C9C6EDA4439E79CC47C5FECFB7</vt:lpwstr>
  </property>
  <property fmtid="{D5CDD505-2E9C-101B-9397-08002B2CF9AE}" pid="3" name="MediaServiceImageTags">
    <vt:lpwstr/>
  </property>
</Properties>
</file>