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Apartments/"/>
    </mc:Choice>
  </mc:AlternateContent>
  <xr:revisionPtr revIDLastSave="2" documentId="8_{AB00B97B-A6B0-4583-9313-E6022411F335}" xr6:coauthVersionLast="47" xr6:coauthVersionMax="47" xr10:uidLastSave="{E66E6743-28E8-40E5-A926-412F6B9A801D}"/>
  <bookViews>
    <workbookView xWindow="-120" yWindow="-120" windowWidth="29040" windowHeight="17520" firstSheet="4" activeTab="4" xr2:uid="{1FBF3EEB-554F-4B6D-9829-CE2F719AA780}"/>
  </bookViews>
  <sheets>
    <sheet name="Global" sheetId="1" r:id="rId1"/>
    <sheet name="Unit Mix_vm" sheetId="38" r:id="rId2"/>
    <sheet name="Comparison" sheetId="48" state="hidden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9" l="1"/>
  <c r="T10" i="39" s="1"/>
  <c r="R10" i="39"/>
  <c r="O10" i="39"/>
  <c r="S9" i="39"/>
  <c r="T9" i="39" s="1"/>
  <c r="R9" i="39"/>
  <c r="O9" i="39"/>
  <c r="Q8" i="39"/>
  <c r="R8" i="39" s="1"/>
  <c r="P8" i="39"/>
  <c r="S8" i="39" s="1"/>
  <c r="T8" i="39" s="1"/>
  <c r="O8" i="39"/>
  <c r="O32" i="38"/>
  <c r="N32" i="38"/>
  <c r="O23" i="38"/>
  <c r="N23" i="38"/>
  <c r="M29" i="39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E6" i="48" l="1"/>
  <c r="E5" i="48"/>
  <c r="D6" i="48"/>
  <c r="D5" i="48"/>
  <c r="C6" i="48"/>
  <c r="C5" i="48"/>
  <c r="D29" i="39"/>
  <c r="F5" i="48" l="1"/>
  <c r="F6" i="48"/>
  <c r="P32" i="38"/>
  <c r="M32" i="38"/>
  <c r="L32" i="38"/>
  <c r="P31" i="38"/>
  <c r="M31" i="38"/>
  <c r="P30" i="38"/>
  <c r="M30" i="38"/>
  <c r="P29" i="38"/>
  <c r="M29" i="38"/>
  <c r="P28" i="38"/>
  <c r="M28" i="38"/>
  <c r="P27" i="38"/>
  <c r="M27" i="38"/>
  <c r="P23" i="38"/>
  <c r="M23" i="38"/>
  <c r="L23" i="38"/>
  <c r="P22" i="38"/>
  <c r="M22" i="38"/>
  <c r="P21" i="38"/>
  <c r="M21" i="38"/>
  <c r="P20" i="38"/>
  <c r="M20" i="38"/>
  <c r="P19" i="38"/>
  <c r="M19" i="38"/>
  <c r="P18" i="38"/>
  <c r="M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11" i="38" l="1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<sst xmlns="http://schemas.openxmlformats.org/spreadsheetml/2006/main" count="955" uniqueCount="455">
  <si>
    <t>Global Assumptions</t>
  </si>
  <si>
    <t>Property Name</t>
  </si>
  <si>
    <t>Project Type</t>
  </si>
  <si>
    <t>4-Story Elevatored</t>
  </si>
  <si>
    <t>Market</t>
  </si>
  <si>
    <t>Submarket</t>
  </si>
  <si>
    <t>Address</t>
  </si>
  <si>
    <t>City, State</t>
  </si>
  <si>
    <t>ZIP Code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</si>
  <si>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</si>
  <si>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</si>
  <si>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</si>
  <si>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</si>
  <si>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</si>
  <si>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</si>
  <si>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</si>
  <si>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</si>
  <si>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</si>
  <si>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</si>
  <si>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</si>
  <si>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</si>
  <si>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</si>
  <si>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1 Bedroom</t>
  </si>
  <si>
    <t>1) Comp #1</t>
  </si>
  <si>
    <t>2 Bedroom</t>
  </si>
  <si>
    <t>SF</t>
  </si>
  <si>
    <t>Rent</t>
  </si>
  <si>
    <t>Rent PSF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</si>
  <si>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</si>
  <si>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</si>
  <si>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</si>
  <si>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</si>
  <si>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</si>
  <si>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</si>
  <si>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</si>
  <si>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</si>
  <si>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TH</t>
  </si>
  <si>
    <t>Link to Website</t>
  </si>
  <si>
    <t>Total</t>
  </si>
  <si>
    <t>2) Comp #2</t>
  </si>
  <si>
    <t>3 Bedroom</t>
  </si>
  <si>
    <t>Townhouse</t>
  </si>
  <si>
    <t>3) Comp #3</t>
  </si>
  <si>
    <t>Unit Mix:</t>
  </si>
  <si>
    <t>-</t>
  </si>
  <si>
    <t>Total / Average</t>
  </si>
  <si>
    <t>Development Budget:</t>
  </si>
  <si>
    <t>Per Unit</t>
  </si>
  <si>
    <t>Per SF</t>
  </si>
  <si>
    <t>% Total</t>
  </si>
  <si>
    <t>Land</t>
  </si>
  <si>
    <t>Construction Loan Broker Fee</t>
  </si>
  <si>
    <t>Construction Loan Origination Fee</t>
  </si>
  <si>
    <t>Operating Deficit</t>
  </si>
  <si>
    <t>Capitalized Construction Taxes</t>
  </si>
  <si>
    <t>Interest Reserve</t>
  </si>
  <si>
    <t>Development Fee</t>
  </si>
  <si>
    <t>Construction Management Fee</t>
  </si>
  <si>
    <t>Acquisition Fee</t>
  </si>
  <si>
    <t>Marketing</t>
  </si>
  <si>
    <t>AA Preleasing Payroll</t>
  </si>
  <si>
    <t>AA Preleasing Trailer</t>
  </si>
  <si>
    <t>Legal</t>
  </si>
  <si>
    <t>Closing Costs</t>
  </si>
  <si>
    <t>Title Insurance</t>
  </si>
  <si>
    <t>Builders Risk Insurance</t>
  </si>
  <si>
    <t>General Liability Insurance</t>
  </si>
  <si>
    <t>Travel Expenses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</si>
  <si>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</si>
  <si>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</si>
  <si>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</si>
  <si>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</si>
  <si>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</si>
  <si>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</si>
  <si>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</si>
  <si>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</si>
  <si>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</si>
  <si>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</si>
  <si>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</si>
  <si>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</si>
  <si>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</si>
  <si>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</si>
  <si>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</si>
  <si>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</si>
  <si>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</si>
  <si>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Construction Costs</t>
  </si>
  <si>
    <t>Site Work</t>
  </si>
  <si>
    <t>Hard Cost Contingency</t>
  </si>
  <si>
    <t>Soft Cost Contingency</t>
  </si>
  <si>
    <t>Total Development Budget</t>
  </si>
  <si>
    <t>Budget (Vetting Model Only)</t>
  </si>
  <si>
    <t>Budget</t>
  </si>
  <si>
    <t>Cost Type</t>
  </si>
  <si>
    <t>$</t>
  </si>
  <si>
    <t>Per NRSF</t>
  </si>
  <si>
    <t>% of Total</t>
  </si>
  <si>
    <t>Soruces &amp; Uses</t>
  </si>
  <si>
    <t>Land Acquisition</t>
  </si>
  <si>
    <t>Sources:</t>
  </si>
  <si>
    <t>JV Equity</t>
  </si>
  <si>
    <t>Financing Costs</t>
  </si>
  <si>
    <t>Preferred Equity</t>
  </si>
  <si>
    <t>Soft Costs</t>
  </si>
  <si>
    <t xml:space="preserve"> &lt; % of Loan Commitment</t>
  </si>
  <si>
    <t>Construction Loan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</si>
  <si>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</si>
  <si>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</si>
  <si>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</si>
  <si>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</si>
  <si>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</si>
  <si>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</si>
  <si>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</si>
  <si>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</si>
  <si>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</si>
  <si>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</si>
  <si>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</si>
  <si>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</si>
  <si>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</si>
  <si>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RE Taxes During Construction</t>
  </si>
  <si>
    <t>Financing Assumptions</t>
  </si>
  <si>
    <t>Misc Financing Costs</t>
  </si>
  <si>
    <t>Total Financing Costs</t>
  </si>
  <si>
    <t>Loan-to-Cost</t>
  </si>
  <si>
    <t>Debt Yield (Untrended)</t>
  </si>
  <si>
    <t>Fees</t>
  </si>
  <si>
    <t xml:space="preserve"> &lt; % of Total Costs</t>
  </si>
  <si>
    <t>SOFR</t>
  </si>
  <si>
    <t xml:space="preserve"> &lt; % of Construction Costs</t>
  </si>
  <si>
    <t>Spread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</si>
  <si>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</si>
  <si>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</si>
  <si>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</si>
  <si>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</si>
  <si>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</si>
  <si>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</si>
  <si>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</si>
  <si>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Active-Adult Preleasing Payroll</t>
  </si>
  <si>
    <t>Active-Adult Preleasing Trailer</t>
  </si>
  <si>
    <t>Debt Recording Fee</t>
  </si>
  <si>
    <t>Last-Dollar-to-Cost</t>
  </si>
  <si>
    <t>Pref Debt Yield (Untrended)</t>
  </si>
  <si>
    <t>BR Insurance Calc:</t>
  </si>
  <si>
    <t>Builder's Risk Insurance</t>
  </si>
  <si>
    <t>Rate</t>
  </si>
  <si>
    <t>Total JV Equity</t>
  </si>
  <si>
    <t>Re-Zoning</t>
  </si>
  <si>
    <t>HC</t>
  </si>
  <si>
    <t>GP Co-Invest</t>
  </si>
  <si>
    <t>SC</t>
  </si>
  <si>
    <t>Misc Legal &amp; Closing</t>
  </si>
  <si>
    <t>LP Investment</t>
  </si>
  <si>
    <t>Y0 Total Rent</t>
  </si>
  <si>
    <t>Total Legal &amp; Closing</t>
  </si>
  <si>
    <t>Architectural &amp; Engineering</t>
  </si>
  <si>
    <t>GL Insurance Calc:</t>
  </si>
  <si>
    <t>Cap Rate</t>
  </si>
  <si>
    <t>Implied Value</t>
  </si>
  <si>
    <t>Impact Fee Contingency</t>
  </si>
  <si>
    <t>Total Architectural &amp; Engineering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</si>
  <si>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</si>
  <si>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</si>
  <si>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</si>
  <si>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</si>
  <si>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</si>
  <si>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</si>
  <si>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</si>
  <si>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</si>
  <si>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</si>
  <si>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</si>
  <si>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</si>
  <si>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 xml:space="preserve"> &lt; % of Hard Costs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</si>
  <si>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</si>
  <si>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</si>
  <si>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</si>
  <si>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</si>
  <si>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</si>
  <si>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</si>
  <si>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</si>
  <si>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</si>
  <si>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</si>
  <si>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</si>
  <si>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</si>
  <si>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</si>
  <si>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</si>
  <si>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</si>
  <si>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</si>
  <si>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</si>
  <si>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</si>
  <si>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</si>
  <si>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</si>
  <si>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Blake Optimist Park</t>
  </si>
  <si>
    <t>Gross Potential Rent</t>
  </si>
  <si>
    <t>Assessed Value / Unit</t>
  </si>
  <si>
    <t>Comp #2</t>
  </si>
  <si>
    <t>Concessions</t>
  </si>
  <si>
    <t>Comp #3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</si>
  <si>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</si>
  <si>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</si>
  <si>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</si>
  <si>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</si>
  <si>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</si>
  <si>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</si>
  <si>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</si>
  <si>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</si>
  <si>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</si>
  <si>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</si>
  <si>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</si>
  <si>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</si>
  <si>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</si>
  <si>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</si>
  <si>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</si>
  <si>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</si>
  <si>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</si>
  <si>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</si>
  <si>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</si>
  <si>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</si>
  <si>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</si>
  <si>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</si>
  <si>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</si>
  <si>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</si>
  <si>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</si>
  <si>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</si>
  <si>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</si>
  <si>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</si>
  <si>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</si>
  <si>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</si>
  <si>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</si>
  <si>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</si>
  <si>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</si>
  <si>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</si>
  <si>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</si>
  <si>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</si>
  <si>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</si>
  <si>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</si>
  <si>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</si>
  <si>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</si>
  <si>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</si>
  <si>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</si>
  <si>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</si>
  <si>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Resident Activities</t>
  </si>
  <si>
    <t>Total Utilities</t>
  </si>
  <si>
    <t>Payroll</t>
  </si>
  <si>
    <t>Community Manager</t>
  </si>
  <si>
    <t>Office Expenses</t>
  </si>
  <si>
    <t>Bonus</t>
  </si>
  <si>
    <t>General &amp; Administrative</t>
  </si>
  <si>
    <t>Assistant Manager</t>
  </si>
  <si>
    <t>Other Controllable Expenses</t>
  </si>
  <si>
    <t>Total Operating Expenses</t>
  </si>
  <si>
    <t>Leasing Consultant #1</t>
  </si>
  <si>
    <t>Leasing Consultant #2</t>
  </si>
  <si>
    <t>Net Operating Income</t>
  </si>
  <si>
    <t>Service Supervisor</t>
  </si>
  <si>
    <t>NOI Margin</t>
  </si>
  <si>
    <t>Maintenance  Tech #1</t>
  </si>
  <si>
    <t>Return on Cost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</si>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</sst>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7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3" fontId="13" fillId="0" borderId="13" xfId="1" applyNumberFormat="1" applyFont="1" applyFill="1" applyBorder="1"/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8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167" fontId="7" fillId="0" borderId="11" xfId="1" applyNumberFormat="1" applyFont="1" applyFill="1" applyBorder="1"/>
    <xf numFmtId="0" fontId="24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>
      <selection activeCell="B2" sqref="B2"/>
    </sheetView>
  </sheetViews>
  <sheetFormatPr defaultColWidth="9.140625" defaultRowHeight="15"/>
  <cols>
    <col min="1" max="1" width="3.7109375" customWidth="1"/>
    <col min="2" max="3" width="35.7109375" customWidth="1"/>
    <col min="4" max="5" width="3.7109375" customWidth="1"/>
  </cols>
  <sheetData>
    <row r="1" spans="1:3" s="141" customFormat="1" ht="26.25">
      <c r="A1" s="144" t="str">
        <f>TEXT(C7,"")</f>
        <v>Property Name</v>
      </c>
    </row>
    <row r="2" spans="1:3" s="141" customFormat="1" ht="19.5">
      <c r="A2" s="145" t="s">
        <v>0</v>
      </c>
    </row>
    <row r="6" spans="1:3">
      <c r="B6" s="122" t="s">
        <v>0</v>
      </c>
      <c r="C6" s="162"/>
    </row>
    <row r="7" spans="1:3">
      <c r="B7" s="55" t="s">
        <v>1</v>
      </c>
      <c r="C7" s="163" t="s">
        <v>1</v>
      </c>
    </row>
    <row r="8" spans="1:3">
      <c r="B8" s="55" t="s">
        <v>2</v>
      </c>
      <c r="C8" s="163" t="s">
        <v>3</v>
      </c>
    </row>
    <row r="9" spans="1:3">
      <c r="B9" s="55" t="s">
        <v>4</v>
      </c>
      <c r="C9" s="163" t="s">
        <v>4</v>
      </c>
    </row>
    <row r="10" spans="1:3">
      <c r="B10" s="55" t="s">
        <v>5</v>
      </c>
      <c r="C10" s="163" t="s">
        <v>5</v>
      </c>
    </row>
    <row r="11" spans="1:3">
      <c r="B11" s="55" t="s">
        <v>6</v>
      </c>
      <c r="C11" s="163" t="s">
        <v>6</v>
      </c>
    </row>
    <row r="12" spans="1:3">
      <c r="B12" s="55" t="s">
        <v>7</v>
      </c>
      <c r="C12" s="163" t="s">
        <v>7</v>
      </c>
    </row>
    <row r="13" spans="1:3">
      <c r="B13" s="55" t="s">
        <v>8</v>
      </c>
      <c r="C13" s="163" t="s">
        <v>9</v>
      </c>
    </row>
    <row r="14" spans="1:3">
      <c r="B14" s="55" t="s">
        <v>10</v>
      </c>
      <c r="C14" s="163" t="s">
        <v>10</v>
      </c>
    </row>
    <row r="15" spans="1:3">
      <c r="B15" s="55"/>
      <c r="C15" s="56"/>
    </row>
    <row r="16" spans="1:3">
      <c r="B16" s="58" t="s">
        <v>11</v>
      </c>
      <c r="C16" s="164" t="s">
        <v>12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Normal="100" workbookViewId="0">
      <pane ySplit="6" topLeftCell="A7" activePane="bottomLeft" state="frozen"/>
      <selection pane="bottomLeft" activeCell="E45" sqref="E45"/>
    </sheetView>
  </sheetViews>
  <sheetFormatPr defaultColWidth="9.140625" defaultRowHeight="15"/>
  <cols>
    <col min="1" max="1" width="1.7109375" customWidth="1"/>
    <col min="2" max="2" width="12.7109375" style="207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7" customWidth="1"/>
    <col min="19" max="19" width="20.7109375" style="207" customWidth="1"/>
  </cols>
  <sheetData>
    <row r="1" spans="1:19" s="141" customFormat="1" ht="26.25">
      <c r="A1" s="144" t="str">
        <f>TEXT(Global!$C$7,"")</f>
        <v>Property Name</v>
      </c>
      <c r="B1" s="204"/>
      <c r="R1" s="204"/>
      <c r="S1" s="204"/>
    </row>
    <row r="2" spans="1:19" s="141" customFormat="1" ht="19.5">
      <c r="A2" s="145" t="s">
        <v>13</v>
      </c>
      <c r="B2" s="204"/>
      <c r="R2" s="204"/>
      <c r="S2" s="204"/>
    </row>
    <row r="4" spans="1:19">
      <c r="B4" s="232" t="s">
        <v>14</v>
      </c>
      <c r="C4" s="260"/>
      <c r="D4" s="261">
        <v>150</v>
      </c>
    </row>
    <row r="6" spans="1:19">
      <c r="B6" s="205" t="s">
        <v>15</v>
      </c>
      <c r="C6" s="155" t="s">
        <v>16</v>
      </c>
      <c r="D6" s="155" t="s">
        <v>17</v>
      </c>
      <c r="E6" s="155" t="s">
        <v>18</v>
      </c>
      <c r="F6" s="155" t="s">
        <v>19</v>
      </c>
      <c r="G6" s="155" t="s">
        <v>20</v>
      </c>
      <c r="H6" s="156" t="s">
        <v>21</v>
      </c>
    </row>
    <row r="7" spans="1:19">
      <c r="B7" s="263" t="s">
        <v>22</v>
      </c>
      <c r="C7" s="24" t="s">
        <v>22</v>
      </c>
      <c r="D7" s="262">
        <f>ROUND($D$4*E7,0)</f>
        <v>90</v>
      </c>
      <c r="E7" s="264">
        <v>0.6</v>
      </c>
      <c r="F7" s="32">
        <v>800</v>
      </c>
      <c r="G7" s="242">
        <v>1950</v>
      </c>
      <c r="H7" s="147">
        <f>IFERROR(G7/F7,0)</f>
        <v>2.4375</v>
      </c>
      <c r="K7" s="139" t="s">
        <v>23</v>
      </c>
      <c r="L7" s="169"/>
      <c r="M7" s="169"/>
      <c r="N7" s="169"/>
      <c r="O7" s="169"/>
      <c r="P7" s="140"/>
    </row>
    <row r="8" spans="1:19">
      <c r="B8" s="263" t="s">
        <v>24</v>
      </c>
      <c r="C8" s="24" t="s">
        <v>24</v>
      </c>
      <c r="D8" s="262">
        <f t="shared" ref="D8:D14" si="0">ROUND($D$4*E8,0)</f>
        <v>60</v>
      </c>
      <c r="E8" s="264">
        <v>0.4</v>
      </c>
      <c r="F8" s="32">
        <v>1100</v>
      </c>
      <c r="G8" s="242">
        <v>2500</v>
      </c>
      <c r="H8" s="147">
        <f t="shared" ref="H8:H14" si="1">IFERROR(G8/F8,0)</f>
        <v>2.2727272727272729</v>
      </c>
      <c r="K8" s="210" t="s">
        <v>16</v>
      </c>
      <c r="L8" s="211" t="s">
        <v>17</v>
      </c>
      <c r="M8" s="211" t="s">
        <v>18</v>
      </c>
      <c r="N8" s="211" t="s">
        <v>25</v>
      </c>
      <c r="O8" s="211" t="s">
        <v>26</v>
      </c>
      <c r="P8" s="212" t="s">
        <v>27</v>
      </c>
      <c r="R8" s="217" t="s">
        <v>16</v>
      </c>
      <c r="S8" s="219"/>
    </row>
    <row r="9" spans="1:19">
      <c r="B9" s="263"/>
      <c r="C9" s="24"/>
      <c r="D9" s="262">
        <f t="shared" si="0"/>
        <v>0</v>
      </c>
      <c r="E9" s="264">
        <v>0</v>
      </c>
      <c r="F9" s="32"/>
      <c r="G9" s="242"/>
      <c r="H9" s="147">
        <f t="shared" si="1"/>
        <v>0</v>
      </c>
      <c r="K9" s="55" t="s">
        <v>28</v>
      </c>
      <c r="L9" s="240"/>
      <c r="M9" s="203" t="e">
        <f>L9/$L$14</f>
        <v>#DIV/0!</v>
      </c>
      <c r="N9" s="241"/>
      <c r="O9" s="242"/>
      <c r="P9" s="215" t="str">
        <f>IFERROR(O9/N9,"-")</f>
        <v>-</v>
      </c>
      <c r="R9" s="192" t="s">
        <v>29</v>
      </c>
      <c r="S9" s="220"/>
    </row>
    <row r="10" spans="1:19">
      <c r="B10" s="263"/>
      <c r="C10" s="24"/>
      <c r="D10" s="262">
        <f t="shared" si="0"/>
        <v>0</v>
      </c>
      <c r="E10" s="264">
        <v>0</v>
      </c>
      <c r="F10" s="32"/>
      <c r="G10" s="242"/>
      <c r="H10" s="147">
        <f t="shared" si="1"/>
        <v>0</v>
      </c>
      <c r="K10" s="55" t="s">
        <v>30</v>
      </c>
      <c r="L10" s="240"/>
      <c r="M10" s="203" t="e">
        <f t="shared" ref="M10:M13" si="2">L10/$L$14</f>
        <v>#DIV/0!</v>
      </c>
      <c r="N10" s="241"/>
      <c r="O10" s="242"/>
      <c r="P10" s="215" t="str">
        <f t="shared" ref="P10:P14" si="3">IFERROR(O10/N10,"-")</f>
        <v>-</v>
      </c>
      <c r="R10" s="192" t="s">
        <v>31</v>
      </c>
      <c r="S10" s="222"/>
    </row>
    <row r="11" spans="1:19">
      <c r="B11" s="263"/>
      <c r="C11" s="24"/>
      <c r="D11" s="262">
        <f t="shared" si="0"/>
        <v>0</v>
      </c>
      <c r="E11" s="264">
        <v>0</v>
      </c>
      <c r="F11" s="32"/>
      <c r="G11" s="242"/>
      <c r="H11" s="147">
        <f t="shared" si="1"/>
        <v>0</v>
      </c>
      <c r="K11" s="55" t="s">
        <v>32</v>
      </c>
      <c r="L11" s="240"/>
      <c r="M11" s="203" t="e">
        <f t="shared" si="2"/>
        <v>#DIV/0!</v>
      </c>
      <c r="N11" s="241"/>
      <c r="O11" s="242"/>
      <c r="P11" s="215" t="str">
        <f t="shared" si="3"/>
        <v>-</v>
      </c>
      <c r="R11" s="192" t="s">
        <v>33</v>
      </c>
      <c r="S11" s="220"/>
    </row>
    <row r="12" spans="1:19" ht="15" customHeight="1">
      <c r="B12" s="263"/>
      <c r="C12" s="24"/>
      <c r="D12" s="262">
        <f t="shared" si="0"/>
        <v>0</v>
      </c>
      <c r="E12" s="264">
        <v>0</v>
      </c>
      <c r="F12" s="32"/>
      <c r="G12" s="242"/>
      <c r="H12" s="147">
        <f t="shared" si="1"/>
        <v>0</v>
      </c>
      <c r="K12" s="55" t="s">
        <v>34</v>
      </c>
      <c r="L12" s="240"/>
      <c r="M12" s="203" t="e">
        <f t="shared" si="2"/>
        <v>#DIV/0!</v>
      </c>
      <c r="N12" s="241"/>
      <c r="O12" s="242"/>
      <c r="P12" s="215" t="str">
        <f t="shared" si="3"/>
        <v>-</v>
      </c>
      <c r="R12" s="192" t="s">
        <v>35</v>
      </c>
      <c r="S12" s="220"/>
    </row>
    <row r="13" spans="1:19" ht="15" customHeight="1">
      <c r="B13" s="263"/>
      <c r="C13" s="24"/>
      <c r="D13" s="262">
        <f t="shared" si="0"/>
        <v>0</v>
      </c>
      <c r="E13" s="264">
        <v>0</v>
      </c>
      <c r="F13" s="32"/>
      <c r="G13" s="242"/>
      <c r="H13" s="147">
        <f t="shared" si="1"/>
        <v>0</v>
      </c>
      <c r="K13" s="55" t="s">
        <v>36</v>
      </c>
      <c r="L13" s="240"/>
      <c r="M13" s="203" t="e">
        <f t="shared" si="2"/>
        <v>#DIV/0!</v>
      </c>
      <c r="N13" s="241"/>
      <c r="O13" s="242"/>
      <c r="P13" s="215" t="str">
        <f t="shared" si="3"/>
        <v>-</v>
      </c>
      <c r="R13" s="218" t="s">
        <v>37</v>
      </c>
      <c r="S13" s="221"/>
    </row>
    <row r="14" spans="1:19" ht="15" customHeight="1">
      <c r="B14" s="263"/>
      <c r="C14" s="24"/>
      <c r="D14" s="262">
        <f t="shared" si="0"/>
        <v>0</v>
      </c>
      <c r="E14" s="264">
        <v>0</v>
      </c>
      <c r="F14" s="32"/>
      <c r="G14" s="242"/>
      <c r="H14" s="147">
        <f t="shared" si="1"/>
        <v>0</v>
      </c>
      <c r="K14" s="125" t="s">
        <v>38</v>
      </c>
      <c r="L14" s="213">
        <f>SUM(L9:L13)</f>
        <v>0</v>
      </c>
      <c r="M14" s="214" t="e">
        <f>SUM(M9:M13)</f>
        <v>#DIV/0!</v>
      </c>
      <c r="N14" s="126" t="e">
        <f>SUMPRODUCT(N9:N13,L9:L13)/L14</f>
        <v>#DIV/0!</v>
      </c>
      <c r="O14" s="127" t="e">
        <f>SUMPRODUCT(O9:O13,$L$9:$L$13)/$L$14</f>
        <v>#DIV/0!</v>
      </c>
      <c r="P14" s="216" t="str">
        <f t="shared" si="3"/>
        <v>-</v>
      </c>
    </row>
    <row r="15" spans="1:19" ht="15" customHeight="1">
      <c r="B15" s="206" t="s">
        <v>38</v>
      </c>
      <c r="C15" s="22"/>
      <c r="D15" s="148">
        <f>+SUM(D7:D14)</f>
        <v>150</v>
      </c>
      <c r="E15" s="149">
        <f>+SUM(E7:E14)</f>
        <v>1</v>
      </c>
      <c r="F15" s="148">
        <f>IFERROR(SUMPRODUCT(F7:F14,D7:D14)/D15,0)</f>
        <v>920</v>
      </c>
      <c r="G15" s="150">
        <f>IFERROR(SUMPRODUCT(G7:G14,E7:E14)/E15,0)</f>
        <v>2170</v>
      </c>
      <c r="H15" s="151">
        <f>IFERROR(G15/F15,0)</f>
        <v>2.3586956521739131</v>
      </c>
    </row>
    <row r="16" spans="1:19">
      <c r="K16" s="139" t="s">
        <v>39</v>
      </c>
      <c r="L16" s="169"/>
      <c r="M16" s="169"/>
      <c r="N16" s="169"/>
      <c r="O16" s="169"/>
      <c r="P16" s="140"/>
    </row>
    <row r="17" spans="2:19">
      <c r="B17" s="208" t="s">
        <v>28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16</v>
      </c>
      <c r="L17" s="211" t="s">
        <v>17</v>
      </c>
      <c r="M17" s="211" t="s">
        <v>18</v>
      </c>
      <c r="N17" s="211" t="s">
        <v>25</v>
      </c>
      <c r="O17" s="211" t="s">
        <v>26</v>
      </c>
      <c r="P17" s="212" t="s">
        <v>27</v>
      </c>
      <c r="R17" s="217" t="s">
        <v>16</v>
      </c>
      <c r="S17" s="219"/>
    </row>
    <row r="18" spans="2:19">
      <c r="B18" s="209" t="s">
        <v>22</v>
      </c>
      <c r="D18" s="154">
        <f>SUMIF($C$7:$C$14,$B18,D$7:D$14)</f>
        <v>90</v>
      </c>
      <c r="E18" s="146">
        <f t="shared" ref="E18:E21" si="4">IFERROR(D18/D$22,0)</f>
        <v>0.6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1950</v>
      </c>
      <c r="H18" s="147">
        <f t="shared" ref="H18:H22" si="5">IFERROR(G18/F18,0)</f>
        <v>2.4375</v>
      </c>
      <c r="K18" s="55" t="s">
        <v>28</v>
      </c>
      <c r="L18" s="240"/>
      <c r="M18" s="203" t="e">
        <f>L18/$L$14</f>
        <v>#DIV/0!</v>
      </c>
      <c r="N18" s="241"/>
      <c r="O18" s="242"/>
      <c r="P18" s="215" t="str">
        <f>IFERROR(O18/N18,"-")</f>
        <v>-</v>
      </c>
      <c r="R18" s="192" t="s">
        <v>29</v>
      </c>
      <c r="S18" s="220"/>
    </row>
    <row r="19" spans="2:19">
      <c r="B19" s="209" t="s">
        <v>24</v>
      </c>
      <c r="D19" s="154">
        <f>SUMIF($C$7:$C$14,$B19,D$7:D$14)</f>
        <v>60</v>
      </c>
      <c r="E19" s="146">
        <f t="shared" si="4"/>
        <v>0.4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2500</v>
      </c>
      <c r="H19" s="147">
        <f t="shared" si="5"/>
        <v>2.2727272727272729</v>
      </c>
      <c r="K19" s="55" t="s">
        <v>30</v>
      </c>
      <c r="L19" s="240"/>
      <c r="M19" s="203" t="e">
        <f t="shared" ref="M19:M22" si="6">L19/$L$14</f>
        <v>#DIV/0!</v>
      </c>
      <c r="N19" s="241"/>
      <c r="O19" s="242"/>
      <c r="P19" s="215" t="str">
        <f t="shared" ref="P19:P23" si="7">IFERROR(O19/N19,"-")</f>
        <v>-</v>
      </c>
      <c r="R19" s="192" t="s">
        <v>31</v>
      </c>
      <c r="S19" s="222"/>
    </row>
    <row r="20" spans="2:19">
      <c r="B20" s="209" t="s">
        <v>40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32</v>
      </c>
      <c r="L20" s="240"/>
      <c r="M20" s="203" t="e">
        <f t="shared" si="6"/>
        <v>#DIV/0!</v>
      </c>
      <c r="N20" s="241"/>
      <c r="O20" s="242"/>
      <c r="P20" s="215" t="str">
        <f t="shared" si="7"/>
        <v>-</v>
      </c>
      <c r="R20" s="192" t="s">
        <v>33</v>
      </c>
      <c r="S20" s="220"/>
    </row>
    <row r="21" spans="2:19">
      <c r="B21" s="209" t="s">
        <v>41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34</v>
      </c>
      <c r="L21" s="240"/>
      <c r="M21" s="203" t="e">
        <f t="shared" si="6"/>
        <v>#DIV/0!</v>
      </c>
      <c r="N21" s="241"/>
      <c r="O21" s="242"/>
      <c r="P21" s="215" t="str">
        <f t="shared" si="7"/>
        <v>-</v>
      </c>
      <c r="R21" s="192" t="s">
        <v>35</v>
      </c>
      <c r="S21" s="220"/>
    </row>
    <row r="22" spans="2:19">
      <c r="B22" s="206" t="s">
        <v>38</v>
      </c>
      <c r="C22" s="22"/>
      <c r="D22" s="148">
        <f>SUM(D17:D21)</f>
        <v>150</v>
      </c>
      <c r="E22" s="149">
        <f>SUM(E17:E21)</f>
        <v>1</v>
      </c>
      <c r="F22" s="148">
        <f>IFERROR(SUMPRODUCT(F17:F21,$D17:$D21)/$D22,0)</f>
        <v>920</v>
      </c>
      <c r="G22" s="150">
        <f>IFERROR(SUMPRODUCT(G17:G21,$D17:$D21)/$D22,0)</f>
        <v>2170</v>
      </c>
      <c r="H22" s="151">
        <f t="shared" si="5"/>
        <v>2.3586956521739131</v>
      </c>
      <c r="K22" s="55" t="s">
        <v>36</v>
      </c>
      <c r="L22" s="240"/>
      <c r="M22" s="203" t="e">
        <f t="shared" si="6"/>
        <v>#DIV/0!</v>
      </c>
      <c r="N22" s="241"/>
      <c r="O22" s="242"/>
      <c r="P22" s="215" t="str">
        <f t="shared" si="7"/>
        <v>-</v>
      </c>
      <c r="R22" s="218" t="s">
        <v>37</v>
      </c>
      <c r="S22" s="221"/>
    </row>
    <row r="23" spans="2:19">
      <c r="K23" s="125" t="s">
        <v>38</v>
      </c>
      <c r="L23" s="213">
        <f>SUM(L18:L22)</f>
        <v>0</v>
      </c>
      <c r="M23" s="214" t="e">
        <f>SUM(M18:M22)</f>
        <v>#DIV/0!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>
      <c r="C24" s="207"/>
      <c r="D24" s="207"/>
      <c r="E24" s="207"/>
      <c r="F24" s="207"/>
    </row>
    <row r="25" spans="2:19">
      <c r="C25" s="207"/>
      <c r="D25" s="207"/>
      <c r="E25" s="207"/>
      <c r="F25" s="207"/>
      <c r="K25" s="139" t="s">
        <v>42</v>
      </c>
      <c r="L25" s="169"/>
      <c r="M25" s="169"/>
      <c r="N25" s="169"/>
      <c r="O25" s="169"/>
      <c r="P25" s="140"/>
    </row>
    <row r="26" spans="2:19">
      <c r="C26" s="207"/>
      <c r="D26" s="207"/>
      <c r="E26" s="207"/>
      <c r="F26" s="207"/>
      <c r="K26" s="210" t="s">
        <v>16</v>
      </c>
      <c r="L26" s="211" t="s">
        <v>17</v>
      </c>
      <c r="M26" s="211" t="s">
        <v>18</v>
      </c>
      <c r="N26" s="211" t="s">
        <v>25</v>
      </c>
      <c r="O26" s="211" t="s">
        <v>26</v>
      </c>
      <c r="P26" s="212" t="s">
        <v>27</v>
      </c>
      <c r="R26" s="217" t="s">
        <v>16</v>
      </c>
      <c r="S26" s="219"/>
    </row>
    <row r="27" spans="2:19">
      <c r="C27" s="207"/>
      <c r="D27" s="207"/>
      <c r="E27" s="207"/>
      <c r="F27" s="207"/>
      <c r="K27" s="55" t="s">
        <v>28</v>
      </c>
      <c r="L27" s="240"/>
      <c r="M27" s="203" t="e">
        <f>L27/$L$14</f>
        <v>#DIV/0!</v>
      </c>
      <c r="N27" s="241"/>
      <c r="O27" s="242"/>
      <c r="P27" s="215" t="str">
        <f>IFERROR(O27/N27,"-")</f>
        <v>-</v>
      </c>
      <c r="R27" s="192" t="s">
        <v>29</v>
      </c>
      <c r="S27" s="220"/>
    </row>
    <row r="28" spans="2:19">
      <c r="C28" s="207"/>
      <c r="D28" s="207"/>
      <c r="E28" s="207"/>
      <c r="F28" s="207"/>
      <c r="K28" s="55" t="s">
        <v>30</v>
      </c>
      <c r="L28" s="240"/>
      <c r="M28" s="203" t="e">
        <f t="shared" ref="M28:M31" si="8">L28/$L$14</f>
        <v>#DIV/0!</v>
      </c>
      <c r="N28" s="241"/>
      <c r="O28" s="242"/>
      <c r="P28" s="215" t="str">
        <f t="shared" ref="P28:P32" si="9">IFERROR(O28/N28,"-")</f>
        <v>-</v>
      </c>
      <c r="R28" s="192" t="s">
        <v>31</v>
      </c>
      <c r="S28" s="222"/>
    </row>
    <row r="29" spans="2:19">
      <c r="C29" s="207"/>
      <c r="D29" s="207"/>
      <c r="E29" s="207"/>
      <c r="F29" s="207"/>
      <c r="K29" s="55" t="s">
        <v>32</v>
      </c>
      <c r="L29" s="240"/>
      <c r="M29" s="203" t="e">
        <f t="shared" si="8"/>
        <v>#DIV/0!</v>
      </c>
      <c r="N29" s="241"/>
      <c r="O29" s="242"/>
      <c r="P29" s="215" t="str">
        <f t="shared" si="9"/>
        <v>-</v>
      </c>
      <c r="R29" s="192" t="s">
        <v>33</v>
      </c>
      <c r="S29" s="220"/>
    </row>
    <row r="30" spans="2:19">
      <c r="C30" s="207"/>
      <c r="D30" s="207"/>
      <c r="E30" s="207"/>
      <c r="F30" s="207"/>
      <c r="K30" s="55" t="s">
        <v>34</v>
      </c>
      <c r="L30" s="240"/>
      <c r="M30" s="203" t="e">
        <f t="shared" si="8"/>
        <v>#DIV/0!</v>
      </c>
      <c r="N30" s="241"/>
      <c r="O30" s="242"/>
      <c r="P30" s="215" t="str">
        <f t="shared" si="9"/>
        <v>-</v>
      </c>
      <c r="R30" s="192" t="s">
        <v>35</v>
      </c>
      <c r="S30" s="220"/>
    </row>
    <row r="31" spans="2:19">
      <c r="C31" s="207"/>
      <c r="D31" s="207"/>
      <c r="E31" s="207"/>
      <c r="F31" s="207"/>
      <c r="K31" s="55" t="s">
        <v>36</v>
      </c>
      <c r="L31" s="240"/>
      <c r="M31" s="203" t="e">
        <f t="shared" si="8"/>
        <v>#DIV/0!</v>
      </c>
      <c r="N31" s="241"/>
      <c r="O31" s="242"/>
      <c r="P31" s="215" t="str">
        <f t="shared" si="9"/>
        <v>-</v>
      </c>
      <c r="R31" s="218" t="s">
        <v>37</v>
      </c>
      <c r="S31" s="221"/>
    </row>
    <row r="32" spans="2:19">
      <c r="C32" s="207"/>
      <c r="D32" s="207"/>
      <c r="E32" s="207"/>
      <c r="F32" s="207"/>
      <c r="K32" s="125" t="s">
        <v>38</v>
      </c>
      <c r="L32" s="213">
        <f>SUM(L27:L31)</f>
        <v>0</v>
      </c>
      <c r="M32" s="214" t="e">
        <f>SUM(M27:M31)</f>
        <v>#DIV/0!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>
      <c r="C33" s="207"/>
      <c r="D33" s="207"/>
      <c r="E33" s="207"/>
      <c r="F33" s="207"/>
    </row>
    <row r="34" spans="3:6">
      <c r="C34" s="207"/>
      <c r="D34" s="207"/>
      <c r="E34" s="207"/>
      <c r="F34" s="207"/>
    </row>
    <row r="35" spans="3:6">
      <c r="C35" s="207"/>
      <c r="D35" s="207"/>
      <c r="E35" s="207"/>
      <c r="F35" s="207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7" width="12.7109375" style="23" customWidth="1"/>
  </cols>
  <sheetData>
    <row r="3" spans="2:6">
      <c r="B3" s="120" t="s">
        <v>43</v>
      </c>
      <c r="C3" s="121" t="s">
        <v>17</v>
      </c>
      <c r="D3" s="121" t="s">
        <v>25</v>
      </c>
      <c r="E3" s="121" t="s">
        <v>26</v>
      </c>
      <c r="F3" s="121" t="s">
        <v>27</v>
      </c>
    </row>
    <row r="4" spans="2:6">
      <c r="B4" t="s">
        <v>28</v>
      </c>
      <c r="C4" s="23" t="s">
        <v>44</v>
      </c>
      <c r="D4" s="23" t="s">
        <v>44</v>
      </c>
      <c r="E4" s="23" t="s">
        <v>44</v>
      </c>
      <c r="F4" s="23" t="s">
        <v>44</v>
      </c>
    </row>
    <row r="5" spans="2:6">
      <c r="B5" t="s">
        <v>30</v>
      </c>
      <c r="C5" s="154">
        <f>'Unit Mix_vm'!D7</f>
        <v>90</v>
      </c>
      <c r="D5" s="154">
        <f>'Unit Mix_vm'!F7</f>
        <v>800</v>
      </c>
      <c r="E5" s="36">
        <f>'Unit Mix_vm'!G7</f>
        <v>1950</v>
      </c>
      <c r="F5" s="238">
        <f>E5/D5</f>
        <v>2.4375</v>
      </c>
    </row>
    <row r="6" spans="2:6">
      <c r="B6" t="s">
        <v>32</v>
      </c>
      <c r="C6" s="154">
        <f>'Unit Mix_vm'!D8</f>
        <v>60</v>
      </c>
      <c r="D6" s="154">
        <f>'Unit Mix_vm'!F8</f>
        <v>1100</v>
      </c>
      <c r="E6" s="36">
        <f>'Unit Mix_vm'!G8</f>
        <v>2500</v>
      </c>
      <c r="F6" s="238">
        <f t="shared" ref="F6" si="0">E6/D6</f>
        <v>2.2727272727272729</v>
      </c>
    </row>
    <row r="7" spans="2:6">
      <c r="B7" t="s">
        <v>34</v>
      </c>
      <c r="C7" s="23" t="s">
        <v>44</v>
      </c>
      <c r="D7" s="23" t="s">
        <v>44</v>
      </c>
      <c r="E7" s="23" t="s">
        <v>44</v>
      </c>
      <c r="F7" s="23" t="s">
        <v>44</v>
      </c>
    </row>
    <row r="8" spans="2:6">
      <c r="B8" t="s">
        <v>36</v>
      </c>
      <c r="C8" s="23" t="s">
        <v>44</v>
      </c>
      <c r="D8" s="23" t="s">
        <v>44</v>
      </c>
      <c r="E8" s="23" t="s">
        <v>44</v>
      </c>
      <c r="F8" s="23" t="s">
        <v>44</v>
      </c>
    </row>
    <row r="9" spans="2:6">
      <c r="B9" s="3" t="s">
        <v>45</v>
      </c>
      <c r="C9" s="152">
        <f>'Unit Mix_vm'!D15</f>
        <v>150</v>
      </c>
      <c r="D9" s="152">
        <f>'Unit Mix_vm'!F15</f>
        <v>920</v>
      </c>
      <c r="E9" s="35">
        <f>'Unit Mix_vm'!G15</f>
        <v>2170</v>
      </c>
      <c r="F9" s="258">
        <f>'Unit Mix_vm'!H15</f>
        <v>2.3586956521739131</v>
      </c>
    </row>
    <row r="11" spans="2:6">
      <c r="B11" s="120" t="s">
        <v>46</v>
      </c>
      <c r="C11" s="121" t="s">
        <v>38</v>
      </c>
      <c r="D11" s="121" t="s">
        <v>47</v>
      </c>
      <c r="E11" s="121" t="s">
        <v>48</v>
      </c>
      <c r="F11" s="121" t="s">
        <v>49</v>
      </c>
    </row>
    <row r="12" spans="2:6">
      <c r="B12" t="s">
        <v>50</v>
      </c>
      <c r="C12" s="36">
        <f>Budget_vm!D8</f>
        <v>4500000</v>
      </c>
      <c r="D12" s="36">
        <f>C12/'Unit Mix_vm'!$D$15</f>
        <v>30000</v>
      </c>
      <c r="E12" s="36">
        <f>D12/'Unit Mix_vm'!$F$15</f>
        <v>32.608695652173914</v>
      </c>
      <c r="F12" s="42">
        <f ca="1">C12/$C$51</f>
        <v>0.1117739189411661</v>
      </c>
    </row>
    <row r="13" spans="2:6">
      <c r="B13" t="s">
        <v>51</v>
      </c>
      <c r="C13" s="36">
        <f ca="1">Budget_vm!D11</f>
        <v>120779.51751070203</v>
      </c>
      <c r="D13" s="36">
        <f ca="1">C13/'Unit Mix_vm'!$D$15</f>
        <v>805.19678340468022</v>
      </c>
      <c r="E13" s="36">
        <f ca="1">D13/'Unit Mix_vm'!$F$15</f>
        <v>0.87521389500508717</v>
      </c>
      <c r="F13" s="42">
        <f t="shared" ref="F13:F51" ca="1" si="1">C13/$C$51</f>
        <v>2.9999999999987472E-3</v>
      </c>
    </row>
    <row r="14" spans="2:6">
      <c r="B14" t="s">
        <v>52</v>
      </c>
      <c r="C14" s="36">
        <f ca="1">Budget_vm!D12</f>
        <v>181169.2762661172</v>
      </c>
      <c r="D14" s="36">
        <f ca="1">C14/'Unit Mix_vm'!$D$15</f>
        <v>1207.7951751074479</v>
      </c>
      <c r="E14" s="36">
        <f ca="1">D14/'Unit Mix_vm'!$F$15</f>
        <v>1.3128208425080956</v>
      </c>
      <c r="F14" s="42">
        <f t="shared" ca="1" si="1"/>
        <v>4.4999999999997143E-3</v>
      </c>
    </row>
    <row r="15" spans="2:6">
      <c r="B15" t="s">
        <v>53</v>
      </c>
      <c r="C15" s="36">
        <f>Budget_vm!D20</f>
        <v>400000</v>
      </c>
      <c r="D15" s="36">
        <f>C15/'Unit Mix_vm'!$D$15</f>
        <v>2666.6666666666665</v>
      </c>
      <c r="E15" s="36">
        <f>D15/'Unit Mix_vm'!$F$15</f>
        <v>2.8985507246376812</v>
      </c>
      <c r="F15" s="42">
        <f t="shared" ca="1" si="1"/>
        <v>9.9354594614369882E-3</v>
      </c>
    </row>
    <row r="16" spans="2:6">
      <c r="B16" t="s">
        <v>54</v>
      </c>
      <c r="C16" s="36">
        <f>Budget_vm!D21</f>
        <v>300000</v>
      </c>
      <c r="D16" s="36">
        <f>C16/'Unit Mix_vm'!$D$15</f>
        <v>2000</v>
      </c>
      <c r="E16" s="36">
        <f>D16/'Unit Mix_vm'!$F$15</f>
        <v>2.1739130434782608</v>
      </c>
      <c r="F16" s="42">
        <f t="shared" ca="1" si="1"/>
        <v>7.4515945960777407E-3</v>
      </c>
    </row>
    <row r="17" spans="2:6">
      <c r="B17" t="s">
        <v>55</v>
      </c>
      <c r="C17" s="36">
        <f>Budget_vm!D22</f>
        <v>1125000</v>
      </c>
      <c r="D17" s="36">
        <f>C17/'Unit Mix_vm'!$D$15</f>
        <v>7500</v>
      </c>
      <c r="E17" s="36">
        <f>D17/'Unit Mix_vm'!$F$15</f>
        <v>8.1521739130434785</v>
      </c>
      <c r="F17" s="42">
        <f t="shared" ca="1" si="1"/>
        <v>2.7943479735291526E-2</v>
      </c>
    </row>
    <row r="18" spans="2:6">
      <c r="B18" t="s">
        <v>56</v>
      </c>
      <c r="C18" s="36">
        <f ca="1">Budget_vm!D27</f>
        <v>1251594.3709587788</v>
      </c>
      <c r="D18" s="36">
        <f ca="1">C18/'Unit Mix_vm'!$D$15</f>
        <v>8343.9624730585256</v>
      </c>
      <c r="E18" s="36">
        <f ca="1">D18/'Unit Mix_vm'!$F$15</f>
        <v>9.0695244272375284</v>
      </c>
      <c r="F18" s="42">
        <f t="shared" ca="1" si="1"/>
        <v>3.1087912837059185E-2</v>
      </c>
    </row>
    <row r="19" spans="2:6">
      <c r="B19" t="s">
        <v>57</v>
      </c>
      <c r="C19" s="36">
        <f>Budget_vm!D28</f>
        <v>220800</v>
      </c>
      <c r="D19" s="36">
        <f>C19/'Unit Mix_vm'!$D$15</f>
        <v>1472</v>
      </c>
      <c r="E19" s="36">
        <f>D19/'Unit Mix_vm'!$F$15</f>
        <v>1.6</v>
      </c>
      <c r="F19" s="42">
        <f t="shared" ca="1" si="1"/>
        <v>5.4843736227132168E-3</v>
      </c>
    </row>
    <row r="20" spans="2:6">
      <c r="B20" t="s">
        <v>58</v>
      </c>
      <c r="C20" s="36">
        <f>Budget_vm!D29</f>
        <v>300000</v>
      </c>
      <c r="D20" s="36">
        <f>C20/'Unit Mix_vm'!$D$15</f>
        <v>2000</v>
      </c>
      <c r="E20" s="36">
        <f>D20/'Unit Mix_vm'!$F$15</f>
        <v>2.1739130434782608</v>
      </c>
      <c r="F20" s="42">
        <f t="shared" ca="1" si="1"/>
        <v>7.4515945960777407E-3</v>
      </c>
    </row>
    <row r="21" spans="2:6">
      <c r="B21" t="s">
        <v>59</v>
      </c>
      <c r="C21" s="36">
        <f>Budget_vm!D33</f>
        <v>300000</v>
      </c>
      <c r="D21" s="36">
        <f>C21/'Unit Mix_vm'!$D$15</f>
        <v>2000</v>
      </c>
      <c r="E21" s="36">
        <f>D21/'Unit Mix_vm'!$F$15</f>
        <v>2.1739130434782608</v>
      </c>
      <c r="F21" s="42">
        <f t="shared" ca="1" si="1"/>
        <v>7.4515945960777407E-3</v>
      </c>
    </row>
    <row r="22" spans="2:6">
      <c r="B22" t="s">
        <v>60</v>
      </c>
      <c r="C22" s="36">
        <f>Budget_vm!D34</f>
        <v>200000</v>
      </c>
      <c r="D22" s="36">
        <f>C22/'Unit Mix_vm'!$D$15</f>
        <v>1333.3333333333333</v>
      </c>
      <c r="E22" s="36">
        <f>D22/'Unit Mix_vm'!$F$15</f>
        <v>1.4492753623188406</v>
      </c>
      <c r="F22" s="42">
        <f t="shared" ca="1" si="1"/>
        <v>4.9677297307184941E-3</v>
      </c>
    </row>
    <row r="23" spans="2:6">
      <c r="B23" t="s">
        <v>61</v>
      </c>
      <c r="C23" s="36">
        <f>Budget_vm!D35</f>
        <v>200000</v>
      </c>
      <c r="D23" s="36">
        <f>C23/'Unit Mix_vm'!$D$15</f>
        <v>1333.3333333333333</v>
      </c>
      <c r="E23" s="36">
        <f>D23/'Unit Mix_vm'!$F$15</f>
        <v>1.4492753623188406</v>
      </c>
      <c r="F23" s="42">
        <f t="shared" ca="1" si="1"/>
        <v>4.9677297307184941E-3</v>
      </c>
    </row>
    <row r="24" spans="2:6">
      <c r="B24" t="s">
        <v>62</v>
      </c>
      <c r="C24" s="36">
        <f>Budget_vm!D36</f>
        <v>400000</v>
      </c>
      <c r="D24" s="36">
        <f>C24/'Unit Mix_vm'!$D$15</f>
        <v>2666.6666666666665</v>
      </c>
      <c r="E24" s="36">
        <f>D24/'Unit Mix_vm'!$F$15</f>
        <v>2.8985507246376812</v>
      </c>
      <c r="F24" s="42">
        <f t="shared" ca="1" si="1"/>
        <v>9.9354594614369882E-3</v>
      </c>
    </row>
    <row r="25" spans="2:6">
      <c r="B25" t="s">
        <v>63</v>
      </c>
      <c r="C25" s="36">
        <f>Budget_vm!D38</f>
        <v>50000</v>
      </c>
      <c r="D25" s="36">
        <f>C25/'Unit Mix_vm'!$D$15</f>
        <v>333.33333333333331</v>
      </c>
      <c r="E25" s="36">
        <f>D25/'Unit Mix_vm'!$F$15</f>
        <v>0.36231884057971014</v>
      </c>
      <c r="F25" s="42">
        <f t="shared" ca="1" si="1"/>
        <v>1.2419324326796235E-3</v>
      </c>
    </row>
    <row r="26" spans="2:6">
      <c r="B26" t="s">
        <v>64</v>
      </c>
      <c r="C26" s="36">
        <f ca="1">Budget_vm!D39</f>
        <v>27779.289027473063</v>
      </c>
      <c r="D26" s="36">
        <f ca="1">C26/'Unit Mix_vm'!$D$15</f>
        <v>185.19526018315375</v>
      </c>
      <c r="E26" s="36">
        <f ca="1">D26/'Unit Mix_vm'!$F$15</f>
        <v>0.20129919585125408</v>
      </c>
      <c r="F26" s="42">
        <f t="shared" ca="1" si="1"/>
        <v>6.8999999999999986E-4</v>
      </c>
    </row>
    <row r="27" spans="2:6">
      <c r="B27" t="s">
        <v>65</v>
      </c>
      <c r="C27" s="36">
        <f ca="1">Budget_vm!D40</f>
        <v>416992.55253224622</v>
      </c>
      <c r="D27" s="36">
        <f ca="1">C27/'Unit Mix_vm'!$D$15</f>
        <v>2779.9503502149746</v>
      </c>
      <c r="E27" s="36">
        <f ca="1">D27/'Unit Mix_vm'!$F$15</f>
        <v>3.0216851632771462</v>
      </c>
      <c r="F27" s="42">
        <f t="shared" ca="1" si="1"/>
        <v>1.0357531503513165E-2</v>
      </c>
    </row>
    <row r="28" spans="2:6">
      <c r="B28" t="s">
        <v>66</v>
      </c>
      <c r="C28" s="36">
        <f>Budget_vm!D41</f>
        <v>85232.205443447368</v>
      </c>
      <c r="D28" s="36">
        <f>C28/'Unit Mix_vm'!$D$15</f>
        <v>568.21470295631582</v>
      </c>
      <c r="E28" s="36">
        <f>D28/'Unit Mix_vm'!$F$15</f>
        <v>0.61762467712643021</v>
      </c>
      <c r="F28" s="42">
        <f t="shared" ca="1" si="1"/>
        <v>2.1170528049806007E-3</v>
      </c>
    </row>
    <row r="29" spans="2:6">
      <c r="B29" t="s">
        <v>67</v>
      </c>
      <c r="C29" s="36">
        <f>Budget_vm!D43</f>
        <v>50000</v>
      </c>
      <c r="D29" s="36">
        <f>C29/'Unit Mix_vm'!$D$15</f>
        <v>333.33333333333331</v>
      </c>
      <c r="E29" s="36">
        <f>D29/'Unit Mix_vm'!$F$15</f>
        <v>0.36231884057971014</v>
      </c>
      <c r="F29" s="42">
        <f t="shared" ca="1" si="1"/>
        <v>1.2419324326796235E-3</v>
      </c>
    </row>
    <row r="30" spans="2:6">
      <c r="B30" t="s">
        <v>68</v>
      </c>
      <c r="C30" s="36">
        <f>Budget_vm!D48</f>
        <v>525000</v>
      </c>
      <c r="D30" s="36">
        <f>C30/'Unit Mix_vm'!$D$15</f>
        <v>3500</v>
      </c>
      <c r="E30" s="36">
        <f>D30/'Unit Mix_vm'!$F$15</f>
        <v>3.8043478260869565</v>
      </c>
      <c r="F30" s="42">
        <f t="shared" ca="1" si="1"/>
        <v>1.3040290543136046E-2</v>
      </c>
    </row>
    <row r="31" spans="2:6">
      <c r="B31" t="s">
        <v>69</v>
      </c>
      <c r="C31" s="36">
        <f>Budget_vm!D49</f>
        <v>75000</v>
      </c>
      <c r="D31" s="36">
        <f>C31/'Unit Mix_vm'!$D$15</f>
        <v>500</v>
      </c>
      <c r="E31" s="36">
        <f>D31/'Unit Mix_vm'!$F$15</f>
        <v>0.54347826086956519</v>
      </c>
      <c r="F31" s="42">
        <f t="shared" ca="1" si="1"/>
        <v>1.8628986490194352E-3</v>
      </c>
    </row>
    <row r="32" spans="2:6">
      <c r="B32" t="s">
        <v>70</v>
      </c>
      <c r="C32" s="36">
        <f>Budget_vm!D50</f>
        <v>50000</v>
      </c>
      <c r="D32" s="36">
        <f>C32/'Unit Mix_vm'!$D$15</f>
        <v>333.33333333333331</v>
      </c>
      <c r="E32" s="36">
        <f>D32/'Unit Mix_vm'!$F$15</f>
        <v>0.36231884057971014</v>
      </c>
      <c r="F32" s="42">
        <f t="shared" ca="1" si="1"/>
        <v>1.2419324326796235E-3</v>
      </c>
    </row>
    <row r="33" spans="2:6">
      <c r="B33" t="s">
        <v>71</v>
      </c>
      <c r="C33" s="36">
        <f>Budget_vm!D51</f>
        <v>300000</v>
      </c>
      <c r="D33" s="36">
        <f>C33/'Unit Mix_vm'!$D$15</f>
        <v>2000</v>
      </c>
      <c r="E33" s="36">
        <f>D33/'Unit Mix_vm'!$F$15</f>
        <v>2.1739130434782608</v>
      </c>
      <c r="F33" s="42">
        <f t="shared" ca="1" si="1"/>
        <v>7.4515945960777407E-3</v>
      </c>
    </row>
    <row r="34" spans="2:6">
      <c r="B34" t="s">
        <v>72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>
      <c r="B35" t="s">
        <v>73</v>
      </c>
      <c r="C35" s="36">
        <f>Budget_vm!D53</f>
        <v>150000</v>
      </c>
      <c r="D35" s="36">
        <f>C35/'Unit Mix_vm'!$D$15</f>
        <v>1000</v>
      </c>
      <c r="E35" s="36">
        <f>D35/'Unit Mix_vm'!$F$15</f>
        <v>1.0869565217391304</v>
      </c>
      <c r="F35" s="42">
        <f t="shared" ca="1" si="1"/>
        <v>3.7257972980388704E-3</v>
      </c>
    </row>
    <row r="36" spans="2:6">
      <c r="B36" t="s">
        <v>74</v>
      </c>
      <c r="C36" s="36">
        <f>Budget_vm!D54</f>
        <v>35000</v>
      </c>
      <c r="D36" s="36">
        <f>C36/'Unit Mix_vm'!$D$15</f>
        <v>233.33333333333334</v>
      </c>
      <c r="E36" s="36">
        <f>D36/'Unit Mix_vm'!$F$15</f>
        <v>0.25362318840579712</v>
      </c>
      <c r="F36" s="42">
        <f t="shared" ca="1" si="1"/>
        <v>8.6935270287573645E-4</v>
      </c>
    </row>
    <row r="37" spans="2:6">
      <c r="B37" t="s">
        <v>75</v>
      </c>
      <c r="C37" s="36">
        <f>Budget_vm!D55</f>
        <v>300000</v>
      </c>
      <c r="D37" s="36">
        <f>C37/'Unit Mix_vm'!$D$15</f>
        <v>2000</v>
      </c>
      <c r="E37" s="36">
        <f>D37/'Unit Mix_vm'!$F$15</f>
        <v>2.1739130434782608</v>
      </c>
      <c r="F37" s="42">
        <f t="shared" ca="1" si="1"/>
        <v>7.4515945960777407E-3</v>
      </c>
    </row>
    <row r="38" spans="2:6">
      <c r="B38" t="s">
        <v>76</v>
      </c>
      <c r="C38" s="36">
        <f>Budget_vm!D56</f>
        <v>450000</v>
      </c>
      <c r="D38" s="36">
        <f>C38/'Unit Mix_vm'!$D$15</f>
        <v>3000</v>
      </c>
      <c r="E38" s="36">
        <f>D38/'Unit Mix_vm'!$F$15</f>
        <v>3.2608695652173911</v>
      </c>
      <c r="F38" s="42">
        <f t="shared" ca="1" si="1"/>
        <v>1.1177391894116611E-2</v>
      </c>
    </row>
    <row r="39" spans="2:6">
      <c r="B39" t="s">
        <v>77</v>
      </c>
      <c r="C39" s="36">
        <f>Budget_vm!D57</f>
        <v>25000</v>
      </c>
      <c r="D39" s="36">
        <f>C39/'Unit Mix_vm'!$D$15</f>
        <v>166.66666666666666</v>
      </c>
      <c r="E39" s="36">
        <f>D39/'Unit Mix_vm'!$F$15</f>
        <v>0.18115942028985507</v>
      </c>
      <c r="F39" s="42">
        <f t="shared" ca="1" si="1"/>
        <v>6.2096621633981176E-4</v>
      </c>
    </row>
    <row r="40" spans="2:6">
      <c r="B40" t="s">
        <v>78</v>
      </c>
      <c r="C40" s="36">
        <f>Budget_vm!D58</f>
        <v>750000</v>
      </c>
      <c r="D40" s="36">
        <f>C40/'Unit Mix_vm'!$D$15</f>
        <v>5000</v>
      </c>
      <c r="E40" s="36">
        <f>D40/'Unit Mix_vm'!$F$15</f>
        <v>5.4347826086956523</v>
      </c>
      <c r="F40" s="42">
        <f t="shared" ca="1" si="1"/>
        <v>1.8628986490194351E-2</v>
      </c>
    </row>
    <row r="41" spans="2:6">
      <c r="B41" t="s">
        <v>79</v>
      </c>
      <c r="C41" s="36">
        <f>Budget_vm!D59</f>
        <v>80000</v>
      </c>
      <c r="D41" s="36">
        <f>C41/'Unit Mix_vm'!$D$15</f>
        <v>533.33333333333337</v>
      </c>
      <c r="E41" s="36">
        <f>D41/'Unit Mix_vm'!$F$15</f>
        <v>0.57971014492753625</v>
      </c>
      <c r="F41" s="42">
        <f t="shared" ca="1" si="1"/>
        <v>1.9870918922873975E-3</v>
      </c>
    </row>
    <row r="42" spans="2:6">
      <c r="B42" t="s">
        <v>80</v>
      </c>
      <c r="C42" s="36">
        <f>Budget_vm!D60</f>
        <v>100000</v>
      </c>
      <c r="D42" s="36">
        <f>C42/'Unit Mix_vm'!$D$15</f>
        <v>666.66666666666663</v>
      </c>
      <c r="E42" s="36">
        <f>D42/'Unit Mix_vm'!$F$15</f>
        <v>0.72463768115942029</v>
      </c>
      <c r="F42" s="42">
        <f t="shared" ca="1" si="1"/>
        <v>2.4838648653592471E-3</v>
      </c>
    </row>
    <row r="43" spans="2:6">
      <c r="B43" t="s">
        <v>81</v>
      </c>
      <c r="C43" s="36">
        <f>Budget_vm!D61</f>
        <v>100000</v>
      </c>
      <c r="D43" s="36">
        <f>C43/'Unit Mix_vm'!$D$15</f>
        <v>666.66666666666663</v>
      </c>
      <c r="E43" s="36">
        <f>D43/'Unit Mix_vm'!$F$15</f>
        <v>0.72463768115942029</v>
      </c>
      <c r="F43" s="42">
        <f t="shared" ca="1" si="1"/>
        <v>2.4838648653592471E-3</v>
      </c>
    </row>
    <row r="44" spans="2:6">
      <c r="B44" t="s">
        <v>82</v>
      </c>
      <c r="C44" s="36">
        <f>Budget_vm!D62</f>
        <v>150000</v>
      </c>
      <c r="D44" s="36">
        <f>C44/'Unit Mix_vm'!$D$15</f>
        <v>1000</v>
      </c>
      <c r="E44" s="36">
        <f>D44/'Unit Mix_vm'!$F$15</f>
        <v>1.0869565217391304</v>
      </c>
      <c r="F44" s="42">
        <f t="shared" ca="1" si="1"/>
        <v>3.7257972980388704E-3</v>
      </c>
    </row>
    <row r="45" spans="2:6">
      <c r="B45" t="s">
        <v>83</v>
      </c>
      <c r="C45" s="36">
        <f>Budget_vm!D63</f>
        <v>22500</v>
      </c>
      <c r="D45" s="36">
        <f>C45/'Unit Mix_vm'!$D$15</f>
        <v>150</v>
      </c>
      <c r="E45" s="36">
        <f>D45/'Unit Mix_vm'!$F$15</f>
        <v>0.16304347826086957</v>
      </c>
      <c r="F45" s="42">
        <f t="shared" ca="1" si="1"/>
        <v>5.5886959470583051E-4</v>
      </c>
    </row>
    <row r="46" spans="2:6">
      <c r="B46" t="s">
        <v>84</v>
      </c>
      <c r="C46" s="36">
        <f>Budget_vm!D64</f>
        <v>150000</v>
      </c>
      <c r="D46" s="36">
        <f>C46/'Unit Mix_vm'!$D$15</f>
        <v>1000</v>
      </c>
      <c r="E46" s="36">
        <f>D46/'Unit Mix_vm'!$F$15</f>
        <v>1.0869565217391304</v>
      </c>
      <c r="F46" s="42">
        <f t="shared" ca="1" si="1"/>
        <v>3.7257972980388704E-3</v>
      </c>
    </row>
    <row r="47" spans="2:6">
      <c r="B47" t="s">
        <v>85</v>
      </c>
      <c r="C47" s="36">
        <f>Budget_vm!D69</f>
        <v>22080000</v>
      </c>
      <c r="D47" s="36">
        <f>C47/'Unit Mix_vm'!$D$15</f>
        <v>147200</v>
      </c>
      <c r="E47" s="36">
        <f>D47/'Unit Mix_vm'!$F$15</f>
        <v>160</v>
      </c>
      <c r="F47" s="42">
        <f t="shared" ca="1" si="1"/>
        <v>0.54843736227132167</v>
      </c>
    </row>
    <row r="48" spans="2:6">
      <c r="B48" t="s">
        <v>86</v>
      </c>
      <c r="C48" s="36">
        <f>Budget_vm!D72</f>
        <v>3000000</v>
      </c>
      <c r="D48" s="36">
        <f>C48/'Unit Mix_vm'!$D$15</f>
        <v>20000</v>
      </c>
      <c r="E48" s="36">
        <f>D48/'Unit Mix_vm'!$F$15</f>
        <v>21.739130434782609</v>
      </c>
      <c r="F48" s="42">
        <f t="shared" ca="1" si="1"/>
        <v>7.4515945960777402E-2</v>
      </c>
    </row>
    <row r="49" spans="2:6">
      <c r="B49" t="s">
        <v>87</v>
      </c>
      <c r="C49" s="36">
        <f>Budget_vm!D83</f>
        <v>1254000</v>
      </c>
      <c r="D49" s="36">
        <f>C49/'Unit Mix_vm'!$D$15</f>
        <v>8360</v>
      </c>
      <c r="E49" s="36">
        <f>D49/'Unit Mix_vm'!$F$15</f>
        <v>9.0869565217391308</v>
      </c>
      <c r="F49" s="42">
        <f t="shared" ca="1" si="1"/>
        <v>3.1147665411604956E-2</v>
      </c>
    </row>
    <row r="50" spans="2:6">
      <c r="B50" t="s">
        <v>88</v>
      </c>
      <c r="C50" s="36">
        <f ca="1">Budget_vm!D84</f>
        <v>533991.95851255429</v>
      </c>
      <c r="D50" s="36">
        <f ca="1">C50/'Unit Mix_vm'!$D$15</f>
        <v>3559.9463900836954</v>
      </c>
      <c r="E50" s="36">
        <f ca="1">D50/'Unit Mix_vm'!$F$15</f>
        <v>3.8695069457431472</v>
      </c>
      <c r="F50" s="42">
        <f t="shared" ca="1" si="1"/>
        <v>1.3263638641337063E-2</v>
      </c>
    </row>
    <row r="51" spans="2:6">
      <c r="B51" s="3" t="s">
        <v>89</v>
      </c>
      <c r="C51" s="35">
        <f ca="1">SUM(C12:C50)</f>
        <v>40259839.170251317</v>
      </c>
      <c r="D51" s="35">
        <f ca="1">C51/'Unit Mix_vm'!$D$15</f>
        <v>268398.92780167545</v>
      </c>
      <c r="E51" s="35">
        <f ca="1">D51/'Unit Mix_vm'!$F$15</f>
        <v>291.73796500182112</v>
      </c>
      <c r="F51" s="259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Normal="100" workbookViewId="0">
      <pane ySplit="6" topLeftCell="A7" activePane="bottomLeft" state="frozen"/>
      <selection pane="bottomLeft"/>
    </sheetView>
  </sheetViews>
  <sheetFormatPr defaultColWidth="9.140625" defaultRowHeight="1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1" customFormat="1" ht="26.25">
      <c r="A1" s="144" t="str">
        <f>TEXT(Global!$C$7,"")</f>
        <v>Property Name</v>
      </c>
    </row>
    <row r="2" spans="1:17" s="141" customFormat="1" ht="19.5">
      <c r="A2" s="145" t="s">
        <v>90</v>
      </c>
    </row>
    <row r="6" spans="1:17">
      <c r="B6" s="120" t="s">
        <v>91</v>
      </c>
      <c r="C6" s="121" t="s">
        <v>92</v>
      </c>
      <c r="D6" s="121" t="s">
        <v>93</v>
      </c>
      <c r="E6" s="121" t="s">
        <v>47</v>
      </c>
      <c r="F6" s="121" t="s">
        <v>94</v>
      </c>
      <c r="G6" s="121" t="s">
        <v>95</v>
      </c>
    </row>
    <row r="7" spans="1:17">
      <c r="B7" s="12" t="s">
        <v>50</v>
      </c>
      <c r="C7" s="12"/>
      <c r="D7" s="12"/>
      <c r="E7" s="12"/>
      <c r="F7" s="12"/>
      <c r="G7" s="12"/>
      <c r="M7" s="157" t="s">
        <v>96</v>
      </c>
      <c r="N7" s="121" t="s">
        <v>93</v>
      </c>
      <c r="O7" s="121" t="s">
        <v>47</v>
      </c>
      <c r="P7" s="121" t="s">
        <v>94</v>
      </c>
      <c r="Q7" s="121" t="s">
        <v>95</v>
      </c>
    </row>
    <row r="8" spans="1:17">
      <c r="B8" t="s">
        <v>97</v>
      </c>
      <c r="C8" s="24" t="s">
        <v>50</v>
      </c>
      <c r="D8" s="51">
        <f>E8*'Unit Mix_vm'!$D$15</f>
        <v>4500000</v>
      </c>
      <c r="E8" s="250">
        <v>30000</v>
      </c>
      <c r="F8" s="37">
        <f>IFERROR(E8/'Unit Mix_vm'!$F$15,0)</f>
        <v>32.608695652173914</v>
      </c>
      <c r="G8" s="25">
        <f ca="1">+IFERROR(D8/D$88,0)</f>
        <v>0.11177391894116613</v>
      </c>
      <c r="M8" s="28" t="s">
        <v>98</v>
      </c>
    </row>
    <row r="9" spans="1:17">
      <c r="D9" s="14"/>
      <c r="E9" s="14"/>
      <c r="F9" s="14"/>
      <c r="M9" t="s">
        <v>99</v>
      </c>
      <c r="N9" s="51">
        <f ca="1">N41</f>
        <v>16103935.66809931</v>
      </c>
      <c r="O9" s="37">
        <f ca="1">IFERROR(N9/'Unit Mix_vm'!$D$15,0)</f>
        <v>107359.57112066206</v>
      </c>
      <c r="P9" s="37">
        <f ca="1">IFERROR(O9/'Unit Mix_vm'!$F$15,0)</f>
        <v>116.69518600071963</v>
      </c>
      <c r="Q9" s="25">
        <f ca="1">IFERROR(N9/N$12,0)</f>
        <v>0.40000000000014174</v>
      </c>
    </row>
    <row r="10" spans="1:17">
      <c r="B10" s="12" t="s">
        <v>100</v>
      </c>
      <c r="C10" s="12"/>
      <c r="D10" s="15"/>
      <c r="E10" s="15"/>
      <c r="F10" s="15"/>
      <c r="G10" s="12"/>
      <c r="M10" t="s">
        <v>101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51</v>
      </c>
      <c r="C11" s="24" t="s">
        <v>102</v>
      </c>
      <c r="D11" s="51">
        <f ca="1">+IF(Global!$C$16="On",0,I11*$N$11)</f>
        <v>120779.51751070203</v>
      </c>
      <c r="E11" s="37">
        <f ca="1">IFERROR(D11/'Unit Mix_vm'!$D$15,0)</f>
        <v>805.19678340468022</v>
      </c>
      <c r="F11" s="37">
        <f ca="1">IFERROR(E11/'Unit Mix_vm'!$F$15,0)</f>
        <v>0.87521389500508717</v>
      </c>
      <c r="G11" s="25">
        <f t="shared" ref="G11:G23" ca="1" si="1">+IFERROR(D11/D$88,0)</f>
        <v>2.9999999999987476E-3</v>
      </c>
      <c r="I11" s="21">
        <v>5.0000000000000001E-3</v>
      </c>
      <c r="J11" s="20" t="s">
        <v>103</v>
      </c>
      <c r="M11" t="s">
        <v>104</v>
      </c>
      <c r="N11" s="51">
        <f ca="1">+N23</f>
        <v>24155903.50214896</v>
      </c>
      <c r="O11" s="37">
        <f ca="1">IFERROR(N11/'Unit Mix_vm'!$D$15,0)</f>
        <v>161039.35668099308</v>
      </c>
      <c r="P11" s="37">
        <f ca="1">IFERROR(O11/'Unit Mix_vm'!$F$15,0)</f>
        <v>175.04277900107942</v>
      </c>
      <c r="Q11" s="25">
        <f t="shared" ca="1" si="0"/>
        <v>0.60000000000021247</v>
      </c>
    </row>
    <row r="12" spans="1:17">
      <c r="B12" t="s">
        <v>52</v>
      </c>
      <c r="C12" s="24" t="s">
        <v>102</v>
      </c>
      <c r="D12" s="51">
        <f ca="1">+IF(Global!$C$16="On",0,I12*$N$11)</f>
        <v>181169.2762661172</v>
      </c>
      <c r="E12" s="37">
        <f ca="1">IFERROR(D12/'Unit Mix_vm'!$D$15,0)</f>
        <v>1207.7951751074479</v>
      </c>
      <c r="F12" s="37">
        <f ca="1">IFERROR(E12/'Unit Mix_vm'!$F$15,0)</f>
        <v>1.3128208425080956</v>
      </c>
      <c r="G12" s="25">
        <f t="shared" ca="1" si="1"/>
        <v>4.4999999999997152E-3</v>
      </c>
      <c r="I12" s="21">
        <v>7.4999999999999997E-3</v>
      </c>
      <c r="J12" s="20" t="s">
        <v>103</v>
      </c>
      <c r="M12" s="3" t="s">
        <v>105</v>
      </c>
      <c r="N12" s="13">
        <f ca="1">SUM(N9:N11)</f>
        <v>40259839.17024827</v>
      </c>
      <c r="O12" s="13">
        <f ca="1">SUM(O9:O11)</f>
        <v>268398.92780165514</v>
      </c>
      <c r="P12" s="29">
        <f ca="1">SUM(P9:P11)</f>
        <v>291.73796500179907</v>
      </c>
      <c r="Q12" s="26">
        <f ca="1">SUM(Q9:Q11)</f>
        <v>1.0000000000003542</v>
      </c>
    </row>
    <row r="13" spans="1:17">
      <c r="B13" t="s">
        <v>106</v>
      </c>
      <c r="C13" s="24" t="s">
        <v>102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107</v>
      </c>
      <c r="C14" s="24" t="s">
        <v>102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108</v>
      </c>
      <c r="M14" s="28" t="s">
        <v>109</v>
      </c>
    </row>
    <row r="15" spans="1:17">
      <c r="B15" t="s">
        <v>110</v>
      </c>
      <c r="C15" s="24" t="s">
        <v>102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108</v>
      </c>
      <c r="M15" t="s">
        <v>50</v>
      </c>
      <c r="N15" s="14">
        <f>+SUMIF($C$8:$C$88,$M15,$D$8:$D$88)</f>
        <v>4500000</v>
      </c>
      <c r="O15" s="37">
        <f>IFERROR(N15/'Unit Mix_vm'!$D$15,0)</f>
        <v>30000</v>
      </c>
      <c r="P15" s="37">
        <f>IFERROR(O15/'Unit Mix_vm'!$F$15,0)</f>
        <v>32.608695652173914</v>
      </c>
      <c r="Q15" s="25">
        <f ca="1">IFERROR(N15/N$18,0)</f>
        <v>0.11177391894116956</v>
      </c>
    </row>
    <row r="16" spans="1:17">
      <c r="B16" t="s">
        <v>111</v>
      </c>
      <c r="C16" s="24" t="s">
        <v>102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112</v>
      </c>
      <c r="N16" s="14">
        <f>+SUMIF($C$8:$C$88,$M16,$D$8:$D$88)</f>
        <v>25080000</v>
      </c>
      <c r="O16" s="37">
        <f>IFERROR(N16/'Unit Mix_vm'!$D$15,0)</f>
        <v>167200</v>
      </c>
      <c r="P16" s="37">
        <f>IFERROR(O16/'Unit Mix_vm'!$F$15,0)</f>
        <v>181.7391304347826</v>
      </c>
      <c r="Q16" s="25">
        <f t="shared" ref="Q16:Q17" ca="1" si="2">IFERROR(N16/N$18,0)</f>
        <v>0.62295330823211836</v>
      </c>
    </row>
    <row r="17" spans="2:17">
      <c r="B17" t="s">
        <v>113</v>
      </c>
      <c r="C17" s="24" t="s">
        <v>102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114</v>
      </c>
      <c r="M17" t="s">
        <v>102</v>
      </c>
      <c r="N17" s="14">
        <f ca="1">+SUMIF($C$8:$C$88,$M17,$D$8:$D$88)</f>
        <v>10679839.170251084</v>
      </c>
      <c r="O17" s="37">
        <f ca="1">IFERROR(N17/'Unit Mix_vm'!$D$15,0)</f>
        <v>71198.927801673897</v>
      </c>
      <c r="P17" s="37">
        <f ca="1">IFERROR(O17/'Unit Mix_vm'!$F$15,0)</f>
        <v>77.390138914862931</v>
      </c>
      <c r="Q17" s="25">
        <f t="shared" ca="1" si="2"/>
        <v>0.26527277282674938</v>
      </c>
    </row>
    <row r="18" spans="2:17">
      <c r="B18" t="s">
        <v>115</v>
      </c>
      <c r="C18" s="24" t="s">
        <v>102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114</v>
      </c>
      <c r="M18" s="3" t="s">
        <v>116</v>
      </c>
      <c r="N18" s="13">
        <f ca="1">SUM(N15:N17)</f>
        <v>40259839.170251086</v>
      </c>
      <c r="O18" s="29">
        <f ca="1">SUM(O15:O17)</f>
        <v>268398.92780167388</v>
      </c>
      <c r="P18" s="29">
        <f ca="1">SUM(P15:P17)</f>
        <v>291.73796500181942</v>
      </c>
      <c r="Q18" s="26">
        <f ca="1">SUM(Q15:Q17)</f>
        <v>1.0000000000000373</v>
      </c>
    </row>
    <row r="19" spans="2:17">
      <c r="B19" t="s">
        <v>117</v>
      </c>
      <c r="C19" s="24" t="s">
        <v>102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53</v>
      </c>
      <c r="C20" s="24" t="s">
        <v>102</v>
      </c>
      <c r="D20" s="75">
        <v>400000</v>
      </c>
      <c r="E20" s="51">
        <f>IFERROR(D20/'Unit Mix_vm'!$D$15,0)</f>
        <v>2666.6666666666665</v>
      </c>
      <c r="F20" s="37">
        <f>IFERROR(E20/'Unit Mix_vm'!$F$15,0)</f>
        <v>2.8985507246376812</v>
      </c>
      <c r="G20" s="25">
        <f t="shared" ca="1" si="1"/>
        <v>9.93545946143699E-3</v>
      </c>
      <c r="M20" s="1"/>
    </row>
    <row r="21" spans="2:17">
      <c r="B21" t="s">
        <v>118</v>
      </c>
      <c r="C21" s="24" t="s">
        <v>102</v>
      </c>
      <c r="D21" s="75">
        <v>300000</v>
      </c>
      <c r="E21" s="51">
        <f>IFERROR(D21/'Unit Mix_vm'!$D$15,0)</f>
        <v>2000</v>
      </c>
      <c r="F21" s="37">
        <f>IFERROR(E21/'Unit Mix_vm'!$F$15,0)</f>
        <v>2.1739130434782608</v>
      </c>
      <c r="G21" s="25">
        <f t="shared" ca="1" si="1"/>
        <v>7.4515945960777416E-3</v>
      </c>
      <c r="M21" s="157" t="s">
        <v>119</v>
      </c>
      <c r="N21" s="121"/>
      <c r="O21" s="121"/>
      <c r="P21" s="121"/>
      <c r="Q21" s="121"/>
    </row>
    <row r="22" spans="2:17">
      <c r="B22" t="s">
        <v>55</v>
      </c>
      <c r="C22" s="24" t="s">
        <v>102</v>
      </c>
      <c r="D22" s="51">
        <f>E22*'Unit Mix_vm'!$D$15</f>
        <v>1125000</v>
      </c>
      <c r="E22" s="75">
        <v>7500</v>
      </c>
      <c r="F22" s="37">
        <f>IFERROR(E22/'Unit Mix_vm'!$F$15,0)</f>
        <v>8.1521739130434785</v>
      </c>
      <c r="G22" s="25">
        <f t="shared" ca="1" si="1"/>
        <v>2.7943479735291533E-2</v>
      </c>
      <c r="M22" s="54" t="s">
        <v>104</v>
      </c>
    </row>
    <row r="23" spans="2:17">
      <c r="B23" t="s">
        <v>120</v>
      </c>
      <c r="C23" s="24" t="s">
        <v>102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104</v>
      </c>
      <c r="N23" s="36">
        <f ca="1">D88*N24</f>
        <v>24155903.502150491</v>
      </c>
    </row>
    <row r="24" spans="2:17">
      <c r="B24" s="3" t="s">
        <v>121</v>
      </c>
      <c r="C24" s="3"/>
      <c r="D24" s="13">
        <f ca="1">+SUM(D11:D23)</f>
        <v>2126948.7937768195</v>
      </c>
      <c r="E24" s="13">
        <f ca="1">SUM(E11:E23)</f>
        <v>14179.658625178796</v>
      </c>
      <c r="F24" s="13">
        <f ca="1">SUM(F11:F23)</f>
        <v>15.412672418672603</v>
      </c>
      <c r="G24" s="26">
        <f ca="1">SUM(G11:G23)</f>
        <v>5.2830533792804724E-2</v>
      </c>
      <c r="M24" t="s">
        <v>122</v>
      </c>
      <c r="N24" s="43">
        <v>0.6</v>
      </c>
    </row>
    <row r="25" spans="2:17">
      <c r="D25" s="14"/>
      <c r="E25" s="14"/>
      <c r="F25" s="14"/>
      <c r="M25" t="s">
        <v>123</v>
      </c>
      <c r="N25" s="48">
        <f ca="1">IFERROR('Pro-Forma_vm'!$C$40/Budget_vm!N23,0)</f>
        <v>0.1028634930206106</v>
      </c>
      <c r="O25" s="52"/>
    </row>
    <row r="26" spans="2:17">
      <c r="B26" s="12" t="s">
        <v>124</v>
      </c>
      <c r="C26" s="12"/>
      <c r="D26" s="15"/>
      <c r="E26" s="15"/>
      <c r="F26" s="15"/>
      <c r="G26" s="12"/>
      <c r="O26" s="53"/>
    </row>
    <row r="27" spans="2:17">
      <c r="B27" t="s">
        <v>56</v>
      </c>
      <c r="C27" s="24" t="s">
        <v>102</v>
      </c>
      <c r="D27" s="51">
        <f ca="1">I27*(D88-D8)</f>
        <v>1251594.3709587788</v>
      </c>
      <c r="E27" s="37">
        <f ca="1">IFERROR(D27/'Unit Mix_vm'!$D$15,0)</f>
        <v>8343.9624730585256</v>
      </c>
      <c r="F27" s="37">
        <f ca="1">IFERROR(E27/'Unit Mix_vm'!$F$15,0)</f>
        <v>9.0695244272375284</v>
      </c>
      <c r="G27" s="25">
        <f ca="1">+IFERROR(D27/D$88,0)</f>
        <v>3.1087912837059188E-2</v>
      </c>
      <c r="I27" s="21">
        <v>3.5000000000000003E-2</v>
      </c>
      <c r="J27" s="20" t="s">
        <v>125</v>
      </c>
      <c r="K27" s="20"/>
      <c r="M27" t="s">
        <v>126</v>
      </c>
      <c r="N27" s="44">
        <v>0.04</v>
      </c>
    </row>
    <row r="28" spans="2:17">
      <c r="B28" t="s">
        <v>57</v>
      </c>
      <c r="C28" s="24" t="s">
        <v>102</v>
      </c>
      <c r="D28" s="14">
        <f>+I28*SUM(D69:D70)</f>
        <v>220800</v>
      </c>
      <c r="E28" s="37">
        <f>IFERROR(D28/'Unit Mix_vm'!$D$15,0)</f>
        <v>1472</v>
      </c>
      <c r="F28" s="37">
        <f>IFERROR(E28/'Unit Mix_vm'!$F$15,0)</f>
        <v>1.6</v>
      </c>
      <c r="G28" s="25">
        <f ca="1">+IFERROR(D28/D$88,0)</f>
        <v>5.4843736227132185E-3</v>
      </c>
      <c r="I28" s="21">
        <v>0.01</v>
      </c>
      <c r="J28" s="20" t="s">
        <v>127</v>
      </c>
      <c r="K28" s="20"/>
      <c r="M28" t="s">
        <v>128</v>
      </c>
      <c r="N28" s="44">
        <v>0.03</v>
      </c>
      <c r="O28" s="30"/>
    </row>
    <row r="29" spans="2:17">
      <c r="B29" t="s">
        <v>58</v>
      </c>
      <c r="C29" s="24" t="s">
        <v>102</v>
      </c>
      <c r="D29" s="75">
        <v>300000</v>
      </c>
      <c r="E29" s="37">
        <f>IFERROR(D29/'Unit Mix_vm'!$D$15,0)</f>
        <v>2000</v>
      </c>
      <c r="F29" s="37">
        <f>IFERROR(E29/'Unit Mix_vm'!$F$15,0)</f>
        <v>2.1739130434782608</v>
      </c>
      <c r="G29" s="25">
        <f ca="1">+IFERROR(D29/D$88,0)</f>
        <v>7.4515945960777416E-3</v>
      </c>
      <c r="M29" s="3" t="s">
        <v>129</v>
      </c>
      <c r="N29" s="46">
        <f>SUM(N27:N28)</f>
        <v>7.0000000000000007E-2</v>
      </c>
    </row>
    <row r="30" spans="2:17">
      <c r="B30" s="3" t="s">
        <v>130</v>
      </c>
      <c r="C30" s="3"/>
      <c r="D30" s="13">
        <f ca="1">+SUM(D27:D29)</f>
        <v>1772394.3709587788</v>
      </c>
      <c r="E30" s="13">
        <f ca="1">SUM(E27:E29)</f>
        <v>11815.962473058526</v>
      </c>
      <c r="F30" s="13">
        <f ca="1">SUM(F27:F29)</f>
        <v>12.843437470715788</v>
      </c>
      <c r="G30" s="26">
        <f ca="1">SUM(G27:G29)</f>
        <v>4.4023881055850152E-2</v>
      </c>
    </row>
    <row r="31" spans="2:17">
      <c r="D31" s="14"/>
      <c r="E31" s="14"/>
      <c r="F31" s="14"/>
      <c r="M31" t="s">
        <v>131</v>
      </c>
      <c r="N31" s="32">
        <v>21</v>
      </c>
      <c r="O31" s="30"/>
    </row>
    <row r="32" spans="2:17">
      <c r="B32" s="12" t="s">
        <v>132</v>
      </c>
      <c r="C32" s="12"/>
      <c r="D32" s="15"/>
      <c r="E32" s="15"/>
      <c r="F32" s="15"/>
      <c r="G32" s="12"/>
      <c r="M32" t="s">
        <v>133</v>
      </c>
      <c r="N32" s="43">
        <v>0.5</v>
      </c>
    </row>
    <row r="33" spans="2:22">
      <c r="B33" t="s">
        <v>134</v>
      </c>
      <c r="C33" s="24" t="s">
        <v>102</v>
      </c>
      <c r="D33" s="75">
        <v>300000</v>
      </c>
      <c r="E33" s="37">
        <f>IFERROR(D33/'Unit Mix_vm'!$D$15,0)</f>
        <v>2000</v>
      </c>
      <c r="F33" s="37">
        <f>IFERROR(E33/'Unit Mix_vm'!$F$15,0)</f>
        <v>2.1739130434782608</v>
      </c>
      <c r="G33" s="25">
        <f ca="1">+IFERROR(D33/D$88,0)</f>
        <v>7.4515945960777416E-3</v>
      </c>
      <c r="M33" t="s">
        <v>135</v>
      </c>
      <c r="N33" s="36">
        <f ca="1">+N23*N29*N31*N32/12</f>
        <v>1479549.0895067176</v>
      </c>
    </row>
    <row r="34" spans="2:22">
      <c r="B34" t="s">
        <v>136</v>
      </c>
      <c r="C34" s="24" t="s">
        <v>102</v>
      </c>
      <c r="D34" s="75">
        <v>200000</v>
      </c>
      <c r="E34" s="37">
        <f>IFERROR(D34/'Unit Mix_vm'!$D$15,0)</f>
        <v>1333.3333333333333</v>
      </c>
      <c r="F34" s="37">
        <f>IFERROR(E34/'Unit Mix_vm'!$F$15,0)</f>
        <v>1.4492753623188406</v>
      </c>
      <c r="G34" s="25">
        <f t="shared" ref="G34:G35" ca="1" si="3">+IFERROR(D34/D$88,0)</f>
        <v>4.967729730718495E-3</v>
      </c>
      <c r="N34" s="36"/>
    </row>
    <row r="35" spans="2:22">
      <c r="B35" t="s">
        <v>137</v>
      </c>
      <c r="C35" s="24" t="s">
        <v>102</v>
      </c>
      <c r="D35" s="75">
        <v>200000</v>
      </c>
      <c r="E35" s="37">
        <f>IFERROR(D35/'Unit Mix_vm'!$D$15,0)</f>
        <v>1333.3333333333333</v>
      </c>
      <c r="F35" s="37">
        <f>IFERROR(E35/'Unit Mix_vm'!$F$15,0)</f>
        <v>1.4492753623188406</v>
      </c>
      <c r="G35" s="25">
        <f t="shared" ca="1" si="3"/>
        <v>4.967729730718495E-3</v>
      </c>
      <c r="M35" s="54" t="s">
        <v>101</v>
      </c>
    </row>
    <row r="36" spans="2:22">
      <c r="B36" t="s">
        <v>62</v>
      </c>
      <c r="C36" s="24" t="s">
        <v>102</v>
      </c>
      <c r="D36" s="75">
        <v>400000</v>
      </c>
      <c r="E36" s="37">
        <f>IFERROR(D36/'Unit Mix_vm'!$D$15,0)</f>
        <v>2666.6666666666665</v>
      </c>
      <c r="F36" s="37">
        <f>IFERROR(E36/'Unit Mix_vm'!$F$15,0)</f>
        <v>2.8985507246376812</v>
      </c>
      <c r="G36" s="25">
        <f ca="1">+IFERROR(D36/D$88,0)</f>
        <v>9.93545946143699E-3</v>
      </c>
      <c r="M36" t="s">
        <v>101</v>
      </c>
      <c r="N36" s="36">
        <f ca="1">D88*N37-N23</f>
        <v>0</v>
      </c>
    </row>
    <row r="37" spans="2:22">
      <c r="B37" t="s">
        <v>138</v>
      </c>
      <c r="C37" s="24" t="s">
        <v>102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103</v>
      </c>
      <c r="K37" s="20"/>
      <c r="M37" t="s">
        <v>139</v>
      </c>
      <c r="N37" s="43">
        <f>+N24</f>
        <v>0.6</v>
      </c>
    </row>
    <row r="38" spans="2:22">
      <c r="B38" t="s">
        <v>63</v>
      </c>
      <c r="C38" s="24" t="s">
        <v>102</v>
      </c>
      <c r="D38" s="75">
        <v>50000</v>
      </c>
      <c r="E38" s="37">
        <f>IFERROR(D38/'Unit Mix_vm'!$D$15,0)</f>
        <v>333.33333333333331</v>
      </c>
      <c r="F38" s="37">
        <f>IFERROR(E38/'Unit Mix_vm'!$F$15,0)</f>
        <v>0.36231884057971014</v>
      </c>
      <c r="G38" s="25">
        <f ca="1">+IFERROR(D38/D$88,0)</f>
        <v>1.2419324326796237E-3</v>
      </c>
      <c r="M38" t="s">
        <v>140</v>
      </c>
      <c r="N38" s="48">
        <f ca="1">IFERROR('Pro-Forma_vm'!$C$40/SUM(N36,N23),0)</f>
        <v>0.1028634930206106</v>
      </c>
    </row>
    <row r="39" spans="2:22">
      <c r="B39" t="s">
        <v>64</v>
      </c>
      <c r="C39" s="24" t="s">
        <v>102</v>
      </c>
      <c r="D39" s="51">
        <f ca="1">I39*D88</f>
        <v>27779.289027473063</v>
      </c>
      <c r="E39" s="37">
        <f ca="1">IFERROR(D39/'Unit Mix_vm'!$D$15,0)</f>
        <v>185.19526018315375</v>
      </c>
      <c r="F39" s="37">
        <f ca="1">IFERROR(E39/'Unit Mix_vm'!$F$15,0)</f>
        <v>0.20129919585125408</v>
      </c>
      <c r="G39" s="25">
        <f ca="1">+IFERROR(D39/D$88,0)</f>
        <v>6.8999999999999997E-4</v>
      </c>
      <c r="I39" s="21">
        <v>6.8999999999999997E-4</v>
      </c>
      <c r="J39" s="20" t="s">
        <v>125</v>
      </c>
      <c r="N39" s="48"/>
      <c r="U39" s="135" t="s">
        <v>141</v>
      </c>
      <c r="V39" s="136"/>
    </row>
    <row r="40" spans="2:22">
      <c r="B40" t="s">
        <v>142</v>
      </c>
      <c r="C40" s="24" t="s">
        <v>102</v>
      </c>
      <c r="D40" s="51">
        <f ca="1">(((V45/100)*V40)*2)+60000</f>
        <v>416992.55253224622</v>
      </c>
      <c r="E40" s="51">
        <f ca="1">IFERROR(D40/'Unit Mix_vm'!$D$15,0)</f>
        <v>2779.9503502149746</v>
      </c>
      <c r="F40" s="51">
        <f ca="1">IFERROR(E40/'Unit Mix_vm'!$F$15,0)</f>
        <v>3.0216851632771462</v>
      </c>
      <c r="G40" s="138">
        <f ca="1">+IFERROR(D40/D$88,0)</f>
        <v>1.0357531503513167E-2</v>
      </c>
      <c r="M40" s="54" t="s">
        <v>99</v>
      </c>
      <c r="U40" s="130" t="s">
        <v>143</v>
      </c>
      <c r="V40" s="137">
        <v>0.45</v>
      </c>
    </row>
    <row r="41" spans="2:22">
      <c r="B41" t="s">
        <v>66</v>
      </c>
      <c r="C41" s="24" t="s">
        <v>102</v>
      </c>
      <c r="D41" s="51">
        <f>((V50/1000)*V48)+30000</f>
        <v>85232.205443447368</v>
      </c>
      <c r="E41" s="51">
        <f>IFERROR(D41/'Unit Mix_vm'!$D$15,0)</f>
        <v>568.21470295631582</v>
      </c>
      <c r="F41" s="51">
        <f>IFERROR(E41/'Unit Mix_vm'!$F$15,0)</f>
        <v>0.61762467712643021</v>
      </c>
      <c r="G41" s="138">
        <f t="shared" ref="G41" ca="1" si="4">+IFERROR(D41/D$88,0)</f>
        <v>2.1170528049806012E-3</v>
      </c>
      <c r="M41" t="s">
        <v>144</v>
      </c>
      <c r="N41" s="57">
        <f ca="1">D88-N23-N36</f>
        <v>16103935.668100327</v>
      </c>
      <c r="U41" s="5"/>
      <c r="V41" s="131"/>
    </row>
    <row r="42" spans="2:22">
      <c r="B42" t="s">
        <v>145</v>
      </c>
      <c r="C42" s="24" t="s">
        <v>102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146</v>
      </c>
      <c r="V42" s="132">
        <f>N16</f>
        <v>25080000</v>
      </c>
    </row>
    <row r="43" spans="2:22">
      <c r="B43" t="s">
        <v>67</v>
      </c>
      <c r="C43" s="24" t="s">
        <v>102</v>
      </c>
      <c r="D43" s="75">
        <v>50000</v>
      </c>
      <c r="E43" s="37">
        <f>IFERROR(D43/'Unit Mix_vm'!$D$15,0)</f>
        <v>333.33333333333331</v>
      </c>
      <c r="F43" s="37">
        <f>IFERROR(E43/'Unit Mix_vm'!$F$15,0)</f>
        <v>0.36231884057971014</v>
      </c>
      <c r="G43" s="25">
        <f ca="1">+IFERROR(D43/D$88,0)</f>
        <v>1.2419324326796237E-3</v>
      </c>
      <c r="M43" t="s">
        <v>147</v>
      </c>
      <c r="N43" s="34">
        <f ca="1">+N41*0.1</f>
        <v>1610393.5668100328</v>
      </c>
      <c r="O43" s="45">
        <f ca="1">+N43/N41</f>
        <v>0.1</v>
      </c>
      <c r="U43" s="5" t="s">
        <v>148</v>
      </c>
      <c r="V43" s="132">
        <f ca="1">N17</f>
        <v>10679839.170251084</v>
      </c>
    </row>
    <row r="44" spans="2:22">
      <c r="B44" t="s">
        <v>149</v>
      </c>
      <c r="C44" s="24" t="s">
        <v>102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150</v>
      </c>
      <c r="N44" s="36">
        <f ca="1">+N41-N43</f>
        <v>14493542.101290295</v>
      </c>
      <c r="O44" s="50">
        <f ca="1">1-O43</f>
        <v>0.9</v>
      </c>
      <c r="U44" s="5" t="s">
        <v>151</v>
      </c>
      <c r="V44" s="132">
        <f>'Unit Mix_vm'!D15*'Unit Mix_vm'!G15*12</f>
        <v>3906000</v>
      </c>
    </row>
    <row r="45" spans="2:22">
      <c r="B45" s="3" t="s">
        <v>152</v>
      </c>
      <c r="C45" s="3"/>
      <c r="D45" s="13">
        <f ca="1">+SUM(D33:D44)</f>
        <v>1730004.0470031668</v>
      </c>
      <c r="E45" s="13">
        <f ca="1">SUM(E33:E44)</f>
        <v>11533.360313354444</v>
      </c>
      <c r="F45" s="13">
        <f ca="1">SUM(F33:F44)</f>
        <v>12.536261210167876</v>
      </c>
      <c r="G45" s="26">
        <f ca="1">SUM(G33:G44)</f>
        <v>4.2970962692804739E-2</v>
      </c>
      <c r="U45" s="133" t="s">
        <v>38</v>
      </c>
      <c r="V45" s="134">
        <f ca="1">SUM(V42:V44)</f>
        <v>39665839.170251086</v>
      </c>
    </row>
    <row r="46" spans="2:22">
      <c r="D46" s="14"/>
      <c r="E46" s="14"/>
      <c r="F46" s="14"/>
      <c r="U46" s="4"/>
      <c r="V46" s="4"/>
    </row>
    <row r="47" spans="2:22">
      <c r="B47" s="12" t="s">
        <v>153</v>
      </c>
      <c r="C47" s="12"/>
      <c r="D47" s="15"/>
      <c r="E47" s="15"/>
      <c r="F47" s="15"/>
      <c r="G47" s="12"/>
      <c r="U47" s="135" t="s">
        <v>154</v>
      </c>
      <c r="V47" s="136"/>
    </row>
    <row r="48" spans="2:22">
      <c r="B48" t="s">
        <v>68</v>
      </c>
      <c r="C48" s="24" t="s">
        <v>102</v>
      </c>
      <c r="D48" s="51">
        <f>E48*'Unit Mix_vm'!$D$15</f>
        <v>525000</v>
      </c>
      <c r="E48" s="75">
        <v>3500</v>
      </c>
      <c r="F48" s="37">
        <f>IFERROR(E48/'Unit Mix_vm'!$F$15,0)</f>
        <v>3.8043478260869565</v>
      </c>
      <c r="G48" s="25">
        <f t="shared" ref="G48:G65" ca="1" si="5">+IFERROR(D48/D$88,0)</f>
        <v>1.3040290543136048E-2</v>
      </c>
      <c r="U48" s="5" t="s">
        <v>143</v>
      </c>
      <c r="V48" s="158">
        <v>1.1000000000000001</v>
      </c>
    </row>
    <row r="49" spans="2:22">
      <c r="B49" t="s">
        <v>69</v>
      </c>
      <c r="C49" s="24" t="s">
        <v>102</v>
      </c>
      <c r="D49" s="75">
        <v>75000</v>
      </c>
      <c r="E49" s="51">
        <f>IFERROR(D49/'Unit Mix_vm'!$D$15,0)</f>
        <v>500</v>
      </c>
      <c r="F49" s="37">
        <f>IFERROR(E49/'Unit Mix_vm'!$F$15,0)</f>
        <v>0.54347826086956519</v>
      </c>
      <c r="G49" s="25">
        <f t="shared" ca="1" si="5"/>
        <v>1.8628986490194354E-3</v>
      </c>
      <c r="U49" s="5" t="s">
        <v>155</v>
      </c>
      <c r="V49" s="159">
        <v>5.2499999999999998E-2</v>
      </c>
    </row>
    <row r="50" spans="2:22">
      <c r="B50" t="s">
        <v>70</v>
      </c>
      <c r="C50" s="24" t="s">
        <v>102</v>
      </c>
      <c r="D50" s="75">
        <v>50000</v>
      </c>
      <c r="E50" s="51">
        <f>IFERROR(D50/'Unit Mix_vm'!$D$15,0)</f>
        <v>333.33333333333331</v>
      </c>
      <c r="F50" s="37">
        <f>IFERROR(E50/'Unit Mix_vm'!$F$15,0)</f>
        <v>0.36231884057971014</v>
      </c>
      <c r="G50" s="25">
        <f t="shared" ca="1" si="5"/>
        <v>1.2419324326796237E-3</v>
      </c>
      <c r="U50" s="160" t="s">
        <v>156</v>
      </c>
      <c r="V50" s="161">
        <f>(('Pro-Forma_vm'!C40*1.03*1.03)/Budget_vm!V49)</f>
        <v>50211095.857679427</v>
      </c>
    </row>
    <row r="51" spans="2:22">
      <c r="B51" t="s">
        <v>71</v>
      </c>
      <c r="C51" s="24" t="s">
        <v>102</v>
      </c>
      <c r="D51" s="51">
        <f>E51*'Unit Mix_vm'!$D$15</f>
        <v>300000</v>
      </c>
      <c r="E51" s="75">
        <v>2000</v>
      </c>
      <c r="F51" s="37">
        <f>IFERROR(E51/'Unit Mix_vm'!$F$15,0)</f>
        <v>2.1739130434782608</v>
      </c>
      <c r="G51" s="25">
        <f t="shared" ca="1" si="5"/>
        <v>7.4515945960777416E-3</v>
      </c>
    </row>
    <row r="52" spans="2:22">
      <c r="B52" t="s">
        <v>72</v>
      </c>
      <c r="C52" s="24" t="s">
        <v>102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>
      <c r="B53" t="s">
        <v>73</v>
      </c>
      <c r="C53" s="24" t="s">
        <v>102</v>
      </c>
      <c r="D53" s="75">
        <v>150000</v>
      </c>
      <c r="E53" s="51">
        <f>IFERROR(D53/'Unit Mix_vm'!$D$15,0)</f>
        <v>1000</v>
      </c>
      <c r="F53" s="37">
        <f>IFERROR(E53/'Unit Mix_vm'!$F$15,0)</f>
        <v>1.0869565217391304</v>
      </c>
      <c r="G53" s="25">
        <f t="shared" ca="1" si="5"/>
        <v>3.7257972980388708E-3</v>
      </c>
    </row>
    <row r="54" spans="2:22">
      <c r="B54" t="s">
        <v>74</v>
      </c>
      <c r="C54" s="24" t="s">
        <v>102</v>
      </c>
      <c r="D54" s="75">
        <v>35000</v>
      </c>
      <c r="E54" s="51">
        <f>IFERROR(D54/'Unit Mix_vm'!$D$15,0)</f>
        <v>233.33333333333334</v>
      </c>
      <c r="F54" s="37">
        <f>IFERROR(E54/'Unit Mix_vm'!$F$15,0)</f>
        <v>0.25362318840579712</v>
      </c>
      <c r="G54" s="25">
        <f t="shared" ca="1" si="5"/>
        <v>8.6935270287573656E-4</v>
      </c>
    </row>
    <row r="55" spans="2:22">
      <c r="B55" t="s">
        <v>75</v>
      </c>
      <c r="C55" s="24" t="s">
        <v>102</v>
      </c>
      <c r="D55" s="75">
        <v>300000</v>
      </c>
      <c r="E55" s="51">
        <f>IFERROR(D55/'Unit Mix_vm'!$D$15,0)</f>
        <v>2000</v>
      </c>
      <c r="F55" s="37">
        <f>IFERROR(E55/'Unit Mix_vm'!$F$15,0)</f>
        <v>2.1739130434782608</v>
      </c>
      <c r="G55" s="25">
        <f t="shared" ca="1" si="5"/>
        <v>7.4515945960777416E-3</v>
      </c>
    </row>
    <row r="56" spans="2:22">
      <c r="B56" t="s">
        <v>76</v>
      </c>
      <c r="C56" s="24" t="s">
        <v>102</v>
      </c>
      <c r="D56" s="51">
        <f>E56*'Unit Mix_vm'!$D$15</f>
        <v>450000</v>
      </c>
      <c r="E56" s="75">
        <v>3000</v>
      </c>
      <c r="F56" s="37">
        <f>IFERROR(E56/'Unit Mix_vm'!$F$15,0)</f>
        <v>3.2608695652173911</v>
      </c>
      <c r="G56" s="25">
        <f t="shared" ca="1" si="5"/>
        <v>1.1177391894116612E-2</v>
      </c>
    </row>
    <row r="57" spans="2:22">
      <c r="B57" t="s">
        <v>77</v>
      </c>
      <c r="C57" s="24" t="s">
        <v>102</v>
      </c>
      <c r="D57" s="75">
        <v>25000</v>
      </c>
      <c r="E57" s="51">
        <f>IFERROR(D57/'Unit Mix_vm'!$D$15,0)</f>
        <v>166.66666666666666</v>
      </c>
      <c r="F57" s="37">
        <f>IFERROR(E57/'Unit Mix_vm'!$F$15,0)</f>
        <v>0.18115942028985507</v>
      </c>
      <c r="G57" s="25">
        <f t="shared" ca="1" si="5"/>
        <v>6.2096621633981187E-4</v>
      </c>
    </row>
    <row r="58" spans="2:22">
      <c r="B58" t="s">
        <v>78</v>
      </c>
      <c r="C58" s="24" t="s">
        <v>102</v>
      </c>
      <c r="D58" s="75">
        <v>750000</v>
      </c>
      <c r="E58" s="51">
        <f>IFERROR(D58/'Unit Mix_vm'!$D$15,0)</f>
        <v>5000</v>
      </c>
      <c r="F58" s="37">
        <f>IFERROR(E58/'Unit Mix_vm'!$F$15,0)</f>
        <v>5.4347826086956523</v>
      </c>
      <c r="G58" s="25">
        <f t="shared" ca="1" si="5"/>
        <v>1.8628986490194354E-2</v>
      </c>
    </row>
    <row r="59" spans="2:22">
      <c r="B59" t="s">
        <v>79</v>
      </c>
      <c r="C59" s="24" t="s">
        <v>102</v>
      </c>
      <c r="D59" s="75">
        <v>80000</v>
      </c>
      <c r="E59" s="51">
        <f>IFERROR(D59/'Unit Mix_vm'!$D$15,0)</f>
        <v>533.33333333333337</v>
      </c>
      <c r="F59" s="37">
        <f>IFERROR(E59/'Unit Mix_vm'!$F$15,0)</f>
        <v>0.57971014492753625</v>
      </c>
      <c r="G59" s="25">
        <f t="shared" ca="1" si="5"/>
        <v>1.9870918922873979E-3</v>
      </c>
    </row>
    <row r="60" spans="2:22">
      <c r="B60" t="s">
        <v>80</v>
      </c>
      <c r="C60" s="24" t="s">
        <v>102</v>
      </c>
      <c r="D60" s="75">
        <v>100000</v>
      </c>
      <c r="E60" s="51">
        <f>IFERROR(D60/'Unit Mix_vm'!$D$15,0)</f>
        <v>666.66666666666663</v>
      </c>
      <c r="F60" s="37">
        <f>IFERROR(E60/'Unit Mix_vm'!$F$15,0)</f>
        <v>0.72463768115942029</v>
      </c>
      <c r="G60" s="25">
        <f t="shared" ca="1" si="5"/>
        <v>2.4838648653592475E-3</v>
      </c>
    </row>
    <row r="61" spans="2:22">
      <c r="B61" t="s">
        <v>81</v>
      </c>
      <c r="C61" s="24" t="s">
        <v>102</v>
      </c>
      <c r="D61" s="75">
        <v>100000</v>
      </c>
      <c r="E61" s="51">
        <f>IFERROR(D61/'Unit Mix_vm'!$D$15,0)</f>
        <v>666.66666666666663</v>
      </c>
      <c r="F61" s="37">
        <f>IFERROR(E61/'Unit Mix_vm'!$F$15,0)</f>
        <v>0.72463768115942029</v>
      </c>
      <c r="G61" s="25">
        <f t="shared" ca="1" si="5"/>
        <v>2.4838648653592475E-3</v>
      </c>
    </row>
    <row r="62" spans="2:22">
      <c r="B62" t="s">
        <v>82</v>
      </c>
      <c r="C62" s="24" t="s">
        <v>102</v>
      </c>
      <c r="D62" s="75">
        <v>150000</v>
      </c>
      <c r="E62" s="51">
        <f>IFERROR(D62/'Unit Mix_vm'!$D$15,0)</f>
        <v>1000</v>
      </c>
      <c r="F62" s="37">
        <f>IFERROR(E62/'Unit Mix_vm'!$F$15,0)</f>
        <v>1.0869565217391304</v>
      </c>
      <c r="G62" s="25">
        <f t="shared" ca="1" si="5"/>
        <v>3.7257972980388708E-3</v>
      </c>
    </row>
    <row r="63" spans="2:22">
      <c r="B63" t="s">
        <v>83</v>
      </c>
      <c r="C63" s="24" t="s">
        <v>102</v>
      </c>
      <c r="D63" s="51">
        <f>E63*'Unit Mix_vm'!$D$15</f>
        <v>22500</v>
      </c>
      <c r="E63" s="75">
        <v>150</v>
      </c>
      <c r="F63" s="37">
        <f>IFERROR(E63/'Unit Mix_vm'!$F$15,0)</f>
        <v>0.16304347826086957</v>
      </c>
      <c r="G63" s="25">
        <f t="shared" ca="1" si="5"/>
        <v>5.5886959470583062E-4</v>
      </c>
    </row>
    <row r="64" spans="2:22">
      <c r="B64" t="s">
        <v>84</v>
      </c>
      <c r="C64" s="24" t="s">
        <v>102</v>
      </c>
      <c r="D64" s="75">
        <v>150000</v>
      </c>
      <c r="E64" s="51">
        <f>IFERROR(D64/'Unit Mix_vm'!$D$15,0)</f>
        <v>1000</v>
      </c>
      <c r="F64" s="37">
        <f>IFERROR(E64/'Unit Mix_vm'!$F$15,0)</f>
        <v>1.0869565217391304</v>
      </c>
      <c r="G64" s="25">
        <f t="shared" ca="1" si="5"/>
        <v>3.7257972980388708E-3</v>
      </c>
    </row>
    <row r="65" spans="2:7">
      <c r="B65" t="s">
        <v>157</v>
      </c>
      <c r="C65" s="24" t="s">
        <v>102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7">
      <c r="B66" s="3" t="s">
        <v>158</v>
      </c>
      <c r="C66" s="3"/>
      <c r="D66" s="13">
        <f>+SUM(D48:D65)</f>
        <v>3262500</v>
      </c>
      <c r="E66" s="13">
        <f>SUM(E48:E65)</f>
        <v>21750</v>
      </c>
      <c r="F66" s="13">
        <f>SUM(F48:F65)</f>
        <v>23.641304347826086</v>
      </c>
      <c r="G66" s="26">
        <f ca="1">SUM(G48:G65)</f>
        <v>8.1036091232345439E-2</v>
      </c>
    </row>
    <row r="67" spans="2:7">
      <c r="D67" s="14"/>
      <c r="E67" s="14"/>
      <c r="F67" s="14"/>
    </row>
    <row r="68" spans="2:7">
      <c r="B68" s="12" t="s">
        <v>112</v>
      </c>
      <c r="C68" s="12"/>
      <c r="D68" s="15"/>
      <c r="E68" s="15"/>
      <c r="F68" s="15"/>
      <c r="G68" s="12"/>
    </row>
    <row r="69" spans="2:7">
      <c r="B69" t="s">
        <v>85</v>
      </c>
      <c r="C69" s="24" t="s">
        <v>112</v>
      </c>
      <c r="D69" s="31">
        <f>F69*'Unit Mix_vm'!$D$15*'Unit Mix_vm'!$F$15</f>
        <v>22080000</v>
      </c>
      <c r="E69" s="51">
        <f>IFERROR(D69/'Unit Mix_vm'!$D$15,0)</f>
        <v>147200</v>
      </c>
      <c r="F69" s="75">
        <v>160</v>
      </c>
      <c r="G69" s="25">
        <f t="shared" ref="G69:G73" ca="1" si="6">+IFERROR(D69/D$88,0)</f>
        <v>0.54843736227132178</v>
      </c>
    </row>
    <row r="70" spans="2:7">
      <c r="B70" t="s">
        <v>159</v>
      </c>
      <c r="C70" s="24" t="s">
        <v>112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7">
      <c r="B71" t="s">
        <v>160</v>
      </c>
      <c r="C71" s="24" t="s">
        <v>112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</row>
    <row r="72" spans="2:7">
      <c r="B72" t="s">
        <v>161</v>
      </c>
      <c r="C72" s="24" t="s">
        <v>112</v>
      </c>
      <c r="D72" s="51">
        <f>E72*'Unit Mix_vm'!$D$15</f>
        <v>3000000</v>
      </c>
      <c r="E72" s="75">
        <v>20000</v>
      </c>
      <c r="F72" s="51">
        <f>IFERROR(E72/'Unit Mix_vm'!$F$15,0)</f>
        <v>21.739130434782609</v>
      </c>
      <c r="G72" s="25">
        <f t="shared" ca="1" si="6"/>
        <v>7.4515945960777416E-2</v>
      </c>
    </row>
    <row r="73" spans="2:7">
      <c r="B73" t="s">
        <v>162</v>
      </c>
      <c r="C73" s="24" t="s">
        <v>112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7">
      <c r="B74" s="3" t="s">
        <v>163</v>
      </c>
      <c r="C74" s="3"/>
      <c r="D74" s="13">
        <f>+SUM(D69:D73)</f>
        <v>25080000</v>
      </c>
      <c r="E74" s="13">
        <f>SUM(E69:E73)</f>
        <v>167200</v>
      </c>
      <c r="F74" s="13">
        <f>SUM(F69:F73)</f>
        <v>181.73913043478262</v>
      </c>
      <c r="G74" s="26">
        <f ca="1">SUM(G69:G73)</f>
        <v>0.62295330823209916</v>
      </c>
    </row>
    <row r="75" spans="2:7">
      <c r="D75" s="14"/>
      <c r="E75" s="14"/>
      <c r="F75" s="14"/>
    </row>
    <row r="76" spans="2:7">
      <c r="B76" s="12" t="s">
        <v>164</v>
      </c>
      <c r="C76" s="12"/>
      <c r="D76" s="15"/>
      <c r="E76" s="15"/>
      <c r="F76" s="15"/>
      <c r="G76" s="12"/>
    </row>
    <row r="77" spans="2:7">
      <c r="B77" t="s">
        <v>165</v>
      </c>
      <c r="C77" s="24" t="s">
        <v>102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7">
      <c r="B78" t="s">
        <v>166</v>
      </c>
      <c r="C78" s="24" t="s">
        <v>102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7">
      <c r="B79" t="s">
        <v>167</v>
      </c>
      <c r="C79" s="24" t="s">
        <v>102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7">
      <c r="B80" s="3" t="s">
        <v>168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>
      <c r="D81" s="14"/>
      <c r="E81" s="14"/>
      <c r="F81" s="14"/>
    </row>
    <row r="82" spans="2:11">
      <c r="B82" s="12" t="s">
        <v>169</v>
      </c>
      <c r="C82" s="12"/>
      <c r="D82" s="15"/>
      <c r="E82" s="15"/>
      <c r="F82" s="15"/>
      <c r="G82" s="12"/>
    </row>
    <row r="83" spans="2:11">
      <c r="B83" t="s">
        <v>87</v>
      </c>
      <c r="C83" s="24" t="s">
        <v>102</v>
      </c>
      <c r="D83" s="14">
        <f>+I83*D74</f>
        <v>1254000</v>
      </c>
      <c r="E83" s="37">
        <f>IFERROR(D83/'Unit Mix_vm'!$D$15,0)</f>
        <v>8360</v>
      </c>
      <c r="F83" s="37">
        <f>IFERROR(E83/'Unit Mix_vm'!$F$15,0)</f>
        <v>9.0869565217391308</v>
      </c>
      <c r="G83" s="25">
        <f t="shared" ref="G83:G85" ca="1" si="8">+IFERROR(D83/D$88,0)</f>
        <v>3.114766541160496E-2</v>
      </c>
      <c r="I83" s="21">
        <v>0.05</v>
      </c>
      <c r="J83" s="20" t="s">
        <v>170</v>
      </c>
      <c r="K83" s="20"/>
    </row>
    <row r="84" spans="2:11">
      <c r="B84" t="s">
        <v>88</v>
      </c>
      <c r="C84" s="24" t="s">
        <v>102</v>
      </c>
      <c r="D84" s="31">
        <f ca="1">+IF(Global!C16="On",0,I84*N17)</f>
        <v>533991.95851255429</v>
      </c>
      <c r="E84" s="37">
        <f ca="1">IFERROR(D84/'Unit Mix_vm'!$D$15,0)</f>
        <v>3559.9463900836954</v>
      </c>
      <c r="F84" s="37">
        <f ca="1">IFERROR(E84/'Unit Mix_vm'!$F$15,0)</f>
        <v>3.8695069457431472</v>
      </c>
      <c r="G84" s="25">
        <f t="shared" ca="1" si="8"/>
        <v>1.3263638641337065E-2</v>
      </c>
      <c r="I84" s="21">
        <v>0.05</v>
      </c>
      <c r="J84" s="20" t="s">
        <v>171</v>
      </c>
      <c r="K84" s="20"/>
    </row>
    <row r="85" spans="2:11">
      <c r="B85" t="s">
        <v>172</v>
      </c>
      <c r="C85" s="24" t="s">
        <v>102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>
      <c r="B86" s="3" t="s">
        <v>173</v>
      </c>
      <c r="C86" s="3"/>
      <c r="D86" s="13">
        <f ca="1">+SUM(D83:D85)</f>
        <v>1787991.9585125544</v>
      </c>
      <c r="E86" s="13">
        <f ca="1">SUM(E83:E85)</f>
        <v>11919.946390083696</v>
      </c>
      <c r="F86" s="13">
        <f ca="1">SUM(F83:F85)</f>
        <v>12.956463467482278</v>
      </c>
      <c r="G86" s="26">
        <f ca="1">SUM(G83:G85)</f>
        <v>4.4411304052942024E-2</v>
      </c>
    </row>
    <row r="88" spans="2:11">
      <c r="B88" s="17" t="s">
        <v>174</v>
      </c>
      <c r="C88" s="22"/>
      <c r="D88" s="18">
        <f ca="1">+SUM(D86,D80,D74,D66,D45,D30,D24,D8)</f>
        <v>40259839.170251317</v>
      </c>
      <c r="E88" s="19">
        <f ca="1">+SUM(E86,E80,E74,E66,E45,E30,E24,E8)</f>
        <v>268398.92780167545</v>
      </c>
      <c r="F88" s="19">
        <f ca="1">+SUM(F86,F80,F74,F66,F45,F30,F24,F8)</f>
        <v>291.73796500182124</v>
      </c>
      <c r="G88" s="27">
        <f ca="1">+SUM(G86,G80,G74,G66,G45,G30,G24,G8)</f>
        <v>1.0000000000000124</v>
      </c>
    </row>
    <row r="91" spans="2:11">
      <c r="E91" s="30"/>
    </row>
  </sheetData>
  <dataValidations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zoomScale="94" zoomScaleNormal="100" workbookViewId="0"/>
  </sheetViews>
  <sheetFormatPr defaultColWidth="9.140625" defaultRowHeight="1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1" customFormat="1" ht="26.25">
      <c r="A1" s="144" t="str">
        <f>TEXT(Global!$C$7,"")</f>
        <v>Property Name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</row>
    <row r="2" spans="1:20" s="141" customFormat="1" ht="19.5">
      <c r="A2" s="145" t="s">
        <v>175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</row>
    <row r="6" spans="1:20" ht="17.25">
      <c r="B6" s="165"/>
      <c r="C6" s="166" t="s">
        <v>176</v>
      </c>
      <c r="D6" s="166"/>
    </row>
    <row r="7" spans="1:20">
      <c r="B7" s="167"/>
      <c r="C7" s="168" t="s">
        <v>93</v>
      </c>
      <c r="D7" s="168" t="s">
        <v>177</v>
      </c>
      <c r="F7" s="139" t="s">
        <v>178</v>
      </c>
      <c r="G7" s="140"/>
      <c r="I7" s="139" t="s">
        <v>179</v>
      </c>
      <c r="J7" s="155" t="s">
        <v>180</v>
      </c>
      <c r="K7" s="155" t="s">
        <v>181</v>
      </c>
      <c r="L7" s="155" t="s">
        <v>29</v>
      </c>
      <c r="M7" s="155" t="s">
        <v>182</v>
      </c>
      <c r="N7" s="155" t="s">
        <v>183</v>
      </c>
      <c r="O7" s="155" t="s">
        <v>184</v>
      </c>
      <c r="P7" s="155" t="s">
        <v>185</v>
      </c>
      <c r="Q7" s="155" t="s">
        <v>186</v>
      </c>
      <c r="R7" s="155" t="s">
        <v>187</v>
      </c>
      <c r="S7" s="155" t="s">
        <v>38</v>
      </c>
      <c r="T7" s="156" t="s">
        <v>188</v>
      </c>
    </row>
    <row r="8" spans="1:20">
      <c r="B8" s="67"/>
      <c r="C8" s="63"/>
      <c r="D8" s="56"/>
      <c r="F8" s="55" t="s">
        <v>189</v>
      </c>
      <c r="G8" s="128">
        <f>G9*'Unit Mix_vm'!$D$15</f>
        <v>42750000</v>
      </c>
      <c r="I8" s="245" t="s">
        <v>190</v>
      </c>
      <c r="J8" s="266" t="s">
        <v>180</v>
      </c>
      <c r="K8" s="240">
        <v>323</v>
      </c>
      <c r="L8" s="240">
        <v>2023</v>
      </c>
      <c r="M8" s="240">
        <v>2025</v>
      </c>
      <c r="N8" s="242">
        <v>76164400</v>
      </c>
      <c r="O8" s="36">
        <f>N8/$K8</f>
        <v>235803.09597523219</v>
      </c>
      <c r="P8" s="240">
        <f>0.4927+0.2741</f>
        <v>0.76680000000000004</v>
      </c>
      <c r="Q8" s="242">
        <f>17603.5+34497.7</f>
        <v>52101.2</v>
      </c>
      <c r="R8" s="36">
        <f>Q8/$K8</f>
        <v>161.30402476780185</v>
      </c>
      <c r="S8" s="36">
        <f>N8*P8/100+Q8</f>
        <v>636129.81920000003</v>
      </c>
      <c r="T8" s="231">
        <f>S8/$K8</f>
        <v>1969.4421647058825</v>
      </c>
    </row>
    <row r="9" spans="1:20">
      <c r="B9" s="67" t="s">
        <v>191</v>
      </c>
      <c r="C9" s="63">
        <f>+D9*'Unit Mix_vm'!D15*12</f>
        <v>3906000</v>
      </c>
      <c r="D9" s="77">
        <f>+'Unit Mix_vm'!G15</f>
        <v>2170</v>
      </c>
      <c r="F9" s="55" t="s">
        <v>192</v>
      </c>
      <c r="G9" s="249">
        <v>285000</v>
      </c>
      <c r="I9" s="245" t="s">
        <v>193</v>
      </c>
      <c r="J9" s="240"/>
      <c r="K9" s="240"/>
      <c r="L9" s="240"/>
      <c r="M9" s="240"/>
      <c r="N9" s="242"/>
      <c r="O9" s="36" t="e">
        <f>N9/$K9</f>
        <v>#DIV/0!</v>
      </c>
      <c r="P9" s="240"/>
      <c r="Q9" s="242"/>
      <c r="R9" s="36" t="e">
        <f>Q9/$K9</f>
        <v>#DIV/0!</v>
      </c>
      <c r="S9" s="36">
        <f t="shared" ref="S9:S10" si="0">N9*P9/100+Q9</f>
        <v>0</v>
      </c>
      <c r="T9" s="231" t="e">
        <f>S9/$K9</f>
        <v>#DIV/0!</v>
      </c>
    </row>
    <row r="10" spans="1:20">
      <c r="B10" s="67" t="s">
        <v>194</v>
      </c>
      <c r="C10" s="79">
        <f>-D10*C9</f>
        <v>0</v>
      </c>
      <c r="D10" s="265">
        <v>0</v>
      </c>
      <c r="F10" s="55"/>
      <c r="G10" s="56"/>
      <c r="I10" s="246" t="s">
        <v>195</v>
      </c>
      <c r="J10" s="247"/>
      <c r="K10" s="247"/>
      <c r="L10" s="247"/>
      <c r="M10" s="247"/>
      <c r="N10" s="248"/>
      <c r="O10" s="228" t="e">
        <f>N10/$K10</f>
        <v>#DIV/0!</v>
      </c>
      <c r="P10" s="247"/>
      <c r="Q10" s="248"/>
      <c r="R10" s="228" t="e">
        <f>Q10/$K10</f>
        <v>#DIV/0!</v>
      </c>
      <c r="S10" s="228">
        <f t="shared" si="0"/>
        <v>0</v>
      </c>
      <c r="T10" s="237" t="e">
        <f>S10/$K10</f>
        <v>#DIV/0!</v>
      </c>
    </row>
    <row r="11" spans="1:20">
      <c r="B11" s="67" t="s">
        <v>196</v>
      </c>
      <c r="C11" s="79">
        <f>-D11*C9</f>
        <v>-26040</v>
      </c>
      <c r="D11" s="265">
        <f>1/'Unit Mix_vm'!$D$15</f>
        <v>6.6666666666666671E-3</v>
      </c>
      <c r="F11" s="55" t="s">
        <v>197</v>
      </c>
      <c r="G11" s="244">
        <v>0.87209999999999999</v>
      </c>
    </row>
    <row r="12" spans="1:20">
      <c r="B12" s="68" t="s">
        <v>198</v>
      </c>
      <c r="C12" s="64">
        <f>SUM(C9:C11)</f>
        <v>3879960</v>
      </c>
      <c r="D12" s="71">
        <f>IFERROR(C12/'Unit Mix_vm'!$D$15/12,0)</f>
        <v>2155.5333333333333</v>
      </c>
      <c r="F12" s="55" t="s">
        <v>199</v>
      </c>
      <c r="G12" s="128">
        <f>G13*'Unit Mix_vm'!$D$15</f>
        <v>3000</v>
      </c>
    </row>
    <row r="13" spans="1:20">
      <c r="B13" s="67"/>
      <c r="C13" s="63"/>
      <c r="D13" s="56"/>
      <c r="F13" s="55" t="s">
        <v>200</v>
      </c>
      <c r="G13" s="249">
        <v>20</v>
      </c>
    </row>
    <row r="14" spans="1:20">
      <c r="B14" s="67" t="s">
        <v>201</v>
      </c>
      <c r="C14" s="63">
        <f>+D14*'Unit Mix_vm'!$D$15*12</f>
        <v>366720.00000000006</v>
      </c>
      <c r="D14" s="128">
        <f>$N$57</f>
        <v>203.73333333333335</v>
      </c>
      <c r="F14" s="55" t="s">
        <v>202</v>
      </c>
      <c r="G14" s="243">
        <v>0</v>
      </c>
      <c r="I14" s="122" t="s">
        <v>203</v>
      </c>
      <c r="J14" s="177"/>
      <c r="K14" s="123"/>
      <c r="L14" s="123" t="s">
        <v>204</v>
      </c>
      <c r="M14" s="123" t="s">
        <v>38</v>
      </c>
      <c r="N14" s="124" t="s">
        <v>47</v>
      </c>
    </row>
    <row r="15" spans="1:20">
      <c r="B15" s="67" t="s">
        <v>205</v>
      </c>
      <c r="C15" s="78">
        <v>0</v>
      </c>
      <c r="D15" s="70">
        <f>IFERROR(C15/'Unit Mix_vm'!$D$15/12,0)</f>
        <v>0</v>
      </c>
      <c r="F15" s="55"/>
      <c r="G15" s="56"/>
      <c r="I15" s="188" t="s">
        <v>206</v>
      </c>
      <c r="J15" s="189"/>
      <c r="K15" s="190"/>
      <c r="L15" s="190"/>
      <c r="M15" s="190"/>
      <c r="N15" s="191"/>
    </row>
    <row r="16" spans="1:20">
      <c r="B16" s="68" t="s">
        <v>207</v>
      </c>
      <c r="C16" s="64">
        <f>SUM(C14:C15,C12)</f>
        <v>4246680</v>
      </c>
      <c r="D16" s="71">
        <f>IFERROR(C16/'Unit Mix_vm'!$D$15/12,0)</f>
        <v>2359.2666666666669</v>
      </c>
      <c r="F16" s="55" t="s">
        <v>208</v>
      </c>
      <c r="G16" s="81">
        <f>(G11*G8/100+G12)*(1-G14)</f>
        <v>375822.75</v>
      </c>
      <c r="I16" s="178" t="s">
        <v>209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280</v>
      </c>
    </row>
    <row r="17" spans="2:14">
      <c r="B17" s="67"/>
      <c r="C17" s="63"/>
      <c r="D17" s="56"/>
      <c r="F17" s="55" t="s">
        <v>210</v>
      </c>
      <c r="G17" s="81">
        <f>+G16/'Unit Mix_vm'!$D$15</f>
        <v>2505.4850000000001</v>
      </c>
      <c r="I17" s="178" t="s">
        <v>211</v>
      </c>
      <c r="J17" s="172"/>
      <c r="K17" s="173"/>
      <c r="L17" s="181">
        <v>3</v>
      </c>
      <c r="M17" s="179">
        <f>L17*'Unit Mix_vm'!$D$15*12</f>
        <v>5400</v>
      </c>
      <c r="N17" s="180">
        <f>M17/'Unit Mix_vm'!$D$15</f>
        <v>36</v>
      </c>
    </row>
    <row r="18" spans="2:14">
      <c r="B18" s="67" t="s">
        <v>31</v>
      </c>
      <c r="C18" s="72">
        <f>-D18*SUM(C9,C14)</f>
        <v>-213636</v>
      </c>
      <c r="D18" s="265">
        <v>0.05</v>
      </c>
      <c r="F18" s="55"/>
      <c r="G18" s="56"/>
      <c r="I18" s="178" t="s">
        <v>212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240</v>
      </c>
    </row>
    <row r="19" spans="2:14">
      <c r="B19" s="67" t="s">
        <v>213</v>
      </c>
      <c r="C19" s="72">
        <f>-D19*SUM(C9,C14,C18)</f>
        <v>-10147.710000000001</v>
      </c>
      <c r="D19" s="265">
        <v>2.5000000000000001E-3</v>
      </c>
      <c r="F19" s="55" t="s">
        <v>214</v>
      </c>
      <c r="G19" s="82">
        <v>0</v>
      </c>
      <c r="I19" s="178" t="s">
        <v>215</v>
      </c>
      <c r="J19" s="172"/>
      <c r="K19" s="173"/>
      <c r="L19" s="181">
        <v>10</v>
      </c>
      <c r="M19" s="179">
        <f>L19*'Unit Mix_vm'!$D$15*12</f>
        <v>18000</v>
      </c>
      <c r="N19" s="180">
        <f>M19/'Unit Mix_vm'!$D$15</f>
        <v>120</v>
      </c>
    </row>
    <row r="20" spans="2:14">
      <c r="B20" s="68" t="s">
        <v>216</v>
      </c>
      <c r="C20" s="64">
        <f>SUM(C18:C19,C16)</f>
        <v>4022896.29</v>
      </c>
      <c r="D20" s="71">
        <f>IFERROR(C20/#REF!/12,0)</f>
        <v>0</v>
      </c>
      <c r="F20" s="55"/>
      <c r="G20" s="56"/>
      <c r="I20" s="178" t="s">
        <v>217</v>
      </c>
      <c r="J20" s="172"/>
      <c r="K20" s="173"/>
      <c r="L20" s="181">
        <v>30</v>
      </c>
      <c r="M20" s="179">
        <f>L20*'Unit Mix_vm'!$D$15*12</f>
        <v>54000</v>
      </c>
      <c r="N20" s="180">
        <f>M20/'Unit Mix_vm'!$D$15</f>
        <v>360</v>
      </c>
    </row>
    <row r="21" spans="2:14">
      <c r="B21" s="67"/>
      <c r="C21" s="63"/>
      <c r="D21" s="56"/>
      <c r="F21" s="55" t="s">
        <v>218</v>
      </c>
      <c r="G21" s="83">
        <f>+G16+G19</f>
        <v>375822.75</v>
      </c>
      <c r="I21" s="178" t="s">
        <v>219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40</v>
      </c>
    </row>
    <row r="22" spans="2:14">
      <c r="B22" s="67" t="s">
        <v>220</v>
      </c>
      <c r="C22" s="72">
        <f>D22*C20</f>
        <v>120686.8887</v>
      </c>
      <c r="D22" s="265">
        <v>0.03</v>
      </c>
      <c r="F22" s="58" t="s">
        <v>221</v>
      </c>
      <c r="G22" s="84">
        <f>+G21/'Unit Mix_vm'!$D$15</f>
        <v>2505.4850000000001</v>
      </c>
      <c r="I22" s="178" t="s">
        <v>222</v>
      </c>
      <c r="J22" s="172"/>
      <c r="K22" s="173"/>
      <c r="L22" s="171">
        <v>0</v>
      </c>
      <c r="M22" s="179">
        <f>L22*12</f>
        <v>0</v>
      </c>
      <c r="N22" s="180">
        <f>M22/'Unit Mix_vm'!$D$15</f>
        <v>0</v>
      </c>
    </row>
    <row r="23" spans="2:14">
      <c r="B23" s="119" t="s">
        <v>223</v>
      </c>
      <c r="C23" s="129">
        <f>G21</f>
        <v>375822.75</v>
      </c>
      <c r="D23" s="81">
        <f>IFERROR(C23/'Unit Mix_vm'!$D$15,0)</f>
        <v>2505.4850000000001</v>
      </c>
      <c r="I23" s="178" t="s">
        <v>224</v>
      </c>
      <c r="J23" s="172"/>
      <c r="K23" s="173"/>
      <c r="L23" s="171">
        <v>0</v>
      </c>
      <c r="M23" s="179">
        <f t="shared" ref="M23" si="1">L23*12</f>
        <v>0</v>
      </c>
      <c r="N23" s="180">
        <f>M23/'Unit Mix_vm'!$D$15</f>
        <v>0</v>
      </c>
    </row>
    <row r="24" spans="2:14">
      <c r="B24" s="67" t="s">
        <v>225</v>
      </c>
      <c r="C24" s="72">
        <f>+D24*'Unit Mix_vm'!$D$15</f>
        <v>90000</v>
      </c>
      <c r="D24" s="82">
        <v>600</v>
      </c>
      <c r="F24" s="122" t="s">
        <v>226</v>
      </c>
      <c r="G24" s="257"/>
      <c r="I24" s="186" t="s">
        <v>227</v>
      </c>
      <c r="J24" s="174"/>
      <c r="K24" s="175"/>
      <c r="L24" s="175"/>
      <c r="M24" s="176">
        <f>SUM(M16:M23)</f>
        <v>161400</v>
      </c>
      <c r="N24" s="187">
        <f>M24/'Unit Mix_vm'!$D$15</f>
        <v>1076</v>
      </c>
    </row>
    <row r="25" spans="2:14">
      <c r="B25" s="67" t="s">
        <v>228</v>
      </c>
      <c r="C25" s="72">
        <f>+D25*'Unit Mix_vm'!$D$15</f>
        <v>0</v>
      </c>
      <c r="D25" s="82">
        <v>0</v>
      </c>
      <c r="F25" s="225" t="s">
        <v>50</v>
      </c>
      <c r="G25" s="226">
        <f>Budget_vm!E8</f>
        <v>30000</v>
      </c>
      <c r="I25" s="188" t="s">
        <v>229</v>
      </c>
      <c r="J25" s="189"/>
      <c r="K25" s="190"/>
      <c r="L25" s="190"/>
      <c r="M25" s="190"/>
      <c r="N25" s="191"/>
    </row>
    <row r="26" spans="2:14">
      <c r="B26" s="67" t="s">
        <v>230</v>
      </c>
      <c r="C26" s="72">
        <f>+D26*'Unit Mix_vm'!$D$15</f>
        <v>0</v>
      </c>
      <c r="D26" s="82">
        <v>0</v>
      </c>
      <c r="F26" s="55" t="s">
        <v>112</v>
      </c>
      <c r="G26" s="223">
        <f>Budget_vm!E69</f>
        <v>147200</v>
      </c>
      <c r="I26" s="178" t="s">
        <v>231</v>
      </c>
      <c r="J26" s="172"/>
      <c r="K26" s="173"/>
      <c r="L26" s="181">
        <v>50</v>
      </c>
      <c r="M26" s="179">
        <f>L26*'Unit Mix_vm'!$D$15*12*5%</f>
        <v>4500</v>
      </c>
      <c r="N26" s="180">
        <f>M26/'Unit Mix_vm'!$D$15</f>
        <v>30</v>
      </c>
    </row>
    <row r="27" spans="2:14">
      <c r="B27" s="67" t="s">
        <v>229</v>
      </c>
      <c r="C27" s="72">
        <f>+D27*'Unit Mix_vm'!$D$15</f>
        <v>107400</v>
      </c>
      <c r="D27" s="128">
        <f>N32</f>
        <v>716</v>
      </c>
      <c r="F27" s="225" t="s">
        <v>38</v>
      </c>
      <c r="G27" s="224">
        <f>SUM(G25:G26)</f>
        <v>177200</v>
      </c>
      <c r="I27" s="178" t="s">
        <v>232</v>
      </c>
      <c r="J27" s="172"/>
      <c r="K27" s="173"/>
      <c r="L27" s="181">
        <v>75</v>
      </c>
      <c r="M27" s="179">
        <f>L27*12</f>
        <v>900</v>
      </c>
      <c r="N27" s="180">
        <f>M27/'Unit Mix_vm'!$D$15</f>
        <v>6</v>
      </c>
    </row>
    <row r="28" spans="2:14">
      <c r="B28" s="67" t="s">
        <v>206</v>
      </c>
      <c r="C28" s="72">
        <f>+D28*'Unit Mix_vm'!$D$15</f>
        <v>161400</v>
      </c>
      <c r="D28" s="128">
        <f>N24</f>
        <v>1076</v>
      </c>
      <c r="F28" s="58" t="s">
        <v>95</v>
      </c>
      <c r="G28" s="227">
        <f>G27/G9</f>
        <v>0.62175438596491228</v>
      </c>
      <c r="I28" s="178" t="s">
        <v>233</v>
      </c>
      <c r="J28" s="172"/>
      <c r="K28" s="173"/>
      <c r="L28" s="171">
        <v>4000</v>
      </c>
      <c r="M28" s="179">
        <f>L28*12</f>
        <v>48000</v>
      </c>
      <c r="N28" s="180">
        <f>M28/'Unit Mix_vm'!$D$15</f>
        <v>320</v>
      </c>
    </row>
    <row r="29" spans="2:14">
      <c r="B29" s="67" t="s">
        <v>234</v>
      </c>
      <c r="C29" s="72">
        <f>+D29*'Unit Mix_vm'!$D$15</f>
        <v>18750</v>
      </c>
      <c r="D29" s="82">
        <f>500*0.25</f>
        <v>125</v>
      </c>
      <c r="I29" s="178" t="s">
        <v>235</v>
      </c>
      <c r="J29" s="172"/>
      <c r="K29" s="173"/>
      <c r="L29" s="181">
        <v>30</v>
      </c>
      <c r="M29" s="179">
        <f>L29*'Unit Mix_vm'!$D$15*12</f>
        <v>54000</v>
      </c>
      <c r="N29" s="180">
        <f>M29/'Unit Mix_vm'!$D$15</f>
        <v>360</v>
      </c>
    </row>
    <row r="30" spans="2:14">
      <c r="B30" s="67" t="s">
        <v>236</v>
      </c>
      <c r="C30" s="72">
        <f>+D30*'Unit Mix_vm'!$D$15</f>
        <v>37500</v>
      </c>
      <c r="D30" s="82">
        <v>250</v>
      </c>
      <c r="I30" s="178" t="s">
        <v>237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</row>
    <row r="31" spans="2:14">
      <c r="B31" s="67" t="s">
        <v>238</v>
      </c>
      <c r="C31" s="72">
        <f>+D31*'Unit Mix_vm'!$D$15</f>
        <v>6000</v>
      </c>
      <c r="D31" s="82">
        <v>40</v>
      </c>
      <c r="I31" s="178" t="s">
        <v>224</v>
      </c>
      <c r="J31" s="172"/>
      <c r="K31" s="173"/>
      <c r="L31" s="171">
        <v>0</v>
      </c>
      <c r="M31" s="179">
        <f t="shared" ref="M31" si="2">L31*12</f>
        <v>0</v>
      </c>
      <c r="N31" s="180">
        <f>M31/'Unit Mix_vm'!$D$15</f>
        <v>0</v>
      </c>
    </row>
    <row r="32" spans="2:14">
      <c r="B32" s="67" t="s">
        <v>239</v>
      </c>
      <c r="C32" s="72">
        <f>+D32*'Unit Mix_vm'!$D$15</f>
        <v>67500</v>
      </c>
      <c r="D32" s="82">
        <v>450</v>
      </c>
      <c r="I32" s="182" t="s">
        <v>240</v>
      </c>
      <c r="J32" s="183"/>
      <c r="K32" s="184"/>
      <c r="L32" s="184"/>
      <c r="M32" s="170">
        <f>SUM(M26:M31)</f>
        <v>107400</v>
      </c>
      <c r="N32" s="185">
        <f>M32/'Unit Mix_vm'!$D$15</f>
        <v>716</v>
      </c>
    </row>
    <row r="33" spans="2:15">
      <c r="B33" s="67" t="s">
        <v>59</v>
      </c>
      <c r="C33" s="72">
        <f>+D33*'Unit Mix_vm'!$D$15</f>
        <v>67500</v>
      </c>
      <c r="D33" s="82">
        <v>450</v>
      </c>
      <c r="F33" s="30"/>
      <c r="I33" s="188" t="s">
        <v>241</v>
      </c>
      <c r="J33" s="189"/>
      <c r="K33" s="190"/>
      <c r="L33" s="190"/>
      <c r="M33" s="190"/>
      <c r="N33" s="191"/>
    </row>
    <row r="34" spans="2:15">
      <c r="B34" s="67" t="s">
        <v>241</v>
      </c>
      <c r="C34" s="72">
        <f>+D34*'Unit Mix_vm'!$D$15</f>
        <v>410576.04000000004</v>
      </c>
      <c r="D34" s="128">
        <f>N46</f>
        <v>2737.1736000000001</v>
      </c>
      <c r="I34" s="192" t="s">
        <v>242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485.33333333333331</v>
      </c>
    </row>
    <row r="35" spans="2:15">
      <c r="B35" s="67" t="s">
        <v>243</v>
      </c>
      <c r="C35" s="72">
        <f>+D35*'Unit Mix_vm'!$D$15</f>
        <v>37500</v>
      </c>
      <c r="D35" s="82">
        <v>250</v>
      </c>
      <c r="I35" s="197" t="s">
        <v>244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97.066666666666663</v>
      </c>
    </row>
    <row r="36" spans="2:15">
      <c r="B36" s="67" t="s">
        <v>245</v>
      </c>
      <c r="C36" s="72">
        <f>+D36*'Unit Mix_vm'!$D$15</f>
        <v>37500</v>
      </c>
      <c r="D36" s="82">
        <v>250</v>
      </c>
      <c r="I36" s="192" t="s">
        <v>246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346.66666666666669</v>
      </c>
    </row>
    <row r="37" spans="2:15">
      <c r="B37" s="67" t="s">
        <v>247</v>
      </c>
      <c r="C37" s="72">
        <f>+D37*'Unit Mix_vm'!$D$15</f>
        <v>0</v>
      </c>
      <c r="D37" s="82">
        <v>0</v>
      </c>
      <c r="I37" s="197" t="s">
        <v>244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</row>
    <row r="38" spans="2:15">
      <c r="B38" s="68" t="s">
        <v>248</v>
      </c>
      <c r="C38" s="64">
        <f>+SUM(C22:C37)</f>
        <v>1538135.6787</v>
      </c>
      <c r="D38" s="71">
        <f>IFERROR(C38/'Unit Mix_vm'!$D$15,0)</f>
        <v>10254.237858</v>
      </c>
      <c r="I38" s="192" t="s">
        <v>249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277.33333333333331</v>
      </c>
    </row>
    <row r="39" spans="2:15">
      <c r="B39" s="55"/>
      <c r="C39" s="63"/>
      <c r="D39" s="56"/>
      <c r="I39" s="192" t="s">
        <v>250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</row>
    <row r="40" spans="2:15">
      <c r="B40" s="67" t="s">
        <v>251</v>
      </c>
      <c r="C40" s="63">
        <f>+C20-C38</f>
        <v>2484760.6113</v>
      </c>
      <c r="D40" s="70">
        <f>IFERROR(C40/#REF!,0)</f>
        <v>0</v>
      </c>
      <c r="I40" s="192" t="s">
        <v>252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443.73333333333335</v>
      </c>
    </row>
    <row r="41" spans="2:15">
      <c r="B41" s="69" t="s">
        <v>253</v>
      </c>
      <c r="C41" s="65">
        <f>IFERROR(C40/C20,0)</f>
        <v>0.61765465281233978</v>
      </c>
      <c r="D41" s="56"/>
      <c r="I41" s="197" t="s">
        <v>244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44.373333333333335</v>
      </c>
    </row>
    <row r="42" spans="2:15">
      <c r="B42" s="55"/>
      <c r="C42" s="55"/>
      <c r="D42" s="56"/>
      <c r="I42" s="192" t="s">
        <v>254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277.33333333333331</v>
      </c>
    </row>
    <row r="43" spans="2:15">
      <c r="B43" s="61" t="s">
        <v>255</v>
      </c>
      <c r="C43" s="66">
        <f ca="1">C40/Budget_vm!D88</f>
        <v>6.1718095812365592E-2</v>
      </c>
      <c r="D43" s="62"/>
      <c r="I43" s="192" t="s">
        <v>256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</row>
    <row r="44" spans="2:15">
      <c r="I44" s="192" t="s">
        <v>257</v>
      </c>
      <c r="J44" s="172"/>
      <c r="K44" s="171"/>
      <c r="L44" s="202">
        <v>150</v>
      </c>
      <c r="M44" s="195">
        <f>L44*'Unit Mix_vm'!D15</f>
        <v>22500</v>
      </c>
      <c r="N44" s="196">
        <f>M44/'Unit Mix_vm'!$D$15</f>
        <v>150</v>
      </c>
    </row>
    <row r="45" spans="2:15">
      <c r="I45" s="192" t="s">
        <v>258</v>
      </c>
      <c r="J45" s="172"/>
      <c r="K45" s="171"/>
      <c r="L45" s="198">
        <v>0.28999999999999998</v>
      </c>
      <c r="M45" s="195">
        <f>SUM(M34:M44)*L45</f>
        <v>92300.04</v>
      </c>
      <c r="N45" s="196">
        <f>M45/'Unit Mix_vm'!$D$15</f>
        <v>615.33359999999993</v>
      </c>
    </row>
    <row r="46" spans="2:15">
      <c r="I46" s="199" t="s">
        <v>259</v>
      </c>
      <c r="J46" s="183"/>
      <c r="K46" s="183"/>
      <c r="L46" s="183"/>
      <c r="M46" s="200">
        <f>SUM(M34:M45)</f>
        <v>410576.04</v>
      </c>
      <c r="N46" s="201">
        <f>M46/'Unit Mix_vm'!$D$15</f>
        <v>2737.1736000000001</v>
      </c>
      <c r="O46" s="238"/>
    </row>
    <row r="48" spans="2:15">
      <c r="I48" s="188" t="s">
        <v>201</v>
      </c>
      <c r="J48" s="229" t="s">
        <v>18</v>
      </c>
      <c r="K48" s="229" t="s">
        <v>17</v>
      </c>
      <c r="L48" s="229" t="s">
        <v>204</v>
      </c>
      <c r="M48" s="229" t="s">
        <v>38</v>
      </c>
      <c r="N48" s="230" t="s">
        <v>260</v>
      </c>
    </row>
    <row r="49" spans="9:16">
      <c r="I49" s="192" t="s">
        <v>261</v>
      </c>
      <c r="J49" s="251">
        <v>1</v>
      </c>
      <c r="K49" s="252">
        <f>'Unit Mix_vm'!$D$15</f>
        <v>150</v>
      </c>
      <c r="L49" s="181">
        <v>65</v>
      </c>
      <c r="M49" s="179">
        <f>L49*K49*J49*12</f>
        <v>117000</v>
      </c>
      <c r="N49" s="253">
        <f>M49/'Unit Mix_vm'!$D$15/12</f>
        <v>65</v>
      </c>
      <c r="O49" s="36"/>
      <c r="P49" s="239"/>
    </row>
    <row r="50" spans="9:16">
      <c r="I50" s="192" t="s">
        <v>262</v>
      </c>
      <c r="J50" s="251">
        <v>1</v>
      </c>
      <c r="K50" s="252">
        <f>'Unit Mix_vm'!$D$15</f>
        <v>150</v>
      </c>
      <c r="L50" s="181">
        <v>70</v>
      </c>
      <c r="M50" s="179">
        <f t="shared" ref="M50:M55" si="3">L50*K50*J50*12</f>
        <v>126000</v>
      </c>
      <c r="N50" s="253">
        <f>M50/'Unit Mix_vm'!$D$15/12</f>
        <v>70</v>
      </c>
    </row>
    <row r="51" spans="9:16">
      <c r="I51" s="192" t="s">
        <v>215</v>
      </c>
      <c r="J51" s="251">
        <v>1</v>
      </c>
      <c r="K51" s="252">
        <f>'Unit Mix_vm'!$D$15</f>
        <v>150</v>
      </c>
      <c r="L51" s="181">
        <v>25</v>
      </c>
      <c r="M51" s="179">
        <f t="shared" si="3"/>
        <v>45000</v>
      </c>
      <c r="N51" s="253">
        <f>M51/'Unit Mix_vm'!$D$15/12</f>
        <v>25</v>
      </c>
    </row>
    <row r="52" spans="9:16">
      <c r="I52" s="192" t="s">
        <v>211</v>
      </c>
      <c r="J52" s="251">
        <v>1</v>
      </c>
      <c r="K52" s="252">
        <f>'Unit Mix_vm'!$D$15</f>
        <v>150</v>
      </c>
      <c r="L52" s="181">
        <v>5</v>
      </c>
      <c r="M52" s="179">
        <f t="shared" si="3"/>
        <v>9000</v>
      </c>
      <c r="N52" s="253">
        <f>M52/'Unit Mix_vm'!$D$15/12</f>
        <v>5</v>
      </c>
    </row>
    <row r="53" spans="9:16">
      <c r="I53" s="192" t="s">
        <v>235</v>
      </c>
      <c r="J53" s="251">
        <v>0.9</v>
      </c>
      <c r="K53" s="252">
        <f>'Unit Mix_vm'!$D$15</f>
        <v>150</v>
      </c>
      <c r="L53" s="254">
        <f>$L$29</f>
        <v>30</v>
      </c>
      <c r="M53" s="179">
        <f t="shared" si="3"/>
        <v>48600</v>
      </c>
      <c r="N53" s="253">
        <f>M53/'Unit Mix_vm'!$D$15/12</f>
        <v>27</v>
      </c>
    </row>
    <row r="54" spans="9:16">
      <c r="I54" s="192" t="s">
        <v>263</v>
      </c>
      <c r="J54" s="251">
        <v>1</v>
      </c>
      <c r="K54" s="255">
        <v>32</v>
      </c>
      <c r="L54" s="256">
        <v>55</v>
      </c>
      <c r="M54" s="179">
        <f t="shared" si="3"/>
        <v>21120</v>
      </c>
      <c r="N54" s="253">
        <f>M54/'Unit Mix_vm'!$D$15/12</f>
        <v>11.733333333333334</v>
      </c>
    </row>
    <row r="55" spans="9:16">
      <c r="I55" s="192" t="s">
        <v>264</v>
      </c>
      <c r="J55" s="251">
        <v>1</v>
      </c>
      <c r="K55" s="255">
        <v>0</v>
      </c>
      <c r="L55" s="256">
        <v>200</v>
      </c>
      <c r="M55" s="179">
        <f t="shared" si="3"/>
        <v>0</v>
      </c>
      <c r="N55" s="253">
        <f>M55/'Unit Mix_vm'!$D$15/12</f>
        <v>0</v>
      </c>
    </row>
    <row r="56" spans="9:16">
      <c r="I56" s="192" t="s">
        <v>265</v>
      </c>
      <c r="J56" s="251">
        <v>1</v>
      </c>
      <c r="K56" s="252">
        <f>'Unit Mix_vm'!$D$15</f>
        <v>150</v>
      </c>
      <c r="L56" s="181">
        <v>0</v>
      </c>
      <c r="M56" s="179">
        <f t="shared" ref="M56" si="4">L56*K56*J56*12</f>
        <v>0</v>
      </c>
      <c r="N56" s="253">
        <f>M56/'Unit Mix_vm'!$D$15/12</f>
        <v>0</v>
      </c>
    </row>
    <row r="57" spans="9:16">
      <c r="I57" s="232" t="s">
        <v>266</v>
      </c>
      <c r="J57" s="233"/>
      <c r="K57" s="234"/>
      <c r="L57" s="235"/>
      <c r="M57" s="127">
        <f>SUM(M49:M56)</f>
        <v>366720</v>
      </c>
      <c r="N57" s="236">
        <f>M57/'Unit Mix_vm'!$D$15/12</f>
        <v>203.73333333333335</v>
      </c>
    </row>
  </sheetData>
  <hyperlinks>
    <hyperlink ref="J8" r:id="rId1" xr:uid="{8D6257AD-74A2-44C5-8ECF-C50513541430}"/>
  </hyperlinks>
  <pageMargins left="0.7" right="0.7" top="0.75" bottom="0.75" header="0.3" footer="0.3"/>
  <pageSetup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/>
  <cols>
    <col min="1" max="1" width="3.7109375" customWidth="1"/>
  </cols>
  <sheetData>
    <row r="2" spans="2:2" ht="129.75">
      <c r="B2" s="76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/>
  <cols>
    <col min="1" max="1" width="3.7109375" customWidth="1"/>
  </cols>
  <sheetData>
    <row r="2" spans="2:2" ht="129.75">
      <c r="B2" s="76" t="s">
        <v>268</v>
      </c>
    </row>
    <row r="3" spans="2:2" ht="129.75">
      <c r="B3" s="76" t="s">
        <v>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>
      <c r="A2" s="8" t="s">
        <v>270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>
      <c r="A6"/>
      <c r="B6" s="10"/>
      <c r="C6" s="88" t="s">
        <v>271</v>
      </c>
      <c r="D6" s="88" t="s">
        <v>272</v>
      </c>
      <c r="E6" s="88" t="s">
        <v>273</v>
      </c>
      <c r="F6" s="88" t="s">
        <v>274</v>
      </c>
      <c r="G6" s="88" t="s">
        <v>275</v>
      </c>
      <c r="H6" s="88" t="s">
        <v>276</v>
      </c>
      <c r="I6" s="88" t="s">
        <v>277</v>
      </c>
      <c r="J6" s="88" t="s">
        <v>278</v>
      </c>
      <c r="K6" s="88" t="s">
        <v>279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280</v>
      </c>
      <c r="C8"/>
      <c r="D8"/>
      <c r="E8"/>
      <c r="F8"/>
      <c r="G8"/>
      <c r="H8"/>
      <c r="I8"/>
      <c r="J8"/>
      <c r="K8"/>
      <c r="L8"/>
      <c r="M8" s="110" t="s">
        <v>281</v>
      </c>
      <c r="N8" s="110" t="s">
        <v>281</v>
      </c>
      <c r="O8" s="110" t="s">
        <v>281</v>
      </c>
      <c r="P8" s="110" t="s">
        <v>281</v>
      </c>
      <c r="Q8" s="110" t="s">
        <v>281</v>
      </c>
      <c r="R8" s="110" t="s">
        <v>281</v>
      </c>
      <c r="S8" s="110" t="s">
        <v>281</v>
      </c>
      <c r="T8" s="110" t="s">
        <v>281</v>
      </c>
      <c r="U8" s="110" t="s">
        <v>281</v>
      </c>
      <c r="V8" s="110" t="s">
        <v>281</v>
      </c>
      <c r="W8" s="110" t="s">
        <v>281</v>
      </c>
      <c r="X8" s="110" t="s">
        <v>281</v>
      </c>
      <c r="Y8" s="110" t="s">
        <v>281</v>
      </c>
      <c r="Z8" s="110" t="s">
        <v>281</v>
      </c>
      <c r="AA8" s="110" t="s">
        <v>281</v>
      </c>
      <c r="AB8" s="110" t="s">
        <v>281</v>
      </c>
      <c r="AC8" s="110" t="s">
        <v>281</v>
      </c>
      <c r="AD8" s="110" t="s">
        <v>281</v>
      </c>
      <c r="AE8" s="110" t="s">
        <v>281</v>
      </c>
      <c r="AF8" s="110" t="s">
        <v>281</v>
      </c>
      <c r="AG8" s="110" t="s">
        <v>281</v>
      </c>
      <c r="AH8" s="110" t="s">
        <v>281</v>
      </c>
      <c r="AI8" s="110" t="s">
        <v>281</v>
      </c>
      <c r="AJ8" s="110" t="s">
        <v>281</v>
      </c>
      <c r="AK8" s="110" t="s">
        <v>281</v>
      </c>
      <c r="AL8" s="110" t="s">
        <v>281</v>
      </c>
      <c r="AM8" s="110" t="s">
        <v>281</v>
      </c>
      <c r="AN8" s="110" t="s">
        <v>281</v>
      </c>
      <c r="AO8" s="110" t="s">
        <v>281</v>
      </c>
      <c r="AP8" s="110" t="s">
        <v>281</v>
      </c>
      <c r="AQ8" s="110" t="s">
        <v>281</v>
      </c>
      <c r="AR8" s="110" t="s">
        <v>281</v>
      </c>
      <c r="AS8" s="110" t="s">
        <v>281</v>
      </c>
      <c r="AT8" s="110" t="s">
        <v>281</v>
      </c>
      <c r="AU8" s="110" t="s">
        <v>281</v>
      </c>
      <c r="AV8" s="110" t="s">
        <v>281</v>
      </c>
      <c r="AW8" s="110" t="s">
        <v>281</v>
      </c>
      <c r="AX8" s="110" t="s">
        <v>281</v>
      </c>
      <c r="AY8" s="110" t="s">
        <v>281</v>
      </c>
      <c r="AZ8" s="110" t="s">
        <v>281</v>
      </c>
      <c r="BA8" s="110" t="s">
        <v>281</v>
      </c>
      <c r="BB8" s="110" t="s">
        <v>281</v>
      </c>
      <c r="BC8" s="110" t="s">
        <v>281</v>
      </c>
      <c r="BD8" s="110" t="s">
        <v>281</v>
      </c>
      <c r="BE8" s="110" t="s">
        <v>281</v>
      </c>
      <c r="BF8" s="110" t="s">
        <v>281</v>
      </c>
      <c r="BG8" s="110" t="s">
        <v>281</v>
      </c>
      <c r="BH8" s="110" t="s">
        <v>281</v>
      </c>
      <c r="BI8" s="110" t="s">
        <v>281</v>
      </c>
      <c r="BJ8" s="110" t="s">
        <v>281</v>
      </c>
      <c r="BK8" s="110" t="s">
        <v>281</v>
      </c>
      <c r="BL8" s="110" t="s">
        <v>281</v>
      </c>
      <c r="BM8" s="110" t="s">
        <v>281</v>
      </c>
      <c r="BN8" s="110" t="s">
        <v>281</v>
      </c>
      <c r="BO8" s="110" t="s">
        <v>281</v>
      </c>
      <c r="BP8" s="110" t="s">
        <v>281</v>
      </c>
      <c r="BQ8" s="110" t="s">
        <v>281</v>
      </c>
      <c r="BR8" s="110" t="s">
        <v>281</v>
      </c>
      <c r="BS8" s="110" t="s">
        <v>281</v>
      </c>
      <c r="BT8" s="110" t="s">
        <v>281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4" t="s">
        <v>282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283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284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104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105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4" t="s">
        <v>285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97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51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52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106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107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110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111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113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115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117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53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118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55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120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56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57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286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134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62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287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63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64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142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145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67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149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68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71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70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69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72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73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74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75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76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77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78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79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80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81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82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83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84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288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85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159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160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289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290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165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166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167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87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88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116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291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>
      <c r="A2" s="8" t="s">
        <v>292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293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294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>
      <c r="A8"/>
      <c r="B8" s="90" t="s">
        <v>295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>
      <c r="A9"/>
      <c r="B9" s="91" t="s">
        <v>280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0" t="s">
        <v>296</v>
      </c>
      <c r="C11" s="95" t="s">
        <v>297</v>
      </c>
      <c r="D11" s="95" t="s">
        <v>298</v>
      </c>
      <c r="E11" s="95" t="s">
        <v>99</v>
      </c>
      <c r="F11" s="95" t="s">
        <v>299</v>
      </c>
      <c r="G11" s="95" t="s">
        <v>300</v>
      </c>
      <c r="H11" s="96" t="s">
        <v>301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302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44</v>
      </c>
      <c r="I12"/>
      <c r="J12" s="112" t="s">
        <v>303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304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44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305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44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306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307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44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308</v>
      </c>
      <c r="C18" s="73" t="s">
        <v>309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310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311</v>
      </c>
      <c r="C20" s="23" t="s">
        <v>312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313</v>
      </c>
      <c r="C21" s="49">
        <v>1</v>
      </c>
      <c r="D21" s="24" t="s">
        <v>314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315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316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316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4" t="s">
        <v>317</v>
      </c>
      <c r="C30" s="73" t="s">
        <v>93</v>
      </c>
      <c r="D30" s="73" t="s">
        <v>18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300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299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38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4" t="s">
        <v>318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319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320</v>
      </c>
      <c r="C38" s="73" t="s">
        <v>93</v>
      </c>
      <c r="D38" s="73" t="s">
        <v>47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321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322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62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323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324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265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325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326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327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328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329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181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4" t="s">
        <v>330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331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300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>
      <c r="A56"/>
      <c r="B56" t="s">
        <v>299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>
      <c r="A57"/>
      <c r="B57" t="s">
        <v>101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>
      <c r="A58"/>
      <c r="B58" s="3" t="s">
        <v>332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333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329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>
      <c r="A62"/>
      <c r="B62" t="s">
        <v>334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>
      <c r="A63"/>
      <c r="B63" t="s">
        <v>335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>
      <c r="A64"/>
      <c r="B64" s="3" t="s">
        <v>336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330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4" t="s">
        <v>101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337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338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339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340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341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342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343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340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344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341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345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346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347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348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338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349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344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345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350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351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338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352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347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351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353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354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353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355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305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356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357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358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38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4" t="s">
        <v>359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331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300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299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332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336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360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338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4" t="s">
        <v>361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>
      <c r="A127"/>
      <c r="B127" s="74" t="s">
        <v>362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363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340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341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364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365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340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366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341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367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368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369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340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341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370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371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340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366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341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367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372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373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374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375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338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4" t="s">
        <v>361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>
      <c r="A160"/>
      <c r="B160" s="74" t="s">
        <v>362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376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366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367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377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378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366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367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379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380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381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382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383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373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380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384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385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386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374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381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387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385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338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4" t="s">
        <v>361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>
      <c r="A193"/>
      <c r="B193" s="74" t="s">
        <v>362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388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389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366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347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351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353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390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391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392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393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394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338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4" t="s">
        <v>361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>
      <c r="A212"/>
      <c r="B212" s="74" t="s">
        <v>362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395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389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366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347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351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353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396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390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397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398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399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400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338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4" t="s">
        <v>361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>
      <c r="A232"/>
      <c r="B232" s="74" t="s">
        <v>362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401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402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403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404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405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305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356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357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358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406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407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38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408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305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356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357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358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406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407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38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360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305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356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357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358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406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407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38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301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394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400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404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38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409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410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411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412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413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414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415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291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>
      <c r="A2" s="8" t="s">
        <v>416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293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294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>
      <c r="A8"/>
      <c r="B8" s="90" t="s">
        <v>295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>
      <c r="A9"/>
      <c r="B9" s="91" t="s">
        <v>280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6"/>
      <c r="C11" s="95" t="s">
        <v>417</v>
      </c>
      <c r="D11" s="95" t="s">
        <v>418</v>
      </c>
      <c r="E11" s="95" t="s">
        <v>419</v>
      </c>
      <c r="F11" s="95" t="s">
        <v>420</v>
      </c>
      <c r="G11" s="96" t="s">
        <v>421</v>
      </c>
      <c r="H11"/>
      <c r="I11" s="113" t="s">
        <v>422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302</v>
      </c>
      <c r="C12" s="48">
        <f>IFERROR(XIRR(C39:BJ39,C6:BJ6,0),0)</f>
        <v>0</v>
      </c>
      <c r="D12" s="48">
        <f>IFERROR(XIRR(C81:BJ81,C6:BJ6,0),0)</f>
        <v>0</v>
      </c>
      <c r="E12" s="48" t="s">
        <v>44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423</v>
      </c>
      <c r="J12"/>
      <c r="K12" s="36" t="e">
        <f>-SUM(C36:BJ36)</f>
        <v>#REF!</v>
      </c>
      <c r="L12"/>
      <c r="M12" s="112" t="s">
        <v>303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304</v>
      </c>
      <c r="C13" s="118">
        <f>IFERROR(C15/C14,0)</f>
        <v>0</v>
      </c>
      <c r="D13" s="118">
        <f t="shared" ref="D13:G13" si="2">IFERROR(D15/D14,0)</f>
        <v>0</v>
      </c>
      <c r="E13" s="118" t="s">
        <v>44</v>
      </c>
      <c r="F13" s="118">
        <f t="shared" si="2"/>
        <v>0</v>
      </c>
      <c r="G13" s="118">
        <f t="shared" si="2"/>
        <v>0</v>
      </c>
      <c r="H13" s="97"/>
      <c r="I13" t="s">
        <v>421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305</v>
      </c>
      <c r="C14" s="36">
        <f>-SUM(C32:BJ32)</f>
        <v>0</v>
      </c>
      <c r="D14" s="36">
        <f>-SUM(C77:BJ77)</f>
        <v>0</v>
      </c>
      <c r="E14" s="36" t="s">
        <v>44</v>
      </c>
      <c r="F14" s="36">
        <f>-SUM(C104:BJ104)</f>
        <v>0</v>
      </c>
      <c r="G14" s="36">
        <f>-SUM(C98:BJ98)</f>
        <v>0</v>
      </c>
      <c r="H14" s="36"/>
      <c r="I14" s="3" t="s">
        <v>424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306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307</v>
      </c>
      <c r="C16" s="36" t="e">
        <f>+C15-C14</f>
        <v>#REF!</v>
      </c>
      <c r="D16" s="36" t="e">
        <f>+D15-D14</f>
        <v>#REF!</v>
      </c>
      <c r="E16" s="36" t="s">
        <v>44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425</v>
      </c>
      <c r="C18" s="73" t="s">
        <v>93</v>
      </c>
      <c r="D18" s="73" t="s">
        <v>18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421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420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38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426</v>
      </c>
      <c r="C23" s="73" t="s">
        <v>309</v>
      </c>
      <c r="D23" s="73" t="s">
        <v>427</v>
      </c>
      <c r="E23" s="73" t="s">
        <v>428</v>
      </c>
      <c r="F23" s="73" t="s">
        <v>429</v>
      </c>
      <c r="G23" s="73" t="s">
        <v>430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4" t="s">
        <v>431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331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432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433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332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434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435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436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336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437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4" t="s">
        <v>438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338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339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340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341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342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439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340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366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341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367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440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347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338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441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366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367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442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351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338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443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444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393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445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>
      <c r="A77"/>
      <c r="B77" t="s">
        <v>305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347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351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353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38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446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305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347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351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353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38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437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305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347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351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353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38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447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305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448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449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38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450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305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448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449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38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409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451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452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38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413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414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415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291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>
      <c r="A1" s="7" t="str">
        <f>TEXT(Global!$C$7,"")</f>
        <v>Property Name</v>
      </c>
      <c r="B1"/>
      <c r="C1"/>
      <c r="D1"/>
      <c r="E1"/>
      <c r="F1" s="5"/>
    </row>
    <row r="2" spans="1:7" ht="20.25" thickBot="1">
      <c r="A2" s="8" t="s">
        <v>453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293</v>
      </c>
      <c r="C6" s="11" t="s">
        <v>454</v>
      </c>
      <c r="D6" s="11" t="s">
        <v>126</v>
      </c>
      <c r="E6"/>
      <c r="F6" s="5"/>
      <c r="G6" s="60"/>
    </row>
    <row r="7" spans="1:7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Jack Berg</cp:lastModifiedBy>
  <cp:revision/>
  <dcterms:created xsi:type="dcterms:W3CDTF">2024-03-25T15:55:55Z</dcterms:created>
  <dcterms:modified xsi:type="dcterms:W3CDTF">2026-03-11T14:29:34Z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