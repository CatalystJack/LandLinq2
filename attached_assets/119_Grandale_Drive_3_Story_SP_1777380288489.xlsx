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119 Grandle Drive/"/>
    </mc:Choice>
  </mc:AlternateContent>
  <xr:revisionPtr revIDLastSave="429" documentId="8_{C636B367-136C-42F5-A464-60C149847126}" xr6:coauthVersionLast="47" xr6:coauthVersionMax="47" xr10:uidLastSave="{917C9ABC-7609-42AB-B27C-14820E75B1BD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9" l="1"/>
  <c r="N9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tc={A4DD92F3-F9B8-4686-B6E5-F5E20EAC6630}</author>
  </authors>
  <commentList>
    <comment ref="G11" authorId="0" shapeId="0" xr:uid="{CB9DAEAE-586C-426C-8A63-C0145E3B792B}">
      <text>
        <r>
          <rPr>
            <b/>
            <sz val="9"/>
            <color indexed="81"/>
            <rFont val="Tahoma"/>
            <family val="2"/>
          </rPr>
          <t>Analyst:</t>
        </r>
        <r>
          <rPr>
            <sz val="9"/>
            <color indexed="81"/>
            <rFont val="Tahoma"/>
            <family val="2"/>
          </rPr>
          <t xml:space="preserve">
Our property comes under Durham County Fire &amp; Rescue Service which allows for lower millage.</t>
        </r>
      </text>
    </comment>
    <comment ref="D24" authorId="1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<sst xmlns="http://schemas.openxmlformats.org/spreadsheetml/2006/main" count="906" uniqueCount="462">
  <si>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</si>
  <si>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</si>
  <si>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</si>
  <si>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</si>
  <si>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</si>
  <si>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</si>
  <si>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</si>
  <si>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</si>
  <si>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</si>
  <si>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</si>
  <si>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</si>
  <si>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</si>
  <si>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</si>
  <si>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</si>
  <si>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</si>
  <si>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</si>
  <si>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</si>
  <si>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</si>
  <si>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</si>
  <si>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</si>
  <si>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</si>
  <si>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</si>
  <si>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</si>
  <si>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</si>
  <si>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</si>
  <si>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</si>
  <si>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</si>
  <si>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</si>
  <si>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</si>
  <si>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</si>
  <si>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</si>
  <si>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</si>
  <si>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</si>
  <si>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</si>
  <si>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</si>
  <si>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</si>
  <si>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Link to Website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</si>
  <si>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</si>
  <si>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</si>
  <si>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</si>
  <si>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</si>
  <si>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</si>
  <si>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</si>
  <si>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</si>
  <si>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</si>
  <si>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</si>
  <si>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</si>
  <si>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</si>
  <si>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</si>
  <si>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</si>
  <si>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</si>
  <si>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</si>
  <si>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</si>
  <si>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</si>
  <si>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</si>
  <si>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</si>
  <si>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</si>
  <si>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</si>
  <si>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</si>
  <si>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</si>
  <si>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</si>
  <si>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</si>
  <si>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</si>
  <si>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</si>
  <si>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</si>
  <si>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</si>
  <si>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</si>
  <si>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</si>
  <si>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</si>
  <si>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</si>
  <si>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</si>
  <si>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</si>
  <si>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</si>
  <si>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</si>
  <si>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</si>
  <si>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</si>
  <si>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</si>
  <si>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</si>
  <si>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</si>
  <si>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</si>
  <si>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</si>
  <si>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</si>
  <si>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</si>
  <si>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</si>
  <si>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</si>
  <si>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</si>
  <si>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</si>
  <si>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</si>
  <si>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</si>
  <si>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</si>
  <si>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</si>
  <si>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</si>
  <si>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</si>
  <si>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</si>
  <si>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</si>
  <si>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</si>
  <si>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</si>
  <si>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</si>
  <si>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</si>
  <si>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</si>
  <si>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</si>
  <si>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</si>
  <si>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</si>
  <si>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</si>
  <si>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</si>
  <si>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</si>
  <si>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</si>
  <si>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</si>
  <si>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</si>
  <si>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</si>
  <si>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</si>
  <si>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</si>
  <si>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</si>
  <si>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</si>
  <si>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</si>
  <si>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</si>
  <si>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</si>
  <si>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</si>
  <si>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</si>
  <si>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</si>
  <si>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</si>
  <si>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</si>
  <si>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</si>
  <si>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</si>
  <si>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</si>
  <si>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</si>
  <si>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</si>
  <si>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</si>
  <si>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</si>
  <si>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</si>
  <si>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</si>
  <si>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</si>
  <si>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</si>
  <si>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</si>
  <si>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</si>
  <si>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</si>
  <si>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</si>
  <si>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</si>
  <si>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</si>
  <si>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</si>
  <si>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</si>
  <si>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</si>
  <si>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</si>
  <si>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</si>
  <si>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</si>
  <si>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</si>
  <si>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</si>
  <si>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</si>
  <si>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</si>
  <si>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</si>
  <si>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</si>
  <si>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</si>
  <si>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</si>
  <si>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</si>
  <si>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</si>
  <si>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</si>
  <si>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</si>
  <si>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</si>
  <si>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</si>
  <si>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</si>
  <si>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</si>
  <si>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</si>
  <si>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</si>
  <si>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</si>
  <si>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</si>
  <si>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</si>
  <si>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</si>
  <si>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</si>
  <si>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</si>
  <si>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</si>
  <si>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</si>
  <si>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</si>
  <si>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</si>
  <si>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</si>
  <si>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</si>
  <si>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</si>
  <si>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</si>
  <si>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</si>
  <si>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</si>
  <si>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</si>
  <si>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</si>
  <si>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</si>
  <si>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</si>
  <si>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</si>
  <si>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</si>
  <si>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</si>
  <si>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</si>
  <si>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</si>
  <si>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</si>
  <si>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</si>
  <si>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</si>
  <si>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</si>
  <si>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</si>
  <si>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</si>
  <si>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</si>
  <si>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</si>
  <si>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</si>
  <si>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</si>
  <si>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</si>
  <si>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</si>
  <si>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</si>
  <si>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</si>
  <si>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</si>
  <si>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</si>
  <si>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</si>
  <si>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</si>
  <si>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</si>
  <si>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</si>
  <si>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</si>
  <si>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</si>
  <si>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</si>
  <si>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</si>
  <si>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</si>
  <si>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</si>
  <si>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</si>
  <si>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</si>
  <si>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</si>
  <si>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</si>
  <si>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</si>
  <si>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</si>
  <si>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</si>
  <si>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</si>
  <si>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</si>
  <si>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</si>
  <si>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</si>
  <si>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</si>
  <si>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</si>
  <si>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</si>
  <si>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</si>
  <si>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</si>
  <si>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</si>
  <si>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</si>
  <si>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</si>
  <si>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</si>
  <si>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</si>
  <si>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</si>
  <si>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</si>
  <si>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</si>
  <si>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</si>
  <si>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</si>
  <si>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</si>
  <si>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</si>
  <si>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</si>
  <si>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</si>
  <si>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</si>
  <si>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</si>
  <si>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</si>
  <si>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</si>
  <si>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</si>
  <si>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</si>
  <si>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</si>
  <si>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</si>
  <si>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</si>
  <si>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</si>
  <si>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</si>
  <si>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</si>
  <si>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</si>
  <si>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</si>
  <si>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</si>
  <si>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</si>
  <si>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</si>
  <si>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</si>
  <si>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</si>
  <si>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</si>
  <si>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</si>
  <si>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</si>
  <si>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</si>
  <si>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</si>
  <si>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</si>
  <si>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</si>
  <si>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</si>
  <si>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</si>
  <si>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</si>
  <si>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</si>
  <si>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</si>
  <si>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</si>
  <si>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</si>
  <si>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</si>
  <si>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</si>
  <si>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</si>
  <si>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</si>
  <si>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</si>
  <si>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</si>
  <si>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</si>
  <si>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</si>
  <si>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</si>
  <si>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</si>
  <si>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</si>
  <si>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</si>
  <si>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</si>
  <si>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</si>
  <si>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</si>
  <si>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</si>
  <si>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</si>
  <si>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</si>
  <si>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</si>
  <si>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</si>
  <si>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</si>
  <si>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</si>
  <si>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</si>
  <si>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</si>
  <si>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</si>
  <si>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</si>
  <si>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</si>
  <si>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</si>
  <si>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</si>
  <si>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</si>
  <si>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</si>
  <si>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</si>
  <si>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</si>
  <si>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</si>
  <si>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</si>
  <si>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</si>
  <si>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</si>
  <si>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</si>
  <si>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</si>
  <si>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</si>
  <si>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</si>
  <si>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</si>
  <si>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</si>
  <si>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</si>
  <si>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</si>
  <si>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</si>
  <si>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</si>
  <si>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</si>
  <si>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</si>
  <si>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</si>
  <si>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</si>
  <si>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</si>
  <si>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</si>
  <si>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</si>
  <si>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</si>
  <si>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</si>
  <si>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</si>
  <si>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</si>
  <si>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</si>
  <si>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</si>
  <si>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</si>
  <si>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</si>
  <si>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</si>
  <si>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</si>
  <si>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</si>
  <si>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</si>
  <si>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</si>
  <si>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</si>
  <si>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</si>
  <si>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</si>
  <si>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</si>
  <si>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</si>
  <si>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</si>
  <si>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</si>
  <si>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</si>
  <si>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</si>
  <si>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</si>
  <si>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</si>
  <si>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</si>
  <si>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</si>
  <si>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</si>
  <si>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</si>
  <si>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</si>
  <si>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</si>
  <si>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</si>
  <si>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</si>
  <si>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</si>
  <si>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</si>
  <si>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</si>
  <si>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</si>
  <si>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</si>
  <si>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</si>
  <si>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</si>
  <si>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</si>
  <si>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</si>
  <si>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</si>
  <si>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</si>
  <si>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</si>
  <si>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</si>
  <si>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</si>
  <si>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</si>
  <si>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</si>
  <si>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</si>
  <si>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</si>
  <si>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</si>
  <si>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</si>
  <si>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</si>
  <si>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</si>
  <si>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</si>
  <si>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</si>
  <si>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</si>
  <si>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</si>
  <si>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</si>
  <si>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</si>
  <si>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</si>
  <si>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</si>
  <si>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</si>
  <si>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</si>
  <si>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</si>
  <si>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</si>
  <si>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</si>
  <si>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</si>
  <si>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</si>
  <si>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</si>
  <si>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</si>
  <si>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</si>
  <si>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</si>
  <si>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</si>
  <si>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</si>
  <si>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</si>
  <si>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</si>
  <si>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</si>
  <si>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</si>
  <si>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</si>
  <si>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</si>
  <si>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</si>
  <si>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</si>
  <si>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</si>
  <si>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</si>
  <si>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</si>
  <si>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</si>
  <si>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</si>
  <si>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</si>
  <si>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</si>
  <si>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</si>
  <si>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</si>
  <si>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</si>
  <si>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</si>
  <si>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</si>
  <si>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</si>
  <si>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</si>
  <si>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</si>
  <si>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</si>
  <si>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</si>
  <si>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</si>
  <si>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Grandle Drive</t>
  </si>
  <si>
    <t>3-Story Surface-Parked</t>
  </si>
  <si>
    <t>6353 Grandale Drive</t>
  </si>
  <si>
    <t>Durham, NC</t>
  </si>
  <si>
    <t>Durham</t>
  </si>
  <si>
    <t>1) Alexander Crossing</t>
  </si>
  <si>
    <t>Alexander Crossing</t>
  </si>
  <si>
    <t>Raleigh-Durham</t>
  </si>
  <si>
    <t>South Durham</t>
  </si>
  <si>
    <t>Multifamily</t>
  </si>
  <si>
    <t>PIEDMONT ALEXANDER CROSSING OWNER LLC</t>
  </si>
  <si>
    <t>3) Brizo Apartments</t>
  </si>
  <si>
    <t>Alta Davis Park Owner Llc</t>
  </si>
  <si>
    <t>1108 Merrion Ave Llc</t>
  </si>
  <si>
    <t>Alta Davis</t>
  </si>
  <si>
    <t>Brizo Apartments</t>
  </si>
  <si>
    <t>Underwriting Notes &amp; Assumptions</t>
  </si>
  <si>
    <t>Rent Comps</t>
  </si>
  <si>
    <t>2. Unit counts were not available so they are kept blank.</t>
  </si>
  <si>
    <t>Expenses</t>
  </si>
  <si>
    <t>2. We have taken the 3 story ( Non - Costal) assumption for Insurance costs.</t>
  </si>
  <si>
    <t>Taxes</t>
  </si>
  <si>
    <t>2. Some properties have multiple parcels, we've added all the parcels for Assessed value calculation.</t>
  </si>
  <si>
    <t>Question to the team Catalyst</t>
  </si>
  <si>
    <t>1. We have taken the millage rate of our parcel as per the 2025 tax bill.</t>
  </si>
  <si>
    <t>* Aventon Cary was excluded as it lies under a different county</t>
  </si>
  <si>
    <t>1. We didn't have the unit counts for the deal so we have gone with the assumption mentioned in the template (250 Units). Please let us know if you'd like any changes.</t>
  </si>
  <si>
    <t>1. We have used the Nearest comp (1.1miles) as the subject property to find Rent comps from Hello Data and added the screenshot for the rent comps as well.</t>
  </si>
  <si>
    <t>1. We have changed the Impact Fees assumption to $5500/unit as per the new prompt shared by Austin. We have used Gemini as we had the Pro subscription for it.</t>
  </si>
  <si>
    <t>2) Alta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</si>
</sst>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373A3C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0" fillId="0" borderId="0" xfId="2" applyNumberFormat="1" applyFont="1"/>
    <xf numFmtId="0" fontId="25" fillId="10" borderId="8" xfId="3" applyFill="1" applyBorder="1" applyAlignment="1">
      <alignment horizontal="center"/>
    </xf>
    <xf numFmtId="0" fontId="7" fillId="10" borderId="0" xfId="2" applyNumberFormat="1" applyFont="1" applyFill="1" applyAlignment="1">
      <alignment horizontal="center"/>
    </xf>
    <xf numFmtId="0" fontId="7" fillId="10" borderId="8" xfId="2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6" fontId="28" fillId="0" borderId="0" xfId="0" applyNumberFormat="1" applyFont="1"/>
    <xf numFmtId="8" fontId="28" fillId="0" borderId="0" xfId="0" applyNumberFormat="1" applyFont="1"/>
    <xf numFmtId="6" fontId="0" fillId="0" borderId="0" xfId="0" applyNumberForma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560917</xdr:colOff>
      <xdr:row>34</xdr:row>
      <xdr:rowOff>74083</xdr:rowOff>
    </xdr:from>
    <xdr:to>
      <xdr:col>20</xdr:col>
      <xdr:colOff>244475</xdr:colOff>
      <xdr:row>58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2A4CD-25EE-7EA8-7DAE-58227F58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167" y="6445250"/>
          <a:ext cx="14055725" cy="4271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brizo.com/" TargetMode="External"/><Relationship Id="rId2" Type="http://schemas.openxmlformats.org/officeDocument/2006/relationships/hyperlink" Target="https://www.altadavis.com/" TargetMode="External"/><Relationship Id="rId1" Type="http://schemas.openxmlformats.org/officeDocument/2006/relationships/hyperlink" Target="https://alexandercrossingdurham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erty.spatialest.com/nc/durham-tax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roperty.spatialest.com/nc/durham-tax/" TargetMode="External"/><Relationship Id="rId1" Type="http://schemas.openxmlformats.org/officeDocument/2006/relationships/hyperlink" Target="https://property.spatialest.com/nc/durham-tax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4"/>
  <sheetViews>
    <sheetView showGridLines="0" tabSelected="1" zoomScale="90" zoomScaleNormal="90" workbookViewId="0">
      <selection activeCell="B33" sqref="B33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2" customFormat="1" ht="25.8" x14ac:dyDescent="0.5">
      <c r="A1" s="145" t="str">
        <f>TEXT(C7,"")</f>
        <v>Grandle Drive</v>
      </c>
    </row>
    <row r="2" spans="1:3" s="142" customFormat="1" ht="19.8" x14ac:dyDescent="0.4">
      <c r="A2" s="146" t="s">
        <v>0</v>
      </c>
    </row>
    <row r="6" spans="1:3" x14ac:dyDescent="0.3">
      <c r="B6" s="123" t="s">
        <v>0</v>
      </c>
      <c r="C6" s="163"/>
    </row>
    <row r="7" spans="1:3" x14ac:dyDescent="0.3">
      <c r="B7" s="56" t="s">
        <v>1</v>
      </c>
      <c r="C7" s="258" t="s">
        <v>432</v>
      </c>
    </row>
    <row r="8" spans="1:3" x14ac:dyDescent="0.3">
      <c r="B8" s="56" t="s">
        <v>2</v>
      </c>
      <c r="C8" s="164" t="s">
        <v>433</v>
      </c>
    </row>
    <row r="9" spans="1:3" x14ac:dyDescent="0.3">
      <c r="B9" s="56" t="s">
        <v>3</v>
      </c>
      <c r="C9" s="258" t="s">
        <v>439</v>
      </c>
    </row>
    <row r="10" spans="1:3" x14ac:dyDescent="0.3">
      <c r="B10" s="56" t="s">
        <v>4</v>
      </c>
      <c r="C10" s="258" t="s">
        <v>440</v>
      </c>
    </row>
    <row r="11" spans="1:3" x14ac:dyDescent="0.3">
      <c r="B11" s="56" t="s">
        <v>5</v>
      </c>
      <c r="C11" s="258" t="s">
        <v>434</v>
      </c>
    </row>
    <row r="12" spans="1:3" x14ac:dyDescent="0.3">
      <c r="B12" s="56" t="s">
        <v>6</v>
      </c>
      <c r="C12" s="258" t="s">
        <v>435</v>
      </c>
    </row>
    <row r="13" spans="1:3" x14ac:dyDescent="0.3">
      <c r="B13" s="56" t="s">
        <v>7</v>
      </c>
      <c r="C13" s="258">
        <v>27713</v>
      </c>
    </row>
    <row r="14" spans="1:3" x14ac:dyDescent="0.3">
      <c r="B14" s="56" t="s">
        <v>8</v>
      </c>
      <c r="C14" s="258" t="s">
        <v>436</v>
      </c>
    </row>
    <row r="15" spans="1:3" x14ac:dyDescent="0.3">
      <c r="B15" s="56"/>
      <c r="C15" s="57"/>
    </row>
    <row r="16" spans="1:3" x14ac:dyDescent="0.3">
      <c r="B16" s="59" t="s">
        <v>9</v>
      </c>
      <c r="C16" s="165" t="s">
        <v>10</v>
      </c>
    </row>
    <row r="17" spans="2:12" ht="15" thickBot="1" x14ac:dyDescent="0.35"/>
    <row r="18" spans="2:12" x14ac:dyDescent="0.3">
      <c r="B18" s="267" t="s">
        <v>448</v>
      </c>
      <c r="C18" s="268"/>
      <c r="D18" s="268"/>
      <c r="E18" s="268"/>
      <c r="F18" s="268"/>
      <c r="G18" s="268"/>
      <c r="H18" s="268"/>
      <c r="I18" s="268"/>
      <c r="J18" s="268"/>
      <c r="K18" s="268"/>
      <c r="L18" s="269"/>
    </row>
    <row r="19" spans="2:12" x14ac:dyDescent="0.3">
      <c r="B19" s="270"/>
      <c r="L19" s="271"/>
    </row>
    <row r="20" spans="2:12" x14ac:dyDescent="0.3">
      <c r="B20" s="272" t="s">
        <v>449</v>
      </c>
      <c r="C20" s="273"/>
      <c r="D20" s="273"/>
      <c r="E20" s="273"/>
      <c r="F20" s="273"/>
      <c r="G20" s="273"/>
      <c r="H20" s="273"/>
      <c r="I20" s="273"/>
      <c r="J20" s="273"/>
      <c r="K20" s="273"/>
      <c r="L20" s="274"/>
    </row>
    <row r="21" spans="2:12" x14ac:dyDescent="0.3">
      <c r="B21" s="275" t="s">
        <v>459</v>
      </c>
      <c r="L21" s="271"/>
    </row>
    <row r="22" spans="2:12" x14ac:dyDescent="0.3">
      <c r="B22" s="275" t="s">
        <v>450</v>
      </c>
      <c r="L22" s="271"/>
    </row>
    <row r="23" spans="2:12" x14ac:dyDescent="0.3">
      <c r="B23" s="275"/>
      <c r="L23" s="271"/>
    </row>
    <row r="24" spans="2:12" x14ac:dyDescent="0.3">
      <c r="B24" s="276" t="s">
        <v>451</v>
      </c>
      <c r="L24" s="271"/>
    </row>
    <row r="25" spans="2:12" x14ac:dyDescent="0.3">
      <c r="B25" s="277" t="s">
        <v>460</v>
      </c>
      <c r="L25" s="271"/>
    </row>
    <row r="26" spans="2:12" x14ac:dyDescent="0.3">
      <c r="B26" s="277" t="s">
        <v>452</v>
      </c>
      <c r="L26" s="271"/>
    </row>
    <row r="27" spans="2:12" x14ac:dyDescent="0.3">
      <c r="B27" s="278" t="s">
        <v>453</v>
      </c>
      <c r="L27" s="271"/>
    </row>
    <row r="28" spans="2:12" x14ac:dyDescent="0.3">
      <c r="B28" s="277" t="s">
        <v>456</v>
      </c>
      <c r="L28" s="271"/>
    </row>
    <row r="29" spans="2:12" x14ac:dyDescent="0.3">
      <c r="B29" s="275" t="s">
        <v>454</v>
      </c>
      <c r="L29" s="271"/>
    </row>
    <row r="30" spans="2:12" x14ac:dyDescent="0.3">
      <c r="B30" s="275"/>
      <c r="L30" s="271"/>
    </row>
    <row r="31" spans="2:12" x14ac:dyDescent="0.3">
      <c r="B31" s="275"/>
      <c r="L31" s="271"/>
    </row>
    <row r="32" spans="2:12" x14ac:dyDescent="0.3">
      <c r="B32" s="272" t="s">
        <v>455</v>
      </c>
      <c r="C32" s="273"/>
      <c r="D32" s="273"/>
      <c r="E32" s="273"/>
      <c r="F32" s="273"/>
      <c r="G32" s="273"/>
      <c r="H32" s="273"/>
      <c r="I32" s="273"/>
      <c r="J32" s="273"/>
      <c r="K32" s="273"/>
      <c r="L32" s="274"/>
    </row>
    <row r="33" spans="2:12" x14ac:dyDescent="0.3">
      <c r="B33" s="275" t="s">
        <v>458</v>
      </c>
      <c r="L33" s="271"/>
    </row>
    <row r="34" spans="2:12" ht="15" thickBot="1" x14ac:dyDescent="0.35">
      <c r="B34" s="279"/>
      <c r="C34" s="2"/>
      <c r="D34" s="2"/>
      <c r="E34" s="2"/>
      <c r="F34" s="2"/>
      <c r="G34" s="2"/>
      <c r="H34" s="2"/>
      <c r="I34" s="2"/>
      <c r="J34" s="2"/>
      <c r="K34" s="2"/>
      <c r="L34" s="280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70" zoomScaleNormal="70" workbookViewId="0">
      <pane ySplit="6" topLeftCell="A7" activePane="bottomLeft" state="frozen"/>
      <selection activeCell="B5" sqref="B5"/>
      <selection pane="bottomLeft" activeCell="E28" sqref="E28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8" width="12.6640625" customWidth="1"/>
    <col min="9" max="10" width="1.6640625" customWidth="1"/>
    <col min="11" max="16" width="10.6640625" customWidth="1"/>
    <col min="17" max="17" width="1.6640625" customWidth="1"/>
    <col min="18" max="18" width="15.6640625" style="208" customWidth="1"/>
    <col min="19" max="19" width="39.88671875" style="208" bestFit="1" customWidth="1"/>
  </cols>
  <sheetData>
    <row r="1" spans="1:19" s="142" customFormat="1" ht="25.8" x14ac:dyDescent="0.5">
      <c r="A1" s="145" t="str">
        <f>TEXT(Global!$C$7,"")</f>
        <v>Grandle Drive</v>
      </c>
      <c r="B1" s="205"/>
      <c r="R1" s="205"/>
      <c r="S1" s="205"/>
    </row>
    <row r="2" spans="1:19" s="142" customFormat="1" ht="19.8" x14ac:dyDescent="0.4">
      <c r="A2" s="146" t="s">
        <v>11</v>
      </c>
      <c r="B2" s="205"/>
      <c r="R2" s="205"/>
      <c r="S2" s="205"/>
    </row>
    <row r="4" spans="1:19" x14ac:dyDescent="0.3">
      <c r="B4" s="227" t="s">
        <v>12</v>
      </c>
      <c r="C4" s="252"/>
      <c r="D4" s="253">
        <v>250</v>
      </c>
    </row>
    <row r="6" spans="1:19" x14ac:dyDescent="0.3">
      <c r="B6" s="206" t="s">
        <v>13</v>
      </c>
      <c r="C6" s="156" t="s">
        <v>14</v>
      </c>
      <c r="D6" s="156" t="s">
        <v>15</v>
      </c>
      <c r="E6" s="156" t="s">
        <v>16</v>
      </c>
      <c r="F6" s="156" t="s">
        <v>17</v>
      </c>
      <c r="G6" s="156" t="s">
        <v>18</v>
      </c>
      <c r="H6" s="157" t="s">
        <v>19</v>
      </c>
    </row>
    <row r="7" spans="1:19" x14ac:dyDescent="0.3">
      <c r="B7" s="256" t="s">
        <v>20</v>
      </c>
      <c r="C7" s="24" t="s">
        <v>20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437</v>
      </c>
      <c r="L7" s="170"/>
      <c r="M7" s="170"/>
      <c r="N7" s="170"/>
      <c r="O7" s="170"/>
      <c r="P7" s="141"/>
    </row>
    <row r="8" spans="1:19" x14ac:dyDescent="0.3">
      <c r="B8" s="256" t="s">
        <v>21</v>
      </c>
      <c r="C8" s="24" t="s">
        <v>21</v>
      </c>
      <c r="D8" s="251">
        <f t="shared" ref="D8:D14" si="0">ROUND($D$4*$E8,0)</f>
        <v>150</v>
      </c>
      <c r="E8" s="257">
        <v>0.6</v>
      </c>
      <c r="F8" s="32">
        <v>800</v>
      </c>
      <c r="G8" s="237">
        <v>1565</v>
      </c>
      <c r="H8" s="148">
        <f t="shared" ref="H8:H14" si="1">IFERROR(G8/F8,0)</f>
        <v>1.95625</v>
      </c>
      <c r="K8" s="211" t="s">
        <v>14</v>
      </c>
      <c r="L8" s="212" t="s">
        <v>15</v>
      </c>
      <c r="M8" s="212" t="s">
        <v>16</v>
      </c>
      <c r="N8" s="212" t="s">
        <v>22</v>
      </c>
      <c r="O8" s="212" t="s">
        <v>23</v>
      </c>
      <c r="P8" s="213" t="s">
        <v>24</v>
      </c>
      <c r="R8" s="218" t="s">
        <v>14</v>
      </c>
      <c r="S8" s="220" t="s">
        <v>441</v>
      </c>
    </row>
    <row r="9" spans="1:19" x14ac:dyDescent="0.3">
      <c r="B9" s="256" t="s">
        <v>25</v>
      </c>
      <c r="C9" s="24" t="s">
        <v>25</v>
      </c>
      <c r="D9" s="251">
        <f t="shared" si="0"/>
        <v>100</v>
      </c>
      <c r="E9" s="257">
        <v>0.4</v>
      </c>
      <c r="F9" s="32">
        <v>1050</v>
      </c>
      <c r="G9" s="237">
        <v>1955</v>
      </c>
      <c r="H9" s="148">
        <f t="shared" si="1"/>
        <v>1.861904761904762</v>
      </c>
      <c r="K9" s="56" t="s">
        <v>20</v>
      </c>
      <c r="L9" s="235"/>
      <c r="M9" s="204" t="e">
        <f>L9/$L$14</f>
        <v>#DIV/0!</v>
      </c>
      <c r="N9" s="236">
        <v>571</v>
      </c>
      <c r="O9" s="237">
        <v>1296</v>
      </c>
      <c r="P9" s="216">
        <f>IFERROR(O9/N9,"-")</f>
        <v>2.2697022767075308</v>
      </c>
      <c r="R9" s="193" t="s">
        <v>26</v>
      </c>
      <c r="S9" s="221">
        <v>2024</v>
      </c>
    </row>
    <row r="10" spans="1:19" x14ac:dyDescent="0.3">
      <c r="B10" s="256" t="s">
        <v>27</v>
      </c>
      <c r="C10" s="24" t="s">
        <v>27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28</v>
      </c>
      <c r="L10" s="235"/>
      <c r="M10" s="204" t="e">
        <f t="shared" ref="M10:M13" si="2">L10/$L$14</f>
        <v>#DIV/0!</v>
      </c>
      <c r="N10" s="236">
        <v>732</v>
      </c>
      <c r="O10" s="237">
        <v>1468</v>
      </c>
      <c r="P10" s="216">
        <f t="shared" ref="P10:P14" si="3">IFERROR(O10/N10,"-")</f>
        <v>2.0054644808743167</v>
      </c>
      <c r="R10" s="193" t="s">
        <v>29</v>
      </c>
      <c r="S10" s="222">
        <v>8.5000000000000006E-2</v>
      </c>
    </row>
    <row r="11" spans="1:19" x14ac:dyDescent="0.3">
      <c r="B11" s="256" t="s">
        <v>30</v>
      </c>
      <c r="C11" s="24" t="s">
        <v>30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31</v>
      </c>
      <c r="L11" s="235"/>
      <c r="M11" s="204" t="e">
        <f t="shared" si="2"/>
        <v>#DIV/0!</v>
      </c>
      <c r="N11" s="236">
        <v>1111</v>
      </c>
      <c r="O11" s="237">
        <v>1808</v>
      </c>
      <c r="P11" s="216">
        <f t="shared" si="3"/>
        <v>1.6273627362736274</v>
      </c>
      <c r="R11" s="193" t="s">
        <v>32</v>
      </c>
      <c r="S11" s="221"/>
    </row>
    <row r="12" spans="1:19" ht="15" customHeight="1" x14ac:dyDescent="0.3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33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34</v>
      </c>
      <c r="S12" s="221" t="s">
        <v>442</v>
      </c>
    </row>
    <row r="13" spans="1:19" ht="15" customHeight="1" x14ac:dyDescent="0.3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35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36</v>
      </c>
      <c r="S13" s="262" t="s">
        <v>160</v>
      </c>
    </row>
    <row r="14" spans="1:19" ht="15" customHeight="1" x14ac:dyDescent="0.3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37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3">
      <c r="B15" s="207" t="s">
        <v>37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1721</v>
      </c>
      <c r="H15" s="152">
        <f>IFERROR(G15/F15,0)</f>
        <v>1.9122222222222223</v>
      </c>
    </row>
    <row r="16" spans="1:19" x14ac:dyDescent="0.3">
      <c r="K16" s="170" t="s">
        <v>461</v>
      </c>
      <c r="L16" s="170"/>
      <c r="M16" s="170"/>
      <c r="N16" s="170"/>
      <c r="O16" s="170"/>
      <c r="P16" s="141"/>
    </row>
    <row r="17" spans="2:19" x14ac:dyDescent="0.3">
      <c r="B17" s="209" t="s">
        <v>20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14</v>
      </c>
      <c r="L17" s="212" t="s">
        <v>15</v>
      </c>
      <c r="M17" s="212" t="s">
        <v>16</v>
      </c>
      <c r="N17" s="212" t="s">
        <v>22</v>
      </c>
      <c r="O17" s="212" t="s">
        <v>23</v>
      </c>
      <c r="P17" s="213" t="s">
        <v>24</v>
      </c>
      <c r="R17" s="218" t="s">
        <v>14</v>
      </c>
      <c r="S17" s="220" t="s">
        <v>441</v>
      </c>
    </row>
    <row r="18" spans="2:19" x14ac:dyDescent="0.3">
      <c r="B18" s="210" t="s">
        <v>21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1565</v>
      </c>
      <c r="H18" s="148">
        <f t="shared" ref="H18:H22" si="5">IFERROR(G18/F18,0)</f>
        <v>1.95625</v>
      </c>
      <c r="K18" s="56" t="s">
        <v>20</v>
      </c>
      <c r="L18" s="235"/>
      <c r="M18" s="204" t="e">
        <f>L18/$L$14</f>
        <v>#DIV/0!</v>
      </c>
      <c r="N18" s="236">
        <v>637</v>
      </c>
      <c r="O18" s="237">
        <v>1314</v>
      </c>
      <c r="P18" s="216">
        <f>IFERROR(O18/N18,"-")</f>
        <v>2.0627943485086342</v>
      </c>
      <c r="R18" s="193" t="s">
        <v>26</v>
      </c>
      <c r="S18" s="221">
        <v>2022</v>
      </c>
    </row>
    <row r="19" spans="2:19" x14ac:dyDescent="0.3">
      <c r="B19" s="210" t="s">
        <v>25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1955</v>
      </c>
      <c r="H19" s="148">
        <f t="shared" si="5"/>
        <v>1.861904761904762</v>
      </c>
      <c r="K19" s="56" t="s">
        <v>28</v>
      </c>
      <c r="L19" s="235"/>
      <c r="M19" s="204" t="e">
        <f t="shared" ref="M19:M22" si="6">L19/$L$14</f>
        <v>#DIV/0!</v>
      </c>
      <c r="N19" s="236">
        <v>842</v>
      </c>
      <c r="O19" s="237">
        <v>1521</v>
      </c>
      <c r="P19" s="216">
        <f t="shared" ref="P19:P23" si="7">IFERROR(O19/N19,"-")</f>
        <v>1.8064133016627077</v>
      </c>
      <c r="R19" s="193" t="s">
        <v>29</v>
      </c>
      <c r="S19" s="222">
        <v>6.7000000000000004E-2</v>
      </c>
    </row>
    <row r="20" spans="2:19" x14ac:dyDescent="0.3">
      <c r="B20" s="210" t="s">
        <v>27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31</v>
      </c>
      <c r="L20" s="235"/>
      <c r="M20" s="204" t="e">
        <f t="shared" si="6"/>
        <v>#DIV/0!</v>
      </c>
      <c r="N20" s="236">
        <v>1175</v>
      </c>
      <c r="O20" s="237">
        <v>2037</v>
      </c>
      <c r="P20" s="216">
        <f t="shared" si="7"/>
        <v>1.7336170212765958</v>
      </c>
      <c r="R20" s="193" t="s">
        <v>32</v>
      </c>
      <c r="S20" s="221"/>
    </row>
    <row r="21" spans="2:19" x14ac:dyDescent="0.3">
      <c r="B21" s="210" t="s">
        <v>30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33</v>
      </c>
      <c r="L21" s="235"/>
      <c r="M21" s="204" t="e">
        <f t="shared" si="6"/>
        <v>#DIV/0!</v>
      </c>
      <c r="N21" s="236">
        <v>1414</v>
      </c>
      <c r="O21" s="237">
        <v>2200</v>
      </c>
      <c r="P21" s="216">
        <f t="shared" si="7"/>
        <v>1.5558698727015559</v>
      </c>
      <c r="R21" s="193" t="s">
        <v>34</v>
      </c>
      <c r="S21" s="221" t="s">
        <v>444</v>
      </c>
    </row>
    <row r="22" spans="2:19" x14ac:dyDescent="0.3">
      <c r="B22" s="207" t="s">
        <v>37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1721</v>
      </c>
      <c r="H22" s="152">
        <f t="shared" si="5"/>
        <v>1.9122222222222223</v>
      </c>
      <c r="K22" s="56" t="s">
        <v>35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36</v>
      </c>
      <c r="S22" s="262" t="s">
        <v>160</v>
      </c>
    </row>
    <row r="23" spans="2:19" x14ac:dyDescent="0.3">
      <c r="K23" s="126" t="s">
        <v>37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3">
      <c r="C24" s="208"/>
      <c r="D24" s="208"/>
      <c r="E24" s="208"/>
      <c r="F24" s="208"/>
    </row>
    <row r="25" spans="2:19" x14ac:dyDescent="0.3">
      <c r="C25" s="208"/>
      <c r="D25" s="208"/>
      <c r="E25" s="208"/>
      <c r="F25" s="208"/>
      <c r="K25" s="140" t="s">
        <v>443</v>
      </c>
      <c r="L25" s="170"/>
      <c r="M25" s="170"/>
      <c r="N25" s="170"/>
      <c r="O25" s="170"/>
      <c r="P25" s="141"/>
    </row>
    <row r="26" spans="2:19" x14ac:dyDescent="0.3">
      <c r="C26" s="208"/>
      <c r="D26" s="208"/>
      <c r="E26" s="208"/>
      <c r="F26" s="208"/>
      <c r="K26" s="211" t="s">
        <v>14</v>
      </c>
      <c r="L26" s="212" t="s">
        <v>15</v>
      </c>
      <c r="M26" s="212" t="s">
        <v>16</v>
      </c>
      <c r="N26" s="212" t="s">
        <v>22</v>
      </c>
      <c r="O26" s="212" t="s">
        <v>23</v>
      </c>
      <c r="P26" s="213" t="s">
        <v>24</v>
      </c>
      <c r="R26" s="218" t="s">
        <v>14</v>
      </c>
      <c r="S26" s="220" t="s">
        <v>441</v>
      </c>
    </row>
    <row r="27" spans="2:19" x14ac:dyDescent="0.3">
      <c r="C27" s="208"/>
      <c r="D27" s="208"/>
      <c r="E27" s="208"/>
      <c r="F27" s="208"/>
      <c r="K27" s="56" t="s">
        <v>20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26</v>
      </c>
      <c r="S27" s="221">
        <v>2019</v>
      </c>
    </row>
    <row r="28" spans="2:19" x14ac:dyDescent="0.3">
      <c r="C28" s="208"/>
      <c r="D28" s="208"/>
      <c r="E28" s="208"/>
      <c r="F28" s="208"/>
      <c r="K28" s="56" t="s">
        <v>28</v>
      </c>
      <c r="L28" s="235"/>
      <c r="M28" s="204" t="e">
        <f t="shared" ref="M28:M31" si="8">L28/$L$14</f>
        <v>#DIV/0!</v>
      </c>
      <c r="N28" s="236">
        <v>801</v>
      </c>
      <c r="O28" s="237">
        <v>1558</v>
      </c>
      <c r="P28" s="216">
        <f t="shared" ref="P28:P32" si="9">IFERROR(O28/N28,"-")</f>
        <v>1.9450686641697879</v>
      </c>
      <c r="R28" s="193" t="s">
        <v>29</v>
      </c>
      <c r="S28" s="222">
        <v>9.6000000000000002E-2</v>
      </c>
    </row>
    <row r="29" spans="2:19" x14ac:dyDescent="0.3">
      <c r="C29" s="208"/>
      <c r="D29" s="208"/>
      <c r="E29" s="208"/>
      <c r="F29" s="208"/>
      <c r="K29" s="56" t="s">
        <v>31</v>
      </c>
      <c r="L29" s="235"/>
      <c r="M29" s="204" t="e">
        <f t="shared" si="8"/>
        <v>#DIV/0!</v>
      </c>
      <c r="N29" s="236">
        <v>1147</v>
      </c>
      <c r="O29" s="237">
        <v>1869</v>
      </c>
      <c r="P29" s="216">
        <f t="shared" si="9"/>
        <v>1.6294681778552746</v>
      </c>
      <c r="R29" s="193" t="s">
        <v>32</v>
      </c>
      <c r="S29" s="221"/>
    </row>
    <row r="30" spans="2:19" x14ac:dyDescent="0.3">
      <c r="C30" s="208"/>
      <c r="D30" s="208"/>
      <c r="E30" s="208"/>
      <c r="F30" s="208"/>
      <c r="K30" s="56" t="s">
        <v>33</v>
      </c>
      <c r="L30" s="235"/>
      <c r="M30" s="204" t="e">
        <f t="shared" si="8"/>
        <v>#DIV/0!</v>
      </c>
      <c r="N30" s="236">
        <v>1438</v>
      </c>
      <c r="O30" s="237">
        <v>2202</v>
      </c>
      <c r="P30" s="216">
        <f t="shared" si="9"/>
        <v>1.5312934631432544</v>
      </c>
      <c r="R30" s="193" t="s">
        <v>34</v>
      </c>
      <c r="S30" s="221" t="s">
        <v>445</v>
      </c>
    </row>
    <row r="31" spans="2:19" x14ac:dyDescent="0.3">
      <c r="C31" s="208"/>
      <c r="D31" s="208"/>
      <c r="E31" s="208"/>
      <c r="F31" s="208"/>
      <c r="K31" s="56" t="s">
        <v>35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36</v>
      </c>
      <c r="S31" s="262" t="s">
        <v>160</v>
      </c>
    </row>
    <row r="32" spans="2:19" x14ac:dyDescent="0.3">
      <c r="C32" s="208"/>
      <c r="D32" s="208"/>
      <c r="E32" s="208"/>
      <c r="F32" s="208"/>
      <c r="K32" s="126" t="s">
        <v>37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8" x14ac:dyDescent="0.3">
      <c r="C33" s="208"/>
      <c r="D33" s="208"/>
      <c r="E33" s="208"/>
      <c r="F33" s="208"/>
    </row>
    <row r="34" spans="3:8" x14ac:dyDescent="0.3">
      <c r="C34" s="208"/>
      <c r="D34" s="208"/>
      <c r="E34" s="208"/>
      <c r="F34" s="208"/>
      <c r="H34" s="1" t="s">
        <v>457</v>
      </c>
    </row>
    <row r="35" spans="3:8" x14ac:dyDescent="0.3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2697D851-62F2-4F09-A4E9-DF1C7A771C46}"/>
    <hyperlink ref="S22" r:id="rId2" xr:uid="{3F4D803E-7F1B-4DCC-B2CC-BD78197091C0}"/>
    <hyperlink ref="S31" r:id="rId3" xr:uid="{1F9266FB-391C-49A0-A4EF-D0B007DAFC55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43" activePane="bottomLeft" state="frozen"/>
      <selection activeCell="B5" sqref="B5"/>
      <selection pane="bottomLeft" activeCell="E8" sqref="E8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Grandle Drive</v>
      </c>
    </row>
    <row r="2" spans="1:17" s="142" customFormat="1" ht="19.8" x14ac:dyDescent="0.4">
      <c r="A2" s="146" t="s">
        <v>38</v>
      </c>
    </row>
    <row r="4" spans="1:17" x14ac:dyDescent="0.3">
      <c r="B4">
        <v>55</v>
      </c>
    </row>
    <row r="6" spans="1:17" x14ac:dyDescent="0.3">
      <c r="B6" s="121" t="s">
        <v>39</v>
      </c>
      <c r="C6" s="122" t="s">
        <v>40</v>
      </c>
      <c r="D6" s="122" t="s">
        <v>41</v>
      </c>
      <c r="E6" s="122" t="s">
        <v>42</v>
      </c>
      <c r="F6" s="122" t="s">
        <v>43</v>
      </c>
      <c r="G6" s="122" t="s">
        <v>44</v>
      </c>
    </row>
    <row r="7" spans="1:17" x14ac:dyDescent="0.3">
      <c r="B7" s="12" t="s">
        <v>45</v>
      </c>
      <c r="C7" s="12"/>
      <c r="D7" s="12"/>
      <c r="E7" s="12"/>
      <c r="F7" s="12"/>
      <c r="G7" s="12"/>
      <c r="M7" s="158" t="s">
        <v>46</v>
      </c>
      <c r="N7" s="122" t="s">
        <v>41</v>
      </c>
      <c r="O7" s="122" t="s">
        <v>42</v>
      </c>
      <c r="P7" s="122" t="s">
        <v>43</v>
      </c>
      <c r="Q7" s="122" t="s">
        <v>44</v>
      </c>
    </row>
    <row r="8" spans="1:17" x14ac:dyDescent="0.3">
      <c r="B8" t="s">
        <v>47</v>
      </c>
      <c r="C8" s="24" t="s">
        <v>45</v>
      </c>
      <c r="D8" s="52">
        <f>E8*'Unit Mix_vm'!$D$15</f>
        <v>8000000</v>
      </c>
      <c r="E8" s="244">
        <v>32000</v>
      </c>
      <c r="F8" s="37">
        <f>IFERROR(E8/'Unit Mix_vm'!$F$15,0)</f>
        <v>35.555555555555557</v>
      </c>
      <c r="G8" s="25">
        <f ca="1">+IFERROR(D8/D$86,0)</f>
        <v>0.12877190426518878</v>
      </c>
      <c r="M8" s="28" t="s">
        <v>48</v>
      </c>
    </row>
    <row r="9" spans="1:17" x14ac:dyDescent="0.3">
      <c r="D9" s="14"/>
      <c r="E9" s="14"/>
      <c r="F9" s="14"/>
      <c r="M9" t="s">
        <v>49</v>
      </c>
      <c r="N9" s="52">
        <f ca="1">N41</f>
        <v>24850141.172176979</v>
      </c>
      <c r="O9" s="37">
        <f ca="1">IFERROR(N9/'Unit Mix_vm'!$D$15,0)</f>
        <v>99400.56468870792</v>
      </c>
      <c r="P9" s="37">
        <f ca="1">IFERROR(O9/'Unit Mix_vm'!$F$15,0)</f>
        <v>110.44507187634213</v>
      </c>
      <c r="Q9" s="25">
        <f ca="1">IFERROR(N9/N$12,0)</f>
        <v>0.4</v>
      </c>
    </row>
    <row r="10" spans="1:17" x14ac:dyDescent="0.3">
      <c r="B10" s="12" t="s">
        <v>50</v>
      </c>
      <c r="C10" s="12"/>
      <c r="D10" s="15"/>
      <c r="E10" s="15"/>
      <c r="F10" s="15"/>
      <c r="G10" s="12"/>
      <c r="M10" t="s">
        <v>51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3">
      <c r="B11" t="s">
        <v>52</v>
      </c>
      <c r="C11" s="24" t="s">
        <v>53</v>
      </c>
      <c r="D11" s="52">
        <f ca="1">+IF(Global!$C$16="On",0,I11*$N$11)</f>
        <v>186376.05879132732</v>
      </c>
      <c r="E11" s="37">
        <f ca="1">IFERROR(D11/'Unit Mix_vm'!$D$15,0)</f>
        <v>745.5042351653093</v>
      </c>
      <c r="F11" s="37">
        <f ca="1">IFERROR(E11/'Unit Mix_vm'!$F$15,0)</f>
        <v>0.82833803907256587</v>
      </c>
      <c r="G11" s="25">
        <f t="shared" ref="G11:G23" ca="1" si="1">+IFERROR(D11/D$86,0)</f>
        <v>2.9999999999999996E-3</v>
      </c>
      <c r="I11" s="21">
        <v>5.0000000000000001E-3</v>
      </c>
      <c r="J11" s="20" t="s">
        <v>54</v>
      </c>
      <c r="M11" t="s">
        <v>55</v>
      </c>
      <c r="N11" s="52">
        <f ca="1">+N23</f>
        <v>37275211.758265465</v>
      </c>
      <c r="O11" s="37">
        <f ca="1">IFERROR(N11/'Unit Mix_vm'!$D$15,0)</f>
        <v>149100.84703306187</v>
      </c>
      <c r="P11" s="37">
        <f ca="1">IFERROR(O11/'Unit Mix_vm'!$F$15,0)</f>
        <v>165.66760781451319</v>
      </c>
      <c r="Q11" s="25">
        <f t="shared" ca="1" si="0"/>
        <v>0.6</v>
      </c>
    </row>
    <row r="12" spans="1:17" x14ac:dyDescent="0.3">
      <c r="B12" t="s">
        <v>56</v>
      </c>
      <c r="C12" s="24" t="s">
        <v>53</v>
      </c>
      <c r="D12" s="52">
        <f ca="1">+IF(Global!$C$16="On",0,I12*$N$11)</f>
        <v>279564.08818699099</v>
      </c>
      <c r="E12" s="37">
        <f ca="1">IFERROR(D12/'Unit Mix_vm'!$D$15,0)</f>
        <v>1118.256352747964</v>
      </c>
      <c r="F12" s="37">
        <f ca="1">IFERROR(E12/'Unit Mix_vm'!$F$15,0)</f>
        <v>1.2425070586088489</v>
      </c>
      <c r="G12" s="25">
        <f t="shared" ca="1" si="1"/>
        <v>4.4999999999999997E-3</v>
      </c>
      <c r="I12" s="21">
        <v>7.4999999999999997E-3</v>
      </c>
      <c r="J12" s="20" t="s">
        <v>54</v>
      </c>
      <c r="M12" s="3" t="s">
        <v>57</v>
      </c>
      <c r="N12" s="13">
        <f ca="1">SUM(N9:N11)</f>
        <v>62125352.930442445</v>
      </c>
      <c r="O12" s="13">
        <f ca="1">SUM(O9:O11)</f>
        <v>248501.41172176978</v>
      </c>
      <c r="P12" s="29">
        <f ca="1">SUM(P9:P11)</f>
        <v>276.11267969085532</v>
      </c>
      <c r="Q12" s="26">
        <f ca="1">SUM(Q9:Q11)</f>
        <v>1</v>
      </c>
    </row>
    <row r="13" spans="1:17" x14ac:dyDescent="0.3">
      <c r="B13" t="s">
        <v>58</v>
      </c>
      <c r="C13" s="24" t="s">
        <v>53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3">
      <c r="B14" t="s">
        <v>59</v>
      </c>
      <c r="C14" s="24" t="s">
        <v>53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60</v>
      </c>
      <c r="M14" s="28" t="s">
        <v>61</v>
      </c>
    </row>
    <row r="15" spans="1:17" x14ac:dyDescent="0.3">
      <c r="B15" t="s">
        <v>62</v>
      </c>
      <c r="C15" s="24" t="s">
        <v>53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60</v>
      </c>
      <c r="M15" t="s">
        <v>45</v>
      </c>
      <c r="N15" s="14">
        <f>+SUMIF($C$8:$C$86,$M15,$D$8:$D$86)</f>
        <v>8000000</v>
      </c>
      <c r="O15" s="37">
        <f>IFERROR(N15/'Unit Mix_vm'!$D$15,0)</f>
        <v>32000</v>
      </c>
      <c r="P15" s="37">
        <f>IFERROR(O15/'Unit Mix_vm'!$F$15,0)</f>
        <v>35.555555555555557</v>
      </c>
      <c r="Q15" s="25">
        <f ca="1">IFERROR(N15/N$18,0)</f>
        <v>0.12877190426518878</v>
      </c>
    </row>
    <row r="16" spans="1:17" x14ac:dyDescent="0.3">
      <c r="B16" t="s">
        <v>63</v>
      </c>
      <c r="C16" s="24" t="s">
        <v>53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64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0.65995600935909249</v>
      </c>
    </row>
    <row r="17" spans="2:17" x14ac:dyDescent="0.3">
      <c r="B17" t="s">
        <v>65</v>
      </c>
      <c r="C17" s="24" t="s">
        <v>53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66</v>
      </c>
      <c r="M17" t="s">
        <v>53</v>
      </c>
      <c r="N17" s="14">
        <f ca="1">+SUMIF($C$8:$C$86,$M17,$D$8:$D$86)</f>
        <v>13125352.930442449</v>
      </c>
      <c r="O17" s="37">
        <f ca="1">IFERROR(N17/'Unit Mix_vm'!$D$15,0)</f>
        <v>52501.411721769793</v>
      </c>
      <c r="P17" s="37">
        <f ca="1">IFERROR(O17/'Unit Mix_vm'!$F$15,0)</f>
        <v>58.334901913077545</v>
      </c>
      <c r="Q17" s="25">
        <f t="shared" ca="1" si="2"/>
        <v>0.21127208637571873</v>
      </c>
    </row>
    <row r="18" spans="2:17" x14ac:dyDescent="0.3">
      <c r="B18" t="s">
        <v>67</v>
      </c>
      <c r="C18" s="24" t="s">
        <v>53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66</v>
      </c>
      <c r="M18" s="3" t="s">
        <v>68</v>
      </c>
      <c r="N18" s="13">
        <f ca="1">SUM(N15:N17)</f>
        <v>62125352.930442452</v>
      </c>
      <c r="O18" s="29">
        <f ca="1">SUM(O15:O17)</f>
        <v>248501.41172176978</v>
      </c>
      <c r="P18" s="29">
        <f ca="1">SUM(P15:P17)</f>
        <v>276.11267969085532</v>
      </c>
      <c r="Q18" s="26">
        <f ca="1">SUM(Q15:Q17)</f>
        <v>1</v>
      </c>
    </row>
    <row r="19" spans="2:17" x14ac:dyDescent="0.3">
      <c r="B19" t="s">
        <v>69</v>
      </c>
      <c r="C19" s="24" t="s">
        <v>53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3">
      <c r="B20" t="s">
        <v>70</v>
      </c>
      <c r="C20" s="24" t="s">
        <v>53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4.8289464099445798E-3</v>
      </c>
      <c r="M20" s="1"/>
    </row>
    <row r="21" spans="2:17" x14ac:dyDescent="0.3">
      <c r="B21" t="s">
        <v>71</v>
      </c>
      <c r="C21" s="24" t="s">
        <v>53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4.8289464099445798E-3</v>
      </c>
      <c r="M21" s="158" t="s">
        <v>72</v>
      </c>
      <c r="N21" s="122"/>
      <c r="O21" s="122"/>
      <c r="P21" s="122"/>
      <c r="Q21" s="122"/>
    </row>
    <row r="22" spans="2:17" x14ac:dyDescent="0.3">
      <c r="B22" t="s">
        <v>73</v>
      </c>
      <c r="C22" s="24" t="s">
        <v>53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2.4144732049722898E-2</v>
      </c>
      <c r="M22" s="55" t="s">
        <v>55</v>
      </c>
    </row>
    <row r="23" spans="2:17" x14ac:dyDescent="0.3">
      <c r="B23" t="s">
        <v>74</v>
      </c>
      <c r="C23" s="24" t="s">
        <v>53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55</v>
      </c>
      <c r="N23" s="36">
        <f ca="1">D86*N24</f>
        <v>37275211.758265465</v>
      </c>
    </row>
    <row r="24" spans="2:17" x14ac:dyDescent="0.3">
      <c r="B24" s="3" t="s">
        <v>75</v>
      </c>
      <c r="C24" s="3"/>
      <c r="D24" s="13">
        <f ca="1">+SUM(D11:D23)</f>
        <v>2565940.1469783182</v>
      </c>
      <c r="E24" s="13">
        <f ca="1">SUM(E11:E23)</f>
        <v>10263.760587913273</v>
      </c>
      <c r="F24" s="13">
        <f ca="1">SUM(F11:F23)</f>
        <v>11.404178431014749</v>
      </c>
      <c r="G24" s="26">
        <f ca="1">SUM(G11:G23)</f>
        <v>4.1302624869612059E-2</v>
      </c>
      <c r="M24" t="s">
        <v>76</v>
      </c>
      <c r="N24" s="44">
        <v>0.6</v>
      </c>
    </row>
    <row r="25" spans="2:17" x14ac:dyDescent="0.3">
      <c r="D25" s="14"/>
      <c r="E25" s="14"/>
      <c r="F25" s="14"/>
      <c r="M25" t="s">
        <v>77</v>
      </c>
      <c r="N25" s="49">
        <f ca="1">IFERROR('Pro-Forma_vm'!$C$39/Budget_vm!N23,0)</f>
        <v>9.7062543175834085E-2</v>
      </c>
      <c r="O25" s="53"/>
    </row>
    <row r="26" spans="2:17" x14ac:dyDescent="0.3">
      <c r="B26" s="12" t="s">
        <v>78</v>
      </c>
      <c r="C26" s="12"/>
      <c r="D26" s="15"/>
      <c r="E26" s="15"/>
      <c r="F26" s="15"/>
      <c r="G26" s="12"/>
      <c r="O26" s="54"/>
    </row>
    <row r="27" spans="2:17" x14ac:dyDescent="0.3">
      <c r="B27" t="s">
        <v>79</v>
      </c>
      <c r="C27" s="24" t="s">
        <v>53</v>
      </c>
      <c r="D27" s="52">
        <f ca="1">I27*(D86-D8)</f>
        <v>1623760.5879132734</v>
      </c>
      <c r="E27" s="37">
        <f ca="1">IFERROR(D27/'Unit Mix_vm'!$D$15,0)</f>
        <v>6495.0423516530936</v>
      </c>
      <c r="F27" s="37">
        <f ca="1">IFERROR(E27/'Unit Mix_vm'!$F$15,0)</f>
        <v>7.2167137240589927</v>
      </c>
      <c r="G27" s="25">
        <f t="shared" ref="G27:G29" ca="1" si="3">+IFERROR(D27/D$86,0)</f>
        <v>2.6136842872044336E-2</v>
      </c>
      <c r="I27" s="21">
        <v>0.03</v>
      </c>
      <c r="J27" s="20" t="s">
        <v>80</v>
      </c>
      <c r="K27" s="20"/>
      <c r="M27" t="s">
        <v>81</v>
      </c>
      <c r="N27" s="45">
        <v>0.04</v>
      </c>
    </row>
    <row r="28" spans="2:17" x14ac:dyDescent="0.3">
      <c r="B28" t="s">
        <v>82</v>
      </c>
      <c r="C28" s="24" t="s">
        <v>53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5.7947356919334954E-3</v>
      </c>
      <c r="I28" s="21">
        <v>0.01</v>
      </c>
      <c r="J28" s="20" t="s">
        <v>83</v>
      </c>
      <c r="K28" s="20"/>
      <c r="M28" t="s">
        <v>84</v>
      </c>
      <c r="N28" s="45">
        <v>0.03</v>
      </c>
      <c r="O28" s="30"/>
    </row>
    <row r="29" spans="2:17" x14ac:dyDescent="0.3">
      <c r="B29" t="s">
        <v>85</v>
      </c>
      <c r="C29" s="24" t="s">
        <v>53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4.8289464099445798E-3</v>
      </c>
      <c r="M29" s="3" t="s">
        <v>86</v>
      </c>
      <c r="N29" s="47">
        <f>SUM(N27:N28)</f>
        <v>7.0000000000000007E-2</v>
      </c>
    </row>
    <row r="30" spans="2:17" x14ac:dyDescent="0.3">
      <c r="B30" s="3" t="s">
        <v>87</v>
      </c>
      <c r="C30" s="3"/>
      <c r="D30" s="13">
        <f ca="1">+SUM(D27:D29)</f>
        <v>2283760.5879132734</v>
      </c>
      <c r="E30" s="13">
        <f ca="1">SUM(E27:E29)</f>
        <v>9135.0423516530936</v>
      </c>
      <c r="F30" s="13">
        <f ca="1">SUM(F27:F29)</f>
        <v>10.150047057392326</v>
      </c>
      <c r="G30" s="26">
        <f ca="1">SUM(G27:G29)</f>
        <v>3.6760524973922411E-2</v>
      </c>
    </row>
    <row r="31" spans="2:17" x14ac:dyDescent="0.3">
      <c r="D31" s="14"/>
      <c r="E31" s="14"/>
      <c r="F31" s="14"/>
      <c r="M31" t="s">
        <v>88</v>
      </c>
      <c r="N31" s="32">
        <v>21</v>
      </c>
      <c r="O31" s="30"/>
    </row>
    <row r="32" spans="2:17" x14ac:dyDescent="0.3">
      <c r="B32" s="12" t="s">
        <v>89</v>
      </c>
      <c r="C32" s="12"/>
      <c r="D32" s="15"/>
      <c r="E32" s="15"/>
      <c r="F32" s="15"/>
      <c r="G32" s="12"/>
      <c r="M32" t="s">
        <v>90</v>
      </c>
      <c r="N32" s="44">
        <v>0.5</v>
      </c>
    </row>
    <row r="33" spans="2:22" x14ac:dyDescent="0.3">
      <c r="B33" t="s">
        <v>91</v>
      </c>
      <c r="C33" s="24" t="s">
        <v>53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4.8289464099445798E-3</v>
      </c>
      <c r="M33" t="s">
        <v>92</v>
      </c>
      <c r="N33" s="36">
        <f ca="1">+N23*N29*N31*N32/12</f>
        <v>2283106.72019376</v>
      </c>
    </row>
    <row r="34" spans="2:22" x14ac:dyDescent="0.3">
      <c r="B34" t="s">
        <v>93</v>
      </c>
      <c r="C34" s="24" t="s">
        <v>53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6.4385952132594388E-3</v>
      </c>
      <c r="O34" s="42"/>
      <c r="U34" s="136" t="s">
        <v>94</v>
      </c>
      <c r="V34" s="137"/>
    </row>
    <row r="35" spans="2:22" x14ac:dyDescent="0.3">
      <c r="B35" t="s">
        <v>95</v>
      </c>
      <c r="C35" s="24" t="s">
        <v>53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54</v>
      </c>
      <c r="K35" s="20"/>
      <c r="M35" s="55" t="s">
        <v>51</v>
      </c>
      <c r="U35" s="131" t="s">
        <v>96</v>
      </c>
      <c r="V35" s="138">
        <v>0.45</v>
      </c>
    </row>
    <row r="36" spans="2:22" x14ac:dyDescent="0.3">
      <c r="B36" t="s">
        <v>97</v>
      </c>
      <c r="C36" s="24" t="s">
        <v>53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8.0482440165742985E-4</v>
      </c>
      <c r="M36" t="s">
        <v>51</v>
      </c>
      <c r="N36" s="36">
        <f ca="1">D86*N37-N23</f>
        <v>0</v>
      </c>
      <c r="U36" s="5"/>
      <c r="V36" s="132"/>
    </row>
    <row r="37" spans="2:22" x14ac:dyDescent="0.3">
      <c r="B37" t="s">
        <v>98</v>
      </c>
      <c r="C37" s="24" t="s">
        <v>53</v>
      </c>
      <c r="D37" s="52">
        <f ca="1">I37*D86</f>
        <v>42866.493522005287</v>
      </c>
      <c r="E37" s="37">
        <f ca="1">IFERROR(D37/'Unit Mix_vm'!$D$15,0)</f>
        <v>171.46597408802114</v>
      </c>
      <c r="F37" s="37">
        <f ca="1">IFERROR(E37/'Unit Mix_vm'!$F$15,0)</f>
        <v>0.19051774898669016</v>
      </c>
      <c r="G37" s="25">
        <f t="shared" ca="1" si="4"/>
        <v>6.8999999999999997E-4</v>
      </c>
      <c r="I37" s="21">
        <v>6.8999999999999997E-4</v>
      </c>
      <c r="J37" s="20" t="s">
        <v>80</v>
      </c>
      <c r="M37" t="s">
        <v>99</v>
      </c>
      <c r="N37" s="44">
        <f>+N24</f>
        <v>0.6</v>
      </c>
      <c r="U37" s="5" t="s">
        <v>100</v>
      </c>
      <c r="V37" s="133">
        <f>N16</f>
        <v>41000000</v>
      </c>
    </row>
    <row r="38" spans="2:22" x14ac:dyDescent="0.3">
      <c r="B38" t="s">
        <v>101</v>
      </c>
      <c r="C38" s="24" t="s">
        <v>53</v>
      </c>
      <c r="D38" s="52">
        <f ca="1">(((V40/100)*V35)*2)+60000</f>
        <v>593595.1763739821</v>
      </c>
      <c r="E38" s="52">
        <f ca="1">IFERROR(D38/'Unit Mix_vm'!$D$15,0)</f>
        <v>2374.3807054959284</v>
      </c>
      <c r="F38" s="52">
        <f ca="1">IFERROR(E38/'Unit Mix_vm'!$F$15,0)</f>
        <v>2.6382007838843649</v>
      </c>
      <c r="G38" s="139">
        <f t="shared" ca="1" si="4"/>
        <v>9.554797653038535E-3</v>
      </c>
      <c r="M38" t="s">
        <v>102</v>
      </c>
      <c r="N38" s="49">
        <f ca="1">IFERROR('Pro-Forma_vm'!$C$39/SUM(N36,N23),0)</f>
        <v>9.7062543175834085E-2</v>
      </c>
      <c r="U38" s="5" t="s">
        <v>103</v>
      </c>
      <c r="V38" s="133">
        <f t="shared" ref="V38" ca="1" si="5">N17</f>
        <v>13125352.930442449</v>
      </c>
    </row>
    <row r="39" spans="2:22" x14ac:dyDescent="0.3">
      <c r="B39" t="s">
        <v>104</v>
      </c>
      <c r="C39" s="24" t="s">
        <v>53</v>
      </c>
      <c r="D39" s="52">
        <f>((V45/1000)*V43)+30000</f>
        <v>110422.87913274701</v>
      </c>
      <c r="E39" s="52">
        <f>IFERROR(D39/'Unit Mix_vm'!$D$15,0)</f>
        <v>441.69151653098805</v>
      </c>
      <c r="F39" s="52">
        <f>IFERROR(E39/'Unit Mix_vm'!$F$15,0)</f>
        <v>0.49076835170109784</v>
      </c>
      <c r="G39" s="139">
        <f t="shared" ref="G39" ca="1" si="6">+IFERROR(D39/D$86,0)</f>
        <v>1.7774205525460762E-3</v>
      </c>
      <c r="N39" s="49"/>
      <c r="U39" s="5" t="s">
        <v>105</v>
      </c>
      <c r="V39" s="133">
        <f>'Unit Mix_vm'!D15*'Unit Mix_vm'!G15*12</f>
        <v>5163000</v>
      </c>
    </row>
    <row r="40" spans="2:22" x14ac:dyDescent="0.3">
      <c r="B40" t="s">
        <v>106</v>
      </c>
      <c r="C40" s="24" t="s">
        <v>53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49</v>
      </c>
      <c r="U40" s="134" t="s">
        <v>37</v>
      </c>
      <c r="V40" s="135">
        <f ca="1">SUM(V37:V39)</f>
        <v>59288352.930442452</v>
      </c>
    </row>
    <row r="41" spans="2:22" x14ac:dyDescent="0.3">
      <c r="B41" t="s">
        <v>107</v>
      </c>
      <c r="C41" s="24" t="s">
        <v>53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8.0482440165742985E-4</v>
      </c>
      <c r="M41" t="s">
        <v>108</v>
      </c>
      <c r="N41" s="58">
        <f ca="1">D86-N23-N36</f>
        <v>24850141.172176979</v>
      </c>
      <c r="U41" s="4"/>
      <c r="V41" s="4"/>
    </row>
    <row r="42" spans="2:22" x14ac:dyDescent="0.3">
      <c r="B42" t="s">
        <v>109</v>
      </c>
      <c r="C42" s="24" t="s">
        <v>53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110</v>
      </c>
      <c r="V42" s="137"/>
    </row>
    <row r="43" spans="2:22" x14ac:dyDescent="0.3">
      <c r="B43" s="3" t="s">
        <v>111</v>
      </c>
      <c r="C43" s="3"/>
      <c r="D43" s="13">
        <f ca="1">+SUM(D33:D42)</f>
        <v>1546884.5490287344</v>
      </c>
      <c r="E43" s="13">
        <f ca="1">SUM(E33:E42)</f>
        <v>6187.5381961149378</v>
      </c>
      <c r="F43" s="13">
        <f ca="1">SUM(F33:F42)</f>
        <v>6.8750424401277082</v>
      </c>
      <c r="G43" s="26">
        <f ca="1">SUM(G33:G42)</f>
        <v>2.4899408632103489E-2</v>
      </c>
      <c r="M43" t="s">
        <v>112</v>
      </c>
      <c r="N43" s="34">
        <f ca="1">+N41*0.1</f>
        <v>2485014.1172176981</v>
      </c>
      <c r="O43" s="46">
        <f ca="1">+N43/N41</f>
        <v>0.1</v>
      </c>
      <c r="U43" s="5" t="s">
        <v>96</v>
      </c>
      <c r="V43" s="159">
        <v>1.1000000000000001</v>
      </c>
    </row>
    <row r="44" spans="2:22" x14ac:dyDescent="0.3">
      <c r="D44" s="14"/>
      <c r="E44" s="14"/>
      <c r="F44" s="14"/>
      <c r="M44" t="s">
        <v>113</v>
      </c>
      <c r="N44" s="36">
        <f ca="1">+N41-N43</f>
        <v>22365127.054959282</v>
      </c>
      <c r="O44" s="51">
        <f ca="1">1-O43</f>
        <v>0.9</v>
      </c>
      <c r="U44" s="5" t="s">
        <v>114</v>
      </c>
      <c r="V44" s="160">
        <v>5.2499999999999998E-2</v>
      </c>
    </row>
    <row r="45" spans="2:22" x14ac:dyDescent="0.3">
      <c r="B45" s="12" t="s">
        <v>115</v>
      </c>
      <c r="C45" s="12"/>
      <c r="D45" s="15"/>
      <c r="E45" s="15"/>
      <c r="F45" s="15"/>
      <c r="G45" s="12"/>
      <c r="U45" s="161" t="s">
        <v>116</v>
      </c>
      <c r="V45" s="162">
        <f>(('Pro-Forma_vm'!C39*1.03*1.03)/Budget_vm!V44)</f>
        <v>73111708.302497283</v>
      </c>
    </row>
    <row r="46" spans="2:22" x14ac:dyDescent="0.3">
      <c r="B46" t="s">
        <v>117</v>
      </c>
      <c r="C46" s="24" t="s">
        <v>53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9.6578928198891596E-3</v>
      </c>
    </row>
    <row r="47" spans="2:22" x14ac:dyDescent="0.3">
      <c r="B47" t="s">
        <v>118</v>
      </c>
      <c r="C47" s="24" t="s">
        <v>53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1.2072366024861449E-3</v>
      </c>
    </row>
    <row r="48" spans="2:22" x14ac:dyDescent="0.3">
      <c r="B48" t="s">
        <v>119</v>
      </c>
      <c r="C48" s="24" t="s">
        <v>53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1.2072366024861449E-3</v>
      </c>
    </row>
    <row r="49" spans="2:7" x14ac:dyDescent="0.3">
      <c r="B49" t="s">
        <v>120</v>
      </c>
      <c r="C49" s="24" t="s">
        <v>53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6.0361830124307245E-3</v>
      </c>
    </row>
    <row r="50" spans="2:7" x14ac:dyDescent="0.3">
      <c r="B50" t="s">
        <v>121</v>
      </c>
      <c r="C50" s="24" t="s">
        <v>53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3">
      <c r="B51" t="s">
        <v>122</v>
      </c>
      <c r="C51" s="24" t="s">
        <v>53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2.4144732049722899E-3</v>
      </c>
    </row>
    <row r="52" spans="2:7" x14ac:dyDescent="0.3">
      <c r="B52" t="s">
        <v>123</v>
      </c>
      <c r="C52" s="24" t="s">
        <v>53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9.6578928198891593E-4</v>
      </c>
    </row>
    <row r="53" spans="2:7" x14ac:dyDescent="0.3">
      <c r="B53" t="s">
        <v>124</v>
      </c>
      <c r="C53" s="24" t="s">
        <v>53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4.8289464099445798E-3</v>
      </c>
    </row>
    <row r="54" spans="2:7" x14ac:dyDescent="0.3">
      <c r="B54" t="s">
        <v>125</v>
      </c>
      <c r="C54" s="24" t="s">
        <v>53</v>
      </c>
      <c r="D54" s="52">
        <f>E54*'Unit Mix_vm'!$D$15</f>
        <v>1375000</v>
      </c>
      <c r="E54" s="76">
        <v>5500</v>
      </c>
      <c r="F54" s="37">
        <f>IFERROR(E54/'Unit Mix_vm'!$F$15,0)</f>
        <v>6.1111111111111107</v>
      </c>
      <c r="G54" s="25">
        <f t="shared" ca="1" si="7"/>
        <v>2.2132671045579321E-2</v>
      </c>
    </row>
    <row r="55" spans="2:7" x14ac:dyDescent="0.3">
      <c r="B55" t="s">
        <v>126</v>
      </c>
      <c r="C55" s="24" t="s">
        <v>53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4.0241220082871493E-4</v>
      </c>
    </row>
    <row r="56" spans="2:7" x14ac:dyDescent="0.3">
      <c r="B56" t="s">
        <v>127</v>
      </c>
      <c r="C56" s="24" t="s">
        <v>53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8.0482440165742988E-3</v>
      </c>
    </row>
    <row r="57" spans="2:7" x14ac:dyDescent="0.3">
      <c r="B57" t="s">
        <v>128</v>
      </c>
      <c r="C57" s="24" t="s">
        <v>53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1.6096488033148597E-3</v>
      </c>
    </row>
    <row r="58" spans="2:7" x14ac:dyDescent="0.3">
      <c r="B58" t="s">
        <v>129</v>
      </c>
      <c r="C58" s="24" t="s">
        <v>53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3">
      <c r="B59" t="s">
        <v>130</v>
      </c>
      <c r="C59" s="24" t="s">
        <v>53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1.6096488033148597E-3</v>
      </c>
    </row>
    <row r="60" spans="2:7" x14ac:dyDescent="0.3">
      <c r="B60" t="s">
        <v>131</v>
      </c>
      <c r="C60" s="24" t="s">
        <v>53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2.4144732049722899E-3</v>
      </c>
    </row>
    <row r="61" spans="2:7" x14ac:dyDescent="0.3">
      <c r="B61" t="s">
        <v>132</v>
      </c>
      <c r="C61" s="24" t="s">
        <v>53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6.0361830124307247E-4</v>
      </c>
    </row>
    <row r="62" spans="2:7" x14ac:dyDescent="0.3">
      <c r="B62" t="s">
        <v>133</v>
      </c>
      <c r="C62" s="24" t="s">
        <v>53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1.6096488033148597E-3</v>
      </c>
    </row>
    <row r="63" spans="2:7" x14ac:dyDescent="0.3">
      <c r="B63" t="s">
        <v>134</v>
      </c>
      <c r="C63" s="24" t="s">
        <v>53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3">
      <c r="B64" s="3" t="s">
        <v>135</v>
      </c>
      <c r="C64" s="3"/>
      <c r="D64" s="13">
        <f>+SUM(D46:D63)</f>
        <v>4022500</v>
      </c>
      <c r="E64" s="13">
        <f>SUM(E46:E63)</f>
        <v>16090</v>
      </c>
      <c r="F64" s="13">
        <f>SUM(F46:F63)</f>
        <v>17.877777777777773</v>
      </c>
      <c r="G64" s="26">
        <f ca="1">SUM(G46:G63)</f>
        <v>6.4748123113340231E-2</v>
      </c>
    </row>
    <row r="65" spans="2:7" x14ac:dyDescent="0.3">
      <c r="D65" s="14"/>
      <c r="E65" s="14"/>
      <c r="F65" s="14"/>
    </row>
    <row r="66" spans="2:7" x14ac:dyDescent="0.3">
      <c r="B66" s="12" t="s">
        <v>64</v>
      </c>
      <c r="C66" s="12"/>
      <c r="D66" s="15"/>
      <c r="E66" s="15"/>
      <c r="F66" s="15"/>
      <c r="G66" s="12"/>
    </row>
    <row r="67" spans="2:7" x14ac:dyDescent="0.3">
      <c r="B67" t="s">
        <v>136</v>
      </c>
      <c r="C67" s="24" t="s">
        <v>64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0.57947356919334958</v>
      </c>
    </row>
    <row r="68" spans="2:7" x14ac:dyDescent="0.3">
      <c r="B68" t="s">
        <v>137</v>
      </c>
      <c r="C68" s="24" t="s">
        <v>64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 x14ac:dyDescent="0.3">
      <c r="B69" t="s">
        <v>138</v>
      </c>
      <c r="C69" s="24" t="s">
        <v>64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 x14ac:dyDescent="0.3">
      <c r="B70" t="s">
        <v>139</v>
      </c>
      <c r="C70" s="24" t="s">
        <v>64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8.0482440165742991E-2</v>
      </c>
    </row>
    <row r="71" spans="2:7" x14ac:dyDescent="0.3">
      <c r="B71" t="s">
        <v>140</v>
      </c>
      <c r="C71" s="24" t="s">
        <v>64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 x14ac:dyDescent="0.3">
      <c r="B72" s="3" t="s">
        <v>141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0.6599560093590926</v>
      </c>
    </row>
    <row r="73" spans="2:7" x14ac:dyDescent="0.3">
      <c r="D73" s="14"/>
      <c r="E73" s="14"/>
      <c r="F73" s="14"/>
    </row>
    <row r="74" spans="2:7" x14ac:dyDescent="0.3">
      <c r="B74" s="12" t="s">
        <v>142</v>
      </c>
      <c r="C74" s="12"/>
      <c r="D74" s="15"/>
      <c r="E74" s="15"/>
      <c r="F74" s="15"/>
      <c r="G74" s="12"/>
    </row>
    <row r="75" spans="2:7" x14ac:dyDescent="0.3">
      <c r="B75" t="s">
        <v>143</v>
      </c>
      <c r="C75" s="24" t="s">
        <v>53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x14ac:dyDescent="0.3">
      <c r="B76" t="s">
        <v>144</v>
      </c>
      <c r="C76" s="24" t="s">
        <v>53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x14ac:dyDescent="0.3">
      <c r="B77" t="s">
        <v>145</v>
      </c>
      <c r="C77" s="24" t="s">
        <v>53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x14ac:dyDescent="0.3">
      <c r="B78" s="3" t="s">
        <v>146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3">
      <c r="D79" s="14"/>
      <c r="E79" s="14"/>
      <c r="F79" s="14"/>
    </row>
    <row r="80" spans="2:7" x14ac:dyDescent="0.3">
      <c r="B80" s="12" t="s">
        <v>147</v>
      </c>
      <c r="C80" s="12"/>
      <c r="D80" s="15"/>
      <c r="E80" s="15"/>
      <c r="F80" s="15"/>
      <c r="G80" s="12"/>
    </row>
    <row r="81" spans="2:11" x14ac:dyDescent="0.3">
      <c r="B81" t="s">
        <v>148</v>
      </c>
      <c r="C81" s="24" t="s">
        <v>53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3.2997800467954627E-2</v>
      </c>
      <c r="I81" s="21">
        <v>0.05</v>
      </c>
      <c r="J81" s="20" t="s">
        <v>149</v>
      </c>
      <c r="K81" s="20"/>
    </row>
    <row r="82" spans="2:11" x14ac:dyDescent="0.3">
      <c r="B82" t="s">
        <v>150</v>
      </c>
      <c r="C82" s="24" t="s">
        <v>53</v>
      </c>
      <c r="D82" s="31">
        <f ca="1">+IF(Global!C16="On",0,I82*N17)</f>
        <v>656267.64652212244</v>
      </c>
      <c r="E82" s="37">
        <f ca="1">IFERROR(D82/'Unit Mix_vm'!$D$15,0)</f>
        <v>2625.0705860884896</v>
      </c>
      <c r="F82" s="37">
        <f ca="1">IFERROR(E82/'Unit Mix_vm'!$F$15,0)</f>
        <v>2.9167450956538774</v>
      </c>
      <c r="G82" s="25">
        <f t="shared" ca="1" si="10"/>
        <v>1.0563604318785938E-2</v>
      </c>
      <c r="I82" s="21">
        <v>0.05</v>
      </c>
      <c r="J82" s="20" t="s">
        <v>151</v>
      </c>
      <c r="K82" s="20"/>
    </row>
    <row r="83" spans="2:11" x14ac:dyDescent="0.3">
      <c r="B83" t="s">
        <v>152</v>
      </c>
      <c r="C83" s="24" t="s">
        <v>53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3">
      <c r="B84" s="3" t="s">
        <v>153</v>
      </c>
      <c r="C84" s="3"/>
      <c r="D84" s="13">
        <f ca="1">+SUM(D81:D83)</f>
        <v>2706267.6465221224</v>
      </c>
      <c r="E84" s="13">
        <f ca="1">SUM(E81:E83)</f>
        <v>10825.07058608849</v>
      </c>
      <c r="F84" s="13">
        <f ca="1">SUM(F81:F83)</f>
        <v>12.027856206764987</v>
      </c>
      <c r="G84" s="26">
        <f ca="1">SUM(G81:G83)</f>
        <v>4.3561404786740567E-2</v>
      </c>
    </row>
    <row r="86" spans="2:11" x14ac:dyDescent="0.3">
      <c r="B86" s="17" t="s">
        <v>154</v>
      </c>
      <c r="C86" s="22"/>
      <c r="D86" s="18">
        <f ca="1">+SUM(D84,D78,D72,D64,D43,D30,D24,D8)</f>
        <v>62125352.930442445</v>
      </c>
      <c r="E86" s="19">
        <f ca="1">+SUM(E84,E78,E72,E64,E43,E30,E24,E8)</f>
        <v>248501.41172176981</v>
      </c>
      <c r="F86" s="19">
        <f ca="1">+SUM(F84,F78,F72,F64,F43,F30,F24,F8)</f>
        <v>276.11267969085532</v>
      </c>
      <c r="G86" s="27">
        <f ca="1">+SUM(G84,G78,G72,G64,G43,G30,G24,G8)</f>
        <v>1</v>
      </c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20" zoomScale="90" zoomScaleNormal="90" workbookViewId="0">
      <selection activeCell="D25" sqref="D2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5" width="12.6640625" style="23" customWidth="1"/>
    <col min="16" max="16" width="13.21875" style="23" bestFit="1" customWidth="1"/>
    <col min="17" max="19" width="12.6640625" style="23" customWidth="1"/>
    <col min="20" max="20" width="12.6640625" customWidth="1"/>
  </cols>
  <sheetData>
    <row r="1" spans="1:20" s="142" customFormat="1" ht="25.8" x14ac:dyDescent="0.5">
      <c r="A1" s="145" t="str">
        <f>TEXT(Global!$C$7,"")</f>
        <v>Grandle Drive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" x14ac:dyDescent="0.4">
      <c r="A2" s="146" t="s">
        <v>155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 x14ac:dyDescent="0.3">
      <c r="I4" s="260"/>
    </row>
    <row r="5" spans="1:20" x14ac:dyDescent="0.3">
      <c r="I5" s="260"/>
    </row>
    <row r="6" spans="1:20" ht="16.2" x14ac:dyDescent="0.45">
      <c r="B6" s="166"/>
      <c r="C6" s="167" t="s">
        <v>156</v>
      </c>
      <c r="D6" s="167"/>
    </row>
    <row r="7" spans="1:20" x14ac:dyDescent="0.3">
      <c r="B7" s="168"/>
      <c r="C7" s="169" t="s">
        <v>41</v>
      </c>
      <c r="D7" s="169" t="s">
        <v>157</v>
      </c>
      <c r="F7" s="140" t="s">
        <v>158</v>
      </c>
      <c r="G7" s="141"/>
      <c r="I7" s="140" t="s">
        <v>159</v>
      </c>
      <c r="J7" s="156" t="s">
        <v>160</v>
      </c>
      <c r="K7" s="156" t="s">
        <v>161</v>
      </c>
      <c r="L7" s="156" t="s">
        <v>26</v>
      </c>
      <c r="M7" s="156" t="s">
        <v>162</v>
      </c>
      <c r="N7" s="156" t="s">
        <v>163</v>
      </c>
      <c r="O7" s="156" t="s">
        <v>164</v>
      </c>
      <c r="P7" s="156" t="s">
        <v>165</v>
      </c>
      <c r="Q7" s="156" t="s">
        <v>166</v>
      </c>
      <c r="R7" s="156" t="s">
        <v>167</v>
      </c>
      <c r="S7" s="156" t="s">
        <v>37</v>
      </c>
      <c r="T7" s="157" t="s">
        <v>168</v>
      </c>
    </row>
    <row r="8" spans="1:20" x14ac:dyDescent="0.3">
      <c r="B8" s="68"/>
      <c r="C8" s="64"/>
      <c r="D8" s="57"/>
      <c r="F8" s="56" t="s">
        <v>169</v>
      </c>
      <c r="G8" s="129">
        <f>G9*'Unit Mix_vm'!$D$15</f>
        <v>75250000</v>
      </c>
      <c r="I8" s="239" t="s">
        <v>438</v>
      </c>
      <c r="J8" s="261" t="s">
        <v>160</v>
      </c>
      <c r="K8" s="235">
        <v>176</v>
      </c>
      <c r="L8" s="235">
        <v>2024</v>
      </c>
      <c r="M8" s="235">
        <v>2025</v>
      </c>
      <c r="N8" s="237">
        <v>47995527</v>
      </c>
      <c r="O8" s="36">
        <f>N8/$K8</f>
        <v>272701.85795454547</v>
      </c>
      <c r="P8" s="235">
        <v>0.96869000000000005</v>
      </c>
      <c r="Q8" s="237">
        <v>0</v>
      </c>
      <c r="R8" s="36">
        <f>Q8/$K8</f>
        <v>0</v>
      </c>
      <c r="S8" s="36">
        <f>N8*P8/100+Q8</f>
        <v>464927.87049629999</v>
      </c>
      <c r="T8" s="226">
        <f>S8/$K8</f>
        <v>2641.6356278198864</v>
      </c>
    </row>
    <row r="9" spans="1:20" x14ac:dyDescent="0.3">
      <c r="B9" s="68" t="s">
        <v>170</v>
      </c>
      <c r="C9" s="64">
        <f>+D9*'Unit Mix_vm'!D15*12</f>
        <v>5163000</v>
      </c>
      <c r="D9" s="78">
        <f>+'Unit Mix_vm'!G15</f>
        <v>1721</v>
      </c>
      <c r="F9" s="56" t="s">
        <v>171</v>
      </c>
      <c r="G9" s="243">
        <v>301000</v>
      </c>
      <c r="I9" s="239" t="s">
        <v>446</v>
      </c>
      <c r="J9" s="261" t="s">
        <v>160</v>
      </c>
      <c r="K9" s="235">
        <v>403</v>
      </c>
      <c r="L9" s="235">
        <v>2022</v>
      </c>
      <c r="M9" s="235">
        <v>2025</v>
      </c>
      <c r="N9" s="237">
        <f>41373589+39441689+1638001+47761969</f>
        <v>130215248</v>
      </c>
      <c r="O9" s="36">
        <f>N9/$K9</f>
        <v>323114.7593052109</v>
      </c>
      <c r="P9" s="265">
        <v>0.99129999999999996</v>
      </c>
      <c r="Q9" s="237">
        <v>0</v>
      </c>
      <c r="R9" s="36">
        <f>Q9/$K9</f>
        <v>0</v>
      </c>
      <c r="S9" s="36">
        <f t="shared" ref="S9" si="0">N9*P9/100+Q9</f>
        <v>1290823.753424</v>
      </c>
      <c r="T9" s="226">
        <f>S9/$K9</f>
        <v>3203.036608992556</v>
      </c>
    </row>
    <row r="10" spans="1:20" x14ac:dyDescent="0.3">
      <c r="B10" s="68" t="s">
        <v>172</v>
      </c>
      <c r="C10" s="80">
        <f>-D10*C9</f>
        <v>0</v>
      </c>
      <c r="D10" s="254">
        <v>0</v>
      </c>
      <c r="F10" s="56"/>
      <c r="G10" s="57"/>
      <c r="I10" s="240" t="s">
        <v>447</v>
      </c>
      <c r="J10" s="264" t="s">
        <v>160</v>
      </c>
      <c r="K10" s="241">
        <v>260</v>
      </c>
      <c r="L10" s="241">
        <v>2019</v>
      </c>
      <c r="M10" s="241">
        <v>2025</v>
      </c>
      <c r="N10" s="242">
        <f>106250+24860302+200375+131250+35501122+30000+443750+18361741</f>
        <v>79634790</v>
      </c>
      <c r="O10" s="223">
        <f>N10/$K10</f>
        <v>306287.65384615387</v>
      </c>
      <c r="P10" s="266">
        <v>0.99129999999999996</v>
      </c>
      <c r="Q10" s="242">
        <v>0</v>
      </c>
      <c r="R10" s="223">
        <f>Q10/$K10</f>
        <v>0</v>
      </c>
      <c r="S10" s="223">
        <f t="shared" ref="S10" si="1">N10*P10/100+Q10</f>
        <v>789419.67326999991</v>
      </c>
      <c r="T10" s="232">
        <f>S10/$K10</f>
        <v>3036.2295125769228</v>
      </c>
    </row>
    <row r="11" spans="1:20" x14ac:dyDescent="0.3">
      <c r="B11" s="68" t="s">
        <v>173</v>
      </c>
      <c r="C11" s="80">
        <f>-D11*C9</f>
        <v>-20652</v>
      </c>
      <c r="D11" s="254">
        <f>1/'Unit Mix_vm'!$D$15</f>
        <v>4.0000000000000001E-3</v>
      </c>
      <c r="F11" s="56" t="s">
        <v>174</v>
      </c>
      <c r="G11" s="238">
        <v>0.6371</v>
      </c>
      <c r="I11" s="263"/>
    </row>
    <row r="12" spans="1:20" x14ac:dyDescent="0.3">
      <c r="B12" s="69" t="s">
        <v>175</v>
      </c>
      <c r="C12" s="65">
        <f>SUM(C9:C11)</f>
        <v>5142348</v>
      </c>
      <c r="D12" s="72">
        <f>IFERROR(C12/'Unit Mix_vm'!$D$15/12,0)</f>
        <v>1714.116</v>
      </c>
      <c r="F12" s="56" t="s">
        <v>176</v>
      </c>
      <c r="G12" s="129">
        <f>G13*'Unit Mix_vm'!$D$15</f>
        <v>0</v>
      </c>
    </row>
    <row r="13" spans="1:20" x14ac:dyDescent="0.3">
      <c r="B13" s="68"/>
      <c r="C13" s="64"/>
      <c r="D13" s="57"/>
      <c r="F13" s="56" t="s">
        <v>177</v>
      </c>
      <c r="G13" s="243">
        <v>0</v>
      </c>
    </row>
    <row r="14" spans="1:20" x14ac:dyDescent="0.3">
      <c r="B14" s="68" t="s">
        <v>178</v>
      </c>
      <c r="C14" s="64">
        <f>+D14*'Unit Mix_vm'!$D$15*12</f>
        <v>597120</v>
      </c>
      <c r="D14" s="129">
        <f>$N$57</f>
        <v>199.04</v>
      </c>
      <c r="F14" s="56" t="s">
        <v>179</v>
      </c>
      <c r="G14" s="254">
        <v>0</v>
      </c>
      <c r="I14" s="123" t="s">
        <v>180</v>
      </c>
      <c r="J14" s="178"/>
      <c r="K14" s="124"/>
      <c r="L14" s="124" t="s">
        <v>181</v>
      </c>
      <c r="M14" s="124" t="s">
        <v>37</v>
      </c>
      <c r="N14" s="125" t="s">
        <v>42</v>
      </c>
    </row>
    <row r="15" spans="1:20" x14ac:dyDescent="0.3">
      <c r="B15" s="68" t="s">
        <v>182</v>
      </c>
      <c r="C15" s="79">
        <v>0</v>
      </c>
      <c r="D15" s="71">
        <f>IFERROR(C15/'Unit Mix_vm'!$D$15/12,0)</f>
        <v>0</v>
      </c>
      <c r="F15" s="56"/>
      <c r="G15" s="57"/>
      <c r="I15" s="189" t="s">
        <v>183</v>
      </c>
      <c r="J15" s="190"/>
      <c r="K15" s="191"/>
      <c r="L15" s="191"/>
      <c r="M15" s="191"/>
      <c r="N15" s="192"/>
    </row>
    <row r="16" spans="1:20" x14ac:dyDescent="0.3">
      <c r="B16" s="69" t="s">
        <v>184</v>
      </c>
      <c r="C16" s="65">
        <f>SUM(C14:C15,C12)</f>
        <v>5739468</v>
      </c>
      <c r="D16" s="72">
        <f>IFERROR(C16/'Unit Mix_vm'!$D$15/12,0)</f>
        <v>1913.1559999999999</v>
      </c>
      <c r="F16" s="56" t="s">
        <v>185</v>
      </c>
      <c r="G16" s="82">
        <f>(G11*G8/100+G12)*(1-G14)</f>
        <v>479417.75</v>
      </c>
      <c r="I16" s="179" t="s">
        <v>186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7" x14ac:dyDescent="0.3">
      <c r="B17" s="68"/>
      <c r="C17" s="64"/>
      <c r="D17" s="57"/>
      <c r="F17" s="56" t="s">
        <v>187</v>
      </c>
      <c r="G17" s="82">
        <f>+G16/'Unit Mix_vm'!$D$15</f>
        <v>1917.671</v>
      </c>
      <c r="I17" s="179" t="s">
        <v>188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7" x14ac:dyDescent="0.3">
      <c r="B18" s="68" t="s">
        <v>29</v>
      </c>
      <c r="C18" s="73">
        <f>-D18*SUM(C9,C14)</f>
        <v>-288006</v>
      </c>
      <c r="D18" s="254">
        <v>0.05</v>
      </c>
      <c r="F18" s="56"/>
      <c r="G18" s="57"/>
      <c r="I18" s="179" t="s">
        <v>189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7" x14ac:dyDescent="0.3">
      <c r="B19" s="68" t="s">
        <v>190</v>
      </c>
      <c r="C19" s="73">
        <f>-D19*SUM(C9,C14,C18)</f>
        <v>-27360.57</v>
      </c>
      <c r="D19" s="254">
        <v>5.0000000000000001E-3</v>
      </c>
      <c r="F19" s="56" t="s">
        <v>191</v>
      </c>
      <c r="G19" s="83">
        <v>0</v>
      </c>
      <c r="I19" s="179" t="s">
        <v>192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7" x14ac:dyDescent="0.3">
      <c r="B20" s="69" t="s">
        <v>193</v>
      </c>
      <c r="C20" s="65">
        <f>SUM(C18:C19,C16)</f>
        <v>5424101.4299999997</v>
      </c>
      <c r="D20" s="255">
        <f>IFERROR(C20/#REF!/12,0)</f>
        <v>0</v>
      </c>
      <c r="F20" s="56"/>
      <c r="G20" s="57"/>
      <c r="I20" s="179" t="s">
        <v>194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  <c r="P20" s="281"/>
      <c r="Q20" s="282"/>
    </row>
    <row r="21" spans="2:17" x14ac:dyDescent="0.3">
      <c r="B21" s="68"/>
      <c r="C21" s="64"/>
      <c r="D21" s="57"/>
      <c r="F21" s="56" t="s">
        <v>195</v>
      </c>
      <c r="G21" s="84">
        <f>+G16+G19</f>
        <v>479417.75</v>
      </c>
      <c r="I21" s="179" t="s">
        <v>196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  <c r="P21" s="281"/>
      <c r="Q21" s="282"/>
    </row>
    <row r="22" spans="2:17" x14ac:dyDescent="0.3">
      <c r="B22" s="68" t="s">
        <v>197</v>
      </c>
      <c r="C22" s="73">
        <f>D22*C20</f>
        <v>149162.78932499999</v>
      </c>
      <c r="D22" s="254">
        <v>2.75E-2</v>
      </c>
      <c r="F22" s="59" t="s">
        <v>198</v>
      </c>
      <c r="G22" s="85">
        <f>+G21/'Unit Mix_vm'!$D$15</f>
        <v>1917.671</v>
      </c>
      <c r="I22" s="179" t="s">
        <v>199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  <c r="P22" s="281"/>
      <c r="Q22" s="282"/>
    </row>
    <row r="23" spans="2:17" x14ac:dyDescent="0.3">
      <c r="B23" s="120" t="s">
        <v>200</v>
      </c>
      <c r="C23" s="130">
        <f>G21</f>
        <v>479417.75</v>
      </c>
      <c r="D23" s="82">
        <f>IFERROR(C23/'Unit Mix_vm'!$D$15,0)</f>
        <v>1917.671</v>
      </c>
      <c r="I23" s="179" t="s">
        <v>201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  <c r="P23" s="281"/>
      <c r="Q23" s="282"/>
    </row>
    <row r="24" spans="2:17" x14ac:dyDescent="0.3">
      <c r="B24" s="68" t="s">
        <v>202</v>
      </c>
      <c r="C24" s="73">
        <f>+D24*'Unit Mix_vm'!$D$15</f>
        <v>137500</v>
      </c>
      <c r="D24" s="259">
        <v>550</v>
      </c>
      <c r="I24" s="187" t="s">
        <v>203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  <c r="P24" s="283"/>
      <c r="Q24" s="283"/>
    </row>
    <row r="25" spans="2:17" x14ac:dyDescent="0.3">
      <c r="B25" s="68" t="s">
        <v>204</v>
      </c>
      <c r="C25" s="73">
        <f>+D25*'Unit Mix_vm'!$D$15</f>
        <v>0</v>
      </c>
      <c r="D25" s="83">
        <v>0</v>
      </c>
      <c r="I25" s="189" t="s">
        <v>205</v>
      </c>
      <c r="J25" s="190"/>
      <c r="K25" s="191"/>
      <c r="L25" s="191"/>
      <c r="M25" s="191"/>
      <c r="N25" s="192"/>
    </row>
    <row r="26" spans="2:17" x14ac:dyDescent="0.3">
      <c r="B26" s="68" t="s">
        <v>206</v>
      </c>
      <c r="C26" s="73">
        <f>+D26*'Unit Mix_vm'!$D$15</f>
        <v>0</v>
      </c>
      <c r="D26" s="83">
        <v>0</v>
      </c>
      <c r="I26" s="179" t="s">
        <v>207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7" x14ac:dyDescent="0.3">
      <c r="B27" s="68" t="s">
        <v>205</v>
      </c>
      <c r="C27" s="73">
        <f>+D27*'Unit Mix_vm'!$D$15</f>
        <v>134400</v>
      </c>
      <c r="D27" s="129">
        <f>N32</f>
        <v>537.6</v>
      </c>
      <c r="I27" s="179" t="s">
        <v>208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7" x14ac:dyDescent="0.3">
      <c r="B28" s="68" t="s">
        <v>183</v>
      </c>
      <c r="C28" s="73">
        <f>+D28*'Unit Mix_vm'!$D$15</f>
        <v>195000</v>
      </c>
      <c r="D28" s="129">
        <f>N24</f>
        <v>780</v>
      </c>
      <c r="I28" s="179" t="s">
        <v>209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7" x14ac:dyDescent="0.3">
      <c r="B29" s="68" t="s">
        <v>210</v>
      </c>
      <c r="C29" s="73">
        <f>+D29*'Unit Mix_vm'!$D$15</f>
        <v>62500</v>
      </c>
      <c r="D29" s="83">
        <v>250</v>
      </c>
      <c r="I29" s="179" t="s">
        <v>211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7" x14ac:dyDescent="0.3">
      <c r="B30" s="68" t="s">
        <v>212</v>
      </c>
      <c r="C30" s="73">
        <f>+D30*'Unit Mix_vm'!$D$15</f>
        <v>62500</v>
      </c>
      <c r="D30" s="83">
        <v>250</v>
      </c>
      <c r="I30" s="179" t="s">
        <v>213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7" x14ac:dyDescent="0.3">
      <c r="B31" s="68" t="s">
        <v>214</v>
      </c>
      <c r="C31" s="73">
        <f>+D31*'Unit Mix_vm'!$D$15</f>
        <v>7500</v>
      </c>
      <c r="D31" s="83">
        <v>30</v>
      </c>
      <c r="I31" s="179" t="s">
        <v>201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7" x14ac:dyDescent="0.3">
      <c r="B32" s="68" t="s">
        <v>215</v>
      </c>
      <c r="C32" s="73">
        <f>+D32*'Unit Mix_vm'!$D$15</f>
        <v>87500</v>
      </c>
      <c r="D32" s="83">
        <v>350</v>
      </c>
      <c r="I32" s="183" t="s">
        <v>216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 x14ac:dyDescent="0.3">
      <c r="B33" s="68" t="s">
        <v>217</v>
      </c>
      <c r="C33" s="73">
        <f>+D33*'Unit Mix_vm'!$D$15</f>
        <v>403094.04</v>
      </c>
      <c r="D33" s="129">
        <f>N46</f>
        <v>1612.37616</v>
      </c>
      <c r="F33" s="30"/>
      <c r="I33" s="189" t="s">
        <v>217</v>
      </c>
      <c r="J33" s="190"/>
      <c r="K33" s="191"/>
      <c r="L33" s="191"/>
      <c r="M33" s="191"/>
      <c r="N33" s="192"/>
    </row>
    <row r="34" spans="2:15" x14ac:dyDescent="0.3">
      <c r="B34" s="68" t="s">
        <v>218</v>
      </c>
      <c r="C34" s="73">
        <f>+D34*'Unit Mix_vm'!$D$15</f>
        <v>50000</v>
      </c>
      <c r="D34" s="83">
        <v>200</v>
      </c>
      <c r="I34" s="193" t="s">
        <v>219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 x14ac:dyDescent="0.3">
      <c r="B35" s="68" t="s">
        <v>220</v>
      </c>
      <c r="C35" s="73">
        <f>+D35*'Unit Mix_vm'!$D$15</f>
        <v>37500</v>
      </c>
      <c r="D35" s="83">
        <v>150</v>
      </c>
      <c r="I35" s="198" t="s">
        <v>221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 x14ac:dyDescent="0.3">
      <c r="B36" s="68" t="s">
        <v>222</v>
      </c>
      <c r="C36" s="73">
        <f>+D36*'Unit Mix_vm'!$D$15</f>
        <v>0</v>
      </c>
      <c r="D36" s="83">
        <v>0</v>
      </c>
      <c r="I36" s="193" t="s">
        <v>223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3">
      <c r="B37" s="69" t="s">
        <v>224</v>
      </c>
      <c r="C37" s="65">
        <f>+SUM(C22:C36)</f>
        <v>1806074.5793250001</v>
      </c>
      <c r="D37" s="255">
        <f>IFERROR(C37/'Unit Mix_vm'!$D$15,0)</f>
        <v>7224.2983173000002</v>
      </c>
      <c r="I37" s="198" t="s">
        <v>221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3">
      <c r="B38" s="56"/>
      <c r="C38" s="64"/>
      <c r="D38" s="57"/>
      <c r="I38" s="193" t="s">
        <v>225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 x14ac:dyDescent="0.3">
      <c r="B39" s="68" t="s">
        <v>226</v>
      </c>
      <c r="C39" s="64">
        <f>+C20-C37</f>
        <v>3618026.8506749999</v>
      </c>
      <c r="D39" s="71">
        <f>IFERROR(C39/#REF!,0)</f>
        <v>0</v>
      </c>
      <c r="I39" s="193" t="s">
        <v>227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3">
      <c r="B40" s="70" t="s">
        <v>228</v>
      </c>
      <c r="C40" s="66">
        <f>IFERROR(C39/C20,0)</f>
        <v>0.66702787500693916</v>
      </c>
      <c r="D40" s="57"/>
      <c r="I40" s="193" t="s">
        <v>229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 x14ac:dyDescent="0.3">
      <c r="B41" s="56"/>
      <c r="C41" s="56"/>
      <c r="D41" s="57"/>
      <c r="I41" s="198" t="s">
        <v>221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 x14ac:dyDescent="0.3">
      <c r="B42" s="62" t="s">
        <v>230</v>
      </c>
      <c r="C42" s="67">
        <f ca="1">C39/Budget_vm!D86</f>
        <v>5.8237525905500444E-2</v>
      </c>
      <c r="D42" s="63"/>
      <c r="I42" s="193" t="s">
        <v>231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3">
      <c r="I43" s="193" t="s">
        <v>232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3">
      <c r="I44" s="193" t="s">
        <v>233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3">
      <c r="I45" s="193" t="s">
        <v>234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 x14ac:dyDescent="0.3">
      <c r="I46" s="200" t="s">
        <v>235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 x14ac:dyDescent="0.3">
      <c r="I48" s="189" t="s">
        <v>178</v>
      </c>
      <c r="J48" s="224" t="s">
        <v>16</v>
      </c>
      <c r="K48" s="224" t="s">
        <v>15</v>
      </c>
      <c r="L48" s="224" t="s">
        <v>181</v>
      </c>
      <c r="M48" s="224" t="s">
        <v>37</v>
      </c>
      <c r="N48" s="225" t="s">
        <v>236</v>
      </c>
    </row>
    <row r="49" spans="9:16" x14ac:dyDescent="0.3">
      <c r="I49" s="193" t="s">
        <v>237</v>
      </c>
      <c r="J49" s="245">
        <v>1</v>
      </c>
      <c r="K49" s="246">
        <f>'Unit Mix_vm'!$D$15</f>
        <v>250</v>
      </c>
      <c r="L49" s="182">
        <v>65</v>
      </c>
      <c r="M49" s="180">
        <f>L49*K49*J49*12</f>
        <v>195000</v>
      </c>
      <c r="N49" s="247">
        <f>M49/'Unit Mix_vm'!$D$15/12</f>
        <v>65</v>
      </c>
      <c r="O49" s="36"/>
      <c r="P49" s="234"/>
    </row>
    <row r="50" spans="9:16" x14ac:dyDescent="0.3">
      <c r="I50" s="193" t="s">
        <v>238</v>
      </c>
      <c r="J50" s="245">
        <v>1</v>
      </c>
      <c r="K50" s="246">
        <f>'Unit Mix_vm'!$D$15</f>
        <v>250</v>
      </c>
      <c r="L50" s="182">
        <v>70</v>
      </c>
      <c r="M50" s="180">
        <f t="shared" ref="M50:M55" si="4">L50*K50*J50*12</f>
        <v>210000</v>
      </c>
      <c r="N50" s="247">
        <f>M50/'Unit Mix_vm'!$D$15/12</f>
        <v>70</v>
      </c>
    </row>
    <row r="51" spans="9:16" x14ac:dyDescent="0.3">
      <c r="I51" s="193" t="s">
        <v>192</v>
      </c>
      <c r="J51" s="245">
        <v>1</v>
      </c>
      <c r="K51" s="246">
        <f>'Unit Mix_vm'!$D$15</f>
        <v>250</v>
      </c>
      <c r="L51" s="182">
        <v>25</v>
      </c>
      <c r="M51" s="180">
        <f t="shared" si="4"/>
        <v>75000</v>
      </c>
      <c r="N51" s="247">
        <f>M51/'Unit Mix_vm'!$D$15/12</f>
        <v>25</v>
      </c>
    </row>
    <row r="52" spans="9:16" x14ac:dyDescent="0.3">
      <c r="I52" s="193" t="s">
        <v>188</v>
      </c>
      <c r="J52" s="245">
        <v>1</v>
      </c>
      <c r="K52" s="246">
        <f>'Unit Mix_vm'!$D$15</f>
        <v>250</v>
      </c>
      <c r="L52" s="182">
        <v>5</v>
      </c>
      <c r="M52" s="180">
        <f t="shared" si="4"/>
        <v>15000</v>
      </c>
      <c r="N52" s="247">
        <f>M52/'Unit Mix_vm'!$D$15/12</f>
        <v>5</v>
      </c>
    </row>
    <row r="53" spans="9:16" x14ac:dyDescent="0.3">
      <c r="I53" s="193" t="s">
        <v>211</v>
      </c>
      <c r="J53" s="245">
        <v>0.9</v>
      </c>
      <c r="K53" s="246">
        <f>'Unit Mix_vm'!$D$15</f>
        <v>250</v>
      </c>
      <c r="L53" s="248">
        <f>$L$29</f>
        <v>30</v>
      </c>
      <c r="M53" s="180">
        <f t="shared" si="4"/>
        <v>81000</v>
      </c>
      <c r="N53" s="247">
        <f>M53/'Unit Mix_vm'!$D$15/12</f>
        <v>27</v>
      </c>
    </row>
    <row r="54" spans="9:16" x14ac:dyDescent="0.3">
      <c r="I54" s="193" t="s">
        <v>239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7.04</v>
      </c>
    </row>
    <row r="55" spans="9:16" x14ac:dyDescent="0.3">
      <c r="I55" s="193" t="s">
        <v>240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 x14ac:dyDescent="0.3">
      <c r="I56" s="193" t="s">
        <v>241</v>
      </c>
      <c r="J56" s="245">
        <v>1</v>
      </c>
      <c r="K56" s="246">
        <f>'Unit Mix_vm'!$D$15</f>
        <v>250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 x14ac:dyDescent="0.3">
      <c r="I57" s="227" t="s">
        <v>242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8" r:id="rId1" location="/search/PIEDMONT%20ALEXANDER%20CROSSING%20OWNER%20LLC" xr:uid="{D153FEF1-9A4E-4A5D-AFEF-832D643BB76C}"/>
    <hyperlink ref="J9" r:id="rId2" location="/search/Alta%20Davis%20Park%20Owner%20Llc" xr:uid="{15AFE2AA-39BE-463A-9C99-E190E276FCC1}"/>
    <hyperlink ref="J10" r:id="rId3" location="/search/1108%20Merrion%20Ave%20Llc" xr:uid="{27D99D71-ED7C-4C57-88F1-1539E5584C2E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244</v>
      </c>
    </row>
    <row r="3" spans="2:2" ht="130.80000000000001" x14ac:dyDescent="2.4500000000000002">
      <c r="B3" s="77" t="s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Grandle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247</v>
      </c>
      <c r="D6" s="89" t="s">
        <v>248</v>
      </c>
      <c r="E6" s="89" t="s">
        <v>249</v>
      </c>
      <c r="F6" s="89" t="s">
        <v>250</v>
      </c>
      <c r="G6" s="89" t="s">
        <v>251</v>
      </c>
      <c r="H6" s="89" t="s">
        <v>252</v>
      </c>
      <c r="I6" s="89" t="s">
        <v>253</v>
      </c>
      <c r="J6" s="89" t="s">
        <v>254</v>
      </c>
      <c r="K6" s="89" t="s">
        <v>255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256</v>
      </c>
      <c r="C8"/>
      <c r="D8"/>
      <c r="E8"/>
      <c r="F8"/>
      <c r="G8"/>
      <c r="H8"/>
      <c r="I8"/>
      <c r="J8"/>
      <c r="K8"/>
      <c r="L8"/>
      <c r="M8" s="111" t="s">
        <v>257</v>
      </c>
      <c r="N8" s="111" t="s">
        <v>257</v>
      </c>
      <c r="O8" s="111" t="s">
        <v>257</v>
      </c>
      <c r="P8" s="111" t="s">
        <v>257</v>
      </c>
      <c r="Q8" s="111" t="s">
        <v>257</v>
      </c>
      <c r="R8" s="111" t="s">
        <v>257</v>
      </c>
      <c r="S8" s="111" t="s">
        <v>257</v>
      </c>
      <c r="T8" s="111" t="s">
        <v>257</v>
      </c>
      <c r="U8" s="111" t="s">
        <v>257</v>
      </c>
      <c r="V8" s="111" t="s">
        <v>257</v>
      </c>
      <c r="W8" s="111" t="s">
        <v>257</v>
      </c>
      <c r="X8" s="111" t="s">
        <v>257</v>
      </c>
      <c r="Y8" s="111" t="s">
        <v>257</v>
      </c>
      <c r="Z8" s="111" t="s">
        <v>257</v>
      </c>
      <c r="AA8" s="111" t="s">
        <v>257</v>
      </c>
      <c r="AB8" s="111" t="s">
        <v>257</v>
      </c>
      <c r="AC8" s="111" t="s">
        <v>257</v>
      </c>
      <c r="AD8" s="111" t="s">
        <v>257</v>
      </c>
      <c r="AE8" s="111" t="s">
        <v>257</v>
      </c>
      <c r="AF8" s="111" t="s">
        <v>257</v>
      </c>
      <c r="AG8" s="111" t="s">
        <v>257</v>
      </c>
      <c r="AH8" s="111" t="s">
        <v>257</v>
      </c>
      <c r="AI8" s="111" t="s">
        <v>257</v>
      </c>
      <c r="AJ8" s="111" t="s">
        <v>257</v>
      </c>
      <c r="AK8" s="111" t="s">
        <v>257</v>
      </c>
      <c r="AL8" s="111" t="s">
        <v>257</v>
      </c>
      <c r="AM8" s="111" t="s">
        <v>257</v>
      </c>
      <c r="AN8" s="111" t="s">
        <v>257</v>
      </c>
      <c r="AO8" s="111" t="s">
        <v>257</v>
      </c>
      <c r="AP8" s="111" t="s">
        <v>257</v>
      </c>
      <c r="AQ8" s="111" t="s">
        <v>257</v>
      </c>
      <c r="AR8" s="111" t="s">
        <v>257</v>
      </c>
      <c r="AS8" s="111" t="s">
        <v>257</v>
      </c>
      <c r="AT8" s="111" t="s">
        <v>257</v>
      </c>
      <c r="AU8" s="111" t="s">
        <v>257</v>
      </c>
      <c r="AV8" s="111" t="s">
        <v>257</v>
      </c>
      <c r="AW8" s="111" t="s">
        <v>257</v>
      </c>
      <c r="AX8" s="111" t="s">
        <v>257</v>
      </c>
      <c r="AY8" s="111" t="s">
        <v>257</v>
      </c>
      <c r="AZ8" s="111" t="s">
        <v>257</v>
      </c>
      <c r="BA8" s="111" t="s">
        <v>257</v>
      </c>
      <c r="BB8" s="111" t="s">
        <v>257</v>
      </c>
      <c r="BC8" s="111" t="s">
        <v>257</v>
      </c>
      <c r="BD8" s="111" t="s">
        <v>257</v>
      </c>
      <c r="BE8" s="111" t="s">
        <v>257</v>
      </c>
      <c r="BF8" s="111" t="s">
        <v>257</v>
      </c>
      <c r="BG8" s="111" t="s">
        <v>257</v>
      </c>
      <c r="BH8" s="111" t="s">
        <v>257</v>
      </c>
      <c r="BI8" s="111" t="s">
        <v>257</v>
      </c>
      <c r="BJ8" s="111" t="s">
        <v>257</v>
      </c>
      <c r="BK8" s="111" t="s">
        <v>257</v>
      </c>
      <c r="BL8" s="111" t="s">
        <v>257</v>
      </c>
      <c r="BM8" s="111" t="s">
        <v>257</v>
      </c>
      <c r="BN8" s="111" t="s">
        <v>257</v>
      </c>
      <c r="BO8" s="111" t="s">
        <v>257</v>
      </c>
      <c r="BP8" s="111" t="s">
        <v>257</v>
      </c>
      <c r="BQ8" s="111" t="s">
        <v>257</v>
      </c>
      <c r="BR8" s="111" t="s">
        <v>257</v>
      </c>
      <c r="BS8" s="111" t="s">
        <v>257</v>
      </c>
      <c r="BT8" s="111" t="s">
        <v>257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258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259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260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55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57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261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47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52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56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58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59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62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63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65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67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69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71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73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74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79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82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262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91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93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263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97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98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101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106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107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109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117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119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118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121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122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123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124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125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126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127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128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129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131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132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133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264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136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137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138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265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266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143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144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145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148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150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152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68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267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Grandle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271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272</v>
      </c>
      <c r="C11" s="96" t="s">
        <v>273</v>
      </c>
      <c r="D11" s="96" t="s">
        <v>274</v>
      </c>
      <c r="E11" s="96" t="s">
        <v>49</v>
      </c>
      <c r="F11" s="96" t="s">
        <v>275</v>
      </c>
      <c r="G11" s="96" t="s">
        <v>276</v>
      </c>
      <c r="H11" s="97" t="s">
        <v>277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279</v>
      </c>
      <c r="I12"/>
      <c r="J12" s="113" t="s">
        <v>280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279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279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279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285</v>
      </c>
      <c r="C18" s="74" t="s">
        <v>286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287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288</v>
      </c>
      <c r="C20" s="23" t="s">
        <v>289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290</v>
      </c>
      <c r="C21" s="50">
        <v>1</v>
      </c>
      <c r="D21" s="24" t="s">
        <v>291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292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293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293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294</v>
      </c>
      <c r="C30" s="74" t="s">
        <v>41</v>
      </c>
      <c r="D30" s="74" t="s">
        <v>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276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275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37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295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296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297</v>
      </c>
      <c r="C38" s="74" t="s">
        <v>41</v>
      </c>
      <c r="D38" s="74" t="s">
        <v>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298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299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93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300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301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241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302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303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304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305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306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161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307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308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276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275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51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309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310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306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311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312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313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307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51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314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316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317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318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319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320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317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321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318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322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323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324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325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315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326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321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322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327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328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315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329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324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328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330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331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330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332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282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333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334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335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37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336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308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276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275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309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313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337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315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338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339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340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317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318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341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342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317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343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318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344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345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346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317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318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347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348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317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343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318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344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349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350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351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352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315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338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339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353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343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344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354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355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343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344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356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357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358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359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360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350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357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361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362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363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351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358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364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362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315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338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339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365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366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343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324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328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330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367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368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369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370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371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315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338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339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372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366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343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324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328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330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373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367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374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375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376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377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315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338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339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378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379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380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381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382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282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333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334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335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383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384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37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385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282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333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334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335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383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384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37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337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282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333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334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335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383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384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37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277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371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377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381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37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386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387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388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389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390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391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392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267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Grandle Drive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393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271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394</v>
      </c>
      <c r="D11" s="96" t="s">
        <v>395</v>
      </c>
      <c r="E11" s="96" t="s">
        <v>396</v>
      </c>
      <c r="F11" s="96" t="s">
        <v>397</v>
      </c>
      <c r="G11" s="97" t="s">
        <v>398</v>
      </c>
      <c r="H11"/>
      <c r="I11" s="114" t="s">
        <v>399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IFERROR(XIRR(C39:BJ39,C6:BJ6,0),0)</f>
        <v>0</v>
      </c>
      <c r="D12" s="49">
        <f>IFERROR(XIRR(C81:BJ81,C6:BJ6,0),0)</f>
        <v>0</v>
      </c>
      <c r="E12" s="49" t="s">
        <v>279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400</v>
      </c>
      <c r="J12"/>
      <c r="K12" s="36" t="e">
        <f>-SUM(C36:BJ36)</f>
        <v>#REF!</v>
      </c>
      <c r="L12"/>
      <c r="M12" s="113" t="s">
        <v>280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119">
        <f>IFERROR(C15/C14,0)</f>
        <v>0</v>
      </c>
      <c r="D13" s="119">
        <f t="shared" ref="D13:G13" si="2">IFERROR(D15/D14,0)</f>
        <v>0</v>
      </c>
      <c r="E13" s="119" t="s">
        <v>279</v>
      </c>
      <c r="F13" s="119">
        <f t="shared" si="2"/>
        <v>0</v>
      </c>
      <c r="G13" s="119">
        <f t="shared" si="2"/>
        <v>0</v>
      </c>
      <c r="H13" s="98"/>
      <c r="I13" t="s">
        <v>398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>
        <f>-SUM(C32:BJ32)</f>
        <v>0</v>
      </c>
      <c r="D14" s="36">
        <f>-SUM(C77:BJ77)</f>
        <v>0</v>
      </c>
      <c r="E14" s="36" t="s">
        <v>279</v>
      </c>
      <c r="F14" s="36">
        <f>-SUM(C104:BJ104)</f>
        <v>0</v>
      </c>
      <c r="G14" s="36">
        <f>-SUM(C98:BJ98)</f>
        <v>0</v>
      </c>
      <c r="H14" s="36"/>
      <c r="I14" s="3" t="s">
        <v>401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>+D15-D14</f>
        <v>#REF!</v>
      </c>
      <c r="E16" s="36" t="s">
        <v>279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402</v>
      </c>
      <c r="C18" s="74" t="s">
        <v>41</v>
      </c>
      <c r="D18" s="74" t="s">
        <v>16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398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397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37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403</v>
      </c>
      <c r="C23" s="74" t="s">
        <v>286</v>
      </c>
      <c r="D23" s="74" t="s">
        <v>404</v>
      </c>
      <c r="E23" s="74" t="s">
        <v>405</v>
      </c>
      <c r="F23" s="74" t="s">
        <v>406</v>
      </c>
      <c r="G23" s="74" t="s">
        <v>407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408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308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409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410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309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411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412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413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313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414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415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317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318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319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416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317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343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318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344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417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324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315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418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343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344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419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328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420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421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370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422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282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324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328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330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37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423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282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324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328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330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37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414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282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324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328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330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37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424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282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425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426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37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427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282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425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426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37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386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428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429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37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390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391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392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267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Grandle Drive</v>
      </c>
      <c r="B1"/>
      <c r="C1"/>
      <c r="D1"/>
      <c r="E1"/>
      <c r="F1" s="5"/>
    </row>
    <row r="2" spans="1:7" ht="20.399999999999999" thickBot="1" x14ac:dyDescent="0.45">
      <c r="A2" s="8" t="s">
        <v>430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269</v>
      </c>
      <c r="C6" s="11" t="s">
        <v>431</v>
      </c>
      <c r="D6" s="11" t="s">
        <v>81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F55AF-1E59-4690-9D1F-04A969E61854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c51240cb-92b5-4df4-8f5e-edd8d705b6df"/>
    <ds:schemaRef ds:uri="http://schemas.microsoft.com/office/infopath/2007/PartnerControls"/>
    <ds:schemaRef ds:uri="a4cbd9de-38f3-4023-bf37-52b0c987fcd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Kartik Singh Negi</cp:lastModifiedBy>
  <cp:revision/>
  <dcterms:created xsi:type="dcterms:W3CDTF">2024-03-25T15:55:55Z</dcterms:created>
  <dcterms:modified xsi:type="dcterms:W3CDTF">2026-04-10T21:39:23Z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