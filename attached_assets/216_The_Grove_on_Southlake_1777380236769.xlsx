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983" documentId="8_{CD9B3479-65CE-4B7A-8912-CF7FFD72340D}" xr6:coauthVersionLast="47" xr6:coauthVersionMax="47" xr10:uidLastSave="{12627C31-5930-4D00-92E1-4365AF3AB8D2}"/>
  <bookViews>
    <workbookView xWindow="28680" yWindow="-120" windowWidth="29040" windowHeight="15720"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0" i="5" l="1"/>
  <c r="Q165" i="5"/>
  <c r="Q175" i="5"/>
  <c r="Z29" i="12"/>
  <c r="Y29" i="12"/>
  <c r="X29" i="12"/>
  <c r="Q30" i="12"/>
  <c r="W29" i="12"/>
  <c r="V29" i="12"/>
  <c r="U29" i="12"/>
  <c r="T29" i="12"/>
  <c r="S29" i="12"/>
  <c r="R29" i="12"/>
  <c r="Q29" i="12"/>
  <c r="Q32" i="12" s="1"/>
  <c r="L7" i="12" l="1"/>
  <c r="E7" i="12"/>
  <c r="C7" i="12"/>
  <c r="Z14" i="12"/>
  <c r="W14" i="12"/>
  <c r="T14" i="12"/>
  <c r="W13" i="12"/>
  <c r="T13" i="12"/>
  <c r="Z12" i="12"/>
  <c r="W12" i="12"/>
  <c r="T12" i="12"/>
  <c r="Z11" i="12"/>
  <c r="W11" i="12"/>
  <c r="A11" i="12"/>
  <c r="A12" i="12" s="1"/>
  <c r="A13" i="12" s="1"/>
  <c r="A14" i="12" s="1"/>
  <c r="Z10" i="12"/>
  <c r="W10" i="12"/>
  <c r="T10" i="12"/>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J7" i="12" s="1"/>
  <c r="I25" i="6"/>
  <c r="J25" i="6"/>
  <c r="I19" i="6"/>
  <c r="J19" i="6"/>
  <c r="I13" i="6"/>
  <c r="J13" i="6"/>
  <c r="I12" i="6"/>
  <c r="J12" i="6"/>
  <c r="I10" i="6"/>
  <c r="S7" i="12" s="1"/>
  <c r="S30" i="12" s="1"/>
  <c r="Y7" i="12" l="1"/>
  <c r="Y30" i="12" s="1"/>
  <c r="V7" i="12"/>
  <c r="V30" i="12" s="1"/>
  <c r="N28" i="6"/>
  <c r="O28" i="6" s="1"/>
  <c r="N27" i="6"/>
  <c r="O27" i="6" s="1"/>
  <c r="G9" i="6"/>
  <c r="D3" i="1"/>
  <c r="G10" i="6"/>
  <c r="G18" i="6"/>
  <c r="I29" i="6"/>
  <c r="K30" i="6"/>
  <c r="G11" i="6"/>
  <c r="G17" i="6"/>
  <c r="G23" i="6"/>
  <c r="G16" i="6"/>
  <c r="G22" i="6"/>
  <c r="G28" i="6"/>
  <c r="G15" i="6"/>
  <c r="J32" i="6"/>
  <c r="G21" i="6"/>
  <c r="G27" i="6"/>
  <c r="G19" i="6"/>
  <c r="G25" i="6"/>
  <c r="G14" i="6"/>
  <c r="G20" i="6"/>
  <c r="G26" i="6"/>
  <c r="K32" i="6"/>
  <c r="G13" i="6"/>
  <c r="J30" i="6"/>
  <c r="P7" i="12" s="1"/>
  <c r="G24" i="6"/>
  <c r="J29" i="6"/>
  <c r="H30" i="6" s="1"/>
  <c r="G12" i="6"/>
  <c r="G29" i="6" l="1"/>
  <c r="K31" i="6"/>
  <c r="J31" i="6"/>
  <c r="O7" i="12" s="1"/>
  <c r="H33" i="1" l="1"/>
  <c r="H35" i="1" s="1"/>
  <c r="H60" i="1"/>
  <c r="I42" i="1"/>
  <c r="I31" i="1" a="1"/>
  <c r="I31" i="1" s="1"/>
  <c r="E31" i="1" s="1"/>
  <c r="Q15" i="5"/>
  <c r="Q129" i="5"/>
  <c r="H19" i="1" l="1"/>
  <c r="H40" i="1"/>
  <c r="H44" i="1" s="1"/>
  <c r="H61" i="1" s="1"/>
  <c r="H22" i="1"/>
  <c r="H23" i="1"/>
  <c r="H21" i="1"/>
  <c r="H20" i="1"/>
  <c r="H25"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R174" i="5"/>
  <c r="Q174" i="5"/>
  <c r="R173" i="5"/>
  <c r="Q173" i="5"/>
  <c r="R172" i="5"/>
  <c r="Q172" i="5"/>
  <c r="R171" i="5"/>
  <c r="Q171" i="5"/>
  <c r="R170" i="5"/>
  <c r="Q170" i="5"/>
  <c r="R169" i="5"/>
  <c r="Q169" i="5"/>
  <c r="R168" i="5"/>
  <c r="Q168" i="5"/>
  <c r="R167" i="5"/>
  <c r="Q167" i="5"/>
  <c r="R166" i="5"/>
  <c r="Q166" i="5"/>
  <c r="R165" i="5"/>
  <c r="R164" i="5"/>
  <c r="Q164" i="5"/>
  <c r="R163" i="5"/>
  <c r="Q163" i="5"/>
  <c r="R162" i="5"/>
  <c r="Q162" i="5"/>
  <c r="R161" i="5"/>
  <c r="Q161"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27" i="1" l="1"/>
  <c r="H63" i="1"/>
  <c r="H66" i="1"/>
  <c r="L9" i="1"/>
  <c r="C13" i="7"/>
  <c r="G5" i="1" l="1"/>
  <c r="C38" i="6" l="1"/>
  <c r="C39" i="6"/>
  <c r="C40" i="6"/>
  <c r="C41" i="6"/>
  <c r="C42" i="6"/>
  <c r="C43" i="6"/>
  <c r="C44" i="6"/>
  <c r="C45" i="6"/>
  <c r="C46" i="6"/>
  <c r="C47" i="6"/>
  <c r="C48" i="6"/>
  <c r="C49" i="6"/>
  <c r="C50" i="6"/>
  <c r="C51" i="6"/>
  <c r="C52" i="6"/>
  <c r="C53" i="6"/>
  <c r="C54" i="6"/>
  <c r="C55" i="6"/>
  <c r="C56" i="6"/>
  <c r="C37" i="6"/>
  <c r="N19" i="1"/>
  <c r="O19" i="1" s="1"/>
  <c r="P19" i="1" s="1"/>
  <c r="Q19" i="1" s="1"/>
  <c r="R19" i="1" s="1"/>
  <c r="S19" i="1" s="1"/>
  <c r="D39" i="6" l="1"/>
  <c r="D51" i="6"/>
  <c r="H51" i="6" s="1"/>
  <c r="D50" i="6"/>
  <c r="H50" i="6" s="1"/>
  <c r="D41" i="6"/>
  <c r="H41" i="6" s="1"/>
  <c r="D55" i="6"/>
  <c r="H55" i="6" s="1"/>
  <c r="D38" i="6"/>
  <c r="D45" i="6"/>
  <c r="D48" i="6"/>
  <c r="H48" i="6" s="1"/>
  <c r="D54" i="6"/>
  <c r="H54" i="6" s="1"/>
  <c r="D49" i="6"/>
  <c r="H49" i="6" s="1"/>
  <c r="D56" i="6"/>
  <c r="H56" i="6" s="1"/>
  <c r="D53" i="6"/>
  <c r="H53" i="6" s="1"/>
  <c r="D42" i="6"/>
  <c r="H42" i="6" s="1"/>
  <c r="D40" i="6"/>
  <c r="H40" i="6" s="1"/>
  <c r="D46" i="6"/>
  <c r="D52" i="6"/>
  <c r="H52" i="6" s="1"/>
  <c r="D47" i="6"/>
  <c r="H47" i="6" s="1"/>
  <c r="J8" i="1" l="1"/>
  <c r="C7" i="1" s="1"/>
  <c r="H14" i="1" s="1"/>
  <c r="Q16" i="1"/>
  <c r="G15" i="1" s="1"/>
  <c r="H15" i="1" l="1"/>
  <c r="I53" i="1" s="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37" i="6"/>
  <c r="D44" i="6"/>
  <c r="H44" i="6" s="1"/>
  <c r="H45" i="6"/>
  <c r="D43" i="6"/>
  <c r="H43" i="6" s="1"/>
  <c r="D16" i="8"/>
  <c r="H39" i="6"/>
  <c r="H38" i="6"/>
  <c r="H46" i="6"/>
  <c r="M23" i="6" l="1"/>
  <c r="H23" i="6"/>
  <c r="F23" i="6"/>
  <c r="F25" i="6"/>
  <c r="H25" i="6"/>
  <c r="M25" i="6"/>
  <c r="F24" i="6"/>
  <c r="H24" i="6"/>
  <c r="M24" i="6"/>
  <c r="N24" i="6" s="1"/>
  <c r="O24" i="6" s="1"/>
  <c r="M26" i="6"/>
  <c r="F26" i="6"/>
  <c r="H26" i="6"/>
  <c r="G5" i="6" a="1"/>
  <c r="G5" i="6" s="1"/>
  <c r="R7" i="12" s="1"/>
  <c r="I5" i="6" a="1"/>
  <c r="I5" i="6" s="1"/>
  <c r="U7" i="12" s="1"/>
  <c r="H16" i="6"/>
  <c r="M16" i="6"/>
  <c r="F16" i="6"/>
  <c r="M20" i="6"/>
  <c r="H20" i="6"/>
  <c r="F20" i="6"/>
  <c r="M9" i="6"/>
  <c r="H9" i="6"/>
  <c r="F9" i="6"/>
  <c r="E29" i="6"/>
  <c r="H29" i="6" s="1"/>
  <c r="AA7" i="12" s="1"/>
  <c r="K5" i="6" a="1"/>
  <c r="K5" i="6" s="1"/>
  <c r="X7" i="12" s="1"/>
  <c r="H22" i="6"/>
  <c r="M22" i="6"/>
  <c r="F22" i="6"/>
  <c r="F13" i="6"/>
  <c r="H13" i="6"/>
  <c r="M13" i="6"/>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N13" i="6" l="1"/>
  <c r="O13" i="6" s="1"/>
  <c r="Z7" i="12"/>
  <c r="Z30" i="12" s="1"/>
  <c r="Z32" i="12" s="1"/>
  <c r="X30" i="12"/>
  <c r="X32" i="12" s="1"/>
  <c r="U30" i="12"/>
  <c r="U32" i="12" s="1"/>
  <c r="W7" i="12"/>
  <c r="W30" i="12" s="1"/>
  <c r="W32" i="12" s="1"/>
  <c r="T7" i="12"/>
  <c r="T30" i="12" s="1"/>
  <c r="T32" i="12" s="1"/>
  <c r="R30" i="12"/>
  <c r="R32" i="12" s="1"/>
  <c r="N25" i="6"/>
  <c r="O25" i="6" s="1"/>
  <c r="N26" i="6"/>
  <c r="O26" i="6" s="1"/>
  <c r="N23" i="6"/>
  <c r="O23" i="6" s="1"/>
  <c r="N20" i="6"/>
  <c r="O20" i="6" s="1"/>
  <c r="N19" i="6"/>
  <c r="O19" i="6" s="1"/>
  <c r="M30" i="6"/>
  <c r="M31" i="6" s="1"/>
  <c r="N11" i="6"/>
  <c r="O11" i="6" s="1"/>
  <c r="N21" i="6"/>
  <c r="O21" i="6" s="1"/>
  <c r="F29" i="6"/>
  <c r="N15" i="6"/>
  <c r="O15" i="6" s="1"/>
  <c r="N17" i="6"/>
  <c r="O17" i="6" s="1"/>
  <c r="N18" i="6"/>
  <c r="O18" i="6" s="1"/>
  <c r="N9" i="6"/>
  <c r="N10" i="6"/>
  <c r="O10" i="6" s="1"/>
  <c r="N14" i="6"/>
  <c r="O14" i="6" s="1"/>
  <c r="M32" i="6"/>
  <c r="N16" i="6"/>
  <c r="O16" i="6" s="1"/>
  <c r="N12" i="6"/>
  <c r="O12" i="6" s="1"/>
  <c r="N22" i="6"/>
  <c r="O22" i="6" s="1"/>
  <c r="M29" i="6"/>
  <c r="E3" i="6"/>
  <c r="H21" i="7"/>
  <c r="H26" i="7"/>
  <c r="E21" i="7"/>
  <c r="M21" i="7"/>
  <c r="L21" i="7"/>
  <c r="J21" i="7"/>
  <c r="G21" i="7"/>
  <c r="F21" i="7"/>
  <c r="O9" i="6" l="1"/>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W42" i="5"/>
  <c r="X42" i="5"/>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D57" i="6"/>
  <c r="G57" i="6" s="1"/>
  <c r="H57" i="6"/>
  <c r="C15" i="8" s="1"/>
  <c r="D15" i="8" s="1"/>
  <c r="I32" i="1" l="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K22" i="1"/>
  <c r="L22" i="1" s="1"/>
  <c r="M22" i="1" s="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I35" i="1" l="1"/>
  <c r="E35" i="1" l="1"/>
  <c r="I38" i="1"/>
  <c r="E38" i="1"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I61" i="1"/>
  <c r="K54" i="1"/>
  <c r="K60" i="1" s="1"/>
  <c r="L44" i="1"/>
  <c r="J61" i="1"/>
  <c r="J63" i="1"/>
  <c r="K13" i="1" l="1"/>
  <c r="J13" i="1"/>
  <c r="J9" i="1"/>
  <c r="J10" i="1" s="1"/>
  <c r="K9" i="1"/>
  <c r="K10" i="1" s="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<sst xmlns="http://schemas.openxmlformats.org/spreadsheetml/2006/main" count="2234" uniqueCount="775">
  <si>
    <t>Address:</t>
  </si>
  <si>
    <t>Cashflow Statement - Main Page</t>
  </si>
  <si>
    <t>Units</t>
  </si>
  <si>
    <t>Year Built/Reno</t>
  </si>
  <si>
    <t>Scenario</t>
  </si>
  <si>
    <t>Tax rate info.</t>
  </si>
  <si>
    <t>County Link:</t>
  </si>
  <si>
    <t>Analysis Start Date</t>
  </si>
  <si>
    <t>Districts</t>
  </si>
  <si>
    <t>Jurisdictions</t>
  </si>
  <si>
    <t>2025 Rate</t>
  </si>
  <si>
    <t>Investment Assumptions/Summary</t>
  </si>
  <si>
    <t>Per Unit</t>
  </si>
  <si>
    <t>Pro forma Assumptions</t>
  </si>
  <si>
    <t>Key Metrics</t>
  </si>
  <si>
    <t>Purchase Price</t>
  </si>
  <si>
    <t>Rent Increase (Y2 Onwards)</t>
  </si>
  <si>
    <t>Other Income Increase (Y2)</t>
  </si>
  <si>
    <t>Asking Price</t>
  </si>
  <si>
    <t>-</t>
  </si>
  <si>
    <t xml:space="preserve">All in Cost </t>
  </si>
  <si>
    <t>Expense Increase (Year 2 Onwards)</t>
  </si>
  <si>
    <t>Property Management Fee</t>
  </si>
  <si>
    <t>Cap rate</t>
  </si>
  <si>
    <t>Total Rentable Square Feet</t>
  </si>
  <si>
    <t>Asset Management Fee</t>
  </si>
  <si>
    <t>Levered COC</t>
  </si>
  <si>
    <t>Cost of Exit (Brokerage)</t>
  </si>
  <si>
    <t>Levered IRR</t>
  </si>
  <si>
    <t>Exit Year</t>
  </si>
  <si>
    <t>Replacement Reserve (Per Unit)</t>
  </si>
  <si>
    <t>Exit Cap Rate</t>
  </si>
  <si>
    <t>Assesment Ratio</t>
  </si>
  <si>
    <t>Exit NOI (After Reserve)</t>
  </si>
  <si>
    <t>Exit Price</t>
  </si>
  <si>
    <t>Millage Rate</t>
  </si>
  <si>
    <t>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</si>
  <si>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</si>
  <si>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</si>
  <si>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</si>
  <si>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</si>
  <si>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</si>
  <si>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</si>
  <si>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</si>
  <si>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</si>
  <si>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</si>
  <si>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</si>
  <si>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</si>
  <si>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</si>
  <si>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</si>
  <si>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</si>
  <si>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</si>
  <si>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</si>
  <si>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</si>
  <si>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</si>
  <si>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</si>
  <si>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</si>
  <si>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</si>
  <si>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</si>
  <si>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</si>
  <si>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</si>
  <si>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Per Unit Y1</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</si>
  <si>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</si>
  <si>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</si>
  <si>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</si>
  <si>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</si>
  <si>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</si>
  <si>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</si>
  <si>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</si>
  <si>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</si>
  <si>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</si>
  <si>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</si>
  <si>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</si>
  <si>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</si>
  <si>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</si>
  <si>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</si>
  <si>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</si>
  <si>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</si>
  <si>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</si>
  <si>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</si>
  <si>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</si>
  <si>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</si>
  <si>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</si>
  <si>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</si>
  <si>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</si>
  <si>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</si>
  <si>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</si>
  <si>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</si>
  <si>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</si>
  <si>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</si>
  <si>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</si>
  <si>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</si>
  <si>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</si>
  <si>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</si>
  <si>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</si>
  <si>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</si>
  <si>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</si>
  <si>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Rent Roll Analysis</t>
  </si>
  <si>
    <t>Rent Roll as on</t>
  </si>
  <si>
    <t>Avg Rent</t>
  </si>
  <si>
    <t>2x2</t>
  </si>
  <si>
    <t>Rent Schedule</t>
  </si>
  <si>
    <t>Type</t>
  </si>
  <si>
    <t>Occupied</t>
  </si>
  <si>
    <t>Vacant/Model</t>
  </si>
  <si>
    <t>Unit Mix %</t>
  </si>
  <si>
    <t>Occupancy %</t>
  </si>
  <si>
    <t>Square Feet</t>
  </si>
  <si>
    <t>MR - Based on Comps</t>
  </si>
  <si>
    <t>Effective Rent</t>
  </si>
  <si>
    <t>GRP</t>
  </si>
  <si>
    <t>GRP/unit</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</si>
  <si>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</si>
  <si>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</si>
  <si>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</si>
  <si>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</si>
  <si>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</si>
  <si>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</si>
  <si>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</si>
  <si>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</si>
  <si>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</si>
  <si>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</si>
  <si>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</si>
  <si>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</si>
  <si>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</si>
  <si>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</si>
  <si>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</si>
  <si>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</si>
  <si>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</si>
  <si>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</si>
  <si>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(blank)</t>
  </si>
  <si>
    <t>Grand Total</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</si>
  <si>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</si>
  <si>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</si>
  <si>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</si>
  <si>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</si>
  <si>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</si>
  <si>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</si>
  <si>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</si>
  <si>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</si>
  <si>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</si>
  <si>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</si>
  <si>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</si>
  <si>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</si>
  <si>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</si>
  <si>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</si>
  <si>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</si>
  <si>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</si>
  <si>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</si>
  <si>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</si>
  <si>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</si>
  <si>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</si>
  <si>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</si>
  <si>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</si>
  <si>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</si>
  <si>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</si>
  <si>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</si>
  <si>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</si>
  <si>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</si>
  <si>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</si>
  <si>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</si>
  <si>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</si>
  <si>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</si>
  <si>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</si>
  <si>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</si>
  <si>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</si>
  <si>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</si>
  <si>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</si>
  <si>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</si>
  <si>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</si>
  <si>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</si>
  <si>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</si>
  <si>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</si>
  <si>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</si>
  <si>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</si>
  <si>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</si>
  <si>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</si>
  <si>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</si>
  <si>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</si>
  <si>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</si>
  <si>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</si>
  <si>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Historical Analysis</t>
  </si>
  <si>
    <t>Category</t>
  </si>
  <si>
    <t>Summary</t>
  </si>
  <si>
    <t xml:space="preserve">1 - Market Rent Potential </t>
  </si>
  <si>
    <t>Operating Incomes</t>
  </si>
  <si>
    <t>2 - Increase in Rent from Renovation</t>
  </si>
  <si>
    <t>3 - Loss to Lease</t>
  </si>
  <si>
    <t>Increase in Market Rent Potential from Renovation</t>
  </si>
  <si>
    <t>4 - Vacancy</t>
  </si>
  <si>
    <t>5 - Concession/Discount</t>
  </si>
  <si>
    <t xml:space="preserve">6 - Bad Debt </t>
  </si>
  <si>
    <t>Gross Rent Potential</t>
  </si>
  <si>
    <t>7 - Non Revenue Units</t>
  </si>
  <si>
    <t>8 - Utility Reimbursements</t>
  </si>
  <si>
    <t>9 - Other Reimbursements</t>
  </si>
  <si>
    <t>10 - Other Income</t>
  </si>
  <si>
    <t>11 - Repair &amp; Maintenance</t>
  </si>
  <si>
    <t>12 - Cleaning &amp; Decorating</t>
  </si>
  <si>
    <t>13 - Contract &amp; Services</t>
  </si>
  <si>
    <t>14 - Utility- Electricity</t>
  </si>
  <si>
    <t>15 - Utility- Water</t>
  </si>
  <si>
    <t>16 - Utility- Others</t>
  </si>
  <si>
    <t>17 - Marketing</t>
  </si>
  <si>
    <t>18 - Payroll</t>
  </si>
  <si>
    <t>19 - RE Taxes</t>
  </si>
  <si>
    <t>20 - Insurance</t>
  </si>
  <si>
    <t>21 - Property Mangement fees</t>
  </si>
  <si>
    <t>22 - General &amp; Administrative Expenses</t>
  </si>
  <si>
    <t>Utility- Water</t>
  </si>
  <si>
    <t>23 - Other taxes/Permit license fees</t>
  </si>
  <si>
    <t>Utility- Others</t>
  </si>
  <si>
    <t>24 - NOI</t>
  </si>
  <si>
    <t>General &amp; Administrative Expenses</t>
  </si>
  <si>
    <t>Other taxes/Permit license fees</t>
  </si>
  <si>
    <t>Replacement Reserve</t>
  </si>
  <si>
    <t>NOI as per T 12</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</si>
  <si>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</si>
  <si>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</si>
  <si>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</si>
  <si>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</si>
  <si>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</si>
  <si>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</si>
  <si>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</si>
  <si>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</si>
  <si>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</si>
  <si>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</si>
  <si>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</si>
  <si>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</si>
  <si>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</si>
  <si>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</si>
  <si>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</si>
  <si>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2 Beds</t>
  </si>
  <si>
    <t>Occ %</t>
  </si>
  <si>
    <t>Concess %</t>
  </si>
  <si>
    <t>#3 Beds</t>
  </si>
  <si>
    <t>Neighborhood</t>
  </si>
  <si>
    <t>Subject Property</t>
  </si>
  <si>
    <t>Actual rents from Rent Roll</t>
  </si>
  <si>
    <t>Comps</t>
  </si>
  <si>
    <t>A.</t>
  </si>
  <si>
    <t>Avg Rent of Comps</t>
  </si>
  <si>
    <t>B.</t>
  </si>
  <si>
    <t>Subject Prop Rent</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</si>
  <si>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</si>
  <si>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</si>
  <si>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</si>
  <si>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</si>
  <si>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</si>
  <si>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</si>
  <si>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</si>
  <si>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</si>
  <si>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</si>
  <si>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</si>
  <si>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</si>
  <si>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</si>
  <si>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</si>
  <si>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</si>
  <si>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</si>
  <si>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</si>
  <si>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</si>
  <si>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</si>
  <si>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</si>
  <si>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</si>
  <si>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</si>
  <si>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</si>
  <si>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</si>
  <si>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</si>
  <si>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</si>
  <si>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</si>
  <si>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</si>
  <si>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</si>
  <si>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</si>
  <si>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</si>
  <si>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</si>
  <si>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</si>
  <si>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</si>
  <si>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</si>
  <si>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</si>
  <si>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</si>
  <si>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</si>
  <si>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</si>
  <si>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</si>
  <si>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Three Bedroom</t>
  </si>
  <si>
    <t>3x2</t>
  </si>
  <si>
    <t>Property Mix Total</t>
  </si>
  <si>
    <t>SF</t>
  </si>
  <si>
    <t>Rent</t>
  </si>
  <si>
    <t>Efficiency</t>
  </si>
  <si>
    <t>1 Bedroom</t>
  </si>
  <si>
    <t>2 Bedroom</t>
  </si>
  <si>
    <t xml:space="preserve">3 Bedroom </t>
  </si>
  <si>
    <t>Total/Average</t>
  </si>
  <si>
    <t>Notes:</t>
  </si>
  <si>
    <t>1 bed</t>
  </si>
  <si>
    <t>3 beds</t>
  </si>
  <si>
    <t>2. Exit year has been assumed to be 5 years and exit cap rate to be 6%.</t>
  </si>
  <si>
    <t>Our Assumptions</t>
  </si>
  <si>
    <t>Questions to Brokers</t>
  </si>
  <si>
    <t>Question to the team Catalyst</t>
  </si>
  <si>
    <t>1. General assumptions (including market rent growth, expense growth, tax growth, and property management fees) are consistent with those applied in the prior model.</t>
  </si>
  <si>
    <t>MR - Based on RR</t>
  </si>
  <si>
    <t>RR/Comps</t>
  </si>
  <si>
    <t>Beds X Baths</t>
  </si>
  <si>
    <t>2. We made a change on Rent page to choose from either of Comps or RR market rent in Col L. Also you can compare the rents of Classic vs renovated in the Rows F5 to O6.</t>
  </si>
  <si>
    <t>Y1 Tax Reassessed</t>
  </si>
  <si>
    <t>Broker Numbers</t>
  </si>
  <si>
    <t>Net Operating Income (NOI) before reserve</t>
  </si>
  <si>
    <t>Tax growth (Y2 Onwards)</t>
  </si>
  <si>
    <t>NOI After Reserve</t>
  </si>
  <si>
    <t>PP Cap Rate</t>
  </si>
  <si>
    <t>Cash on Cash Return</t>
  </si>
  <si>
    <t>Y1 NOI</t>
  </si>
  <si>
    <t>Y1 Yield on Cost</t>
  </si>
  <si>
    <t>Broker's Numbers</t>
  </si>
  <si>
    <t>3. We have added a switch for the Taxes in the Pro Forma Assumptions to choose between T12 taxes and taxes on Reassessed value.</t>
  </si>
  <si>
    <t>Direct tax in last tax bill was $0.</t>
  </si>
  <si>
    <t xml:space="preserve">    </t>
  </si>
  <si>
    <t>Administrative Fees</t>
  </si>
  <si>
    <t>Application Fees</t>
  </si>
  <si>
    <t>Pet Rent</t>
  </si>
  <si>
    <t>Miscellaneous Income</t>
  </si>
  <si>
    <t>Bonuses</t>
  </si>
  <si>
    <t>Group Insurance</t>
  </si>
  <si>
    <t>Office Supplies</t>
  </si>
  <si>
    <t>Postage &amp; Delivery</t>
  </si>
  <si>
    <t>Resident Screening</t>
  </si>
  <si>
    <t>Painting Supplies</t>
  </si>
  <si>
    <t>Appraisal happens every year and reflects the sale price on the next year of sale in Georgia.</t>
  </si>
  <si>
    <t>3x3</t>
  </si>
  <si>
    <t>3 Beds</t>
  </si>
  <si>
    <t>1. We have used the Rent comps from Hello Data and added the screenshot for the rent comps as well.</t>
  </si>
  <si>
    <t>General Assumptions</t>
  </si>
  <si>
    <t>2. For financing, we have a 3 year I/O period and all in rate of 5.41% (5 year Treasury Yield of 4.007% + 1.40% spread).</t>
  </si>
  <si>
    <t>Asking Price and Exit Assumptions</t>
  </si>
  <si>
    <t>1. The asking price is not provided on Landlinq or Broker OM. A valuation has been inferred using an assumed cap rate of approximately 5%.</t>
  </si>
  <si>
    <t>Expenses</t>
  </si>
  <si>
    <t>1.We used the similar expenses per unit for our projections based on T12 &amp; T3.</t>
  </si>
  <si>
    <t>2. We have taken the 3 story assumption for Insurance.</t>
  </si>
  <si>
    <t>Taxes</t>
  </si>
  <si>
    <t>E1</t>
  </si>
  <si>
    <t>B1</t>
  </si>
  <si>
    <t>B1-L2</t>
  </si>
  <si>
    <t>E1-L2</t>
  </si>
  <si>
    <t>A1-L2</t>
  </si>
  <si>
    <t>A1</t>
  </si>
  <si>
    <t>C1</t>
  </si>
  <si>
    <t>C1-L2</t>
  </si>
  <si>
    <t>Frederick, Ishmael</t>
  </si>
  <si>
    <t>Ringfield, Unrecay</t>
  </si>
  <si>
    <t>Thomas, Dorothy</t>
  </si>
  <si>
    <t>Jones, Fredericka</t>
  </si>
  <si>
    <t>Lamar, Quentin</t>
  </si>
  <si>
    <t>Smith, Gewandra</t>
  </si>
  <si>
    <t>Dennis, Evelyn</t>
  </si>
  <si>
    <t>Parks, Dale</t>
  </si>
  <si>
    <t>Williams, Marcella</t>
  </si>
  <si>
    <t>Jerald, Mccray</t>
  </si>
  <si>
    <t>Charles, Gregory</t>
  </si>
  <si>
    <t>Lipscomb, Darin</t>
  </si>
  <si>
    <t>Taylor, Terrence</t>
  </si>
  <si>
    <t>Catron, Brittany</t>
  </si>
  <si>
    <t>Fletcher, Alexis</t>
  </si>
  <si>
    <t>Ross, Jada</t>
  </si>
  <si>
    <t>Soitis, Nesptah</t>
  </si>
  <si>
    <t>Gordon, Selena</t>
  </si>
  <si>
    <t>Walker, Zhane</t>
  </si>
  <si>
    <t>Lewis, Trakevia</t>
  </si>
  <si>
    <t>Grubbs, Avery</t>
  </si>
  <si>
    <t>Thomas, Keishawn</t>
  </si>
  <si>
    <t>Moss, Deontra</t>
  </si>
  <si>
    <t>Kemp, Kylen</t>
  </si>
  <si>
    <t>Martin, John</t>
  </si>
  <si>
    <t>Pearce, Amanda</t>
  </si>
  <si>
    <t>Holmes, John</t>
  </si>
  <si>
    <t>Lawton, Eric</t>
  </si>
  <si>
    <t>Barnes, Veronica</t>
  </si>
  <si>
    <t>Carter, Tyler</t>
  </si>
  <si>
    <t>Allen, Javonne</t>
  </si>
  <si>
    <t>Greene, Deja</t>
  </si>
  <si>
    <t>Lear, Cassandra</t>
  </si>
  <si>
    <t>Speakman, Jerry</t>
  </si>
  <si>
    <t>Stephens, Rickey</t>
  </si>
  <si>
    <t>Baqqi, Ahmid</t>
  </si>
  <si>
    <t>Yarbough, Micah</t>
  </si>
  <si>
    <t>Dawson, Takierra</t>
  </si>
  <si>
    <t>Marshall, Avice</t>
  </si>
  <si>
    <t>Moffett, Kentria</t>
  </si>
  <si>
    <t>Jennings, Cato</t>
  </si>
  <si>
    <t>Cook, Brittney</t>
  </si>
  <si>
    <t>Irvin, Antonio</t>
  </si>
  <si>
    <t>Black, Dashia</t>
  </si>
  <si>
    <t>Dugan, Shadrick</t>
  </si>
  <si>
    <t>Smith, Kiesha</t>
  </si>
  <si>
    <t>Quaye, William</t>
  </si>
  <si>
    <t>Brock, John</t>
  </si>
  <si>
    <t>Cook, Ebony</t>
  </si>
  <si>
    <t>Hayes, Nyasia</t>
  </si>
  <si>
    <t>Dortch, Desmond</t>
  </si>
  <si>
    <t>Poszwa, Daniel</t>
  </si>
  <si>
    <t>Akinniyi, Temidayo</t>
  </si>
  <si>
    <t>Thomas, Phaedra</t>
  </si>
  <si>
    <t>Wooden, Rahman</t>
  </si>
  <si>
    <t>Clark, Keith</t>
  </si>
  <si>
    <t>Trotman, Lori</t>
  </si>
  <si>
    <t>Pursley, Marcoah</t>
  </si>
  <si>
    <t>Ashley, Kionna</t>
  </si>
  <si>
    <t>Powell, Jacqlyn</t>
  </si>
  <si>
    <t>Wilson, Jonijah</t>
  </si>
  <si>
    <t>Lewis, Anthony</t>
  </si>
  <si>
    <t>Pernell, Ulrica</t>
  </si>
  <si>
    <t>Ha, Nadine</t>
  </si>
  <si>
    <t>Williams, Shelia</t>
  </si>
  <si>
    <t>Reid, Isaiah</t>
  </si>
  <si>
    <t>Baker, Jaquitta</t>
  </si>
  <si>
    <t>Shack, Shannon</t>
  </si>
  <si>
    <t>Johnson, Ebony</t>
  </si>
  <si>
    <t>Frazier, Patricia</t>
  </si>
  <si>
    <t>Driver, Tonya</t>
  </si>
  <si>
    <t>Lee, Vickie</t>
  </si>
  <si>
    <t>Bennett, Anthony</t>
  </si>
  <si>
    <t>Wright, Elizabeth</t>
  </si>
  <si>
    <t>Carmichael, Taylor</t>
  </si>
  <si>
    <t>Barren, Adora</t>
  </si>
  <si>
    <t>Nevlous, Nicole</t>
  </si>
  <si>
    <t>Cortes, Emanuel</t>
  </si>
  <si>
    <t>peoples, jaymetris</t>
  </si>
  <si>
    <t>Daghestani, Zachary</t>
  </si>
  <si>
    <t>Jacksonn, Mariah</t>
  </si>
  <si>
    <t>Thomas, DeAndre</t>
  </si>
  <si>
    <t>Farrish, Wanda</t>
  </si>
  <si>
    <t>Wimberley, Terry</t>
  </si>
  <si>
    <t>Thomas, Shirley</t>
  </si>
  <si>
    <t>Ezewulu, Ogechukwu</t>
  </si>
  <si>
    <t>Williams Baxter, Brittney</t>
  </si>
  <si>
    <t>Kitchens, Vasheera</t>
  </si>
  <si>
    <t>Carter, Kamardi</t>
  </si>
  <si>
    <t>Graham, Shauntai</t>
  </si>
  <si>
    <t>Edgers, Elicee</t>
  </si>
  <si>
    <t>Cook, Amanda</t>
  </si>
  <si>
    <t>Kilpatrick, Jerrod</t>
  </si>
  <si>
    <t>Branch, Jasmine</t>
  </si>
  <si>
    <t>Hardy, Sandra</t>
  </si>
  <si>
    <t>Jones, Kaneiya</t>
  </si>
  <si>
    <t>Moore, Edd</t>
  </si>
  <si>
    <t>Strong, Tonia</t>
  </si>
  <si>
    <t>Cruse, Rodrequez</t>
  </si>
  <si>
    <t>Christian, Shaqualia</t>
  </si>
  <si>
    <t>Robinson, Silvia</t>
  </si>
  <si>
    <t>West, Nacholas</t>
  </si>
  <si>
    <t>Torre, Sharice</t>
  </si>
  <si>
    <t>Iheanetu, Sibyl</t>
  </si>
  <si>
    <t>Luke, Shawn</t>
  </si>
  <si>
    <t>Jackson, Greenleaf</t>
  </si>
  <si>
    <t>Craig, Arieyana</t>
  </si>
  <si>
    <t>Corbin, Destiny</t>
  </si>
  <si>
    <t>Robinson, Livingston</t>
  </si>
  <si>
    <t>Ndzi, Emmanuel</t>
  </si>
  <si>
    <t>Banks, Yashica</t>
  </si>
  <si>
    <t>Catchings, Sharon</t>
  </si>
  <si>
    <t>Nichols, Matthew</t>
  </si>
  <si>
    <t>black, sharis</t>
  </si>
  <si>
    <t>Williams, Robbi</t>
  </si>
  <si>
    <t>Hardnett, Charly</t>
  </si>
  <si>
    <t>Ogletree, Oneshia</t>
  </si>
  <si>
    <t>Phillips, Nina</t>
  </si>
  <si>
    <t>Meriwether, Gary</t>
  </si>
  <si>
    <t>Muhammad, Khalidah</t>
  </si>
  <si>
    <t>Gabriel, Gloria</t>
  </si>
  <si>
    <t>Santiago *CO*, Manuel</t>
  </si>
  <si>
    <t>of Latter-Day Saints, Church of Jesus Christ</t>
  </si>
  <si>
    <t>Allen, Kristi</t>
  </si>
  <si>
    <t>Thompson, Davian</t>
  </si>
  <si>
    <t>Graves, Marcus</t>
  </si>
  <si>
    <t>Richards, Anya</t>
  </si>
  <si>
    <t>Jones, Keisha</t>
  </si>
  <si>
    <t>Woodard, Gabrielle</t>
  </si>
  <si>
    <t>Lawson, Steven</t>
  </si>
  <si>
    <t>Harris, Robert</t>
  </si>
  <si>
    <t>Clark, David</t>
  </si>
  <si>
    <t>Peeples, Tellia</t>
  </si>
  <si>
    <t>Tandazo, Paola</t>
  </si>
  <si>
    <t>Philip, Christopher</t>
  </si>
  <si>
    <t>Morton, Judy</t>
  </si>
  <si>
    <t>Collins, Keshia</t>
  </si>
  <si>
    <t>Herbert, Oliver</t>
  </si>
  <si>
    <t>Starr, Germale</t>
  </si>
  <si>
    <t>Cooper, Anthony</t>
  </si>
  <si>
    <t>Saldana, Ariaunna</t>
  </si>
  <si>
    <t>Young, Lashundra</t>
  </si>
  <si>
    <t>wilson, Alexin</t>
  </si>
  <si>
    <t>Robinson, John</t>
  </si>
  <si>
    <t>DeLino, Claudia</t>
  </si>
  <si>
    <t>McCoy, Tamia</t>
  </si>
  <si>
    <t>Fairley, Bobby</t>
  </si>
  <si>
    <t>Brooks, Keith</t>
  </si>
  <si>
    <t>Wilson, LaKela</t>
  </si>
  <si>
    <t>Clausell, Calvin</t>
  </si>
  <si>
    <t>Westmoreland, Zequoia</t>
  </si>
  <si>
    <t>Evans, James</t>
  </si>
  <si>
    <t>Turner, Kevin</t>
  </si>
  <si>
    <t>Williams, Aniyah</t>
  </si>
  <si>
    <t>Rostro, Ezequiel</t>
  </si>
  <si>
    <t>Martin, James</t>
  </si>
  <si>
    <t>Jefferson, Roger</t>
  </si>
  <si>
    <t>Harris, Ashleigh</t>
  </si>
  <si>
    <t>Da Silva, Caio Henrique</t>
  </si>
  <si>
    <t>Brown, Tracey</t>
  </si>
  <si>
    <t>Walker, Deborah</t>
  </si>
  <si>
    <t>Freeman, Zaakirah</t>
  </si>
  <si>
    <t>Scott, Prekoshiah</t>
  </si>
  <si>
    <t>Anderson, Chiquela</t>
  </si>
  <si>
    <t>Lane, Adrian</t>
  </si>
  <si>
    <t>Wright, Tiffany</t>
  </si>
  <si>
    <t>Crawford, Katrina</t>
  </si>
  <si>
    <t>Miller, Nicholas</t>
  </si>
  <si>
    <t>Hunter, Angel</t>
  </si>
  <si>
    <t>Smith, Tianna</t>
  </si>
  <si>
    <t>Kent, Alonna</t>
  </si>
  <si>
    <t>Harp, Charnitra</t>
  </si>
  <si>
    <t>Gabriel, Cody</t>
  </si>
  <si>
    <t>Buckholts, Theresa</t>
  </si>
  <si>
    <t>Hardin, Lashanda</t>
  </si>
  <si>
    <t>Jordan, Alexis</t>
  </si>
  <si>
    <t>Drayton, Curtis</t>
  </si>
  <si>
    <t>Forest, Kaitlyn</t>
  </si>
  <si>
    <t>Culliver, Alicia</t>
  </si>
  <si>
    <t>Sengsavath, Kathleen</t>
  </si>
  <si>
    <t>Reid, Shertikua</t>
  </si>
  <si>
    <t>Schoolfield, Cedric</t>
  </si>
  <si>
    <t>Barno, Corey</t>
  </si>
  <si>
    <t>Finch, Braylon</t>
  </si>
  <si>
    <t>Dieye, Gorgui</t>
  </si>
  <si>
    <t>Holland, Shantrell</t>
  </si>
  <si>
    <t>Reviere, Collado</t>
  </si>
  <si>
    <t>Ellison, Kiarria</t>
  </si>
  <si>
    <t>Johnson, Daijah</t>
  </si>
  <si>
    <t>Wall, Jasmine</t>
  </si>
  <si>
    <t>Kilgore, Brandon</t>
  </si>
  <si>
    <t>Bennett, Karneshia</t>
  </si>
  <si>
    <t>Hensley, Jennifer</t>
  </si>
  <si>
    <t>Billings, Alanni</t>
  </si>
  <si>
    <t>Jones, Lanikki</t>
  </si>
  <si>
    <t>Henry, Quentavia</t>
  </si>
  <si>
    <t>searcy, caziah</t>
  </si>
  <si>
    <t>Johnson, Maia</t>
  </si>
  <si>
    <t>Stanford, Trenessa</t>
  </si>
  <si>
    <t>Williams, Tikkita</t>
  </si>
  <si>
    <t>Miller, Ronnie</t>
  </si>
  <si>
    <t>Wright, Yketa</t>
  </si>
  <si>
    <t>Antoine, James</t>
  </si>
  <si>
    <t>Baker, Ryheem</t>
  </si>
  <si>
    <t>Crawford, Isaiah</t>
  </si>
  <si>
    <t>Howell, Yizet</t>
  </si>
  <si>
    <t>Ingram, Elliott</t>
  </si>
  <si>
    <t>Jones, Colette</t>
  </si>
  <si>
    <t>Davis, Angel</t>
  </si>
  <si>
    <t>Keen, Peter</t>
  </si>
  <si>
    <t>Griffin, Aundria</t>
  </si>
  <si>
    <t>Parrott, Delynn</t>
  </si>
  <si>
    <t>Fleming, Steven</t>
  </si>
  <si>
    <t>Huff, Patrice</t>
  </si>
  <si>
    <t>Howard, Baqiara</t>
  </si>
  <si>
    <t>Scott, Michael</t>
  </si>
  <si>
    <t>Grant, Janaye</t>
  </si>
  <si>
    <t>Evans, Kamron</t>
  </si>
  <si>
    <t>Joseph, David</t>
  </si>
  <si>
    <t>Williams, Cerina</t>
  </si>
  <si>
    <t>Weems, Stephanie</t>
  </si>
  <si>
    <t>Gay, Leah</t>
  </si>
  <si>
    <t>Griffin, Cortery</t>
  </si>
  <si>
    <t>Francis, Andrea</t>
  </si>
  <si>
    <t>Conner, Jessica</t>
  </si>
  <si>
    <t>Smith, August</t>
  </si>
  <si>
    <t>Hayes, Angel</t>
  </si>
  <si>
    <t>Jackson, Kalise</t>
  </si>
  <si>
    <t>Johnson, Quintavious</t>
  </si>
  <si>
    <t>Mohammed, Ahmed</t>
  </si>
  <si>
    <t>Davis, Claudia</t>
  </si>
  <si>
    <t>Forbin, Victor</t>
  </si>
  <si>
    <t>Haynes, Alexis</t>
  </si>
  <si>
    <t>Dickerson, Chelsea</t>
  </si>
  <si>
    <t>Standifer, Jacobie</t>
  </si>
  <si>
    <t>Emmons, Billy</t>
  </si>
  <si>
    <t>bhadi, suman</t>
  </si>
  <si>
    <t>Harvey, Willie</t>
  </si>
  <si>
    <t>Bediako, Jarmeshia</t>
  </si>
  <si>
    <t>7290 Southlake Parkway Morrow, GA, 30260</t>
  </si>
  <si>
    <t xml:space="preserve">  NET RENTAL INCOME</t>
  </si>
  <si>
    <t xml:space="preserve">    OPERATING INCOME</t>
  </si>
  <si>
    <t xml:space="preserve">    TOTAL GROSS POTENTIAL RENT</t>
  </si>
  <si>
    <t xml:space="preserve">    RENTAL INCOME</t>
  </si>
  <si>
    <t xml:space="preserve">    TOTAL RENTAL INCOME</t>
  </si>
  <si>
    <t xml:space="preserve">  OTHER PROPERTY INCOME</t>
  </si>
  <si>
    <t xml:space="preserve">  TOTAL OTHER PROPERTY INCOME</t>
  </si>
  <si>
    <t xml:space="preserve">  TOTAL OPERATING INCOME</t>
  </si>
  <si>
    <t>Gross Market Rent</t>
  </si>
  <si>
    <t>Upgrade Premium</t>
  </si>
  <si>
    <t>Contract Gain(Loss) to Lease</t>
  </si>
  <si>
    <t>Conc - Miscellaneous</t>
  </si>
  <si>
    <t>Conc - Move-in Special</t>
  </si>
  <si>
    <t>Down Units</t>
  </si>
  <si>
    <t>Employee Units</t>
  </si>
  <si>
    <t>Courtesy Officer Discounts</t>
  </si>
  <si>
    <t>Model Units/Admin</t>
  </si>
  <si>
    <t>Vacancy Loss</t>
  </si>
  <si>
    <t>Bad Debt - Other</t>
  </si>
  <si>
    <t>Amenity Fee Income</t>
  </si>
  <si>
    <t>Bad Debt Recovery</t>
  </si>
  <si>
    <t>Carport/Garages/Parking Income</t>
  </si>
  <si>
    <t>Damages Income</t>
  </si>
  <si>
    <t>Interest Income</t>
  </si>
  <si>
    <t>Key &amp; Access Card Income</t>
  </si>
  <si>
    <t>Late Charges</t>
  </si>
  <si>
    <t>Lease Violation Income</t>
  </si>
  <si>
    <t>Legal &amp; Collections</t>
  </si>
  <si>
    <t>NSF Check Fees</t>
  </si>
  <si>
    <t>Pet Fees</t>
  </si>
  <si>
    <t>Renter's Insurance Income</t>
  </si>
  <si>
    <t>Electricity - Reimbursement</t>
  </si>
  <si>
    <t>Water - Reimbursement</t>
  </si>
  <si>
    <t>Trash - Reimbursement</t>
  </si>
  <si>
    <t>Pest - Reimbursement</t>
  </si>
  <si>
    <t>VCR Fees - Reimbursement</t>
  </si>
  <si>
    <t>Start Up Fee - Reimbursement</t>
  </si>
  <si>
    <t>Monthly Statement Fee Reimb.</t>
  </si>
  <si>
    <t>Storage Unit Income</t>
  </si>
  <si>
    <t xml:space="preserve">  EXPENSE</t>
  </si>
  <si>
    <t xml:space="preserve">    ADMINISTRATIVE EXPENSE</t>
  </si>
  <si>
    <t xml:space="preserve">      MANAGEMENT FEE EXPENSE</t>
  </si>
  <si>
    <t>Management Fee Expense</t>
  </si>
  <si>
    <t xml:space="preserve">      TOTAL MANAGEMENT FEE EXPENSE</t>
  </si>
  <si>
    <t xml:space="preserve">      OFFICE ADMINISTRATION</t>
  </si>
  <si>
    <t>Office Administration</t>
  </si>
  <si>
    <t>Bank Charge</t>
  </si>
  <si>
    <t>Technology - Software</t>
  </si>
  <si>
    <t>Technology - Repairs</t>
  </si>
  <si>
    <t>CORP - IT Hardware</t>
  </si>
  <si>
    <t>Corp - Dues &amp; Subscriptions</t>
  </si>
  <si>
    <t>Licenses, Fees &amp; Permits</t>
  </si>
  <si>
    <t>Printing/Copies/Film</t>
  </si>
  <si>
    <t>Telephone</t>
  </si>
  <si>
    <t>Telephone - Cell Phones</t>
  </si>
  <si>
    <t>Telephone - Answering Service</t>
  </si>
  <si>
    <t>Internet</t>
  </si>
  <si>
    <t xml:space="preserve">      TOTAL OFFICE ADMINISTRATION</t>
  </si>
  <si>
    <t xml:space="preserve">      RESIDENT RELATED EXPENSES</t>
  </si>
  <si>
    <t>Collection &amp; Evictions</t>
  </si>
  <si>
    <t>Resident Relations</t>
  </si>
  <si>
    <t xml:space="preserve">      TOTAL RESIDENT RELATED EXPENSES</t>
  </si>
  <si>
    <t xml:space="preserve">      ADVERTISING</t>
  </si>
  <si>
    <t>Brochures / Branding</t>
  </si>
  <si>
    <t>Corporate Outreach</t>
  </si>
  <si>
    <t>Locator Fees</t>
  </si>
  <si>
    <t>Model Apartment</t>
  </si>
  <si>
    <t>Resident Referrals</t>
  </si>
  <si>
    <t>Survey</t>
  </si>
  <si>
    <t>Market Data</t>
  </si>
  <si>
    <t xml:space="preserve">      TOTAL MARKETING</t>
  </si>
  <si>
    <t xml:space="preserve">    TOTAL ADMINISTRATIVE EXPENSE</t>
  </si>
  <si>
    <t xml:space="preserve">    PAYROLL &amp; BENEFITS</t>
  </si>
  <si>
    <t xml:space="preserve">      SALARIES &amp; WAGES</t>
  </si>
  <si>
    <t>Centralized Services</t>
  </si>
  <si>
    <t>Office Salaries</t>
  </si>
  <si>
    <t>Admin Overtime</t>
  </si>
  <si>
    <t>Maintenance Salaries</t>
  </si>
  <si>
    <t>Maintenance Overtime</t>
  </si>
  <si>
    <t>Leasing Commissions</t>
  </si>
  <si>
    <t>Contract Labor</t>
  </si>
  <si>
    <t>Contract Labor - Maintenance</t>
  </si>
  <si>
    <t xml:space="preserve">      TOTAL SALARIES &amp; WAGES</t>
  </si>
  <si>
    <t xml:space="preserve">      PAYROLL TAXES &amp; OVERHEAD</t>
  </si>
  <si>
    <t>Payroll Taxes</t>
  </si>
  <si>
    <t>Worker's Compensation</t>
  </si>
  <si>
    <t>Payroll and Benefit Fee Reimb</t>
  </si>
  <si>
    <t>HSA Employer Contribution</t>
  </si>
  <si>
    <t>401K Employer Match</t>
  </si>
  <si>
    <t>Employee Recruiting</t>
  </si>
  <si>
    <t>Employee Relations</t>
  </si>
  <si>
    <t>Training &amp; Seminars</t>
  </si>
  <si>
    <t xml:space="preserve">      TOTAL PAYROLL TAXES &amp; OVERHEAD</t>
  </si>
  <si>
    <t xml:space="preserve">    TOTAL PAYROLL &amp; BENEFITS</t>
  </si>
  <si>
    <t xml:space="preserve">    MAINTENANCE EXPENSE</t>
  </si>
  <si>
    <t xml:space="preserve">      CONTRACT SERVICES</t>
  </si>
  <si>
    <t>Alarm/Monitoring</t>
  </si>
  <si>
    <t>Cable/Internet</t>
  </si>
  <si>
    <t>Cleaning</t>
  </si>
  <si>
    <t>Gate &amp; Door Access</t>
  </si>
  <si>
    <t>Landscape</t>
  </si>
  <si>
    <t>Other Services</t>
  </si>
  <si>
    <t>Pest Control</t>
  </si>
  <si>
    <t>Pool</t>
  </si>
  <si>
    <t>Smart Home</t>
  </si>
  <si>
    <t>Trash Removal</t>
  </si>
  <si>
    <t xml:space="preserve">      TOTAL CONTRACT SERVICES</t>
  </si>
  <si>
    <t xml:space="preserve">      MAKE READY MAINTENANCE</t>
  </si>
  <si>
    <t>Flooring</t>
  </si>
  <si>
    <t>Interior Repairs</t>
  </si>
  <si>
    <t>Painting</t>
  </si>
  <si>
    <t>Cleaning Supplies</t>
  </si>
  <si>
    <t xml:space="preserve">      TOTAL MAKE READY MAINTENANCE</t>
  </si>
  <si>
    <t xml:space="preserve">      REPAIRS &amp; MAINTENANCE</t>
  </si>
  <si>
    <t>Alarms/Access Systems</t>
  </si>
  <si>
    <t>Appliances</t>
  </si>
  <si>
    <t>Building - Interior</t>
  </si>
  <si>
    <t>Building - Exterior</t>
  </si>
  <si>
    <t>Carpet/Vinyl/Tile</t>
  </si>
  <si>
    <t>Common Areas</t>
  </si>
  <si>
    <t>Doors</t>
  </si>
  <si>
    <t>Electrical</t>
  </si>
  <si>
    <t>Equipment</t>
  </si>
  <si>
    <t>Fencing &amp; Gates</t>
  </si>
  <si>
    <t>Fire / Safety</t>
  </si>
  <si>
    <t>Glass/Mirror/Screens</t>
  </si>
  <si>
    <t>Golf Carts</t>
  </si>
  <si>
    <t>HVAC</t>
  </si>
  <si>
    <t>Keys &amp; Locks</t>
  </si>
  <si>
    <t>Landscaping Supplies</t>
  </si>
  <si>
    <t>Lights (Fixtures/Bulbs)</t>
  </si>
  <si>
    <t>Parking Lots &amp; Sidewalks</t>
  </si>
  <si>
    <t>Plumbing</t>
  </si>
  <si>
    <t>Pools</t>
  </si>
  <si>
    <t>Supplies</t>
  </si>
  <si>
    <t>Tool Replacement</t>
  </si>
  <si>
    <t xml:space="preserve">      TOTAL REPAIRS &amp; MAINTENANCE</t>
  </si>
  <si>
    <t xml:space="preserve">    TOTAL MAINTENANCE EXPENSE</t>
  </si>
  <si>
    <t xml:space="preserve">    UTILITIES</t>
  </si>
  <si>
    <t>Elec - Common Area</t>
  </si>
  <si>
    <t>Elec - Vacant Units</t>
  </si>
  <si>
    <t>Water &amp; Sewer</t>
  </si>
  <si>
    <t>Utility Billing Fee</t>
  </si>
  <si>
    <t xml:space="preserve">    TOTAL UTILITIES</t>
  </si>
  <si>
    <t xml:space="preserve">    TAXES &amp; INSURANCE</t>
  </si>
  <si>
    <t xml:space="preserve">      TAXES</t>
  </si>
  <si>
    <t>Property Taxes</t>
  </si>
  <si>
    <t>Property Tax Consultant</t>
  </si>
  <si>
    <t xml:space="preserve">      TOTAL TAXES</t>
  </si>
  <si>
    <t xml:space="preserve">      INSURANCE</t>
  </si>
  <si>
    <t>Property &amp; Casualty</t>
  </si>
  <si>
    <t>General Liability</t>
  </si>
  <si>
    <t>Umbrella</t>
  </si>
  <si>
    <t>Pollution</t>
  </si>
  <si>
    <t>Boiler &amp; Machinery</t>
  </si>
  <si>
    <t>Terrorism</t>
  </si>
  <si>
    <t xml:space="preserve">      TOTAL INSURANCE</t>
  </si>
  <si>
    <t xml:space="preserve">    TOTAL TAXES &amp; INSURANCE</t>
  </si>
  <si>
    <t xml:space="preserve">  TOTAL EXPENSE</t>
  </si>
  <si>
    <t xml:space="preserve">  NET OPERATING INCOME</t>
  </si>
  <si>
    <t>Internet Ads</t>
  </si>
  <si>
    <t>Signs</t>
  </si>
  <si>
    <t>Websites/Online Leasing</t>
  </si>
  <si>
    <t xml:space="preserve">      TOTAL ADVERTISING</t>
  </si>
  <si>
    <t xml:space="preserve">      MARKETING</t>
  </si>
  <si>
    <t>SqFt</t>
  </si>
  <si>
    <t>Rent psf</t>
  </si>
  <si>
    <t>Fieldstone By Trion Living</t>
  </si>
  <si>
    <t>2615 Mount Zion Parkway
Jonesboro, GA 30236</t>
  </si>
  <si>
    <t>Battle Creek Village Townhomes</t>
  </si>
  <si>
    <t>1174 Battle Creek Road
Jonesboro, GA 30236</t>
  </si>
  <si>
    <t>Novo Stockbridge</t>
  </si>
  <si>
    <t>3151 Mount Zion Road
Stockbridge, GA 30281</t>
  </si>
  <si>
    <t>Rovena at Mt. Zion</t>
  </si>
  <si>
    <t>7135 Mount Zion Circle
Morrow, GA 30260</t>
  </si>
  <si>
    <t>Story Mt. Zion</t>
  </si>
  <si>
    <t>2465 Richardson Parkway
Morrow, GA 30260</t>
  </si>
  <si>
    <t>Clayton County</t>
  </si>
  <si>
    <t>Link</t>
  </si>
  <si>
    <t>4. Broker numbers are not added as there was no Broker OM available.</t>
  </si>
  <si>
    <t>1. We have calculated Y1 Taxes keeping purchase price as the new FMV.</t>
  </si>
  <si>
    <t>Link to Website</t>
  </si>
  <si>
    <t>1 Beds</t>
  </si>
  <si>
    <t>Sqft</t>
  </si>
  <si>
    <t>The Grove on Southlake</t>
  </si>
  <si>
    <t>Insurance Expense</t>
  </si>
  <si>
    <t>1. Unit 711 has been given a deduction of $1382, is it an Employee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</si>
</sst>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2"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
      <i/>
      <sz val="11"/>
      <color theme="2"/>
      <name val="Calibri"/>
      <family val="2"/>
      <scheme val="minor"/>
    </font>
    <font>
      <sz val="11"/>
      <color theme="2"/>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7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dotted">
        <color indexed="64"/>
      </right>
      <top style="medium">
        <color indexed="64"/>
      </top>
      <bottom/>
      <diagonal/>
    </border>
    <border>
      <left/>
      <right style="dotted">
        <color indexed="64"/>
      </right>
      <top/>
      <bottom/>
      <diagonal/>
    </border>
    <border>
      <left/>
      <right style="dotted">
        <color indexed="64"/>
      </right>
      <top/>
      <bottom style="medium">
        <color indexed="64"/>
      </bottom>
      <diagonal/>
    </border>
    <border>
      <left style="dotted">
        <color indexed="64"/>
      </left>
      <right style="medium">
        <color indexed="64"/>
      </right>
      <top style="medium">
        <color indexed="64"/>
      </top>
      <bottom/>
      <diagonal/>
    </border>
    <border>
      <left style="dotted">
        <color indexed="64"/>
      </left>
      <right style="medium">
        <color indexed="64"/>
      </right>
      <top/>
      <bottom/>
      <diagonal/>
    </border>
    <border>
      <left style="dotted">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75">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4" fontId="18" fillId="0" borderId="0" xfId="0" applyNumberFormat="1" applyFont="1" applyAlignment="1">
      <alignment horizontal="righ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3"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1" fontId="0" fillId="3" borderId="38" xfId="20" applyNumberFormat="1" applyFont="1" applyFill="1" applyBorder="1"/>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0" fontId="17" fillId="0" borderId="6" xfId="0" applyFont="1" applyBorder="1" applyAlignment="1">
      <alignment horizontal="right"/>
    </xf>
    <xf numFmtId="0" fontId="17" fillId="0" borderId="0" xfId="0" applyFont="1"/>
    <xf numFmtId="176" fontId="0" fillId="0" borderId="0" xfId="18" applyNumberFormat="1" applyFont="1" applyFill="1"/>
    <xf numFmtId="0" fontId="17" fillId="0" borderId="8" xfId="0" applyFont="1" applyBorder="1" applyAlignment="1">
      <alignment horizontal="right"/>
    </xf>
    <xf numFmtId="0" fontId="17" fillId="0" borderId="17" xfId="0" applyFont="1" applyBorder="1" applyAlignment="1">
      <alignment horizontal="right"/>
    </xf>
    <xf numFmtId="176" fontId="0" fillId="0" borderId="17" xfId="18" applyNumberFormat="1" applyFont="1" applyBorder="1"/>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177" fontId="0" fillId="0" borderId="0" xfId="19" applyNumberFormat="1" applyFont="1"/>
    <xf numFmtId="0" fontId="2" fillId="0" borderId="10" xfId="0" applyFont="1" applyBorder="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0" fontId="18" fillId="0" borderId="11" xfId="0" applyFont="1" applyBorder="1" applyAlignment="1">
      <alignment horizontal="left"/>
    </xf>
    <xf numFmtId="0" fontId="0" fillId="0" borderId="11" xfId="0" applyBorder="1" applyAlignment="1">
      <alignment horizontal="left"/>
    </xf>
    <xf numFmtId="0" fontId="18" fillId="9" borderId="11" xfId="0" applyFont="1" applyFill="1" applyBorder="1" applyAlignment="1">
      <alignment horizontal="left"/>
    </xf>
    <xf numFmtId="9" fontId="5" fillId="0" borderId="0" xfId="0" applyNumberFormat="1" applyFont="1"/>
    <xf numFmtId="0" fontId="18" fillId="9" borderId="0" xfId="11" applyFont="1" applyFill="1"/>
    <xf numFmtId="0" fontId="18" fillId="0" borderId="11" xfId="0" applyFont="1" applyBorder="1" applyAlignment="1">
      <alignment horizontal="left" vertical="top"/>
    </xf>
    <xf numFmtId="201" fontId="18" fillId="9" borderId="7" xfId="20" applyNumberFormat="1" applyFont="1" applyFill="1" applyBorder="1"/>
    <xf numFmtId="0" fontId="2" fillId="0" borderId="11" xfId="0" applyFont="1" applyBorder="1"/>
    <xf numFmtId="0" fontId="18" fillId="0" borderId="11" xfId="0" applyFont="1" applyBorder="1"/>
    <xf numFmtId="0" fontId="18" fillId="0" borderId="11" xfId="0" applyFont="1" applyBorder="1" applyAlignment="1">
      <alignment horizontal="left" vertical="center"/>
    </xf>
    <xf numFmtId="0" fontId="21" fillId="0" borderId="11" xfId="0" applyFont="1" applyBorder="1" applyAlignment="1">
      <alignment horizontal="left" vertical="center"/>
    </xf>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0" fillId="9" borderId="11" xfId="0" applyFill="1" applyBorder="1" applyAlignment="1">
      <alignment horizontal="left"/>
    </xf>
    <xf numFmtId="0" fontId="2" fillId="0" borderId="11" xfId="0" applyFont="1" applyBorder="1" applyAlignment="1">
      <alignment horizontal="left"/>
    </xf>
    <xf numFmtId="0" fontId="21" fillId="0" borderId="11" xfId="0" applyFont="1" applyBorder="1" applyAlignment="1">
      <alignment horizontal="left"/>
    </xf>
    <xf numFmtId="0" fontId="18" fillId="0" borderId="0" xfId="0" applyFont="1" applyAlignment="1">
      <alignment horizontal="right" vertical="center"/>
    </xf>
    <xf numFmtId="0" fontId="21" fillId="0" borderId="0" xfId="0" applyFont="1" applyAlignment="1">
      <alignment vertical="center"/>
    </xf>
    <xf numFmtId="3" fontId="18" fillId="0" borderId="0" xfId="0" applyNumberFormat="1" applyFont="1" applyAlignment="1">
      <alignment horizontal="right" vertical="center"/>
    </xf>
    <xf numFmtId="0" fontId="21" fillId="9" borderId="11" xfId="0" applyFont="1" applyFill="1" applyBorder="1" applyAlignment="1">
      <alignment horizontal="left" vertical="top"/>
    </xf>
    <xf numFmtId="0" fontId="0" fillId="7" borderId="0" xfId="0" applyFill="1"/>
    <xf numFmtId="0" fontId="0" fillId="9" borderId="0" xfId="0" applyFill="1"/>
    <xf numFmtId="0" fontId="2" fillId="9" borderId="6" xfId="0" applyFont="1" applyFill="1" applyBorder="1" applyAlignment="1">
      <alignment horizontal="left" indent="1"/>
    </xf>
    <xf numFmtId="0" fontId="2" fillId="0" borderId="6" xfId="0" applyFont="1" applyBorder="1" applyAlignment="1">
      <alignment horizontal="left" indent="1"/>
    </xf>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1" fillId="2" borderId="13" xfId="0" applyFont="1" applyFill="1" applyBorder="1" applyAlignment="1">
      <alignment horizontal="center"/>
    </xf>
    <xf numFmtId="44" fontId="21" fillId="7" borderId="14" xfId="20" applyFont="1" applyFill="1" applyBorder="1" applyAlignment="1">
      <alignment horizontal="center"/>
    </xf>
    <xf numFmtId="44" fontId="21" fillId="7" borderId="15" xfId="20" applyFont="1" applyFill="1" applyBorder="1" applyAlignment="1">
      <alignment horizontal="center"/>
    </xf>
    <xf numFmtId="0" fontId="21" fillId="9" borderId="11" xfId="0" applyFont="1" applyFill="1" applyBorder="1" applyAlignment="1">
      <alignment horizontal="left"/>
    </xf>
    <xf numFmtId="0" fontId="0" fillId="0" borderId="11" xfId="0" applyBorder="1"/>
    <xf numFmtId="0" fontId="21" fillId="0" borderId="11" xfId="0" applyFont="1" applyBorder="1"/>
    <xf numFmtId="0" fontId="21" fillId="9" borderId="11" xfId="0" applyFont="1" applyFill="1" applyBorder="1" applyAlignment="1">
      <alignment horizontal="left" vertical="center" wrapText="1"/>
    </xf>
    <xf numFmtId="0" fontId="18" fillId="9" borderId="11" xfId="0" applyFont="1" applyFill="1" applyBorder="1" applyAlignment="1">
      <alignment horizontal="left" vertical="center" wrapText="1"/>
    </xf>
    <xf numFmtId="0" fontId="21" fillId="9" borderId="12" xfId="0" applyFont="1" applyFill="1" applyBorder="1" applyAlignment="1">
      <alignment horizontal="left" vertical="center" wrapText="1"/>
    </xf>
    <xf numFmtId="0" fontId="2" fillId="21" borderId="17" xfId="0" applyFont="1" applyFill="1" applyBorder="1" applyAlignment="1">
      <alignment horizontal="right"/>
    </xf>
    <xf numFmtId="202" fontId="0" fillId="0" borderId="63" xfId="0" applyNumberFormat="1" applyBorder="1" applyAlignment="1">
      <alignment horizontal="right"/>
    </xf>
    <xf numFmtId="202" fontId="0" fillId="0" borderId="64" xfId="0" applyNumberFormat="1" applyBorder="1" applyAlignment="1">
      <alignment horizontal="right"/>
    </xf>
    <xf numFmtId="0" fontId="0" fillId="0" borderId="64" xfId="0" applyBorder="1" applyAlignment="1">
      <alignment horizontal="right"/>
    </xf>
    <xf numFmtId="0" fontId="0" fillId="0" borderId="65" xfId="0" applyBorder="1" applyAlignment="1">
      <alignment horizontal="right"/>
    </xf>
    <xf numFmtId="9" fontId="0" fillId="0" borderId="5" xfId="19" applyFont="1" applyBorder="1" applyAlignment="1">
      <alignment horizontal="right"/>
    </xf>
    <xf numFmtId="204" fontId="0" fillId="9" borderId="7" xfId="0" applyNumberFormat="1" applyFill="1" applyBorder="1" applyAlignment="1">
      <alignment horizontal="right"/>
    </xf>
    <xf numFmtId="204" fontId="0" fillId="0" borderId="7" xfId="0" applyNumberFormat="1" applyBorder="1" applyAlignment="1">
      <alignment horizontal="right"/>
    </xf>
    <xf numFmtId="204" fontId="0" fillId="0" borderId="9" xfId="0" applyNumberFormat="1" applyBorder="1" applyAlignment="1">
      <alignment horizontal="right"/>
    </xf>
    <xf numFmtId="204" fontId="2" fillId="23" borderId="62" xfId="0" applyNumberFormat="1" applyFont="1" applyFill="1" applyBorder="1" applyAlignment="1">
      <alignment horizontal="right"/>
    </xf>
    <xf numFmtId="204" fontId="0" fillId="0" borderId="66" xfId="0" applyNumberFormat="1" applyBorder="1" applyAlignment="1">
      <alignment horizontal="right"/>
    </xf>
    <xf numFmtId="204" fontId="0" fillId="0" borderId="67" xfId="0" applyNumberFormat="1" applyBorder="1" applyAlignment="1">
      <alignment horizontal="right"/>
    </xf>
    <xf numFmtId="204" fontId="0" fillId="0" borderId="68" xfId="0" applyNumberFormat="1" applyBorder="1" applyAlignment="1">
      <alignment horizontal="right"/>
    </xf>
    <xf numFmtId="9" fontId="0" fillId="0" borderId="0" xfId="19" applyFont="1"/>
    <xf numFmtId="9" fontId="40" fillId="0" borderId="0" xfId="19" applyFont="1"/>
    <xf numFmtId="10" fontId="41" fillId="3" borderId="0" xfId="0" applyNumberFormat="1" applyFont="1" applyFill="1" applyAlignment="1">
      <alignment horizontal="center"/>
    </xf>
    <xf numFmtId="10" fontId="41" fillId="3" borderId="25" xfId="0" applyNumberFormat="1" applyFont="1" applyFill="1" applyBorder="1" applyAlignment="1">
      <alignment horizontal="center"/>
    </xf>
    <xf numFmtId="0" fontId="2" fillId="7" borderId="0" xfId="0" applyFont="1" applyFill="1"/>
    <xf numFmtId="0" fontId="2" fillId="7" borderId="7" xfId="0" applyFont="1" applyFill="1" applyBorder="1"/>
    <xf numFmtId="0" fontId="37" fillId="22" borderId="0" xfId="0" applyFont="1" applyFill="1" applyAlignment="1">
      <alignment horizontal="center"/>
    </xf>
    <xf numFmtId="0" fontId="38" fillId="0" borderId="18" xfId="0" applyFont="1" applyBorder="1" applyAlignment="1">
      <alignment horizontal="center"/>
    </xf>
    <xf numFmtId="0" fontId="36" fillId="19" borderId="69" xfId="0" applyFont="1" applyFill="1" applyBorder="1" applyAlignment="1">
      <alignment horizontal="center"/>
    </xf>
    <xf numFmtId="0" fontId="36" fillId="19" borderId="70" xfId="0" applyFont="1" applyFill="1" applyBorder="1" applyAlignment="1">
      <alignment horizontal="center"/>
    </xf>
    <xf numFmtId="176" fontId="35" fillId="0" borderId="22" xfId="18" applyNumberFormat="1" applyFont="1" applyFill="1" applyBorder="1"/>
    <xf numFmtId="172" fontId="0" fillId="0" borderId="52" xfId="18" applyNumberFormat="1" applyFont="1" applyBorder="1" applyAlignment="1">
      <alignment horizontal="center"/>
    </xf>
    <xf numFmtId="176" fontId="0" fillId="0" borderId="30" xfId="18" applyNumberFormat="1" applyFont="1" applyBorder="1" applyAlignment="1">
      <alignment horizontal="center"/>
    </xf>
    <xf numFmtId="170" fontId="0" fillId="0" borderId="23" xfId="18" applyNumberFormat="1" applyFont="1" applyBorder="1" applyAlignment="1">
      <alignment horizontal="center"/>
    </xf>
    <xf numFmtId="170" fontId="0" fillId="0" borderId="71" xfId="18" applyNumberFormat="1" applyFont="1" applyBorder="1" applyAlignment="1">
      <alignment horizontal="center"/>
    </xf>
    <xf numFmtId="176" fontId="35" fillId="0" borderId="19" xfId="18" applyNumberFormat="1" applyFont="1" applyFill="1" applyBorder="1"/>
    <xf numFmtId="172" fontId="0" fillId="0" borderId="52" xfId="18" applyNumberFormat="1" applyFont="1" applyFill="1" applyBorder="1" applyAlignment="1">
      <alignment horizontal="center"/>
    </xf>
    <xf numFmtId="176" fontId="0" fillId="0" borderId="52" xfId="18" applyNumberFormat="1" applyFont="1" applyFill="1" applyBorder="1" applyAlignment="1">
      <alignment horizontal="center"/>
    </xf>
    <xf numFmtId="176" fontId="0" fillId="0" borderId="30" xfId="18" applyNumberFormat="1" applyFont="1" applyFill="1" applyBorder="1" applyAlignment="1">
      <alignment horizontal="center"/>
    </xf>
    <xf numFmtId="176" fontId="0" fillId="0" borderId="23" xfId="18" applyNumberFormat="1" applyFont="1" applyBorder="1" applyAlignment="1">
      <alignment horizontal="center"/>
    </xf>
    <xf numFmtId="176" fontId="0" fillId="0" borderId="52" xfId="18" applyNumberFormat="1" applyFont="1" applyBorder="1" applyAlignment="1">
      <alignment horizontal="center"/>
    </xf>
    <xf numFmtId="43" fontId="0" fillId="0" borderId="71" xfId="18" applyFont="1" applyBorder="1" applyAlignment="1">
      <alignment horizontal="center"/>
    </xf>
    <xf numFmtId="176" fontId="35" fillId="0" borderId="49" xfId="18" applyNumberFormat="1" applyFont="1" applyFill="1" applyBorder="1"/>
    <xf numFmtId="176" fontId="0" fillId="0" borderId="61" xfId="18" applyNumberFormat="1" applyFont="1" applyBorder="1" applyAlignment="1">
      <alignment horizontal="center"/>
    </xf>
    <xf numFmtId="202" fontId="2" fillId="21" borderId="17" xfId="0" applyNumberFormat="1" applyFont="1" applyFill="1" applyBorder="1" applyAlignment="1">
      <alignment horizontal="right"/>
    </xf>
    <xf numFmtId="0" fontId="16" fillId="0" borderId="16" xfId="17" applyBorder="1" applyAlignment="1">
      <alignment horizontal="center"/>
    </xf>
    <xf numFmtId="0" fontId="16" fillId="23" borderId="14" xfId="17" applyFill="1" applyBorder="1" applyAlignment="1">
      <alignment horizontal="center"/>
    </xf>
    <xf numFmtId="172" fontId="18" fillId="4" borderId="7" xfId="0" applyNumberFormat="1" applyFont="1" applyFill="1" applyBorder="1"/>
    <xf numFmtId="172" fontId="24" fillId="0" borderId="6" xfId="0" applyNumberFormat="1" applyFont="1" applyBorder="1"/>
    <xf numFmtId="172" fontId="0" fillId="0" borderId="15" xfId="0" applyNumberFormat="1" applyBorder="1"/>
    <xf numFmtId="172" fontId="0" fillId="0" borderId="14" xfId="0" applyNumberFormat="1" applyBorder="1"/>
    <xf numFmtId="172" fontId="18" fillId="4" borderId="6" xfId="0" applyNumberFormat="1" applyFont="1" applyFill="1" applyBorder="1"/>
    <xf numFmtId="172" fontId="0" fillId="4" borderId="0" xfId="0" applyNumberFormat="1" applyFill="1"/>
    <xf numFmtId="172" fontId="0" fillId="4" borderId="7" xfId="0" applyNumberFormat="1" applyFill="1" applyBorder="1"/>
    <xf numFmtId="172" fontId="0" fillId="0" borderId="13" xfId="0" applyNumberFormat="1" applyBorder="1"/>
    <xf numFmtId="172" fontId="24" fillId="0" borderId="0" xfId="0" applyNumberFormat="1" applyFont="1"/>
    <xf numFmtId="172" fontId="18" fillId="0" borderId="0" xfId="0" applyNumberFormat="1" applyFont="1"/>
    <xf numFmtId="172" fontId="24" fillId="0" borderId="7" xfId="0" applyNumberFormat="1" applyFont="1" applyBorder="1"/>
    <xf numFmtId="170" fontId="0" fillId="0" borderId="72" xfId="18" applyNumberFormat="1" applyFont="1" applyBorder="1" applyAlignment="1">
      <alignment horizontal="center"/>
    </xf>
    <xf numFmtId="170" fontId="0" fillId="0" borderId="73" xfId="18" applyNumberFormat="1" applyFont="1" applyBorder="1" applyAlignment="1">
      <alignment horizontal="center"/>
    </xf>
    <xf numFmtId="172" fontId="0" fillId="0" borderId="53" xfId="18" applyNumberFormat="1" applyFont="1" applyBorder="1" applyAlignment="1">
      <alignment horizontal="center"/>
    </xf>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9">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Comp'!$N$29</c:f>
              <c:strCache>
                <c:ptCount val="1"/>
                <c:pt idx="0">
                  <c:v>Avg Rent of Comps</c:v>
                </c:pt>
              </c:strCache>
            </c:strRef>
          </c:tx>
          <c:spPr>
            <a:solidFill>
              <a:schemeClr val="accent1"/>
            </a:solidFill>
            <a:ln>
              <a:noFill/>
            </a:ln>
            <a:effectLst/>
          </c:spPr>
          <c:invertIfNegative val="0"/>
          <c:cat>
            <c:strRef>
              <c:f>'Rent Comp'!$P$28:$S$28</c:f>
              <c:strCache>
                <c:ptCount val="2"/>
                <c:pt idx="0">
                  <c:v>1 Beds</c:v>
                </c:pt>
                <c:pt idx="1">
                  <c:v>Sqft</c:v>
                </c:pt>
              </c:strCache>
            </c:strRef>
          </c:cat>
          <c:val>
            <c:numRef>
              <c:f>'Rent Comp'!$P$29:$S$29</c:f>
              <c:numCache>
                <c:formatCode>_(* #,##0_);_(* \(#,##0\);_(* "-"??_);_(@_)</c:formatCode>
                <c:ptCount val="2"/>
                <c:pt idx="0" formatCode="&quot;$&quot;#,##0">
                  <c:v>1453.5</c:v>
                </c:pt>
                <c:pt idx="1">
                  <c:v>747.5</c:v>
                </c:pt>
              </c:numCache>
            </c:numRef>
          </c:val>
          <c:extLst>
            <c:ext xmlns:c16="http://schemas.microsoft.com/office/drawing/2014/chart" uri="{C3380CC4-5D6E-409C-BE32-E72D297353CC}">
              <c16:uniqueId val="{00000000-155D-49DB-8D3C-8D0CF507E9CC}"/>
            </c:ext>
          </c:extLst>
        </c:ser>
        <c:ser>
          <c:idx val="1"/>
          <c:order val="1"/>
          <c:tx>
            <c:strRef>
              <c:f>'Rent Comp'!$N$30</c:f>
              <c:strCache>
                <c:ptCount val="1"/>
                <c:pt idx="0">
                  <c:v>Subject Prop Rent</c:v>
                </c:pt>
              </c:strCache>
            </c:strRef>
          </c:tx>
          <c:spPr>
            <a:solidFill>
              <a:schemeClr val="accent2"/>
            </a:solidFill>
            <a:ln>
              <a:noFill/>
            </a:ln>
            <a:effectLst/>
          </c:spPr>
          <c:invertIfNegative val="0"/>
          <c:cat>
            <c:strRef>
              <c:f>'Rent Comp'!$P$28:$S$28</c:f>
              <c:strCache>
                <c:ptCount val="2"/>
                <c:pt idx="0">
                  <c:v>1 Beds</c:v>
                </c:pt>
                <c:pt idx="1">
                  <c:v>Sqft</c:v>
                </c:pt>
              </c:strCache>
            </c:strRef>
          </c:cat>
          <c:val>
            <c:numRef>
              <c:f>'Rent Comp'!$P$30:$S$30</c:f>
              <c:numCache>
                <c:formatCode>_(* #,##0_);_(* \(#,##0\);_(* "-"??_);_(@_)</c:formatCode>
                <c:ptCount val="2"/>
                <c:pt idx="0" formatCode="&quot;$&quot;#,##0">
                  <c:v>1292.2823504019032</c:v>
                </c:pt>
                <c:pt idx="1">
                  <c:v>981.5</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17</xdr:col>
      <xdr:colOff>1</xdr:colOff>
      <xdr:row>4</xdr:row>
      <xdr:rowOff>0</xdr:rowOff>
    </xdr:from>
    <xdr:to>
      <xdr:col>33</xdr:col>
      <xdr:colOff>165192</xdr:colOff>
      <xdr:row>16</xdr:row>
      <xdr:rowOff>59345</xdr:rowOff>
    </xdr:to>
    <xdr:pic>
      <xdr:nvPicPr>
        <xdr:cNvPr id="2" name="Picture 1">
          <a:extLst>
            <a:ext uri="{FF2B5EF4-FFF2-40B4-BE49-F238E27FC236}">
              <a16:creationId xmlns:a16="http://schemas.microsoft.com/office/drawing/2014/main" id="{2B09D6E8-A498-7774-74F0-C59A7C253D52}"/>
            </a:ext>
          </a:extLst>
        </xdr:cNvPr>
        <xdr:cNvPicPr>
          <a:picLocks noChangeAspect="1"/>
        </xdr:cNvPicPr>
      </xdr:nvPicPr>
      <xdr:blipFill>
        <a:blip xmlns:r="http://schemas.openxmlformats.org/officeDocument/2006/relationships" r:embed="rId1"/>
        <a:stretch>
          <a:fillRect/>
        </a:stretch>
      </xdr:blipFill>
      <xdr:spPr>
        <a:xfrm>
          <a:off x="19063608" y="775607"/>
          <a:ext cx="4898572" cy="22462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145473</xdr:colOff>
      <xdr:row>27</xdr:row>
      <xdr:rowOff>46759</xdr:rowOff>
    </xdr:from>
    <xdr:to>
      <xdr:col>9</xdr:col>
      <xdr:colOff>361604</xdr:colOff>
      <xdr:row>42</xdr:row>
      <xdr:rowOff>39139</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221673</xdr:colOff>
      <xdr:row>2</xdr:row>
      <xdr:rowOff>138545</xdr:rowOff>
    </xdr:from>
    <xdr:to>
      <xdr:col>57</xdr:col>
      <xdr:colOff>479104</xdr:colOff>
      <xdr:row>46</xdr:row>
      <xdr:rowOff>94813</xdr:rowOff>
    </xdr:to>
    <xdr:pic>
      <xdr:nvPicPr>
        <xdr:cNvPr id="3" name="Picture 2">
          <a:extLst>
            <a:ext uri="{FF2B5EF4-FFF2-40B4-BE49-F238E27FC236}">
              <a16:creationId xmlns:a16="http://schemas.microsoft.com/office/drawing/2014/main" id="{897894E8-18A8-571E-0AE6-FAE9F35C1518}"/>
            </a:ext>
          </a:extLst>
        </xdr:cNvPr>
        <xdr:cNvPicPr>
          <a:picLocks noChangeAspect="1"/>
        </xdr:cNvPicPr>
      </xdr:nvPicPr>
      <xdr:blipFill>
        <a:blip xmlns:r="http://schemas.openxmlformats.org/officeDocument/2006/relationships" r:embed="rId2"/>
        <a:stretch>
          <a:fillRect/>
        </a:stretch>
      </xdr:blipFill>
      <xdr:spPr>
        <a:xfrm>
          <a:off x="17151928" y="415636"/>
          <a:ext cx="15489812" cy="76569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row r="10">
          <cell r="C10" t="str">
            <v>HUD</v>
          </cell>
        </row>
      </sheetData>
      <sheetData sheetId="1"/>
      <sheetData sheetId="2">
        <row r="27">
          <cell r="C27">
            <v>5977399.9979786193</v>
          </cell>
        </row>
      </sheetData>
      <sheetData sheetId="3"/>
      <sheetData sheetId="4"/>
      <sheetData sheetId="5"/>
      <sheetData sheetId="6">
        <row r="12">
          <cell r="L12">
            <v>328371.875</v>
          </cell>
        </row>
        <row r="51">
          <cell r="C51">
            <v>249.99999999999997</v>
          </cell>
        </row>
      </sheetData>
      <sheetData sheetId="7"/>
      <sheetData sheetId="8"/>
      <sheetData sheetId="9">
        <row r="17">
          <cell r="C17">
            <v>977399.99797862023</v>
          </cell>
        </row>
      </sheetData>
      <sheetData sheetId="10">
        <row r="40">
          <cell r="D40">
            <v>38685982.683927536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8.447243634262"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116">
        <s v="E1"/>
        <s v="B1"/>
        <s v="B1-L2"/>
        <s v="E1-L2"/>
        <s v="A1-L2"/>
        <s v="A1"/>
        <s v="C1"/>
        <s v="C1-L2"/>
        <m/>
        <s v="B2FR" u="1"/>
        <s v="B2Puz" u="1"/>
        <s v="B2NEW" u="1"/>
        <s v="B2uz" u="1"/>
        <s v="B3uz" u="1"/>
        <s v="B3FR" u="1"/>
        <s v="B3Puz" u="1"/>
        <s v="B3Uuz" u="1"/>
        <s v="A1FR" u="1"/>
        <s v="A1Uuz" u="1"/>
        <s v="A1uz" u="1"/>
        <s v="B1Puz" u="1"/>
        <s v="B1uz" u="1"/>
        <s v="B1FR" u="1"/>
        <s v="A1Puz" u="1"/>
        <s v="C1FR" u="1"/>
        <s v="C1Puz" u="1"/>
        <s v="C1uz" u="1"/>
        <s v="T1" u="1"/>
        <s v="S2ES" u="1"/>
        <s v="S2M" u="1"/>
        <s v="S4" u="1"/>
        <s v="T" u="1"/>
        <s v="S2EF" u="1"/>
        <s v="S3" u="1"/>
        <s v="S5" u="1"/>
        <s v="B1s" u="1"/>
        <s v="B1a" u="1"/>
        <s v="C1a" u="1"/>
        <s v="B2" u="1"/>
        <s v="A2" u="1"/>
        <s v="A2a" u="1"/>
        <s v="S1" u="1"/>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Blank="1"/>
    </cacheField>
    <cacheField name="Tenant Name" numFmtId="0">
      <sharedItems containsBlank="1"/>
    </cacheField>
    <cacheField name="Market Rent" numFmtId="0">
      <sharedItems containsBlank="1"/>
    </cacheField>
    <cacheField name="Lease Rent" numFmtId="0">
      <sharedItems containsBlank="1"/>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0101"/>
    <x v="0"/>
    <s v="583"/>
    <s v="Frederick, Ishmael"/>
    <s v="1162.00"/>
    <s v="1071.00"/>
    <s v="E1"/>
  </r>
  <r>
    <s v="0102"/>
    <x v="1"/>
    <s v="1127"/>
    <s v="Ringfield, Unrecay"/>
    <s v="1326.00"/>
    <s v="1452.00"/>
    <s v="B1"/>
  </r>
  <r>
    <s v="0103"/>
    <x v="0"/>
    <s v="583"/>
    <s v="Thomas, Dorothy"/>
    <s v="1162.00"/>
    <s v="1060.00"/>
    <s v="E1"/>
  </r>
  <r>
    <s v="0104"/>
    <x v="2"/>
    <s v="1127"/>
    <s v="Jones, Fredericka"/>
    <s v="1650.00"/>
    <s v="1715.00"/>
    <s v="B1-L2"/>
  </r>
  <r>
    <s v="0105"/>
    <x v="0"/>
    <s v="583"/>
    <s v="Lamar, Quentin"/>
    <s v="1152.00"/>
    <s v="1091.00"/>
    <s v="E1"/>
  </r>
  <r>
    <s v="0106"/>
    <x v="1"/>
    <s v="1127"/>
    <s v="Smith, Gewandra"/>
    <s v="1330.00"/>
    <s v="1312.00"/>
    <s v="B1"/>
  </r>
  <r>
    <s v="0107"/>
    <x v="0"/>
    <s v="583"/>
    <m/>
    <s v="1138.00"/>
    <s v="0.00"/>
    <s v="E1"/>
  </r>
  <r>
    <s v="0108"/>
    <x v="2"/>
    <s v="1127"/>
    <s v="Dennis, Evelyn"/>
    <s v="1526.00"/>
    <s v="1496.00"/>
    <s v="B1-L2"/>
  </r>
  <r>
    <s v="0109"/>
    <x v="2"/>
    <s v="1127"/>
    <m/>
    <s v="1561.00"/>
    <s v="0.00"/>
    <s v="B1-L2"/>
  </r>
  <r>
    <s v="0110"/>
    <x v="0"/>
    <s v="583"/>
    <s v="Parks, Dale"/>
    <s v="1162.00"/>
    <s v="1119.00"/>
    <s v="E1"/>
  </r>
  <r>
    <s v="0111"/>
    <x v="2"/>
    <s v="1127"/>
    <s v="Williams, Marcella"/>
    <s v="1636.00"/>
    <s v="1519.00"/>
    <s v="B1-L2"/>
  </r>
  <r>
    <s v="0112"/>
    <x v="0"/>
    <s v="583"/>
    <s v="Jerald, Mccray"/>
    <s v="1197.00"/>
    <s v="1089.00"/>
    <s v="E1"/>
  </r>
  <r>
    <s v="0113"/>
    <x v="2"/>
    <s v="1127"/>
    <s v="Charles, Gregory"/>
    <s v="1550.00"/>
    <s v="1467.00"/>
    <s v="B1-L2"/>
  </r>
  <r>
    <s v="0114"/>
    <x v="0"/>
    <s v="583"/>
    <s v="Lipscomb, Darin"/>
    <s v="1152.00"/>
    <s v="995.00"/>
    <s v="E1"/>
  </r>
  <r>
    <s v="0115"/>
    <x v="2"/>
    <s v="1127"/>
    <s v="Taylor, Terrence"/>
    <s v="1536.00"/>
    <s v="1466.00"/>
    <s v="B1-L2"/>
  </r>
  <r>
    <s v="0116"/>
    <x v="3"/>
    <s v="583"/>
    <s v="Catron, Brittany"/>
    <s v="1134.00"/>
    <s v="1242.00"/>
    <s v="E1-L2"/>
  </r>
  <r>
    <s v="0201"/>
    <x v="4"/>
    <s v="825"/>
    <s v="Fletcher, Alexis"/>
    <s v="1510.00"/>
    <s v="1283.00"/>
    <s v="A1-L2"/>
  </r>
  <r>
    <s v="0202"/>
    <x v="5"/>
    <s v="825"/>
    <s v="Ross, Jada"/>
    <s v="1252.00"/>
    <s v="1230.00"/>
    <s v="A1"/>
  </r>
  <r>
    <s v="0203"/>
    <x v="5"/>
    <s v="825"/>
    <s v="Soitis, Nesptah"/>
    <s v="1212.00"/>
    <s v="1203.00"/>
    <s v="A1"/>
  </r>
  <r>
    <s v="0204"/>
    <x v="4"/>
    <s v="825"/>
    <s v="Gordon, Selena"/>
    <s v="1470.00"/>
    <s v="1386.00"/>
    <s v="A1-L2"/>
  </r>
  <r>
    <s v="0205"/>
    <x v="5"/>
    <s v="825"/>
    <s v="Walker, Zhane"/>
    <s v="1212.00"/>
    <s v="1012.00"/>
    <s v="A1"/>
  </r>
  <r>
    <s v="0206"/>
    <x v="4"/>
    <s v="825"/>
    <s v="Lewis, Trakevia"/>
    <s v="1455.00"/>
    <s v="1350.00"/>
    <s v="A1-L2"/>
  </r>
  <r>
    <s v="0207"/>
    <x v="4"/>
    <s v="825"/>
    <s v="Grubbs, Avery"/>
    <s v="1445.00"/>
    <s v="1297.00"/>
    <s v="A1-L2"/>
  </r>
  <r>
    <s v="0208"/>
    <x v="4"/>
    <s v="825"/>
    <s v="Thomas, Keishawn"/>
    <s v="1431.00"/>
    <s v="2645.00"/>
    <s v="A1-L2"/>
  </r>
  <r>
    <s v="0209"/>
    <x v="5"/>
    <s v="825"/>
    <s v="Moss, Deontra"/>
    <s v="1216.00"/>
    <s v="1193.00"/>
    <s v="A1"/>
  </r>
  <r>
    <s v="0210"/>
    <x v="4"/>
    <s v="825"/>
    <s v="Kemp, Kylen"/>
    <s v="1455.00"/>
    <s v="1307.00"/>
    <s v="A1-L2"/>
  </r>
  <r>
    <s v="0211"/>
    <x v="4"/>
    <s v="825"/>
    <s v="Martin, John"/>
    <s v="1510.00"/>
    <s v="1311.00"/>
    <s v="A1-L2"/>
  </r>
  <r>
    <s v="0212"/>
    <x v="4"/>
    <s v="825"/>
    <s v="Pearce, Amanda"/>
    <s v="1481.00"/>
    <s v="1271.00"/>
    <s v="A1-L2"/>
  </r>
  <r>
    <s v="0213"/>
    <x v="4"/>
    <s v="825"/>
    <s v="Holmes, John"/>
    <s v="1455.00"/>
    <s v="1442.00"/>
    <s v="A1-L2"/>
  </r>
  <r>
    <s v="0214"/>
    <x v="4"/>
    <s v="825"/>
    <s v="Lawton, Eric"/>
    <s v="1456.00"/>
    <s v="1463.00"/>
    <s v="A1-L2"/>
  </r>
  <r>
    <s v="0215"/>
    <x v="4"/>
    <s v="825"/>
    <s v="Barnes, Veronica"/>
    <s v="1440.00"/>
    <s v="1365.00"/>
    <s v="A1-L2"/>
  </r>
  <r>
    <s v="0216"/>
    <x v="4"/>
    <s v="825"/>
    <s v="Carter, Tyler"/>
    <s v="1440.00"/>
    <s v="1473.00"/>
    <s v="A1-L2"/>
  </r>
  <r>
    <s v="0217"/>
    <x v="5"/>
    <s v="825"/>
    <s v="Allen, Javonne"/>
    <s v="1202.00"/>
    <s v="1101.00"/>
    <s v="A1"/>
  </r>
  <r>
    <s v="0218"/>
    <x v="5"/>
    <s v="825"/>
    <s v="Greene, Deja"/>
    <s v="1202.00"/>
    <s v="1147.00"/>
    <s v="A1"/>
  </r>
  <r>
    <s v="0219"/>
    <x v="4"/>
    <s v="825"/>
    <s v="Lear, Cassandra"/>
    <s v="1445.00"/>
    <s v="1336.00"/>
    <s v="A1-L2"/>
  </r>
  <r>
    <s v="0220"/>
    <x v="5"/>
    <s v="825"/>
    <s v="Speakman, Jerry"/>
    <s v="1202.00"/>
    <s v="1265.00"/>
    <s v="A1"/>
  </r>
  <r>
    <s v="0301"/>
    <x v="4"/>
    <s v="825"/>
    <s v="Stephens, Rickey"/>
    <s v="1555.00"/>
    <s v="1491.00"/>
    <s v="A1-L2"/>
  </r>
  <r>
    <s v="0302"/>
    <x v="5"/>
    <s v="825"/>
    <s v="Baqqi, Ahmid"/>
    <s v="1197.00"/>
    <s v="1237.00"/>
    <s v="A1"/>
  </r>
  <r>
    <s v="0303"/>
    <x v="4"/>
    <s v="825"/>
    <s v="Yarbough, Micah"/>
    <s v="1491.00"/>
    <s v="1228.00"/>
    <s v="A1-L2"/>
  </r>
  <r>
    <s v="0304"/>
    <x v="4"/>
    <s v="825"/>
    <s v="Dawson, Takierra"/>
    <s v="1516.00"/>
    <s v="1623.00"/>
    <s v="A1-L2"/>
  </r>
  <r>
    <s v="0305"/>
    <x v="5"/>
    <s v="825"/>
    <s v="Marshall, Avice"/>
    <s v="1172.00"/>
    <s v="1466.00"/>
    <s v="A1"/>
  </r>
  <r>
    <s v="0306"/>
    <x v="4"/>
    <s v="825"/>
    <s v="Moffett, Kentria"/>
    <s v="1415.00"/>
    <s v="1507.00"/>
    <s v="A1-L2"/>
  </r>
  <r>
    <s v="0307"/>
    <x v="4"/>
    <s v="825"/>
    <s v="Jennings, Cato"/>
    <s v="1450.00"/>
    <s v="1240.00"/>
    <s v="A1-L2"/>
  </r>
  <r>
    <s v="0308"/>
    <x v="5"/>
    <s v="825"/>
    <s v="Cook, Brittney"/>
    <s v="1172.00"/>
    <s v="1215.00"/>
    <s v="A1"/>
  </r>
  <r>
    <s v="0309"/>
    <x v="4"/>
    <s v="825"/>
    <s v="Irvin, Antonio"/>
    <s v="1460.00"/>
    <s v="1278.00"/>
    <s v="A1-L2"/>
  </r>
  <r>
    <s v="0310"/>
    <x v="4"/>
    <s v="825"/>
    <s v="Black, Dashia"/>
    <s v="1435.00"/>
    <s v="1579.00"/>
    <s v="A1-L2"/>
  </r>
  <r>
    <s v="0311"/>
    <x v="4"/>
    <s v="825"/>
    <s v="Dugan, Shadrick"/>
    <s v="1411.00"/>
    <s v="1273.00"/>
    <s v="A1-L2"/>
  </r>
  <r>
    <s v="0312"/>
    <x v="4"/>
    <s v="825"/>
    <s v="Smith, Kiesha"/>
    <s v="1435.00"/>
    <s v="1222.00"/>
    <s v="A1-L2"/>
  </r>
  <r>
    <s v="0313"/>
    <x v="4"/>
    <s v="825"/>
    <s v="Quaye, William"/>
    <s v="1441.00"/>
    <s v="1214.00"/>
    <s v="A1-L2"/>
  </r>
  <r>
    <s v="0314"/>
    <x v="5"/>
    <s v="825"/>
    <s v="Brock, John"/>
    <s v="1197.00"/>
    <s v="1243.00"/>
    <s v="A1"/>
  </r>
  <r>
    <s v="0315"/>
    <x v="4"/>
    <s v="825"/>
    <m/>
    <s v="1530.00"/>
    <s v="0.00"/>
    <s v="A1-L2"/>
  </r>
  <r>
    <s v="0316"/>
    <x v="4"/>
    <s v="825"/>
    <s v="Cook, Ebony"/>
    <s v="1516.00"/>
    <s v="1557.00"/>
    <s v="A1-L2"/>
  </r>
  <r>
    <s v="0317"/>
    <x v="5"/>
    <s v="825"/>
    <m/>
    <s v="1186.00"/>
    <s v="0.00"/>
    <s v="A1"/>
  </r>
  <r>
    <s v="0318"/>
    <x v="4"/>
    <s v="825"/>
    <s v="Hayes, Nyasia"/>
    <s v="1415.00"/>
    <s v="1252.00"/>
    <s v="A1-L2"/>
  </r>
  <r>
    <s v="0319"/>
    <x v="4"/>
    <s v="825"/>
    <s v="Dortch, Desmond"/>
    <s v="1415.00"/>
    <s v="1208.00"/>
    <s v="A1-L2"/>
  </r>
  <r>
    <s v="0320"/>
    <x v="4"/>
    <s v="825"/>
    <s v="Poszwa, Daniel"/>
    <s v="1415.00"/>
    <s v="1266.00"/>
    <s v="A1-L2"/>
  </r>
  <r>
    <s v="0321"/>
    <x v="4"/>
    <s v="825"/>
    <s v="Akinniyi, Temidayo"/>
    <s v="1435.00"/>
    <s v="1206.00"/>
    <s v="A1-L2"/>
  </r>
  <r>
    <s v="0322"/>
    <x v="4"/>
    <s v="825"/>
    <s v="Thomas, Phaedra"/>
    <s v="1435.00"/>
    <s v="1472.00"/>
    <s v="A1-L2"/>
  </r>
  <r>
    <s v="0323"/>
    <x v="5"/>
    <s v="825"/>
    <s v="Wooden, Rahman"/>
    <s v="1192.00"/>
    <s v="1230.00"/>
    <s v="A1"/>
  </r>
  <r>
    <s v="0324"/>
    <x v="5"/>
    <s v="825"/>
    <m/>
    <s v="1192.00"/>
    <s v="0.00"/>
    <s v="A1"/>
  </r>
  <r>
    <s v="0401"/>
    <x v="6"/>
    <s v="1380"/>
    <s v="Clark, Keith"/>
    <s v="1585.00"/>
    <s v="1591.00"/>
    <s v="C1"/>
  </r>
  <r>
    <s v="0402"/>
    <x v="2"/>
    <s v="1127"/>
    <s v="Trotman, Lori"/>
    <s v="1575.00"/>
    <s v="1526.00"/>
    <s v="B1-L2"/>
  </r>
  <r>
    <s v="0403"/>
    <x v="7"/>
    <s v="1380"/>
    <s v="Pursley, Marcoah"/>
    <s v="1720.00"/>
    <s v="1696.00"/>
    <s v="C1-L2"/>
  </r>
  <r>
    <s v="0404"/>
    <x v="2"/>
    <s v="1127"/>
    <s v="Ashley, Kionna"/>
    <s v="1550.00"/>
    <s v="1377.00"/>
    <s v="B1-L2"/>
  </r>
  <r>
    <s v="0405"/>
    <x v="6"/>
    <s v="1380"/>
    <s v="Powell, Jacqlyn"/>
    <s v="1481.00"/>
    <s v="1585.00"/>
    <s v="C1"/>
  </r>
  <r>
    <s v="0406"/>
    <x v="2"/>
    <s v="1127"/>
    <s v="Wilson, Jonijah"/>
    <s v="1550.00"/>
    <s v="1616.00"/>
    <s v="B1-L2"/>
  </r>
  <r>
    <s v="0407"/>
    <x v="6"/>
    <s v="1380"/>
    <s v="Lewis, Anthony"/>
    <s v="1486.00"/>
    <s v="1457.00"/>
    <s v="C1"/>
  </r>
  <r>
    <s v="0408"/>
    <x v="2"/>
    <s v="1127"/>
    <s v="Pernell, Ulrica"/>
    <s v="1540.00"/>
    <s v="1337.00"/>
    <s v="B1-L2"/>
  </r>
  <r>
    <s v="0409"/>
    <x v="7"/>
    <s v="1380"/>
    <s v="Ha, Nadine"/>
    <s v="1710.00"/>
    <s v="1606.00"/>
    <s v="C1-L2"/>
  </r>
  <r>
    <s v="0410"/>
    <x v="1"/>
    <s v="1127"/>
    <s v="Williams, Shelia"/>
    <s v="1306.00"/>
    <s v="1366.00"/>
    <s v="B1"/>
  </r>
  <r>
    <s v="0411"/>
    <x v="2"/>
    <s v="1127"/>
    <m/>
    <s v="1590.00"/>
    <s v="0.00"/>
    <s v="B1-L2"/>
  </r>
  <r>
    <s v="0412"/>
    <x v="7"/>
    <s v="1380"/>
    <s v="Reid, Isaiah"/>
    <s v="1745.00"/>
    <s v="1899.00"/>
    <s v="C1-L2"/>
  </r>
  <r>
    <s v="0413"/>
    <x v="1"/>
    <s v="1127"/>
    <s v="Baker, Jaquitta"/>
    <s v="1315.00"/>
    <s v="1323.00"/>
    <s v="B1"/>
  </r>
  <r>
    <s v="0414"/>
    <x v="7"/>
    <s v="1380"/>
    <s v="Shack, Shannon"/>
    <s v="1720.00"/>
    <s v="1645.00"/>
    <s v="C1-L2"/>
  </r>
  <r>
    <s v="0415"/>
    <x v="2"/>
    <s v="1127"/>
    <s v="Johnson, Ebony"/>
    <s v="1536.00"/>
    <s v="1321.00"/>
    <s v="B1-L2"/>
  </r>
  <r>
    <s v="0416"/>
    <x v="7"/>
    <s v="1380"/>
    <s v="Frazier, Patricia"/>
    <s v="1691.00"/>
    <s v="1717.00"/>
    <s v="C1-L2"/>
  </r>
  <r>
    <s v="0417"/>
    <x v="2"/>
    <s v="1127"/>
    <s v="Driver, Tonya"/>
    <s v="1540.00"/>
    <s v="1645.00"/>
    <s v="B1-L2"/>
  </r>
  <r>
    <s v="0418"/>
    <x v="7"/>
    <s v="1380"/>
    <s v="Lee, Vickie"/>
    <s v="1760.00"/>
    <s v="1841.00"/>
    <s v="C1-L2"/>
  </r>
  <r>
    <s v="0419"/>
    <x v="2"/>
    <s v="1127"/>
    <s v="Bennett, Anthony"/>
    <s v="1555.00"/>
    <s v="1659.00"/>
    <s v="B1-L2"/>
  </r>
  <r>
    <s v="0420"/>
    <x v="7"/>
    <s v="1380"/>
    <s v="Wright, Elizabeth"/>
    <s v="1710.00"/>
    <s v="1895.00"/>
    <s v="C1-L2"/>
  </r>
  <r>
    <s v="0501"/>
    <x v="2"/>
    <s v="1127"/>
    <m/>
    <s v="1500.00"/>
    <s v="0.00"/>
    <s v="B1-L2"/>
  </r>
  <r>
    <s v="0502"/>
    <x v="1"/>
    <s v="1127"/>
    <s v="Carmichael, Taylor"/>
    <s v="1266.00"/>
    <s v="1011.00"/>
    <s v="B1"/>
  </r>
  <r>
    <s v="0503"/>
    <x v="2"/>
    <s v="1127"/>
    <s v="Barren, Adora"/>
    <s v="1535.00"/>
    <s v="1495.00"/>
    <s v="B1-L2"/>
  </r>
  <r>
    <s v="0504"/>
    <x v="1"/>
    <s v="1127"/>
    <s v="Nevlous, Nicole"/>
    <s v="1306.00"/>
    <s v="1218.00"/>
    <s v="B1"/>
  </r>
  <r>
    <s v="0505"/>
    <x v="2"/>
    <s v="1127"/>
    <s v="Cortes, Emanuel"/>
    <s v="1626.00"/>
    <s v="1681.00"/>
    <s v="B1-L2"/>
  </r>
  <r>
    <s v="0506"/>
    <x v="1"/>
    <s v="1127"/>
    <s v="peoples, jaymetris"/>
    <s v="1391.00"/>
    <s v="1455.00"/>
    <s v="B1"/>
  </r>
  <r>
    <s v="0507"/>
    <x v="1"/>
    <s v="1127"/>
    <s v="Daghestani, Zachary"/>
    <s v="1305.00"/>
    <s v="1139.00"/>
    <s v="B1"/>
  </r>
  <r>
    <s v="0508"/>
    <x v="2"/>
    <s v="1127"/>
    <s v="Jacksonn, Mariah"/>
    <s v="1540.00"/>
    <s v="1612.00"/>
    <s v="B1-L2"/>
  </r>
  <r>
    <s v="0509"/>
    <x v="1"/>
    <s v="1127"/>
    <s v="Thomas, DeAndre"/>
    <s v="1291.00"/>
    <s v="1102.00"/>
    <s v="B1"/>
  </r>
  <r>
    <s v="0510"/>
    <x v="2"/>
    <s v="1127"/>
    <s v="Farrish, Wanda"/>
    <s v="1535.00"/>
    <s v="1513.00"/>
    <s v="B1-L2"/>
  </r>
  <r>
    <s v="0511"/>
    <x v="2"/>
    <s v="1127"/>
    <s v="Wimberley, Terry"/>
    <s v="1501.00"/>
    <s v="1295.00"/>
    <s v="B1-L2"/>
  </r>
  <r>
    <s v="0512"/>
    <x v="1"/>
    <s v="1127"/>
    <s v="Thomas, Shirley"/>
    <s v="1266.00"/>
    <s v="1417.00"/>
    <s v="B1"/>
  </r>
  <r>
    <s v="0513"/>
    <x v="1"/>
    <s v="1127"/>
    <s v="Ezewulu, Ogechukwu"/>
    <s v="1291.00"/>
    <s v="1306.00"/>
    <s v="B1"/>
  </r>
  <r>
    <s v="0514"/>
    <x v="2"/>
    <s v="1127"/>
    <s v="Williams Baxter, Brittney"/>
    <s v="1520.00"/>
    <s v="1528.00"/>
    <s v="B1-L2"/>
  </r>
  <r>
    <s v="0515"/>
    <x v="2"/>
    <s v="1127"/>
    <m/>
    <s v="1650.00"/>
    <s v="0.00"/>
    <s v="B1-L2"/>
  </r>
  <r>
    <s v="0516"/>
    <x v="2"/>
    <s v="1127"/>
    <s v="Kitchens, Vasheera"/>
    <s v="1611.00"/>
    <s v="1440.00"/>
    <s v="B1-L2"/>
  </r>
  <r>
    <s v="0517"/>
    <x v="2"/>
    <s v="1127"/>
    <s v="Carter, Kamardi"/>
    <s v="1526.00"/>
    <s v="1320.00"/>
    <s v="B1-L2"/>
  </r>
  <r>
    <s v="0518"/>
    <x v="1"/>
    <s v="1127"/>
    <s v="Graham, Shauntai"/>
    <s v="1306.00"/>
    <s v="1269.00"/>
    <s v="B1"/>
  </r>
  <r>
    <s v="0519"/>
    <x v="2"/>
    <s v="1127"/>
    <s v="Edgers, Elicee"/>
    <s v="1565.00"/>
    <s v="1609.00"/>
    <s v="B1-L2"/>
  </r>
  <r>
    <s v="0520"/>
    <x v="2"/>
    <s v="1127"/>
    <s v="Cook, Amanda"/>
    <s v="1565.00"/>
    <s v="1447.00"/>
    <s v="B1-L2"/>
  </r>
  <r>
    <s v="0601"/>
    <x v="2"/>
    <s v="1127"/>
    <s v="Kilpatrick, Jerrod"/>
    <s v="1590.00"/>
    <s v="1401.00"/>
    <s v="B1-L2"/>
  </r>
  <r>
    <s v="0602"/>
    <x v="7"/>
    <s v="1380"/>
    <s v="Branch, Jasmine"/>
    <s v="1760.00"/>
    <s v="1859.00"/>
    <s v="C1-L2"/>
  </r>
  <r>
    <s v="0603"/>
    <x v="7"/>
    <s v="1380"/>
    <s v="Hardy, Sandra"/>
    <s v="1720.00"/>
    <s v="1944.00"/>
    <s v="C1-L2"/>
  </r>
  <r>
    <s v="0604"/>
    <x v="2"/>
    <s v="1127"/>
    <s v="Jones, Kaneiya"/>
    <s v="1550.00"/>
    <s v="1490.00"/>
    <s v="B1-L2"/>
  </r>
  <r>
    <s v="0605"/>
    <x v="6"/>
    <s v="1380"/>
    <s v="Moore, Edd"/>
    <s v="1481.00"/>
    <s v="1519.00"/>
    <s v="C1"/>
  </r>
  <r>
    <s v="0606"/>
    <x v="2"/>
    <s v="1127"/>
    <s v="Strong, Tonia"/>
    <s v="1531.00"/>
    <s v="1343.00"/>
    <s v="B1-L2"/>
  </r>
  <r>
    <s v="0607"/>
    <x v="7"/>
    <s v="1380"/>
    <s v="Cruse, Rodrequez"/>
    <s v="1710.00"/>
    <s v="1719.00"/>
    <s v="C1-L2"/>
  </r>
  <r>
    <s v="0608"/>
    <x v="2"/>
    <s v="1127"/>
    <s v="Christian, Shaqualia"/>
    <s v="1540.00"/>
    <s v="1627.00"/>
    <s v="B1-L2"/>
  </r>
  <r>
    <s v="0609"/>
    <x v="7"/>
    <s v="1380"/>
    <s v="Robinson, Silvia"/>
    <s v="1720.00"/>
    <s v="1627.00"/>
    <s v="C1-L2"/>
  </r>
  <r>
    <s v="0610"/>
    <x v="2"/>
    <s v="1127"/>
    <s v="West, Nacholas"/>
    <s v="1516.00"/>
    <s v="1577.00"/>
    <s v="B1-L2"/>
  </r>
  <r>
    <s v="0611"/>
    <x v="6"/>
    <s v="1380"/>
    <s v="Torre, Sharice"/>
    <s v="1521.00"/>
    <s v="1449.00"/>
    <s v="C1"/>
  </r>
  <r>
    <s v="0612"/>
    <x v="2"/>
    <s v="1127"/>
    <m/>
    <s v="1590.00"/>
    <s v="0.00"/>
    <s v="B1-L2"/>
  </r>
  <r>
    <s v="0613"/>
    <x v="2"/>
    <s v="1127"/>
    <s v="Iheanetu, Sibyl"/>
    <s v="1536.00"/>
    <s v="1355.00"/>
    <s v="B1-L2"/>
  </r>
  <r>
    <s v="0614"/>
    <x v="6"/>
    <s v="1380"/>
    <s v="Luke, Shawn"/>
    <s v="1481.00"/>
    <s v="1473.00"/>
    <s v="C1"/>
  </r>
  <r>
    <s v="0615"/>
    <x v="1"/>
    <s v="1127"/>
    <s v="Jackson, Greenleaf"/>
    <s v="1301.00"/>
    <s v="1505.00"/>
    <s v="B1"/>
  </r>
  <r>
    <s v="0616"/>
    <x v="7"/>
    <s v="1380"/>
    <s v="Craig, Arieyana"/>
    <s v="1705.00"/>
    <s v="1301.00"/>
    <s v="C1-L2"/>
  </r>
  <r>
    <s v="0617"/>
    <x v="2"/>
    <s v="1127"/>
    <s v="Corbin, Destiny"/>
    <s v="1550.00"/>
    <s v="1339.00"/>
    <s v="B1-L2"/>
  </r>
  <r>
    <s v="0618"/>
    <x v="7"/>
    <s v="1380"/>
    <s v="Robinson, Livingston"/>
    <s v="1720.00"/>
    <s v="1792.00"/>
    <s v="C1-L2"/>
  </r>
  <r>
    <s v="0619"/>
    <x v="1"/>
    <s v="1127"/>
    <s v="Ndzi, Emmanuel"/>
    <s v="1306.00"/>
    <s v="1213.00"/>
    <s v="B1"/>
  </r>
  <r>
    <s v="0620"/>
    <x v="6"/>
    <s v="1380"/>
    <s v="Banks, Yashica"/>
    <s v="1486.00"/>
    <s v="1461.00"/>
    <s v="C1"/>
  </r>
  <r>
    <s v="0701"/>
    <x v="7"/>
    <s v="1380"/>
    <s v="Catchings, Sharon"/>
    <s v="1670.00"/>
    <s v="1719.00"/>
    <s v="C1-L2"/>
  </r>
  <r>
    <s v="0702"/>
    <x v="2"/>
    <s v="1127"/>
    <s v="Nichols, Matthew"/>
    <s v="1625.00"/>
    <s v="1515.00"/>
    <s v="B1-L2"/>
  </r>
  <r>
    <s v="0703"/>
    <x v="7"/>
    <s v="1380"/>
    <s v="black, sharis"/>
    <s v="1795.00"/>
    <s v="1688.00"/>
    <s v="C1-L2"/>
  </r>
  <r>
    <s v="0704"/>
    <x v="1"/>
    <s v="1127"/>
    <s v="Williams, Robbi"/>
    <s v="1376.00"/>
    <s v="1510.00"/>
    <s v="B1"/>
  </r>
  <r>
    <s v="0705"/>
    <x v="6"/>
    <s v="1380"/>
    <s v="Hardnett, Charly"/>
    <s v="1456.00"/>
    <s v="1488.00"/>
    <s v="C1"/>
  </r>
  <r>
    <s v="0706"/>
    <x v="2"/>
    <s v="1127"/>
    <s v="Ogletree, Oneshia"/>
    <s v="1510.00"/>
    <s v="1349.00"/>
    <s v="B1-L2"/>
  </r>
  <r>
    <s v="0707"/>
    <x v="7"/>
    <s v="1380"/>
    <s v="Phillips, Nina"/>
    <s v="1681.00"/>
    <s v="1688.00"/>
    <s v="C1-L2"/>
  </r>
  <r>
    <s v="0708"/>
    <x v="1"/>
    <s v="1127"/>
    <s v="Meriwether, Gary"/>
    <s v="1276.00"/>
    <s v="1460.00"/>
    <s v="B1"/>
  </r>
  <r>
    <s v="0709"/>
    <x v="7"/>
    <s v="1380"/>
    <s v="Muhammad, Khalidah"/>
    <s v="1686.00"/>
    <s v="1582.00"/>
    <s v="C1-L2"/>
  </r>
  <r>
    <s v="0710"/>
    <x v="2"/>
    <s v="1127"/>
    <s v="Gabriel, Gloria"/>
    <s v="1530.00"/>
    <s v="1339.00"/>
    <s v="B1-L2"/>
  </r>
  <r>
    <s v="0711"/>
    <x v="6"/>
    <s v="1380"/>
    <s v="Santiago *CO*, Manuel"/>
    <s v="1476.00"/>
    <s v="1538.00"/>
    <s v="C1"/>
  </r>
  <r>
    <s v="0712"/>
    <x v="2"/>
    <s v="1127"/>
    <s v="of Latter-Day Saints, Church of Jesus Christ"/>
    <s v="1530.00"/>
    <s v="1403.00"/>
    <s v="B1-L2"/>
  </r>
  <r>
    <s v="0713"/>
    <x v="2"/>
    <s v="1127"/>
    <s v="Allen, Kristi"/>
    <s v="1550.00"/>
    <s v="1615.00"/>
    <s v="B1-L2"/>
  </r>
  <r>
    <s v="0714"/>
    <x v="7"/>
    <s v="1380"/>
    <s v="Thompson, Davian"/>
    <s v="1720.00"/>
    <s v="1475.00"/>
    <s v="C1-L2"/>
  </r>
  <r>
    <s v="0715"/>
    <x v="2"/>
    <s v="1127"/>
    <s v="Graves, Marcus"/>
    <s v="1610.00"/>
    <s v="1429.00"/>
    <s v="B1-L2"/>
  </r>
  <r>
    <s v="0716"/>
    <x v="6"/>
    <s v="1380"/>
    <s v="Richards, Anya"/>
    <s v="1570.00"/>
    <s v="1695.00"/>
    <s v="C1"/>
  </r>
  <r>
    <s v="0717"/>
    <x v="1"/>
    <s v="1127"/>
    <m/>
    <s v="1276.00"/>
    <s v="0.00"/>
    <s v="B1"/>
  </r>
  <r>
    <s v="0718"/>
    <x v="7"/>
    <s v="1380"/>
    <s v="Jones, Keisha"/>
    <s v="1680.00"/>
    <s v="1714.00"/>
    <s v="C1-L2"/>
  </r>
  <r>
    <s v="0719"/>
    <x v="2"/>
    <s v="1127"/>
    <s v="Woodard, Gabrielle"/>
    <s v="1496.00"/>
    <s v="1334.00"/>
    <s v="B1-L2"/>
  </r>
  <r>
    <s v="0720"/>
    <x v="7"/>
    <s v="1380"/>
    <s v="Lawson, Steven"/>
    <s v="1680.00"/>
    <s v="1686.00"/>
    <s v="C1-L2"/>
  </r>
  <r>
    <s v="0721"/>
    <x v="2"/>
    <s v="1127"/>
    <s v="Harris, Robert"/>
    <s v="1520.00"/>
    <s v="1468.00"/>
    <s v="B1-L2"/>
  </r>
  <r>
    <s v="0722"/>
    <x v="7"/>
    <s v="1380"/>
    <s v="Clark, David"/>
    <s v="1700.00"/>
    <s v="1641.00"/>
    <s v="C1-L2"/>
  </r>
  <r>
    <s v="0723"/>
    <x v="2"/>
    <s v="1127"/>
    <s v="Peeples, Tellia"/>
    <s v="1530.00"/>
    <s v="1610.00"/>
    <s v="B1-L2"/>
  </r>
  <r>
    <s v="0724"/>
    <x v="7"/>
    <s v="1380"/>
    <s v="Tandazo, Paola"/>
    <s v="1700.00"/>
    <s v="1589.00"/>
    <s v="C1-L2"/>
  </r>
  <r>
    <s v="0801"/>
    <x v="5"/>
    <s v="825"/>
    <s v="Philip, Christopher"/>
    <s v="1187.00"/>
    <s v="1048.00"/>
    <s v="A1"/>
  </r>
  <r>
    <s v="0802"/>
    <x v="5"/>
    <s v="825"/>
    <s v="Morton, Judy"/>
    <s v="1187.00"/>
    <s v="1181.00"/>
    <s v="A1"/>
  </r>
  <r>
    <s v="0803"/>
    <x v="4"/>
    <s v="825"/>
    <s v="Collins, Keshia"/>
    <s v="1506.00"/>
    <s v="1442.00"/>
    <s v="A1-L2"/>
  </r>
  <r>
    <s v="0804"/>
    <x v="5"/>
    <s v="825"/>
    <s v="Herbert, Oliver"/>
    <s v="1262.00"/>
    <s v="1204.00"/>
    <s v="A1"/>
  </r>
  <r>
    <s v="0805"/>
    <x v="4"/>
    <s v="825"/>
    <s v="Starr, Germale"/>
    <s v="1405.00"/>
    <s v="1215.00"/>
    <s v="A1-L2"/>
  </r>
  <r>
    <s v="0806"/>
    <x v="4"/>
    <s v="825"/>
    <s v="Cooper, Anthony"/>
    <s v="1405.00"/>
    <s v="1299.00"/>
    <s v="A1-L2"/>
  </r>
  <r>
    <s v="0807"/>
    <x v="4"/>
    <s v="825"/>
    <s v="Saldana, Ariaunna"/>
    <s v="1405.00"/>
    <s v="1341.00"/>
    <s v="A1-L2"/>
  </r>
  <r>
    <s v="0808"/>
    <x v="4"/>
    <s v="825"/>
    <s v="Young, Lashundra"/>
    <s v="1405.00"/>
    <s v="1345.00"/>
    <s v="A1-L2"/>
  </r>
  <r>
    <s v="0809"/>
    <x v="4"/>
    <s v="825"/>
    <s v="wilson, Alexin"/>
    <s v="1425.00"/>
    <s v="1309.00"/>
    <s v="A1-L2"/>
  </r>
  <r>
    <s v="0810"/>
    <x v="5"/>
    <s v="825"/>
    <s v="Robinson, John"/>
    <s v="1182.00"/>
    <s v="1177.00"/>
    <s v="A1"/>
  </r>
  <r>
    <s v="0811"/>
    <x v="4"/>
    <s v="825"/>
    <s v="DeLino, Claudia"/>
    <s v="1425.00"/>
    <s v="1269.00"/>
    <s v="A1-L2"/>
  </r>
  <r>
    <s v="0812"/>
    <x v="4"/>
    <s v="825"/>
    <s v="McCoy, Tamia"/>
    <s v="1425.00"/>
    <s v="1312.00"/>
    <s v="A1-L2"/>
  </r>
  <r>
    <s v="0813"/>
    <x v="5"/>
    <s v="825"/>
    <s v="Fairley, Bobby"/>
    <s v="1187.00"/>
    <s v="1212.00"/>
    <s v="A1"/>
  </r>
  <r>
    <s v="0814"/>
    <x v="5"/>
    <s v="825"/>
    <s v="Brooks, Keith"/>
    <s v="1262.00"/>
    <s v="1378.00"/>
    <s v="A1"/>
  </r>
  <r>
    <s v="0815"/>
    <x v="4"/>
    <s v="825"/>
    <s v="Wilson, LaKela"/>
    <s v="1520.00"/>
    <s v="1307.00"/>
    <s v="A1-L2"/>
  </r>
  <r>
    <s v="0816"/>
    <x v="5"/>
    <s v="825"/>
    <m/>
    <s v="1262.00"/>
    <s v="0.00"/>
    <s v="A1"/>
  </r>
  <r>
    <s v="0817"/>
    <x v="5"/>
    <s v="825"/>
    <s v="Clausell, Calvin"/>
    <s v="1211.00"/>
    <s v="1168.00"/>
    <s v="A1"/>
  </r>
  <r>
    <s v="0818"/>
    <x v="4"/>
    <s v="825"/>
    <s v="Westmoreland, Zequoia"/>
    <s v="1405.00"/>
    <s v="1253.00"/>
    <s v="A1-L2"/>
  </r>
  <r>
    <s v="0819"/>
    <x v="5"/>
    <s v="825"/>
    <s v="Evans, James"/>
    <s v="1162.00"/>
    <s v="1142.00"/>
    <s v="A1"/>
  </r>
  <r>
    <s v="0820"/>
    <x v="5"/>
    <s v="825"/>
    <s v="Turner, Kevin"/>
    <s v="1162.00"/>
    <s v="1119.00"/>
    <s v="A1"/>
  </r>
  <r>
    <s v="0821"/>
    <x v="5"/>
    <s v="825"/>
    <s v="Williams, Aniyah"/>
    <s v="1196.00"/>
    <s v="1223.00"/>
    <s v="A1"/>
  </r>
  <r>
    <s v="0822"/>
    <x v="5"/>
    <s v="825"/>
    <s v="Rostro, Ezequiel"/>
    <s v="1182.00"/>
    <s v="1112.00"/>
    <s v="A1"/>
  </r>
  <r>
    <s v="0823"/>
    <x v="4"/>
    <s v="825"/>
    <s v="Martin, James"/>
    <s v="1411.00"/>
    <s v="1269.00"/>
    <s v="A1-L2"/>
  </r>
  <r>
    <s v="0824"/>
    <x v="4"/>
    <s v="825"/>
    <s v="Jefferson, Roger"/>
    <s v="1425.00"/>
    <s v="1433.00"/>
    <s v="A1-L2"/>
  </r>
  <r>
    <s v="0901"/>
    <x v="7"/>
    <s v="1380"/>
    <s v="Harris, Ashleigh"/>
    <s v="1795.00"/>
    <s v="1690.00"/>
    <s v="C1-L2"/>
  </r>
  <r>
    <s v="0902"/>
    <x v="2"/>
    <s v="1127"/>
    <s v="Da Silva, Caio Henrique"/>
    <s v="1611.00"/>
    <s v="1649.00"/>
    <s v="B1-L2"/>
  </r>
  <r>
    <s v="0903"/>
    <x v="6"/>
    <s v="1380"/>
    <s v="Brown, Tracey"/>
    <s v="1556.00"/>
    <s v="1412.00"/>
    <s v="C1"/>
  </r>
  <r>
    <s v="0904"/>
    <x v="2"/>
    <s v="1127"/>
    <s v="Walker, Deborah"/>
    <s v="1625.00"/>
    <s v="1358.00"/>
    <s v="B1-L2"/>
  </r>
  <r>
    <s v="0905"/>
    <x v="6"/>
    <s v="1380"/>
    <s v="Freeman, Zaakirah"/>
    <s v="1456.00"/>
    <s v="1510.00"/>
    <s v="C1"/>
  </r>
  <r>
    <s v="0906"/>
    <x v="1"/>
    <s v="1127"/>
    <s v="Scott, Prekoshiah"/>
    <s v="1276.00"/>
    <s v="1391.00"/>
    <s v="B1"/>
  </r>
  <r>
    <s v="0907"/>
    <x v="7"/>
    <s v="1380"/>
    <s v="Anderson, Chiquela"/>
    <s v="1666.00"/>
    <s v="1569.00"/>
    <s v="C1-L2"/>
  </r>
  <r>
    <s v="0908"/>
    <x v="1"/>
    <s v="1127"/>
    <s v="Lane, Adrian"/>
    <s v="1276.00"/>
    <s v="1474.00"/>
    <s v="B1"/>
  </r>
  <r>
    <s v="0909"/>
    <x v="7"/>
    <s v="1380"/>
    <s v="Wright, Tiffany"/>
    <s v="1685.00"/>
    <s v="1560.00"/>
    <s v="C1-L2"/>
  </r>
  <r>
    <s v="0910"/>
    <x v="2"/>
    <s v="1127"/>
    <s v="Crawford, Katrina"/>
    <s v="1540.00"/>
    <s v="1480.00"/>
    <s v="B1-L2"/>
  </r>
  <r>
    <s v="0911"/>
    <x v="7"/>
    <s v="1380"/>
    <s v="Miller, Nicholas"/>
    <s v="1685.00"/>
    <s v="1980.00"/>
    <s v="C1-L2"/>
  </r>
  <r>
    <s v="0912"/>
    <x v="2"/>
    <s v="1127"/>
    <s v="Hunter, Angel"/>
    <s v="1525.00"/>
    <s v="1536.00"/>
    <s v="B1-L2"/>
  </r>
  <r>
    <s v="0913"/>
    <x v="2"/>
    <s v="1127"/>
    <s v="Smith, Tianna"/>
    <s v="1575.00"/>
    <s v="1432.00"/>
    <s v="B1-L2"/>
  </r>
  <r>
    <s v="0914"/>
    <x v="7"/>
    <s v="1380"/>
    <s v="Kent, Alonna"/>
    <s v="1720.00"/>
    <s v="1950.00"/>
    <s v="C1-L2"/>
  </r>
  <r>
    <s v="0915"/>
    <x v="2"/>
    <s v="1127"/>
    <s v="Harp, Charnitra"/>
    <s v="1625.00"/>
    <s v="1423.00"/>
    <s v="B1-L2"/>
  </r>
  <r>
    <s v="0916"/>
    <x v="7"/>
    <s v="1380"/>
    <s v="Gabriel, Cody"/>
    <s v="1795.00"/>
    <s v="1776.00"/>
    <s v="C1-L2"/>
  </r>
  <r>
    <s v="0917"/>
    <x v="1"/>
    <s v="1127"/>
    <s v="Buckholts, Theresa"/>
    <s v="1276.00"/>
    <s v="1391.00"/>
    <s v="B1"/>
  </r>
  <r>
    <s v="0918"/>
    <x v="6"/>
    <s v="1380"/>
    <s v="Hardin, Lashanda"/>
    <s v="1456.00"/>
    <s v="1490.00"/>
    <s v="C1"/>
  </r>
  <r>
    <s v="0919"/>
    <x v="1"/>
    <s v="1127"/>
    <s v="Jordan, Alexis"/>
    <s v="1276.00"/>
    <s v="1203.00"/>
    <s v="B1"/>
  </r>
  <r>
    <s v="0920"/>
    <x v="6"/>
    <s v="1380"/>
    <s v="Drayton, Curtis"/>
    <s v="1456.00"/>
    <s v="1903.00"/>
    <s v="C1"/>
  </r>
  <r>
    <s v="0921"/>
    <x v="2"/>
    <s v="1127"/>
    <s v="Forest, Kaitlyn"/>
    <s v="1540.00"/>
    <s v="1415.00"/>
    <s v="B1-L2"/>
  </r>
  <r>
    <s v="0922"/>
    <x v="6"/>
    <s v="1380"/>
    <s v="Culliver, Alicia"/>
    <s v="1461.00"/>
    <s v="1519.00"/>
    <s v="C1"/>
  </r>
  <r>
    <s v="0923"/>
    <x v="2"/>
    <s v="1127"/>
    <s v="Sengsavath, Kathleen"/>
    <s v="1515.00"/>
    <s v="1566.00"/>
    <s v="B1-L2"/>
  </r>
  <r>
    <s v="0924"/>
    <x v="6"/>
    <s v="1380"/>
    <s v="Reid, Shertikua"/>
    <s v="1461.00"/>
    <s v="1427.00"/>
    <s v="C1"/>
  </r>
  <r>
    <s v="1001"/>
    <x v="0"/>
    <s v="583"/>
    <s v="Schoolfield, Cedric"/>
    <s v="1102.00"/>
    <s v="1054.00"/>
    <s v="E1"/>
  </r>
  <r>
    <s v="1002"/>
    <x v="2"/>
    <s v="1127"/>
    <m/>
    <s v="1515.00"/>
    <s v="0.00"/>
    <s v="B1-L2"/>
  </r>
  <r>
    <s v="1003"/>
    <x v="0"/>
    <s v="583"/>
    <s v="Barno, Corey"/>
    <s v="1098.00"/>
    <s v="1176.00"/>
    <s v="E1"/>
  </r>
  <r>
    <s v="1004"/>
    <x v="2"/>
    <s v="1127"/>
    <s v="Finch, Braylon"/>
    <s v="1496.00"/>
    <s v="1596.00"/>
    <s v="B1-L2"/>
  </r>
  <r>
    <s v="1005"/>
    <x v="0"/>
    <s v="583"/>
    <s v="Dieye, Gorgui"/>
    <s v="1122.00"/>
    <s v="1115.00"/>
    <s v="E1"/>
  </r>
  <r>
    <s v="1006"/>
    <x v="2"/>
    <s v="1127"/>
    <s v="Holland, Shantrell"/>
    <s v="1581.00"/>
    <s v="1398.00"/>
    <s v="B1-L2"/>
  </r>
  <r>
    <s v="1007"/>
    <x v="0"/>
    <s v="583"/>
    <s v="Reviere, Collado"/>
    <s v="1132.00"/>
    <s v="1163.00"/>
    <s v="E1"/>
  </r>
  <r>
    <s v="1008"/>
    <x v="2"/>
    <s v="1127"/>
    <s v="Ellison, Kiarria"/>
    <s v="1530.00"/>
    <s v="1508.00"/>
    <s v="B1-L2"/>
  </r>
  <r>
    <s v="1009"/>
    <x v="0"/>
    <s v="583"/>
    <s v="Johnson, Daijah"/>
    <s v="1132.00"/>
    <s v="1036.00"/>
    <s v="E1"/>
  </r>
  <r>
    <s v="1010"/>
    <x v="2"/>
    <s v="1127"/>
    <m/>
    <s v="1555.00"/>
    <s v="0.00"/>
    <s v="B1-L2"/>
  </r>
  <r>
    <s v="1011"/>
    <x v="2"/>
    <s v="1127"/>
    <s v="Wall, Jasmine"/>
    <s v="1515.00"/>
    <s v="1524.00"/>
    <s v="B1-L2"/>
  </r>
  <r>
    <s v="1012"/>
    <x v="0"/>
    <s v="583"/>
    <s v="Kilgore, Brandon"/>
    <s v="1112.00"/>
    <s v="1147.00"/>
    <s v="E1"/>
  </r>
  <r>
    <s v="1013"/>
    <x v="2"/>
    <s v="1127"/>
    <s v="Bennett, Karneshia"/>
    <s v="1510.00"/>
    <s v="1636.00"/>
    <s v="B1-L2"/>
  </r>
  <r>
    <s v="1014"/>
    <x v="0"/>
    <s v="583"/>
    <m/>
    <s v="1098.00"/>
    <s v="0.00"/>
    <s v="E1"/>
  </r>
  <r>
    <s v="1015"/>
    <x v="1"/>
    <s v="1127"/>
    <s v="Hensley, Jennifer"/>
    <s v="1361.00"/>
    <s v="1415.00"/>
    <s v="B1"/>
  </r>
  <r>
    <s v="1016"/>
    <x v="0"/>
    <s v="583"/>
    <s v="Billings, Alanni"/>
    <s v="1122.00"/>
    <s v="1008.00"/>
    <s v="E1"/>
  </r>
  <r>
    <s v="1017"/>
    <x v="2"/>
    <s v="1127"/>
    <s v="Jones, Lanikki"/>
    <s v="1530.00"/>
    <s v="1343.00"/>
    <s v="B1-L2"/>
  </r>
  <r>
    <s v="1018"/>
    <x v="0"/>
    <s v="583"/>
    <s v="Henry, Quentavia"/>
    <s v="1132.00"/>
    <s v="1108.00"/>
    <s v="E1"/>
  </r>
  <r>
    <s v="1019"/>
    <x v="2"/>
    <s v="1127"/>
    <s v="searcy, caziah"/>
    <s v="1530.00"/>
    <s v="1484.00"/>
    <s v="B1-L2"/>
  </r>
  <r>
    <s v="1020"/>
    <x v="0"/>
    <s v="583"/>
    <s v="Johnson, Maia"/>
    <s v="1118.00"/>
    <s v="1116.00"/>
    <s v="E1"/>
  </r>
  <r>
    <s v="1101"/>
    <x v="0"/>
    <s v="583"/>
    <s v="Stanford, Trenessa"/>
    <s v="1137.00"/>
    <s v="996.00"/>
    <s v="E1"/>
  </r>
  <r>
    <s v="1102"/>
    <x v="2"/>
    <s v="1127"/>
    <s v="Williams, Tikkita"/>
    <s v="1650.00"/>
    <s v="1683.00"/>
    <s v="B1-L2"/>
  </r>
  <r>
    <s v="1103"/>
    <x v="0"/>
    <s v="583"/>
    <s v="Miller, Ronnie"/>
    <s v="1137.00"/>
    <s v="1099.00"/>
    <s v="E1"/>
  </r>
  <r>
    <s v="1104"/>
    <x v="2"/>
    <s v="1127"/>
    <s v="Wright, Yketa"/>
    <s v="1625.00"/>
    <s v="1237.00"/>
    <s v="B1-L2"/>
  </r>
  <r>
    <s v="1105"/>
    <x v="0"/>
    <s v="583"/>
    <s v="Antoine, James"/>
    <s v="1098.00"/>
    <s v="1004.00"/>
    <s v="E1"/>
  </r>
  <r>
    <s v="1106"/>
    <x v="2"/>
    <s v="1127"/>
    <m/>
    <s v="1535.00"/>
    <s v="0.00"/>
    <s v="B1-L2"/>
  </r>
  <r>
    <s v="1107"/>
    <x v="0"/>
    <s v="583"/>
    <s v="Baker, Ryheem"/>
    <s v="1098.00"/>
    <s v="1200.00"/>
    <s v="E1"/>
  </r>
  <r>
    <s v="1108"/>
    <x v="2"/>
    <s v="1127"/>
    <m/>
    <s v="1496.00"/>
    <s v="0.00"/>
    <s v="B1-L2"/>
  </r>
  <r>
    <s v="1109"/>
    <x v="0"/>
    <s v="583"/>
    <s v="Crawford, Isaiah"/>
    <s v="1132.00"/>
    <s v="1001.00"/>
    <s v="E1"/>
  </r>
  <r>
    <s v="1110"/>
    <x v="2"/>
    <s v="1127"/>
    <s v="Howell, Yizet"/>
    <s v="1541.00"/>
    <s v="1346.00"/>
    <s v="B1-L2"/>
  </r>
  <r>
    <s v="1111"/>
    <x v="0"/>
    <s v="583"/>
    <s v="Ingram, Elliott"/>
    <s v="1132.00"/>
    <s v="1319.00"/>
    <s v="E1"/>
  </r>
  <r>
    <s v="1112"/>
    <x v="2"/>
    <s v="1127"/>
    <s v="Jones, Colette"/>
    <s v="1516.00"/>
    <s v="1265.00"/>
    <s v="B1-L2"/>
  </r>
  <r>
    <s v="1113"/>
    <x v="1"/>
    <s v="1127"/>
    <s v="Davis, Angel"/>
    <s v="1390.00"/>
    <s v="1460.00"/>
    <s v="B1"/>
  </r>
  <r>
    <s v="1114"/>
    <x v="0"/>
    <s v="583"/>
    <s v="Keen, Peter"/>
    <s v="1123.00"/>
    <s v="829.00"/>
    <s v="E1"/>
  </r>
  <r>
    <s v="1115"/>
    <x v="2"/>
    <s v="1127"/>
    <s v="Griffin, Aundria"/>
    <s v="1610.00"/>
    <s v="1544.00"/>
    <s v="B1-L2"/>
  </r>
  <r>
    <s v="1116"/>
    <x v="0"/>
    <s v="583"/>
    <s v="Parrott, Delynn"/>
    <s v="1123.00"/>
    <s v="1085.00"/>
    <s v="E1"/>
  </r>
  <r>
    <s v="1117"/>
    <x v="2"/>
    <s v="1127"/>
    <s v="Fleming, Steven"/>
    <s v="1510.00"/>
    <s v="1629.00"/>
    <s v="B1-L2"/>
  </r>
  <r>
    <s v="1118"/>
    <x v="0"/>
    <s v="583"/>
    <s v="Huff, Patrice"/>
    <s v="1098.00"/>
    <s v="1034.00"/>
    <s v="E1"/>
  </r>
  <r>
    <s v="1119"/>
    <x v="2"/>
    <s v="1127"/>
    <s v="Howard, Baqiara"/>
    <s v="1510.00"/>
    <s v="1543.00"/>
    <s v="B1-L2"/>
  </r>
  <r>
    <s v="1120"/>
    <x v="0"/>
    <s v="583"/>
    <s v="Scott, Michael"/>
    <s v="1112.00"/>
    <s v="1272.00"/>
    <s v="E1"/>
  </r>
  <r>
    <s v="1121"/>
    <x v="2"/>
    <s v="1127"/>
    <s v="Grant, Janaye"/>
    <s v="1516.00"/>
    <s v="1429.00"/>
    <s v="B1-L2"/>
  </r>
  <r>
    <s v="1122"/>
    <x v="0"/>
    <s v="583"/>
    <s v="Evans, Kamron"/>
    <s v="1132.00"/>
    <s v="969.00"/>
    <s v="E1"/>
  </r>
  <r>
    <s v="1123"/>
    <x v="2"/>
    <s v="1127"/>
    <m/>
    <s v="1530.00"/>
    <s v="0.00"/>
    <s v="B1-L2"/>
  </r>
  <r>
    <s v="1124"/>
    <x v="0"/>
    <s v="583"/>
    <m/>
    <s v="1118.00"/>
    <s v="0.00"/>
    <s v="E1"/>
  </r>
  <r>
    <s v="1201"/>
    <x v="7"/>
    <s v="1380"/>
    <m/>
    <s v="1795.00"/>
    <s v="0.00"/>
    <s v="C1-L2"/>
  </r>
  <r>
    <s v="1202"/>
    <x v="2"/>
    <s v="1127"/>
    <s v="Joseph, David"/>
    <s v="1625.00"/>
    <s v="1439.00"/>
    <s v="B1-L2"/>
  </r>
  <r>
    <s v="1203"/>
    <x v="7"/>
    <s v="1380"/>
    <s v="Williams, Cerina"/>
    <s v="1795.00"/>
    <s v="1787.00"/>
    <s v="C1-L2"/>
  </r>
  <r>
    <s v="1204"/>
    <x v="2"/>
    <s v="1127"/>
    <s v="Weems, Stephanie"/>
    <s v="1611.00"/>
    <s v="1533.00"/>
    <s v="B1-L2"/>
  </r>
  <r>
    <s v="1205"/>
    <x v="7"/>
    <s v="1380"/>
    <m/>
    <s v="1680.00"/>
    <s v="0.00"/>
    <s v="C1-L2"/>
  </r>
  <r>
    <s v="1206"/>
    <x v="2"/>
    <s v="1127"/>
    <s v="Gay, Leah"/>
    <s v="1510.00"/>
    <s v="1579.00"/>
    <s v="B1-L2"/>
  </r>
  <r>
    <s v="1207"/>
    <x v="6"/>
    <s v="1380"/>
    <s v="Griffin, Cortery"/>
    <s v="1456.00"/>
    <s v="1491.00"/>
    <s v="C1"/>
  </r>
  <r>
    <s v="1208"/>
    <x v="1"/>
    <s v="1127"/>
    <s v="Francis, Andrea"/>
    <s v="1276.00"/>
    <s v="1413.00"/>
    <s v="B1"/>
  </r>
  <r>
    <s v="1209"/>
    <x v="7"/>
    <s v="1380"/>
    <s v="Conner, Jessica"/>
    <s v="1671.00"/>
    <s v="1626.00"/>
    <s v="C1-L2"/>
  </r>
  <r>
    <s v="1210"/>
    <x v="2"/>
    <s v="1127"/>
    <s v="Smith, August"/>
    <s v="1530.00"/>
    <s v="1475.00"/>
    <s v="B1-L2"/>
  </r>
  <r>
    <s v="1211"/>
    <x v="7"/>
    <s v="1380"/>
    <s v="Hayes, Angel"/>
    <s v="1700.00"/>
    <s v="1786.00"/>
    <s v="C1-L2"/>
  </r>
  <r>
    <s v="1212"/>
    <x v="1"/>
    <s v="1127"/>
    <s v="Jackson, Kalise"/>
    <s v="1296.00"/>
    <s v="1107.00"/>
    <s v="B1"/>
  </r>
  <r>
    <s v="1213"/>
    <x v="2"/>
    <s v="1127"/>
    <s v="Johnson, Quintavious"/>
    <s v="1535.00"/>
    <s v="1416.00"/>
    <s v="B1-L2"/>
  </r>
  <r>
    <s v="1214"/>
    <x v="7"/>
    <s v="1380"/>
    <s v="Mohammed, Ahmed"/>
    <s v="1706.00"/>
    <s v="1839.00"/>
    <s v="C1-L2"/>
  </r>
  <r>
    <s v="1215"/>
    <x v="1"/>
    <s v="1127"/>
    <s v="Davis, Claudia"/>
    <s v="1376.00"/>
    <s v="1474.00"/>
    <s v="B1"/>
  </r>
  <r>
    <s v="1216"/>
    <x v="7"/>
    <s v="1380"/>
    <s v="Forbin, Victor"/>
    <s v="1795.00"/>
    <s v="1855.00"/>
    <s v="C1-L2"/>
  </r>
  <r>
    <s v="1217"/>
    <x v="2"/>
    <s v="1127"/>
    <s v="Haynes, Alexis"/>
    <s v="1496.00"/>
    <s v="1430.00"/>
    <s v="B1-L2"/>
  </r>
  <r>
    <s v="1218"/>
    <x v="7"/>
    <s v="1380"/>
    <m/>
    <s v="1680.00"/>
    <s v="0.00"/>
    <s v="C1-L2"/>
  </r>
  <r>
    <s v="1219"/>
    <x v="2"/>
    <s v="1127"/>
    <s v="Dickerson, Chelsea"/>
    <s v="1506.00"/>
    <s v="1585.00"/>
    <s v="B1-L2"/>
  </r>
  <r>
    <s v="1220"/>
    <x v="7"/>
    <s v="1380"/>
    <s v="Standifer, Jacobie"/>
    <s v="1680.00"/>
    <s v="1568.00"/>
    <s v="C1-L2"/>
  </r>
  <r>
    <s v="1221"/>
    <x v="2"/>
    <s v="1127"/>
    <s v="Emmons, Billy"/>
    <s v="1530.00"/>
    <s v="1385.00"/>
    <s v="B1-L2"/>
  </r>
  <r>
    <s v="1222"/>
    <x v="7"/>
    <s v="1380"/>
    <s v="bhadi, suman"/>
    <s v="1700.00"/>
    <s v="2820.00"/>
    <s v="C1-L2"/>
  </r>
  <r>
    <s v="1223"/>
    <x v="2"/>
    <s v="1127"/>
    <s v="Harvey, Willie"/>
    <s v="1530.00"/>
    <s v="1081.00"/>
    <s v="B1-L2"/>
  </r>
  <r>
    <s v="1224"/>
    <x v="7"/>
    <s v="1380"/>
    <s v="Bediako, Jarmeshia"/>
    <s v="1700.00"/>
    <s v="1711.00"/>
    <s v="C1-L2"/>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r>
    <m/>
    <x v="8"/>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71" firstHeaderRow="1" firstDataRow="1" firstDataCol="1"/>
  <pivotFields count="7">
    <pivotField showAll="0"/>
    <pivotField axis="axisRow" showAll="0" sortType="ascending">
      <items count="117">
        <item m="1" x="56"/>
        <item m="1" x="58"/>
        <item m="1" x="57"/>
        <item m="1" x="87"/>
        <item m="1" x="90"/>
        <item m="1" x="86"/>
        <item m="1" x="92"/>
        <item m="1" x="94"/>
        <item m="1" x="93"/>
        <item m="1" x="109"/>
        <item m="1" x="110"/>
        <item m="1" x="103"/>
        <item m="1" x="112"/>
        <item m="1" x="105"/>
        <item m="1" x="59"/>
        <item m="1" x="60"/>
        <item m="1" x="89"/>
        <item m="1" x="88"/>
        <item m="1" x="96"/>
        <item m="1" x="95"/>
        <item m="1" x="97"/>
        <item m="1" x="99"/>
        <item m="1" x="100"/>
        <item m="1" x="98"/>
        <item m="1" x="115"/>
        <item m="1" x="107"/>
        <item m="1" x="113"/>
        <item m="1" x="106"/>
        <item m="1" x="91"/>
        <item m="1" x="45"/>
        <item m="1" x="43"/>
        <item m="1" x="49"/>
        <item m="1" x="46"/>
        <item m="1" x="48"/>
        <item m="1" x="47"/>
        <item m="1" x="50"/>
        <item m="1" x="52"/>
        <item m="1" x="44"/>
        <item m="1" x="42"/>
        <item m="1" x="55"/>
        <item m="1" x="51"/>
        <item m="1" x="54"/>
        <item m="1" x="53"/>
        <item m="1" x="104"/>
        <item m="1" x="114"/>
        <item m="1" x="101"/>
        <item m="1" x="108"/>
        <item m="1" x="102"/>
        <item m="1" x="111"/>
        <item x="5"/>
        <item m="1" x="70"/>
        <item m="1" x="17"/>
        <item x="4"/>
        <item m="1" x="71"/>
        <item m="1" x="23"/>
        <item m="1" x="18"/>
        <item m="1" x="19"/>
        <item m="1" x="39"/>
        <item m="1" x="67"/>
        <item m="1" x="40"/>
        <item m="1" x="74"/>
        <item x="1"/>
        <item m="1" x="36"/>
        <item m="1" x="22"/>
        <item x="2"/>
        <item m="1" x="20"/>
        <item m="1" x="35"/>
        <item m="1" x="21"/>
        <item m="1" x="38"/>
        <item m="1" x="9"/>
        <item m="1" x="11"/>
        <item m="1" x="10"/>
        <item m="1" x="12"/>
        <item m="1" x="14"/>
        <item m="1" x="15"/>
        <item m="1" x="16"/>
        <item m="1" x="13"/>
        <item x="6"/>
        <item m="1" x="37"/>
        <item m="1" x="24"/>
        <item x="7"/>
        <item m="1" x="25"/>
        <item m="1" x="26"/>
        <item m="1" x="72"/>
        <item m="1" x="65"/>
        <item m="1" x="78"/>
        <item m="1" x="68"/>
        <item m="1" x="83"/>
        <item m="1" x="77"/>
        <item m="1" x="66"/>
        <item m="1" x="76"/>
        <item m="1" x="64"/>
        <item m="1" x="82"/>
        <item x="0"/>
        <item x="3"/>
        <item m="1" x="80"/>
        <item m="1" x="73"/>
        <item m="1" x="85"/>
        <item m="1" x="61"/>
        <item m="1" x="62"/>
        <item m="1" x="81"/>
        <item m="1" x="75"/>
        <item m="1" x="63"/>
        <item m="1" x="79"/>
        <item m="1" x="69"/>
        <item m="1" x="84"/>
        <item m="1" x="41"/>
        <item m="1" x="32"/>
        <item m="1" x="28"/>
        <item m="1" x="29"/>
        <item m="1" x="33"/>
        <item m="1" x="30"/>
        <item m="1" x="34"/>
        <item m="1" x="31"/>
        <item m="1" x="27"/>
        <item x="8"/>
        <item t="default"/>
      </items>
    </pivotField>
    <pivotField showAll="0"/>
    <pivotField showAll="0"/>
    <pivotField showAll="0"/>
    <pivotField showAll="0"/>
    <pivotField showAll="0"/>
  </pivotFields>
  <rowFields count="1">
    <field x="1"/>
  </rowFields>
  <rowItems count="10">
    <i>
      <x v="49"/>
    </i>
    <i>
      <x v="52"/>
    </i>
    <i>
      <x v="61"/>
    </i>
    <i>
      <x v="64"/>
    </i>
    <i>
      <x v="77"/>
    </i>
    <i>
      <x v="80"/>
    </i>
    <i>
      <x v="93"/>
    </i>
    <i>
      <x v="94"/>
    </i>
    <i>
      <x v="115"/>
    </i>
    <i t="grand">
      <x/>
    </i>
  </rowItems>
  <colItems count="1">
    <i/>
  </colItems>
  <formats count="4">
    <format dxfId="38">
      <pivotArea type="all" dataOnly="0" outline="0"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34" dataDxfId="32" headerRowBorderDxfId="33" tableBorderDxfId="31">
  <autoFilter ref="C61:I1061" xr:uid="{B5EC05F5-CAD7-48E0-8206-8506C8061286}"/>
  <tableColumns count="7">
    <tableColumn id="1" xr3:uid="{45F6F738-68E2-4BDC-A7D9-E6F66A99921C}" name="Unit" dataDxfId="30"/>
    <tableColumn id="2" xr3:uid="{000E6F64-FF89-431A-A6C9-FC63D4A3BF67}" name="Unit Type" dataDxfId="29"/>
    <tableColumn id="3" xr3:uid="{5513E81A-4F1A-495B-A8A6-C04D65D7C41B}" name="Sq Ft" dataDxfId="28"/>
    <tableColumn id="4" xr3:uid="{D39AC367-C78E-4CDC-9A7E-69B5FD2C5ACE}" name="Tenant Name" dataDxfId="27"/>
    <tableColumn id="5" xr3:uid="{45E02A90-26A7-4D82-9185-6941E3A08559}" name="Market Rent" dataDxfId="26"/>
    <tableColumn id="6" xr3:uid="{0E532A4F-D257-4CD0-A412-87704FCFDDEA}" name="Lease Rent" dataDxfId="25"/>
    <tableColumn id="7" xr3:uid="{FBC1F914-0C48-48ED-9B34-FBDFA5B70689}" name="Occupancy" dataDxfId="24">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ublicaccess.claytoncountyga.gov/Datalets/Datalet.aspx?sIndex=0&amp;idx=1"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liveatnovostockbridge.com/" TargetMode="External"/><Relationship Id="rId7" Type="http://schemas.openxmlformats.org/officeDocument/2006/relationships/printerSettings" Target="../printerSettings/printerSettings6.bin"/><Relationship Id="rId2" Type="http://schemas.openxmlformats.org/officeDocument/2006/relationships/hyperlink" Target="https://www.battlecreekvillage.com/" TargetMode="External"/><Relationship Id="rId1" Type="http://schemas.openxmlformats.org/officeDocument/2006/relationships/hyperlink" Target="https://fieldstone.trionliving.com/" TargetMode="External"/><Relationship Id="rId6" Type="http://schemas.openxmlformats.org/officeDocument/2006/relationships/hyperlink" Target="https://www.thegroveonsouthlake.com/" TargetMode="External"/><Relationship Id="rId5" Type="http://schemas.openxmlformats.org/officeDocument/2006/relationships/hyperlink" Target="https://www.storymtzion.com/" TargetMode="External"/><Relationship Id="rId4" Type="http://schemas.openxmlformats.org/officeDocument/2006/relationships/hyperlink" Target="https://www.rovenaapartments.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1"/>
  <sheetViews>
    <sheetView showGridLines="0" tabSelected="1" zoomScale="90" zoomScaleNormal="90" workbookViewId="0">
      <selection activeCell="B2" sqref="B2"/>
    </sheetView>
  </sheetViews>
  <sheetFormatPr defaultColWidth="8.6640625" defaultRowHeight="14.4" outlineLevelCol="1" x14ac:dyDescent="0.3"/>
  <cols>
    <col min="1" max="1" width="3.33203125" customWidth="1"/>
    <col min="2" max="2" width="31.33203125" bestFit="1" customWidth="1"/>
    <col min="3" max="3" width="14.33203125" bestFit="1" customWidth="1"/>
    <col min="4" max="4" width="20.21875" customWidth="1"/>
    <col min="5" max="5" width="13.77734375" customWidth="1"/>
    <col min="6" max="6" width="19.77734375" customWidth="1"/>
    <col min="7" max="7" width="16" customWidth="1"/>
    <col min="8" max="8" width="18.77734375" bestFit="1" customWidth="1"/>
    <col min="9" max="9" width="17.77734375" customWidth="1"/>
    <col min="10" max="10" width="16.109375" customWidth="1"/>
    <col min="11" max="11" width="18.6640625" customWidth="1"/>
    <col min="12" max="12" width="19.5546875" customWidth="1"/>
    <col min="13" max="13" width="16.33203125" customWidth="1"/>
    <col min="14" max="14" width="17.33203125" bestFit="1" customWidth="1"/>
    <col min="15" max="15" width="11.6640625" bestFit="1" customWidth="1"/>
    <col min="16" max="17" width="11.44140625" bestFit="1" customWidth="1"/>
    <col min="18" max="18" width="13.33203125" bestFit="1" customWidth="1"/>
    <col min="19" max="19" width="12.33203125" bestFit="1" customWidth="1"/>
    <col min="20" max="28" width="8.6640625" hidden="1" customWidth="1" outlineLevel="1"/>
    <col min="29" max="29" width="9.33203125" bestFit="1" customWidth="1" collapsed="1"/>
  </cols>
  <sheetData>
    <row r="1" spans="1:29" s="112" customFormat="1" ht="7.2" customHeight="1" x14ac:dyDescent="0.3">
      <c r="A1" s="113"/>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6"/>
    </row>
    <row r="2" spans="1:29" s="112" customFormat="1" ht="18" x14ac:dyDescent="0.35">
      <c r="A2" s="177"/>
      <c r="B2" s="358" t="s">
        <v>772</v>
      </c>
      <c r="C2" s="198" t="s">
        <v>0</v>
      </c>
      <c r="D2" s="178" t="s">
        <v>587</v>
      </c>
      <c r="E2" s="180"/>
      <c r="F2" s="180"/>
      <c r="G2" s="178"/>
      <c r="H2" s="178"/>
      <c r="I2" s="180"/>
      <c r="J2" s="180"/>
      <c r="K2" s="180"/>
      <c r="L2" s="180"/>
      <c r="M2" s="180"/>
      <c r="N2" s="180"/>
      <c r="O2" s="180"/>
      <c r="P2" s="180"/>
      <c r="Q2" s="180"/>
      <c r="R2" s="180"/>
      <c r="S2" s="180"/>
      <c r="T2" s="180"/>
      <c r="U2" s="180"/>
      <c r="V2" s="180"/>
      <c r="W2" s="180"/>
      <c r="X2" s="180"/>
      <c r="Y2" s="180"/>
      <c r="Z2" s="180"/>
      <c r="AA2" s="180"/>
      <c r="AB2" s="180"/>
      <c r="AC2" s="181"/>
    </row>
    <row r="3" spans="1:29" s="112" customFormat="1" ht="16.2" thickBot="1" x14ac:dyDescent="0.35">
      <c r="A3" s="177"/>
      <c r="B3" s="199" t="s">
        <v>1</v>
      </c>
      <c r="C3" s="198" t="s">
        <v>2</v>
      </c>
      <c r="D3" s="429">
        <f>Units</f>
        <v>260</v>
      </c>
      <c r="E3" s="180"/>
      <c r="F3" s="180"/>
      <c r="G3" s="429"/>
      <c r="H3" s="429"/>
      <c r="I3" s="180"/>
      <c r="J3" s="180"/>
      <c r="K3" s="180"/>
      <c r="L3" s="180"/>
      <c r="M3" s="180"/>
      <c r="N3" s="180"/>
      <c r="O3" s="180"/>
      <c r="P3" s="180"/>
      <c r="Q3" s="180"/>
      <c r="R3" s="180"/>
      <c r="S3" s="180"/>
      <c r="T3" s="180"/>
      <c r="U3" s="180"/>
      <c r="V3" s="180"/>
      <c r="W3" s="180"/>
      <c r="X3" s="180"/>
      <c r="Y3" s="180"/>
      <c r="Z3" s="180"/>
      <c r="AA3" s="180"/>
      <c r="AB3" s="180"/>
      <c r="AC3" s="181"/>
    </row>
    <row r="4" spans="1:29" s="112" customFormat="1" ht="18.600000000000001" thickBot="1" x14ac:dyDescent="0.4">
      <c r="A4" s="182"/>
      <c r="B4" s="200"/>
      <c r="C4" s="201" t="s">
        <v>3</v>
      </c>
      <c r="D4" s="415">
        <v>2001</v>
      </c>
      <c r="E4" s="183"/>
      <c r="F4" s="186" t="s">
        <v>4</v>
      </c>
      <c r="G4" s="355">
        <v>2</v>
      </c>
      <c r="H4" s="186"/>
      <c r="I4" s="183"/>
      <c r="J4" s="183"/>
      <c r="K4" s="183"/>
      <c r="L4" s="183"/>
      <c r="M4" s="131" t="s">
        <v>5</v>
      </c>
      <c r="N4" s="221"/>
      <c r="O4" s="134"/>
      <c r="P4" s="134" t="s">
        <v>6</v>
      </c>
      <c r="Q4" s="414"/>
      <c r="R4" s="183"/>
      <c r="S4" s="183"/>
      <c r="T4" s="183"/>
      <c r="U4" s="183"/>
      <c r="V4" s="183"/>
      <c r="W4" s="183"/>
      <c r="X4" s="183"/>
      <c r="Y4" s="183"/>
      <c r="Z4" s="183"/>
      <c r="AA4" s="183"/>
      <c r="AC4" s="181"/>
    </row>
    <row r="5" spans="1:29" ht="15" thickBot="1" x14ac:dyDescent="0.35">
      <c r="B5" t="s">
        <v>7</v>
      </c>
      <c r="C5" s="401">
        <v>46173</v>
      </c>
      <c r="G5" s="112">
        <f>10925000</f>
        <v>10925000</v>
      </c>
      <c r="M5" s="133" t="s">
        <v>8</v>
      </c>
      <c r="N5" s="132" t="s">
        <v>9</v>
      </c>
      <c r="O5" s="132"/>
      <c r="P5" s="132"/>
      <c r="Q5" s="410" t="s">
        <v>10</v>
      </c>
    </row>
    <row r="6" spans="1:29" ht="15" thickBot="1" x14ac:dyDescent="0.35">
      <c r="B6" s="1" t="s">
        <v>11</v>
      </c>
      <c r="C6" s="2"/>
      <c r="D6" s="136" t="s">
        <v>12</v>
      </c>
      <c r="F6" s="140" t="s">
        <v>13</v>
      </c>
      <c r="G6" s="135"/>
      <c r="H6" s="219"/>
      <c r="I6" s="140" t="s">
        <v>14</v>
      </c>
      <c r="J6" s="220"/>
      <c r="K6" s="220"/>
      <c r="L6" s="219"/>
      <c r="M6" s="264" t="s">
        <v>765</v>
      </c>
      <c r="P6" s="534" t="s">
        <v>766</v>
      </c>
      <c r="Q6" s="523">
        <v>3.8298000000000001</v>
      </c>
    </row>
    <row r="7" spans="1:29" ht="15" thickBot="1" x14ac:dyDescent="0.35">
      <c r="B7" s="223" t="s">
        <v>15</v>
      </c>
      <c r="C7" s="383">
        <f>IF(OR(G4=0,G4=1),J8,K8)*1000000</f>
        <v>42700000</v>
      </c>
      <c r="D7" s="369">
        <f>C7/$D$3</f>
        <v>164230.76923076922</v>
      </c>
      <c r="F7" s="224" t="s">
        <v>16</v>
      </c>
      <c r="G7" s="225"/>
      <c r="H7" s="425">
        <v>0.03</v>
      </c>
      <c r="I7" s="87" t="str">
        <f>B2</f>
        <v>The Grove on Southlake</v>
      </c>
      <c r="J7" s="202">
        <v>1</v>
      </c>
      <c r="K7" s="203">
        <v>2</v>
      </c>
      <c r="L7" s="95" t="s">
        <v>314</v>
      </c>
      <c r="M7" s="264"/>
      <c r="P7" s="534"/>
      <c r="Q7" s="205"/>
    </row>
    <row r="8" spans="1:29" x14ac:dyDescent="0.3">
      <c r="B8" s="139" t="s">
        <v>309</v>
      </c>
      <c r="C8" s="384">
        <f>I66</f>
        <v>2133450.3969408935</v>
      </c>
      <c r="D8" s="370">
        <f t="shared" ref="D8:D16" si="0">C8/$D$3</f>
        <v>8205.5784497726672</v>
      </c>
      <c r="F8" s="139" t="s">
        <v>17</v>
      </c>
      <c r="G8" s="163"/>
      <c r="H8" s="380">
        <f>H7</f>
        <v>0.03</v>
      </c>
      <c r="I8" s="359" t="s">
        <v>18</v>
      </c>
      <c r="J8" s="388" t="str">
        <f>IF(G4=2,"",L8)</f>
        <v/>
      </c>
      <c r="K8" s="389">
        <v>42.7</v>
      </c>
      <c r="L8" s="390">
        <v>0</v>
      </c>
      <c r="M8" s="264"/>
      <c r="O8" s="616"/>
      <c r="Q8" s="205"/>
    </row>
    <row r="9" spans="1:29" x14ac:dyDescent="0.3">
      <c r="B9" s="139" t="s">
        <v>20</v>
      </c>
      <c r="C9" s="384">
        <f>'Sources &amp; Usage'!C9</f>
        <v>43425900</v>
      </c>
      <c r="D9" s="370">
        <f t="shared" si="0"/>
        <v>167022.69230769231</v>
      </c>
      <c r="F9" s="226" t="s">
        <v>21</v>
      </c>
      <c r="G9" s="227"/>
      <c r="H9" s="363">
        <v>2.75E-2</v>
      </c>
      <c r="I9" s="360" t="s">
        <v>312</v>
      </c>
      <c r="J9" s="391" t="str">
        <f>IF(G4=2,"",I63)</f>
        <v/>
      </c>
      <c r="K9" s="392">
        <f>IF(G4=1,"",I63)</f>
        <v>2133450.3969408935</v>
      </c>
      <c r="L9" s="393">
        <f>H63</f>
        <v>0</v>
      </c>
      <c r="M9" s="264"/>
      <c r="Q9" s="205"/>
    </row>
    <row r="10" spans="1:29" x14ac:dyDescent="0.3">
      <c r="B10" s="139" t="s">
        <v>310</v>
      </c>
      <c r="C10" s="228">
        <f>C8/C7</f>
        <v>4.9963709530231701E-2</v>
      </c>
      <c r="D10" s="370"/>
      <c r="F10" s="224" t="s">
        <v>22</v>
      </c>
      <c r="G10" s="225"/>
      <c r="H10" s="362">
        <v>2.75E-2</v>
      </c>
      <c r="I10" s="360" t="s">
        <v>23</v>
      </c>
      <c r="J10" s="394" t="str">
        <f>IF(G4=2,"",J9/(J8*1000000))</f>
        <v/>
      </c>
      <c r="K10" s="395">
        <f>IF(G4=1,"",K9/(K8*1000000))</f>
        <v>4.9963709530231701E-2</v>
      </c>
      <c r="L10" s="396">
        <v>0</v>
      </c>
      <c r="M10" s="264"/>
      <c r="Q10" s="205"/>
    </row>
    <row r="11" spans="1:29" x14ac:dyDescent="0.3">
      <c r="B11" s="139" t="s">
        <v>24</v>
      </c>
      <c r="C11" s="384">
        <f>Rent!I29</f>
        <v>270332</v>
      </c>
      <c r="D11" s="370">
        <f t="shared" si="0"/>
        <v>1039.7384615384615</v>
      </c>
      <c r="F11" s="226" t="s">
        <v>25</v>
      </c>
      <c r="G11" s="227"/>
      <c r="H11" s="363">
        <v>0</v>
      </c>
      <c r="I11" s="374" t="s">
        <v>26</v>
      </c>
      <c r="J11" s="397" t="str">
        <f>IF(G4=2,"",G76)</f>
        <v/>
      </c>
      <c r="K11" s="416">
        <f>IF(G4=1,"",G76)</f>
        <v>4.3197118415998964E-2</v>
      </c>
      <c r="L11" s="398" t="s">
        <v>19</v>
      </c>
      <c r="M11" s="264"/>
      <c r="Q11" s="205"/>
    </row>
    <row r="12" spans="1:29" x14ac:dyDescent="0.3">
      <c r="B12" s="139" t="s">
        <v>311</v>
      </c>
      <c r="C12" s="228">
        <f>I76</f>
        <v>3.8216749306724612E-2</v>
      </c>
      <c r="D12" s="370"/>
      <c r="F12" s="229" t="s">
        <v>27</v>
      </c>
      <c r="G12" s="230"/>
      <c r="H12" s="364">
        <v>0.01</v>
      </c>
      <c r="I12" s="360" t="s">
        <v>28</v>
      </c>
      <c r="J12" s="394" t="str">
        <f>IF(G4=2,"",G78)</f>
        <v/>
      </c>
      <c r="K12" s="395">
        <f>IF(G4=1,"",G78)</f>
        <v>4.9579895656008732E-2</v>
      </c>
      <c r="L12" s="396" t="s">
        <v>19</v>
      </c>
      <c r="M12" s="264"/>
      <c r="Q12" s="205"/>
    </row>
    <row r="13" spans="1:29" ht="15" thickBot="1" x14ac:dyDescent="0.35">
      <c r="B13" s="139" t="s">
        <v>29</v>
      </c>
      <c r="C13" s="385">
        <v>5</v>
      </c>
      <c r="D13" s="370"/>
      <c r="F13" s="224" t="s">
        <v>30</v>
      </c>
      <c r="G13" s="225"/>
      <c r="H13" s="372">
        <v>0</v>
      </c>
      <c r="I13" s="574" t="s">
        <v>313</v>
      </c>
      <c r="J13" s="575" t="str">
        <f>IF(G4=2,"",$I$63/(J8*1000000))</f>
        <v/>
      </c>
      <c r="K13" s="576">
        <f>IF(G4=1,"",$I$63/'Sources &amp; Usage'!$C$23)</f>
        <v>4.9128524611830579E-2</v>
      </c>
      <c r="L13" s="577" t="s">
        <v>19</v>
      </c>
      <c r="M13" s="264"/>
      <c r="Q13" s="205"/>
    </row>
    <row r="14" spans="1:29" x14ac:dyDescent="0.3">
      <c r="B14" s="139" t="s">
        <v>31</v>
      </c>
      <c r="C14" s="386">
        <v>0.06</v>
      </c>
      <c r="D14" s="370"/>
      <c r="F14" s="224" t="s">
        <v>32</v>
      </c>
      <c r="G14" s="361">
        <v>0.4</v>
      </c>
      <c r="H14" s="430">
        <f>G14*C7</f>
        <v>17080000</v>
      </c>
      <c r="I14" s="657" t="s">
        <v>328</v>
      </c>
      <c r="J14" s="658"/>
      <c r="K14" s="658"/>
      <c r="L14" s="659"/>
      <c r="M14" s="264"/>
      <c r="Q14" s="205"/>
    </row>
    <row r="15" spans="1:29" x14ac:dyDescent="0.3">
      <c r="B15" s="139" t="s">
        <v>33</v>
      </c>
      <c r="C15" s="384">
        <f>HLOOKUP($C$13+1,$I$46:$S$66,ROWS($I$46:$I$66))</f>
        <v>2610262.941460229</v>
      </c>
      <c r="D15" s="370">
        <f t="shared" si="0"/>
        <v>10039.472851770111</v>
      </c>
      <c r="F15" s="550" t="s">
        <v>305</v>
      </c>
      <c r="G15" s="442">
        <f>Q16</f>
        <v>3.8297999999999999E-2</v>
      </c>
      <c r="H15" s="541">
        <f>G15*H14</f>
        <v>654129.84</v>
      </c>
      <c r="I15" s="660"/>
      <c r="J15" s="661"/>
      <c r="K15" s="661"/>
      <c r="L15" s="662"/>
      <c r="Q15" s="205"/>
    </row>
    <row r="16" spans="1:29" ht="15" thickBot="1" x14ac:dyDescent="0.35">
      <c r="B16" s="161" t="s">
        <v>34</v>
      </c>
      <c r="C16" s="387">
        <f>HLOOKUP($C$13,$I$46:$S$67,ROWS($I$46:$I$67))</f>
        <v>43069338.534093782</v>
      </c>
      <c r="D16" s="371">
        <f t="shared" si="0"/>
        <v>165651.30205420684</v>
      </c>
      <c r="F16" s="161" t="s">
        <v>308</v>
      </c>
      <c r="G16" s="573"/>
      <c r="H16" s="443">
        <v>0.03</v>
      </c>
      <c r="I16" s="579" t="s">
        <v>316</v>
      </c>
      <c r="J16" s="232"/>
      <c r="K16" s="232"/>
      <c r="L16" s="124"/>
      <c r="M16" s="399"/>
      <c r="N16" s="400" t="s">
        <v>35</v>
      </c>
      <c r="O16" s="400"/>
      <c r="P16" s="400"/>
      <c r="Q16" s="129">
        <f>SUM(Q6:Q15)/100</f>
        <v>3.8297999999999999E-2</v>
      </c>
    </row>
    <row r="17" spans="2:29" x14ac:dyDescent="0.3">
      <c r="J17" s="233"/>
      <c r="K17" s="233"/>
    </row>
    <row r="18" spans="2:29" x14ac:dyDescent="0.3">
      <c r="B18" s="149" t="s">
        <v>36</v>
      </c>
      <c r="C18" s="551"/>
      <c r="D18" s="150">
        <f>Rent!D5</f>
        <v>46104</v>
      </c>
      <c r="E18" s="150"/>
      <c r="F18" s="81" t="s">
        <v>37</v>
      </c>
      <c r="G18" s="81" t="s">
        <v>38</v>
      </c>
      <c r="H18" s="81" t="s">
        <v>306</v>
      </c>
      <c r="I18" s="151">
        <v>1</v>
      </c>
      <c r="J18" s="151">
        <f>IF(I18&lt;$C$13+1,I18+1,"")</f>
        <v>2</v>
      </c>
      <c r="K18" s="151">
        <f>IF(J18&lt;$C$13+1,J18+1,"")</f>
        <v>3</v>
      </c>
      <c r="L18" s="151">
        <f t="shared" ref="L18:S18" si="1">IF(K18&lt;$C$13+1,K18+1,"")</f>
        <v>4</v>
      </c>
      <c r="M18" s="151">
        <f t="shared" si="1"/>
        <v>5</v>
      </c>
      <c r="N18" s="151">
        <f t="shared" si="1"/>
        <v>6</v>
      </c>
      <c r="O18" s="151" t="str">
        <f>IF(N18&lt;$C$13+1,N18+1,"")</f>
        <v/>
      </c>
      <c r="P18" s="151" t="str">
        <f t="shared" si="1"/>
        <v/>
      </c>
      <c r="Q18" s="151" t="str">
        <f t="shared" si="1"/>
        <v/>
      </c>
      <c r="R18" s="151" t="str">
        <f t="shared" si="1"/>
        <v/>
      </c>
      <c r="S18" s="151" t="str">
        <f t="shared" si="1"/>
        <v/>
      </c>
      <c r="T18" s="151" t="str">
        <f t="shared" ref="T18" si="2">IF(S18&lt;$C$13+1,S18+1,"")</f>
        <v/>
      </c>
      <c r="U18" s="151" t="str">
        <f t="shared" ref="U18" si="3">IF(T18&lt;$C$13+1,T18+1,"")</f>
        <v/>
      </c>
      <c r="V18" s="151" t="str">
        <f t="shared" ref="V18" si="4">IF(U18&lt;$C$13+1,U18+1,"")</f>
        <v/>
      </c>
      <c r="W18" s="151" t="str">
        <f t="shared" ref="W18" si="5">IF(V18&lt;$C$13+1,V18+1,"")</f>
        <v/>
      </c>
      <c r="X18" s="151" t="str">
        <f t="shared" ref="X18" si="6">IF(W18&lt;$C$13+1,W18+1,"")</f>
        <v/>
      </c>
      <c r="Y18" s="151" t="str">
        <f t="shared" ref="Y18" si="7">IF(X18&lt;$C$13+1,X18+1,"")</f>
        <v/>
      </c>
      <c r="Z18" s="151" t="str">
        <f t="shared" ref="Z18" si="8">IF(Y18&lt;$C$13+1,Y18+1,"")</f>
        <v/>
      </c>
      <c r="AA18" s="151" t="str">
        <f t="shared" ref="AA18" si="9">IF(Z18&lt;$C$13+1,Z18+1,"")</f>
        <v/>
      </c>
      <c r="AB18" s="151" t="str">
        <f t="shared" ref="AB18" si="10">IF(AA18&lt;$C$13+1,AA18+1,"")</f>
        <v/>
      </c>
      <c r="AC18" s="152" t="str">
        <f t="shared" ref="AC18" si="11">IF(AB18&lt;$C$13+1,AB18+1,"")</f>
        <v/>
      </c>
    </row>
    <row r="19" spans="2:29" x14ac:dyDescent="0.3">
      <c r="B19" s="234" t="s">
        <v>39</v>
      </c>
      <c r="C19" s="163"/>
      <c r="D19" s="148">
        <f>Rent!H32/Rent!H30</f>
        <v>1.9496638594897843E-2</v>
      </c>
      <c r="E19" s="148"/>
      <c r="F19" s="228">
        <f>-F34/F33</f>
        <v>2.2239821181350546E-2</v>
      </c>
      <c r="G19" s="228">
        <f>-G34/G33</f>
        <v>1.3078285142904756E-2</v>
      </c>
      <c r="H19" s="618" t="e">
        <f>-H34/H33</f>
        <v>#DIV/0!</v>
      </c>
      <c r="I19" s="445">
        <f>-I34/I33</f>
        <v>1.9496638594897843E-2</v>
      </c>
      <c r="J19" s="386">
        <v>0.01</v>
      </c>
      <c r="K19" s="386">
        <v>0.01</v>
      </c>
      <c r="L19" s="386">
        <v>0.01</v>
      </c>
      <c r="M19" s="386">
        <v>0.01</v>
      </c>
      <c r="N19" s="386">
        <f t="shared" ref="N19:S19" si="12">M19</f>
        <v>0.01</v>
      </c>
      <c r="O19" s="386">
        <f t="shared" si="12"/>
        <v>0.01</v>
      </c>
      <c r="P19" s="386">
        <f t="shared" si="12"/>
        <v>0.01</v>
      </c>
      <c r="Q19" s="386">
        <f t="shared" si="12"/>
        <v>0.01</v>
      </c>
      <c r="R19" s="386">
        <f t="shared" si="12"/>
        <v>0.01</v>
      </c>
      <c r="S19" s="386">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x14ac:dyDescent="0.3">
      <c r="B20" s="234" t="s">
        <v>40</v>
      </c>
      <c r="C20" s="163"/>
      <c r="D20" s="228">
        <f>1-Rent!H29</f>
        <v>8.0769230769230815E-2</v>
      </c>
      <c r="E20" s="228"/>
      <c r="F20" s="228">
        <f t="shared" ref="F20:G23" si="14">-F36/$G$35</f>
        <v>7.6333087771836797E-2</v>
      </c>
      <c r="G20" s="228">
        <f t="shared" si="14"/>
        <v>6.5317102003825303E-2</v>
      </c>
      <c r="H20" s="618" t="e">
        <f>-H36/$H$35</f>
        <v>#DIV/0!</v>
      </c>
      <c r="I20" s="386">
        <v>0.05</v>
      </c>
      <c r="J20" s="386">
        <v>0.05</v>
      </c>
      <c r="K20" s="386">
        <v>0.05</v>
      </c>
      <c r="L20" s="386">
        <v>0.05</v>
      </c>
      <c r="M20" s="386">
        <f t="shared" si="13"/>
        <v>0.05</v>
      </c>
      <c r="N20" s="386">
        <f t="shared" si="13"/>
        <v>0.05</v>
      </c>
      <c r="O20" s="386">
        <f>N20</f>
        <v>0.05</v>
      </c>
      <c r="P20" s="386">
        <f t="shared" si="13"/>
        <v>0.05</v>
      </c>
      <c r="Q20" s="386">
        <f t="shared" si="13"/>
        <v>0.05</v>
      </c>
      <c r="R20" s="386">
        <f t="shared" si="13"/>
        <v>0.05</v>
      </c>
      <c r="S20" s="386">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x14ac:dyDescent="0.3">
      <c r="B21" s="234" t="s">
        <v>41</v>
      </c>
      <c r="C21" s="163"/>
      <c r="D21" s="235"/>
      <c r="E21" s="235"/>
      <c r="F21" s="228">
        <f t="shared" si="14"/>
        <v>1.8401290679521946E-2</v>
      </c>
      <c r="G21" s="228">
        <f t="shared" si="14"/>
        <v>1.1438723801426687E-2</v>
      </c>
      <c r="H21" s="618" t="e">
        <f>-H37/$H$35</f>
        <v>#DIV/0!</v>
      </c>
      <c r="I21" s="386">
        <v>0.01</v>
      </c>
      <c r="J21" s="386">
        <v>0.01</v>
      </c>
      <c r="K21" s="386">
        <v>0.01</v>
      </c>
      <c r="L21" s="386">
        <v>0.01</v>
      </c>
      <c r="M21" s="386">
        <f t="shared" ref="M21:AB21" si="15">L21</f>
        <v>0.01</v>
      </c>
      <c r="N21" s="386">
        <f t="shared" si="15"/>
        <v>0.01</v>
      </c>
      <c r="O21" s="386">
        <f>N21</f>
        <v>0.01</v>
      </c>
      <c r="P21" s="386">
        <f t="shared" si="15"/>
        <v>0.01</v>
      </c>
      <c r="Q21" s="386">
        <f t="shared" si="15"/>
        <v>0.01</v>
      </c>
      <c r="R21" s="386">
        <f t="shared" si="15"/>
        <v>0.01</v>
      </c>
      <c r="S21" s="386">
        <f t="shared" si="15"/>
        <v>0.01</v>
      </c>
      <c r="T21" s="79">
        <f t="shared" si="15"/>
        <v>0.01</v>
      </c>
      <c r="U21" s="79">
        <f t="shared" si="15"/>
        <v>0.01</v>
      </c>
      <c r="V21" s="79">
        <f t="shared" si="15"/>
        <v>0.01</v>
      </c>
      <c r="W21" s="79">
        <f t="shared" si="15"/>
        <v>0.01</v>
      </c>
      <c r="X21" s="79">
        <f t="shared" si="15"/>
        <v>0.01</v>
      </c>
      <c r="Y21" s="79">
        <f t="shared" si="15"/>
        <v>0.01</v>
      </c>
      <c r="Z21" s="79">
        <f t="shared" si="15"/>
        <v>0.01</v>
      </c>
      <c r="AA21" s="79">
        <f t="shared" si="15"/>
        <v>0.01</v>
      </c>
      <c r="AB21" s="79">
        <f t="shared" si="15"/>
        <v>0.01</v>
      </c>
      <c r="AC21" s="96"/>
    </row>
    <row r="22" spans="2:29" x14ac:dyDescent="0.3">
      <c r="B22" s="234" t="s">
        <v>42</v>
      </c>
      <c r="C22" s="163"/>
      <c r="D22" s="235"/>
      <c r="E22" s="235"/>
      <c r="F22" s="228">
        <f t="shared" si="14"/>
        <v>4.1047311263132477E-2</v>
      </c>
      <c r="G22" s="228">
        <f t="shared" si="14"/>
        <v>3.4963813734466526E-2</v>
      </c>
      <c r="H22" s="618" t="e">
        <f>-H38/$H$35</f>
        <v>#DIV/0!</v>
      </c>
      <c r="I22" s="386">
        <v>3.5000000000000003E-2</v>
      </c>
      <c r="J22" s="386">
        <v>0.02</v>
      </c>
      <c r="K22" s="386">
        <f t="shared" ref="J22:K23" si="16">J22</f>
        <v>0.02</v>
      </c>
      <c r="L22" s="386">
        <f t="shared" ref="L22" si="17">K22</f>
        <v>0.02</v>
      </c>
      <c r="M22" s="386">
        <f t="shared" ref="M22" si="18">L22</f>
        <v>0.02</v>
      </c>
      <c r="N22" s="386">
        <f t="shared" ref="N22" si="19">M22</f>
        <v>0.02</v>
      </c>
      <c r="O22" s="386">
        <f>N22</f>
        <v>0.02</v>
      </c>
      <c r="P22" s="386">
        <f t="shared" ref="P22" si="20">O22</f>
        <v>0.02</v>
      </c>
      <c r="Q22" s="386">
        <f t="shared" ref="Q22" si="21">P22</f>
        <v>0.02</v>
      </c>
      <c r="R22" s="386">
        <f t="shared" ref="R22" si="22">Q22</f>
        <v>0.02</v>
      </c>
      <c r="S22" s="386">
        <f t="shared" ref="S22" si="23">R22</f>
        <v>0.02</v>
      </c>
      <c r="T22" s="79">
        <f t="shared" ref="T22" si="24">S22</f>
        <v>0.02</v>
      </c>
      <c r="U22" s="79">
        <f t="shared" ref="U22" si="25">T22</f>
        <v>0.02</v>
      </c>
      <c r="V22" s="79">
        <f t="shared" ref="V22" si="26">U22</f>
        <v>0.02</v>
      </c>
      <c r="W22" s="79">
        <f t="shared" ref="W22" si="27">V22</f>
        <v>0.02</v>
      </c>
      <c r="X22" s="79">
        <f t="shared" ref="X22" si="28">W22</f>
        <v>0.02</v>
      </c>
      <c r="Y22" s="79">
        <f t="shared" ref="Y22" si="29">X22</f>
        <v>0.02</v>
      </c>
      <c r="Z22" s="79">
        <f t="shared" ref="Z22" si="30">Y22</f>
        <v>0.02</v>
      </c>
      <c r="AA22" s="79">
        <f t="shared" ref="AA22" si="31">Z22</f>
        <v>0.02</v>
      </c>
      <c r="AB22" s="79">
        <f t="shared" ref="AB22" si="32">AA22</f>
        <v>0.02</v>
      </c>
      <c r="AC22" s="96"/>
    </row>
    <row r="23" spans="2:29" x14ac:dyDescent="0.3">
      <c r="B23" s="236" t="s">
        <v>43</v>
      </c>
      <c r="C23" s="227"/>
      <c r="D23" s="238"/>
      <c r="E23" s="238"/>
      <c r="F23" s="239">
        <f t="shared" si="14"/>
        <v>5.301507305490465E-3</v>
      </c>
      <c r="G23" s="239">
        <f t="shared" si="14"/>
        <v>6.169107400739191E-3</v>
      </c>
      <c r="H23" s="619" t="e">
        <f>-H39/$H$35</f>
        <v>#DIV/0!</v>
      </c>
      <c r="I23" s="522">
        <f>G23</f>
        <v>6.169107400739191E-3</v>
      </c>
      <c r="J23" s="522">
        <f t="shared" si="16"/>
        <v>6.169107400739191E-3</v>
      </c>
      <c r="K23" s="522">
        <f t="shared" si="16"/>
        <v>6.169107400739191E-3</v>
      </c>
      <c r="L23" s="522">
        <f t="shared" ref="L23:AB23" si="33">K23</f>
        <v>6.169107400739191E-3</v>
      </c>
      <c r="M23" s="522">
        <f t="shared" si="33"/>
        <v>6.169107400739191E-3</v>
      </c>
      <c r="N23" s="522">
        <f t="shared" si="33"/>
        <v>6.169107400739191E-3</v>
      </c>
      <c r="O23" s="522">
        <f>N23</f>
        <v>6.169107400739191E-3</v>
      </c>
      <c r="P23" s="522">
        <f t="shared" si="33"/>
        <v>6.169107400739191E-3</v>
      </c>
      <c r="Q23" s="522">
        <f t="shared" si="33"/>
        <v>6.169107400739191E-3</v>
      </c>
      <c r="R23" s="522">
        <f t="shared" si="33"/>
        <v>6.169107400739191E-3</v>
      </c>
      <c r="S23" s="522">
        <f t="shared" si="33"/>
        <v>6.169107400739191E-3</v>
      </c>
      <c r="T23" s="130">
        <f t="shared" si="33"/>
        <v>6.169107400739191E-3</v>
      </c>
      <c r="U23" s="130">
        <f t="shared" si="33"/>
        <v>6.169107400739191E-3</v>
      </c>
      <c r="V23" s="130">
        <f t="shared" si="33"/>
        <v>6.169107400739191E-3</v>
      </c>
      <c r="W23" s="130">
        <f t="shared" si="33"/>
        <v>6.169107400739191E-3</v>
      </c>
      <c r="X23" s="130">
        <f t="shared" si="33"/>
        <v>6.169107400739191E-3</v>
      </c>
      <c r="Y23" s="130">
        <f t="shared" si="33"/>
        <v>6.169107400739191E-3</v>
      </c>
      <c r="Z23" s="130">
        <f t="shared" si="33"/>
        <v>6.169107400739191E-3</v>
      </c>
      <c r="AA23" s="130">
        <f t="shared" si="33"/>
        <v>6.169107400739191E-3</v>
      </c>
      <c r="AB23" s="130">
        <f t="shared" si="33"/>
        <v>6.169107400739191E-3</v>
      </c>
      <c r="AC23" s="78"/>
    </row>
    <row r="24" spans="2:29" x14ac:dyDescent="0.3">
      <c r="D24" s="245">
        <f>Rent!H29</f>
        <v>0.91923076923076918</v>
      </c>
      <c r="E24" s="245"/>
      <c r="H24" s="245"/>
    </row>
    <row r="25" spans="2:29" x14ac:dyDescent="0.3">
      <c r="B25" s="146" t="s">
        <v>44</v>
      </c>
      <c r="C25" s="147"/>
      <c r="D25" s="147"/>
      <c r="E25" s="147"/>
      <c r="F25" s="367">
        <f>F35/Units/12</f>
        <v>1407.0696025641028</v>
      </c>
      <c r="G25" s="367">
        <f>G35/Units/12</f>
        <v>1396.9902179487181</v>
      </c>
      <c r="H25" s="367">
        <f>H35/Units/12</f>
        <v>0</v>
      </c>
      <c r="I25" s="367">
        <f>I35/Units/12</f>
        <v>1419.6783593119965</v>
      </c>
      <c r="J25" s="367">
        <f t="shared" ref="J25:S25" si="34">IF(J$18="","",J35/Units/12)</f>
        <v>1476.4314738461537</v>
      </c>
      <c r="K25" s="367">
        <f>IF(K$18="","",K35/Units/12)</f>
        <v>1520.7244180615387</v>
      </c>
      <c r="L25" s="367">
        <f>IF(L$18="","",L35/Units/12)</f>
        <v>1566.3461506033848</v>
      </c>
      <c r="M25" s="367">
        <f>IF(M$18="","",M35/Units/12)</f>
        <v>1613.3365351214863</v>
      </c>
      <c r="N25" s="367">
        <f>IF(N$18="","",N35/Units/12)</f>
        <v>1661.7366311751309</v>
      </c>
      <c r="O25" s="367" t="str">
        <f t="shared" si="34"/>
        <v/>
      </c>
      <c r="P25" s="367" t="str">
        <f t="shared" si="34"/>
        <v/>
      </c>
      <c r="Q25" s="367" t="str">
        <f t="shared" si="34"/>
        <v/>
      </c>
      <c r="R25" s="367" t="str">
        <f t="shared" si="34"/>
        <v/>
      </c>
      <c r="S25" s="367" t="str">
        <f t="shared" si="34"/>
        <v/>
      </c>
      <c r="T25" s="367" t="str">
        <f t="shared" ref="T25:AC25" si="35">IF(T$18="","",T35/Units/12)</f>
        <v/>
      </c>
      <c r="U25" s="367" t="str">
        <f t="shared" si="35"/>
        <v/>
      </c>
      <c r="V25" s="367" t="str">
        <f t="shared" si="35"/>
        <v/>
      </c>
      <c r="W25" s="367" t="str">
        <f t="shared" si="35"/>
        <v/>
      </c>
      <c r="X25" s="367" t="str">
        <f t="shared" si="35"/>
        <v/>
      </c>
      <c r="Y25" s="367" t="str">
        <f t="shared" si="35"/>
        <v/>
      </c>
      <c r="Z25" s="367" t="str">
        <f t="shared" si="35"/>
        <v/>
      </c>
      <c r="AA25" s="367" t="str">
        <f t="shared" si="35"/>
        <v/>
      </c>
      <c r="AB25" s="367" t="str">
        <f t="shared" si="35"/>
        <v/>
      </c>
      <c r="AC25" s="368" t="str">
        <f t="shared" si="35"/>
        <v/>
      </c>
    </row>
    <row r="26" spans="2:29" x14ac:dyDescent="0.3">
      <c r="B26" s="234" t="s">
        <v>45</v>
      </c>
      <c r="C26" s="163"/>
      <c r="D26" s="235"/>
      <c r="E26" s="235"/>
      <c r="F26" s="365"/>
      <c r="G26" s="365"/>
      <c r="H26" s="235"/>
      <c r="I26" s="263">
        <f>IF(I$18="","",I35/G35-1)</f>
        <v>1.6240730301313677E-2</v>
      </c>
      <c r="J26" s="263">
        <f t="shared" ref="J26:O26" si="36">IF(J$18="","",J35/I35-1)</f>
        <v>3.9976036939564752E-2</v>
      </c>
      <c r="K26" s="263">
        <f t="shared" si="36"/>
        <v>3.0000000000000027E-2</v>
      </c>
      <c r="L26" s="263">
        <f t="shared" si="36"/>
        <v>3.0000000000000027E-2</v>
      </c>
      <c r="M26" s="263">
        <f t="shared" si="36"/>
        <v>3.0000000000000027E-2</v>
      </c>
      <c r="N26" s="263">
        <f t="shared" si="36"/>
        <v>2.9999999999999805E-2</v>
      </c>
      <c r="O26" s="263" t="str">
        <f t="shared" si="36"/>
        <v/>
      </c>
      <c r="P26" s="263" t="str">
        <f t="shared" ref="P26:S26" si="37">IF(P$18="","",P35/O35-1)</f>
        <v/>
      </c>
      <c r="Q26" s="263" t="str">
        <f t="shared" si="37"/>
        <v/>
      </c>
      <c r="R26" s="263" t="str">
        <f t="shared" si="37"/>
        <v/>
      </c>
      <c r="S26" s="263" t="str">
        <f t="shared" si="37"/>
        <v/>
      </c>
      <c r="T26" s="263" t="str">
        <f t="shared" ref="T26" si="38">IF(T$18="","",T35/S35-1)</f>
        <v/>
      </c>
      <c r="U26" s="263" t="str">
        <f t="shared" ref="U26" si="39">IF(U$18="","",U35/T35-1)</f>
        <v/>
      </c>
      <c r="V26" s="263" t="str">
        <f t="shared" ref="V26" si="40">IF(V$18="","",V35/U35-1)</f>
        <v/>
      </c>
      <c r="W26" s="263" t="str">
        <f t="shared" ref="W26" si="41">IF(W$18="","",W35/V35-1)</f>
        <v/>
      </c>
      <c r="X26" s="263" t="str">
        <f t="shared" ref="X26" si="42">IF(X$18="","",X35/W35-1)</f>
        <v/>
      </c>
      <c r="Y26" s="263" t="str">
        <f t="shared" ref="Y26" si="43">IF(Y$18="","",Y35/X35-1)</f>
        <v/>
      </c>
      <c r="Z26" s="263" t="str">
        <f t="shared" ref="Z26" si="44">IF(Z$18="","",Z35/Y35-1)</f>
        <v/>
      </c>
      <c r="AA26" s="263" t="str">
        <f t="shared" ref="AA26" si="45">IF(AA$18="","",AA35/Z35-1)</f>
        <v/>
      </c>
      <c r="AB26" s="263" t="str">
        <f t="shared" ref="AB26" si="46">IF(AB$18="","",AB35/AA35-1)</f>
        <v/>
      </c>
      <c r="AC26" s="263" t="str">
        <f t="shared" ref="AC26" si="47">IF(AC$18="","",AC35/AB35-1)</f>
        <v/>
      </c>
    </row>
    <row r="27" spans="2:29" x14ac:dyDescent="0.3">
      <c r="B27" s="234" t="s">
        <v>46</v>
      </c>
      <c r="C27" s="163"/>
      <c r="D27" s="235"/>
      <c r="E27" s="235"/>
      <c r="F27" s="228">
        <f>IF(F$18="","",F40/F35)</f>
        <v>0.85992743657123594</v>
      </c>
      <c r="G27" s="228">
        <f>IF(G$18="","",G40/G35)</f>
        <v>0.8821112530595423</v>
      </c>
      <c r="H27" s="618" t="e">
        <f>IF(H$18="","",H40/H35)</f>
        <v>#DIV/0!</v>
      </c>
      <c r="I27" s="263">
        <f>IF(I$18="","",I40/I35)</f>
        <v>0.89883089259926074</v>
      </c>
      <c r="J27" s="263">
        <f t="shared" ref="J27:S27" si="48">IF(J$18="","",J40/J35)</f>
        <v>0.91383089259926087</v>
      </c>
      <c r="K27" s="263">
        <f>IF(K$18="","",K40/K35)</f>
        <v>0.91383089259926065</v>
      </c>
      <c r="L27" s="263">
        <f>IF(L$18="","",L40/L35)</f>
        <v>0.91383089259926065</v>
      </c>
      <c r="M27" s="263">
        <f>IF(M$18="","",M40/M35)</f>
        <v>0.91383089259926087</v>
      </c>
      <c r="N27" s="263">
        <f>IF(N$18="","",N40/N35)</f>
        <v>0.91383089259926076</v>
      </c>
      <c r="O27" s="263" t="str">
        <f t="shared" si="48"/>
        <v/>
      </c>
      <c r="P27" s="263" t="str">
        <f t="shared" si="48"/>
        <v/>
      </c>
      <c r="Q27" s="263" t="str">
        <f t="shared" si="48"/>
        <v/>
      </c>
      <c r="R27" s="263" t="str">
        <f t="shared" si="48"/>
        <v/>
      </c>
      <c r="S27" s="263" t="str">
        <f t="shared" si="48"/>
        <v/>
      </c>
      <c r="T27" s="263" t="str">
        <f t="shared" ref="T27:AC27" si="49">IF(T$18="","",T40/T35)</f>
        <v/>
      </c>
      <c r="U27" s="263" t="str">
        <f t="shared" si="49"/>
        <v/>
      </c>
      <c r="V27" s="263" t="str">
        <f t="shared" si="49"/>
        <v/>
      </c>
      <c r="W27" s="263" t="str">
        <f t="shared" si="49"/>
        <v/>
      </c>
      <c r="X27" s="263" t="str">
        <f t="shared" si="49"/>
        <v/>
      </c>
      <c r="Y27" s="263" t="str">
        <f t="shared" si="49"/>
        <v/>
      </c>
      <c r="Z27" s="263" t="str">
        <f t="shared" si="49"/>
        <v/>
      </c>
      <c r="AA27" s="263" t="str">
        <f t="shared" si="49"/>
        <v/>
      </c>
      <c r="AB27" s="263" t="str">
        <f t="shared" si="49"/>
        <v/>
      </c>
      <c r="AC27" s="263" t="str">
        <f t="shared" si="49"/>
        <v/>
      </c>
    </row>
    <row r="28" spans="2:29" x14ac:dyDescent="0.3">
      <c r="B28" s="236" t="s">
        <v>47</v>
      </c>
      <c r="C28" s="227"/>
      <c r="D28" s="238"/>
      <c r="E28" s="238"/>
      <c r="F28" s="238"/>
      <c r="G28" s="238"/>
      <c r="H28" s="238"/>
      <c r="I28" s="366">
        <f>IF(I$18="","",I40/G40-1)</f>
        <v>3.5502675591417843E-2</v>
      </c>
      <c r="J28" s="366">
        <f t="shared" ref="J28:O28" si="50">IF(J$18="","",J40/I40-1)</f>
        <v>5.7331515798310084E-2</v>
      </c>
      <c r="K28" s="366">
        <f t="shared" si="50"/>
        <v>2.9999999999999805E-2</v>
      </c>
      <c r="L28" s="366">
        <f t="shared" si="50"/>
        <v>3.0000000000000027E-2</v>
      </c>
      <c r="M28" s="366">
        <f t="shared" si="50"/>
        <v>3.0000000000000249E-2</v>
      </c>
      <c r="N28" s="366">
        <f t="shared" si="50"/>
        <v>2.9999999999999805E-2</v>
      </c>
      <c r="O28" s="366" t="str">
        <f t="shared" si="50"/>
        <v/>
      </c>
      <c r="P28" s="366" t="str">
        <f t="shared" ref="P28:S28" si="51">IF(P$18="","",P40/O40-1)</f>
        <v/>
      </c>
      <c r="Q28" s="366" t="str">
        <f t="shared" si="51"/>
        <v/>
      </c>
      <c r="R28" s="366" t="str">
        <f t="shared" si="51"/>
        <v/>
      </c>
      <c r="S28" s="366" t="str">
        <f t="shared" si="51"/>
        <v/>
      </c>
      <c r="T28" s="366" t="str">
        <f t="shared" ref="T28" si="52">IF(T$18="","",T40/S40-1)</f>
        <v/>
      </c>
      <c r="U28" s="366" t="str">
        <f t="shared" ref="U28" si="53">IF(U$18="","",U40/T40-1)</f>
        <v/>
      </c>
      <c r="V28" s="366" t="str">
        <f t="shared" ref="V28" si="54">IF(V$18="","",V40/U40-1)</f>
        <v/>
      </c>
      <c r="W28" s="366" t="str">
        <f t="shared" ref="W28" si="55">IF(W$18="","",W40/V40-1)</f>
        <v/>
      </c>
      <c r="X28" s="366" t="str">
        <f t="shared" ref="X28" si="56">IF(X$18="","",X40/W40-1)</f>
        <v/>
      </c>
      <c r="Y28" s="366" t="str">
        <f t="shared" ref="Y28" si="57">IF(Y$18="","",Y40/X40-1)</f>
        <v/>
      </c>
      <c r="Z28" s="366" t="str">
        <f t="shared" ref="Z28" si="58">IF(Z$18="","",Z40/Y40-1)</f>
        <v/>
      </c>
      <c r="AA28" s="366" t="str">
        <f t="shared" ref="AA28" si="59">IF(AA$18="","",AA40/Z40-1)</f>
        <v/>
      </c>
      <c r="AB28" s="366" t="str">
        <f t="shared" ref="AB28" si="60">IF(AB$18="","",AB40/AA40-1)</f>
        <v/>
      </c>
      <c r="AC28" s="366" t="str">
        <f t="shared" ref="AC28" si="61">IF(AC$18="","",AC40/AB40-1)</f>
        <v/>
      </c>
    </row>
    <row r="29" spans="2:29" x14ac:dyDescent="0.3">
      <c r="J29" s="379"/>
    </row>
    <row r="30" spans="2:29" x14ac:dyDescent="0.3">
      <c r="B30" s="153" t="s">
        <v>48</v>
      </c>
      <c r="C30" s="551"/>
      <c r="D30" s="81" t="s">
        <v>49</v>
      </c>
      <c r="E30" s="81" t="s">
        <v>61</v>
      </c>
      <c r="F30" s="81" t="str">
        <f>F18</f>
        <v>T3</v>
      </c>
      <c r="G30" s="81" t="s">
        <v>38</v>
      </c>
      <c r="H30" s="81" t="s">
        <v>314</v>
      </c>
      <c r="I30" s="151">
        <v>1</v>
      </c>
      <c r="J30" s="151">
        <f>IF(I30&lt;$C$13+1,I30+1,"")</f>
        <v>2</v>
      </c>
      <c r="K30" s="151">
        <f>IF(J30&lt;$C$13+1,J30+1,"")</f>
        <v>3</v>
      </c>
      <c r="L30" s="151">
        <f t="shared" ref="L30:S30" si="62">IF(K30&lt;$C$13+1,K30+1,"")</f>
        <v>4</v>
      </c>
      <c r="M30" s="151">
        <f t="shared" si="62"/>
        <v>5</v>
      </c>
      <c r="N30" s="151">
        <f t="shared" si="62"/>
        <v>6</v>
      </c>
      <c r="O30" s="151" t="str">
        <f>IF(N30&lt;$C$13+1,N30+1,"")</f>
        <v/>
      </c>
      <c r="P30" s="151" t="str">
        <f t="shared" si="62"/>
        <v/>
      </c>
      <c r="Q30" s="151" t="str">
        <f t="shared" si="62"/>
        <v/>
      </c>
      <c r="R30" s="151" t="str">
        <f t="shared" si="62"/>
        <v/>
      </c>
      <c r="S30" s="151" t="str">
        <f t="shared" si="62"/>
        <v/>
      </c>
      <c r="T30" s="151" t="str">
        <f t="shared" ref="T30" si="63">IF(S30&lt;$C$13+1,S30+1,"")</f>
        <v/>
      </c>
      <c r="U30" s="151" t="str">
        <f t="shared" ref="U30" si="64">IF(T30&lt;$C$13+1,T30+1,"")</f>
        <v/>
      </c>
      <c r="V30" s="151" t="str">
        <f t="shared" ref="V30" si="65">IF(U30&lt;$C$13+1,U30+1,"")</f>
        <v/>
      </c>
      <c r="W30" s="151" t="str">
        <f t="shared" ref="W30" si="66">IF(V30&lt;$C$13+1,V30+1,"")</f>
        <v/>
      </c>
      <c r="X30" s="151" t="str">
        <f t="shared" ref="X30" si="67">IF(W30&lt;$C$13+1,W30+1,"")</f>
        <v/>
      </c>
      <c r="Y30" s="151" t="str">
        <f t="shared" ref="Y30" si="68">IF(X30&lt;$C$13+1,X30+1,"")</f>
        <v/>
      </c>
      <c r="Z30" s="151" t="str">
        <f t="shared" ref="Z30" si="69">IF(Y30&lt;$C$13+1,Y30+1,"")</f>
        <v/>
      </c>
      <c r="AA30" s="151" t="str">
        <f t="shared" ref="AA30" si="70">IF(Z30&lt;$C$13+1,Z30+1,"")</f>
        <v/>
      </c>
      <c r="AB30" s="151" t="str">
        <f t="shared" ref="AB30" si="71">IF(AA30&lt;$C$13+1,AA30+1,"")</f>
        <v/>
      </c>
      <c r="AC30" s="154" t="str">
        <f t="shared" ref="AC30" si="72">IF(AB30&lt;$C$13+1,AB30+1,"")</f>
        <v/>
      </c>
    </row>
    <row r="31" spans="2:29" x14ac:dyDescent="0.3">
      <c r="B31" s="139" t="s">
        <v>50</v>
      </c>
      <c r="C31" s="163"/>
      <c r="D31" s="243">
        <f t="shared" ref="D31:D44" si="73">G31/Units</f>
        <v>15336.953846153847</v>
      </c>
      <c r="E31" s="243">
        <f t="shared" ref="E31:E40" si="74">I31/Units</f>
        <v>17374.892307692309</v>
      </c>
      <c r="F31" s="243">
        <f>'Historical Analysis'!X9</f>
        <v>4061152</v>
      </c>
      <c r="G31" s="243">
        <f>'Historical Analysis'!W9</f>
        <v>3987608</v>
      </c>
      <c r="H31" s="559">
        <v>0</v>
      </c>
      <c r="I31" s="241" cm="1">
        <f t="array" ref="I31">(SUMPRODUCT(Rent!$K$9:$K$28*(Rent!$L$9:$L$28=Rent!$K$8),Rent!$D$9:$D$28)+SUMPRODUCT(Rent!$J$9:$J$28*(Rent!$L$9:$L$28=Rent!$J$8),Rent!$D$9:$D$28))*12</f>
        <v>4517472</v>
      </c>
      <c r="J31" s="241">
        <f t="shared" ref="J31:AC31" si="75">IF(J$30&gt;$C$13+1,"",I$31*(1+$H$7))</f>
        <v>4652996.16</v>
      </c>
      <c r="K31" s="241">
        <f t="shared" si="75"/>
        <v>4792586.0448000003</v>
      </c>
      <c r="L31" s="241">
        <f t="shared" si="75"/>
        <v>4936363.6261440003</v>
      </c>
      <c r="M31" s="241">
        <f t="shared" si="75"/>
        <v>5084454.5349283209</v>
      </c>
      <c r="N31" s="241">
        <f t="shared" si="75"/>
        <v>5236988.1709761703</v>
      </c>
      <c r="O31" s="241" t="str">
        <f t="shared" si="75"/>
        <v/>
      </c>
      <c r="P31" s="241" t="str">
        <f t="shared" si="75"/>
        <v/>
      </c>
      <c r="Q31" s="241" t="str">
        <f t="shared" si="75"/>
        <v/>
      </c>
      <c r="R31" s="241" t="str">
        <f t="shared" si="75"/>
        <v/>
      </c>
      <c r="S31" s="241" t="str">
        <f t="shared" si="75"/>
        <v/>
      </c>
      <c r="T31" s="241" t="str">
        <f t="shared" si="75"/>
        <v/>
      </c>
      <c r="U31" s="241" t="str">
        <f t="shared" si="75"/>
        <v/>
      </c>
      <c r="V31" s="241" t="str">
        <f t="shared" si="75"/>
        <v/>
      </c>
      <c r="W31" s="241" t="str">
        <f t="shared" si="75"/>
        <v/>
      </c>
      <c r="X31" s="241" t="str">
        <f t="shared" si="75"/>
        <v/>
      </c>
      <c r="Y31" s="241" t="str">
        <f t="shared" si="75"/>
        <v/>
      </c>
      <c r="Z31" s="241" t="str">
        <f t="shared" si="75"/>
        <v/>
      </c>
      <c r="AA31" s="241" t="str">
        <f t="shared" si="75"/>
        <v/>
      </c>
      <c r="AB31" s="241" t="str">
        <f t="shared" si="75"/>
        <v/>
      </c>
      <c r="AC31" s="242" t="str">
        <f t="shared" si="75"/>
        <v/>
      </c>
    </row>
    <row r="32" spans="2:29" x14ac:dyDescent="0.3">
      <c r="B32" s="139" t="s">
        <v>51</v>
      </c>
      <c r="C32" s="163"/>
      <c r="D32" s="564">
        <f t="shared" si="73"/>
        <v>1649.0769230769231</v>
      </c>
      <c r="E32" s="564">
        <f t="shared" si="74"/>
        <v>0</v>
      </c>
      <c r="F32" s="564">
        <f>'Historical Analysis'!X10</f>
        <v>428760</v>
      </c>
      <c r="G32" s="564">
        <f>'Historical Analysis'!W10</f>
        <v>428760</v>
      </c>
      <c r="H32" s="560">
        <v>0</v>
      </c>
      <c r="I32" s="204">
        <f>Rent!I57*12/3</f>
        <v>0</v>
      </c>
      <c r="J32" s="204">
        <f>IF(J30&lt;=$C$13+1,(Rent!I57*12/3)+I32*(1+$H$7),"")</f>
        <v>0</v>
      </c>
      <c r="K32" s="204">
        <f>IF(K30&lt;=$C$13+1,(Rent!I57*12/3)+J32*(1+$H$7),"")</f>
        <v>0</v>
      </c>
      <c r="L32" s="241">
        <f t="shared" ref="L32:AC32" si="76">IF(L30&lt;=$C$13+1,K32*(1+$H$7),"")</f>
        <v>0</v>
      </c>
      <c r="M32" s="241">
        <f t="shared" si="76"/>
        <v>0</v>
      </c>
      <c r="N32" s="241">
        <f t="shared" si="76"/>
        <v>0</v>
      </c>
      <c r="O32" s="241" t="str">
        <f t="shared" si="76"/>
        <v/>
      </c>
      <c r="P32" s="241" t="str">
        <f t="shared" si="76"/>
        <v/>
      </c>
      <c r="Q32" s="241" t="str">
        <f t="shared" si="76"/>
        <v/>
      </c>
      <c r="R32" s="241" t="str">
        <f t="shared" si="76"/>
        <v/>
      </c>
      <c r="S32" s="241" t="str">
        <f t="shared" si="76"/>
        <v/>
      </c>
      <c r="T32" s="241" t="str">
        <f t="shared" si="76"/>
        <v/>
      </c>
      <c r="U32" s="241" t="str">
        <f t="shared" si="76"/>
        <v/>
      </c>
      <c r="V32" s="241" t="str">
        <f t="shared" si="76"/>
        <v/>
      </c>
      <c r="W32" s="241" t="str">
        <f t="shared" si="76"/>
        <v/>
      </c>
      <c r="X32" s="241" t="str">
        <f t="shared" si="76"/>
        <v/>
      </c>
      <c r="Y32" s="241" t="str">
        <f t="shared" si="76"/>
        <v/>
      </c>
      <c r="Z32" s="241" t="str">
        <f t="shared" si="76"/>
        <v/>
      </c>
      <c r="AA32" s="241" t="str">
        <f t="shared" si="76"/>
        <v/>
      </c>
      <c r="AB32" s="241" t="str">
        <f t="shared" si="76"/>
        <v/>
      </c>
      <c r="AC32" s="242" t="str">
        <f t="shared" si="76"/>
        <v/>
      </c>
    </row>
    <row r="33" spans="2:29" x14ac:dyDescent="0.3">
      <c r="B33" s="97" t="s">
        <v>52</v>
      </c>
      <c r="C33" s="552"/>
      <c r="D33" s="565">
        <f t="shared" si="73"/>
        <v>16986.030769230769</v>
      </c>
      <c r="E33" s="565">
        <f t="shared" si="74"/>
        <v>17374.892307692309</v>
      </c>
      <c r="F33" s="565">
        <f>F31+F32</f>
        <v>4489912</v>
      </c>
      <c r="G33" s="565">
        <f>G31+G32</f>
        <v>4416368</v>
      </c>
      <c r="H33" s="561">
        <f>SUM(H31:H32)</f>
        <v>0</v>
      </c>
      <c r="I33" s="167">
        <f t="shared" ref="I33:AC33" si="77">IF(I$30&lt;=$C$13+1,I31+I32,"")</f>
        <v>4517472</v>
      </c>
      <c r="J33" s="167">
        <f t="shared" si="77"/>
        <v>4652996.16</v>
      </c>
      <c r="K33" s="167">
        <f>IF(K$30&lt;=$C$13+1,K31+K32,"")</f>
        <v>4792586.0448000003</v>
      </c>
      <c r="L33" s="167">
        <f>IF(L$30&lt;=$C$13+1,L31+L32,"")</f>
        <v>4936363.6261440003</v>
      </c>
      <c r="M33" s="167">
        <f>IF(M$30&lt;=$C$13+1,M31+M32,"")</f>
        <v>5084454.5349283209</v>
      </c>
      <c r="N33" s="167">
        <f>IF(N$30&lt;=$C$13+1,N31+N32,"")</f>
        <v>5236988.1709761703</v>
      </c>
      <c r="O33" s="167" t="str">
        <f t="shared" si="77"/>
        <v/>
      </c>
      <c r="P33" s="167" t="str">
        <f t="shared" si="77"/>
        <v/>
      </c>
      <c r="Q33" s="167" t="str">
        <f t="shared" si="77"/>
        <v/>
      </c>
      <c r="R33" s="167" t="str">
        <f t="shared" si="77"/>
        <v/>
      </c>
      <c r="S33" s="167" t="str">
        <f t="shared" si="77"/>
        <v/>
      </c>
      <c r="T33" s="167" t="str">
        <f t="shared" si="77"/>
        <v/>
      </c>
      <c r="U33" s="167" t="str">
        <f t="shared" si="77"/>
        <v/>
      </c>
      <c r="V33" s="167" t="str">
        <f t="shared" si="77"/>
        <v/>
      </c>
      <c r="W33" s="167" t="str">
        <f t="shared" si="77"/>
        <v/>
      </c>
      <c r="X33" s="167" t="str">
        <f t="shared" si="77"/>
        <v/>
      </c>
      <c r="Y33" s="167" t="str">
        <f t="shared" si="77"/>
        <v/>
      </c>
      <c r="Z33" s="167" t="str">
        <f t="shared" si="77"/>
        <v/>
      </c>
      <c r="AA33" s="167" t="str">
        <f t="shared" si="77"/>
        <v/>
      </c>
      <c r="AB33" s="167" t="str">
        <f t="shared" si="77"/>
        <v/>
      </c>
      <c r="AC33" s="168" t="str">
        <f t="shared" si="77"/>
        <v/>
      </c>
    </row>
    <row r="34" spans="2:29" x14ac:dyDescent="0.3">
      <c r="B34" s="139" t="s">
        <v>39</v>
      </c>
      <c r="C34" s="163"/>
      <c r="D34" s="243">
        <f t="shared" si="73"/>
        <v>-222.1481538461538</v>
      </c>
      <c r="E34" s="243">
        <f t="shared" si="74"/>
        <v>-338.75199594834748</v>
      </c>
      <c r="F34" s="243">
        <f>'Historical Analysis'!X12</f>
        <v>-99854.84</v>
      </c>
      <c r="G34" s="243">
        <f>'Historical Analysis'!W12</f>
        <v>-57758.51999999999</v>
      </c>
      <c r="H34" s="559">
        <v>0</v>
      </c>
      <c r="I34" s="241">
        <f>IF(I$30&lt;=$C$13+1,I35-I33,"")</f>
        <v>-88075.518946570344</v>
      </c>
      <c r="J34" s="241">
        <f>IF(J$30&lt;=$C$13+1,-J19*J33,"")</f>
        <v>-46529.961600000002</v>
      </c>
      <c r="K34" s="241">
        <f t="shared" ref="K34:AC34" si="78">IF(K$30&lt;=$C$13+1,-K19*K33,"")</f>
        <v>-47925.860448000007</v>
      </c>
      <c r="L34" s="241">
        <f t="shared" si="78"/>
        <v>-49363.636261440006</v>
      </c>
      <c r="M34" s="241">
        <f t="shared" si="78"/>
        <v>-50844.545349283209</v>
      </c>
      <c r="N34" s="241">
        <f t="shared" si="78"/>
        <v>-52369.881709761707</v>
      </c>
      <c r="O34" s="241" t="str">
        <f t="shared" si="78"/>
        <v/>
      </c>
      <c r="P34" s="241" t="str">
        <f t="shared" si="78"/>
        <v/>
      </c>
      <c r="Q34" s="241" t="str">
        <f t="shared" si="78"/>
        <v/>
      </c>
      <c r="R34" s="241" t="str">
        <f t="shared" si="78"/>
        <v/>
      </c>
      <c r="S34" s="241" t="str">
        <f t="shared" si="78"/>
        <v/>
      </c>
      <c r="T34" s="241" t="str">
        <f t="shared" si="78"/>
        <v/>
      </c>
      <c r="U34" s="241" t="str">
        <f t="shared" si="78"/>
        <v/>
      </c>
      <c r="V34" s="241" t="str">
        <f t="shared" si="78"/>
        <v/>
      </c>
      <c r="W34" s="241" t="str">
        <f t="shared" si="78"/>
        <v/>
      </c>
      <c r="X34" s="241" t="str">
        <f t="shared" si="78"/>
        <v/>
      </c>
      <c r="Y34" s="241" t="str">
        <f t="shared" si="78"/>
        <v/>
      </c>
      <c r="Z34" s="241" t="str">
        <f t="shared" si="78"/>
        <v/>
      </c>
      <c r="AA34" s="241" t="str">
        <f t="shared" si="78"/>
        <v/>
      </c>
      <c r="AB34" s="241" t="str">
        <f t="shared" si="78"/>
        <v/>
      </c>
      <c r="AC34" s="242" t="str">
        <f t="shared" si="78"/>
        <v/>
      </c>
    </row>
    <row r="35" spans="2:29" x14ac:dyDescent="0.3">
      <c r="B35" s="99" t="s">
        <v>53</v>
      </c>
      <c r="C35" s="553"/>
      <c r="D35" s="566">
        <f t="shared" si="73"/>
        <v>16763.882615384617</v>
      </c>
      <c r="E35" s="566">
        <f t="shared" si="74"/>
        <v>17036.140311743959</v>
      </c>
      <c r="F35" s="566">
        <f>F33+F34</f>
        <v>4390057.16</v>
      </c>
      <c r="G35" s="566">
        <f>G33+G34</f>
        <v>4358609.4800000004</v>
      </c>
      <c r="H35" s="562">
        <f>SUM(H33:H34)</f>
        <v>0</v>
      </c>
      <c r="I35" s="6">
        <f>IF(I$30&lt;=$C$13+1,Rent!N29*12,"")</f>
        <v>4429396.4810534297</v>
      </c>
      <c r="J35" s="6">
        <f t="shared" ref="J35:AC35" si="79">IF(J$30&lt;=$C$13+1,J33+J34,"")</f>
        <v>4606466.1984000001</v>
      </c>
      <c r="K35" s="6">
        <f>IF(K$30&lt;=$C$13+1,K33+K34,"")</f>
        <v>4744660.1843520002</v>
      </c>
      <c r="L35" s="6">
        <f>IF(L$30&lt;=$C$13+1,L33+L34,"")</f>
        <v>4886999.9898825604</v>
      </c>
      <c r="M35" s="6">
        <f>IF(M$30&lt;=$C$13+1,M33+M34,"")</f>
        <v>5033609.9895790378</v>
      </c>
      <c r="N35" s="6">
        <f>IF(N$30&lt;=$C$13+1,N33+N34,"")</f>
        <v>5184618.2892664084</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5" t="str">
        <f t="shared" si="79"/>
        <v/>
      </c>
    </row>
    <row r="36" spans="2:29" x14ac:dyDescent="0.3">
      <c r="B36" s="139" t="s">
        <v>40</v>
      </c>
      <c r="C36" s="163"/>
      <c r="D36" s="243">
        <f t="shared" si="73"/>
        <v>-1094.9682307692308</v>
      </c>
      <c r="E36" s="243">
        <f t="shared" si="74"/>
        <v>-851.80701558719807</v>
      </c>
      <c r="F36" s="243">
        <f>'Historical Analysis'!X14</f>
        <v>-332706.12</v>
      </c>
      <c r="G36" s="243">
        <f>'Historical Analysis'!W14</f>
        <v>-284691.74</v>
      </c>
      <c r="H36" s="559">
        <v>0</v>
      </c>
      <c r="I36" s="241">
        <f t="shared" ref="I36:AC36" si="80">IF(I$30&lt;=$C$13+1,-I$35*I20,"")</f>
        <v>-221469.82405267149</v>
      </c>
      <c r="J36" s="241">
        <f t="shared" si="80"/>
        <v>-230323.30992000003</v>
      </c>
      <c r="K36" s="241">
        <f t="shared" ref="K36:N39" si="81">IF(K$30&lt;=$C$13+1,-K$35*K20,"")</f>
        <v>-237233.00921760002</v>
      </c>
      <c r="L36" s="241">
        <f t="shared" si="81"/>
        <v>-244349.99949412805</v>
      </c>
      <c r="M36" s="241">
        <f t="shared" si="81"/>
        <v>-251680.49947895191</v>
      </c>
      <c r="N36" s="241">
        <f t="shared" si="81"/>
        <v>-259230.91446332043</v>
      </c>
      <c r="O36" s="241" t="str">
        <f t="shared" si="80"/>
        <v/>
      </c>
      <c r="P36" s="241" t="str">
        <f t="shared" si="80"/>
        <v/>
      </c>
      <c r="Q36" s="241" t="str">
        <f t="shared" si="80"/>
        <v/>
      </c>
      <c r="R36" s="241" t="str">
        <f t="shared" si="80"/>
        <v/>
      </c>
      <c r="S36" s="241" t="str">
        <f t="shared" si="80"/>
        <v/>
      </c>
      <c r="T36" s="241" t="str">
        <f t="shared" si="80"/>
        <v/>
      </c>
      <c r="U36" s="241" t="str">
        <f t="shared" si="80"/>
        <v/>
      </c>
      <c r="V36" s="241" t="str">
        <f t="shared" si="80"/>
        <v/>
      </c>
      <c r="W36" s="241" t="str">
        <f t="shared" si="80"/>
        <v/>
      </c>
      <c r="X36" s="241" t="str">
        <f t="shared" si="80"/>
        <v/>
      </c>
      <c r="Y36" s="241" t="str">
        <f t="shared" si="80"/>
        <v/>
      </c>
      <c r="Z36" s="241" t="str">
        <f t="shared" si="80"/>
        <v/>
      </c>
      <c r="AA36" s="241" t="str">
        <f t="shared" si="80"/>
        <v/>
      </c>
      <c r="AB36" s="241" t="str">
        <f t="shared" si="80"/>
        <v/>
      </c>
      <c r="AC36" s="242" t="str">
        <f t="shared" si="80"/>
        <v/>
      </c>
    </row>
    <row r="37" spans="2:29" x14ac:dyDescent="0.3">
      <c r="B37" s="139" t="s">
        <v>41</v>
      </c>
      <c r="C37" s="163"/>
      <c r="D37" s="243">
        <f t="shared" si="73"/>
        <v>-191.75742307692309</v>
      </c>
      <c r="E37" s="243">
        <f t="shared" si="74"/>
        <v>-170.36140311743961</v>
      </c>
      <c r="F37" s="243">
        <f>'Historical Analysis'!X15</f>
        <v>-80204.040000000008</v>
      </c>
      <c r="G37" s="243">
        <f>'Historical Analysis'!W15</f>
        <v>-49856.93</v>
      </c>
      <c r="H37" s="559">
        <v>0</v>
      </c>
      <c r="I37" s="243">
        <f>IF(I$30&lt;=$C$13+1,-I$35*I21,"")</f>
        <v>-44293.9648105343</v>
      </c>
      <c r="J37" s="243">
        <f t="shared" ref="J37:AC37" si="82">IF(J$30&lt;=$C$13+1,-J$35*J21,"")</f>
        <v>-46064.661983999998</v>
      </c>
      <c r="K37" s="243">
        <f t="shared" si="81"/>
        <v>-47446.601843520002</v>
      </c>
      <c r="L37" s="243">
        <f t="shared" si="81"/>
        <v>-48869.999898825605</v>
      </c>
      <c r="M37" s="243">
        <f t="shared" si="81"/>
        <v>-50336.099895790379</v>
      </c>
      <c r="N37" s="243">
        <f t="shared" si="81"/>
        <v>-51846.182892664088</v>
      </c>
      <c r="O37" s="243" t="str">
        <f t="shared" si="82"/>
        <v/>
      </c>
      <c r="P37" s="243" t="str">
        <f t="shared" si="82"/>
        <v/>
      </c>
      <c r="Q37" s="243" t="str">
        <f t="shared" si="82"/>
        <v/>
      </c>
      <c r="R37" s="243" t="str">
        <f t="shared" si="82"/>
        <v/>
      </c>
      <c r="S37" s="243" t="str">
        <f t="shared" si="82"/>
        <v/>
      </c>
      <c r="T37" s="243" t="str">
        <f t="shared" si="82"/>
        <v/>
      </c>
      <c r="U37" s="243" t="str">
        <f t="shared" si="82"/>
        <v/>
      </c>
      <c r="V37" s="243" t="str">
        <f t="shared" si="82"/>
        <v/>
      </c>
      <c r="W37" s="243" t="str">
        <f t="shared" si="82"/>
        <v/>
      </c>
      <c r="X37" s="243" t="str">
        <f t="shared" si="82"/>
        <v/>
      </c>
      <c r="Y37" s="243" t="str">
        <f t="shared" si="82"/>
        <v/>
      </c>
      <c r="Z37" s="243" t="str">
        <f t="shared" si="82"/>
        <v/>
      </c>
      <c r="AA37" s="243" t="str">
        <f t="shared" si="82"/>
        <v/>
      </c>
      <c r="AB37" s="243" t="str">
        <f t="shared" si="82"/>
        <v/>
      </c>
      <c r="AC37" s="244" t="str">
        <f t="shared" si="82"/>
        <v/>
      </c>
    </row>
    <row r="38" spans="2:29" x14ac:dyDescent="0.3">
      <c r="B38" s="139" t="s">
        <v>54</v>
      </c>
      <c r="C38" s="163"/>
      <c r="D38" s="243">
        <f t="shared" si="73"/>
        <v>-586.1292692307693</v>
      </c>
      <c r="E38" s="243">
        <f t="shared" si="74"/>
        <v>-596.26491091103867</v>
      </c>
      <c r="F38" s="243">
        <f>'Historical Analysis'!X16</f>
        <v>-178909.2</v>
      </c>
      <c r="G38" s="243">
        <f>'Historical Analysis'!W16</f>
        <v>-152393.61000000002</v>
      </c>
      <c r="H38" s="559">
        <v>0</v>
      </c>
      <c r="I38" s="243">
        <f>IF(I$30&lt;=$C$13+1,-I$35*I22,"")</f>
        <v>-155028.87683687004</v>
      </c>
      <c r="J38" s="243">
        <f t="shared" ref="J38:AC38" si="83">IF(J$30&lt;=$C$13+1,-J$35*J22,"")</f>
        <v>-92129.323967999997</v>
      </c>
      <c r="K38" s="243">
        <f t="shared" si="83"/>
        <v>-94893.203687040004</v>
      </c>
      <c r="L38" s="243">
        <f t="shared" si="83"/>
        <v>-97739.99979765121</v>
      </c>
      <c r="M38" s="243">
        <f t="shared" si="83"/>
        <v>-100672.19979158076</v>
      </c>
      <c r="N38" s="243">
        <f t="shared" si="83"/>
        <v>-103692.36578532818</v>
      </c>
      <c r="O38" s="243" t="str">
        <f t="shared" si="83"/>
        <v/>
      </c>
      <c r="P38" s="243" t="str">
        <f t="shared" si="83"/>
        <v/>
      </c>
      <c r="Q38" s="243" t="str">
        <f t="shared" si="83"/>
        <v/>
      </c>
      <c r="R38" s="243" t="str">
        <f t="shared" si="83"/>
        <v/>
      </c>
      <c r="S38" s="243" t="str">
        <f t="shared" si="83"/>
        <v/>
      </c>
      <c r="T38" s="243" t="str">
        <f t="shared" si="83"/>
        <v/>
      </c>
      <c r="U38" s="243" t="str">
        <f t="shared" si="83"/>
        <v/>
      </c>
      <c r="V38" s="243" t="str">
        <f t="shared" si="83"/>
        <v/>
      </c>
      <c r="W38" s="243" t="str">
        <f t="shared" si="83"/>
        <v/>
      </c>
      <c r="X38" s="243" t="str">
        <f t="shared" si="83"/>
        <v/>
      </c>
      <c r="Y38" s="243" t="str">
        <f t="shared" si="83"/>
        <v/>
      </c>
      <c r="Z38" s="243" t="str">
        <f t="shared" si="83"/>
        <v/>
      </c>
      <c r="AA38" s="243" t="str">
        <f t="shared" si="83"/>
        <v/>
      </c>
      <c r="AB38" s="243" t="str">
        <f t="shared" si="83"/>
        <v/>
      </c>
      <c r="AC38" s="244" t="str">
        <f t="shared" si="83"/>
        <v/>
      </c>
    </row>
    <row r="39" spans="2:29" x14ac:dyDescent="0.3">
      <c r="B39" s="139" t="s">
        <v>43</v>
      </c>
      <c r="C39" s="163"/>
      <c r="D39" s="243">
        <f t="shared" si="73"/>
        <v>-103.41819230769231</v>
      </c>
      <c r="E39" s="243">
        <f t="shared" si="74"/>
        <v>-105.09777927721093</v>
      </c>
      <c r="F39" s="243">
        <f>'Historical Analysis'!X17</f>
        <v>-23107.200000000001</v>
      </c>
      <c r="G39" s="243">
        <f>'Historical Analysis'!W17</f>
        <v>-26888.73</v>
      </c>
      <c r="H39" s="559">
        <v>0</v>
      </c>
      <c r="I39" s="243">
        <f t="shared" ref="I39:Z39" si="84">IF(I$30&lt;=$C$13+1,-I$35*I23,"")</f>
        <v>-27325.422612074843</v>
      </c>
      <c r="J39" s="243">
        <f t="shared" si="84"/>
        <v>-28417.784715804366</v>
      </c>
      <c r="K39" s="243">
        <f t="shared" si="81"/>
        <v>-29270.318257278501</v>
      </c>
      <c r="L39" s="243">
        <f t="shared" si="81"/>
        <v>-30148.427804996856</v>
      </c>
      <c r="M39" s="243">
        <f t="shared" si="81"/>
        <v>-31052.880639146762</v>
      </c>
      <c r="N39" s="243">
        <f t="shared" si="81"/>
        <v>-31984.467058321163</v>
      </c>
      <c r="O39" s="243" t="str">
        <f t="shared" si="84"/>
        <v/>
      </c>
      <c r="P39" s="243" t="str">
        <f t="shared" si="84"/>
        <v/>
      </c>
      <c r="Q39" s="243" t="str">
        <f t="shared" si="84"/>
        <v/>
      </c>
      <c r="R39" s="243" t="str">
        <f t="shared" si="84"/>
        <v/>
      </c>
      <c r="S39" s="243" t="str">
        <f t="shared" si="84"/>
        <v/>
      </c>
      <c r="T39" s="243" t="str">
        <f t="shared" si="84"/>
        <v/>
      </c>
      <c r="U39" s="243" t="str">
        <f t="shared" si="84"/>
        <v/>
      </c>
      <c r="V39" s="243" t="str">
        <f t="shared" si="84"/>
        <v/>
      </c>
      <c r="W39" s="243" t="str">
        <f t="shared" si="84"/>
        <v/>
      </c>
      <c r="X39" s="243" t="str">
        <f t="shared" si="84"/>
        <v/>
      </c>
      <c r="Y39" s="243" t="str">
        <f t="shared" si="84"/>
        <v/>
      </c>
      <c r="Z39" s="243" t="str">
        <f t="shared" si="84"/>
        <v/>
      </c>
      <c r="AA39" s="243" t="str">
        <f>IF(AA$30&lt;=$C$13+1,Z39*(1+$H$7),"")</f>
        <v/>
      </c>
      <c r="AB39" s="243" t="str">
        <f>IF(AB$30&lt;=$C$13+1,AA39*(1+$H$7),"")</f>
        <v/>
      </c>
      <c r="AC39" s="244" t="str">
        <f>IF(AC$30&lt;=$C$13+1,AB39*(1+$H$7),"")</f>
        <v/>
      </c>
    </row>
    <row r="40" spans="2:29" x14ac:dyDescent="0.3">
      <c r="B40" s="99" t="s">
        <v>55</v>
      </c>
      <c r="C40" s="553"/>
      <c r="D40" s="566">
        <f t="shared" si="73"/>
        <v>14787.609500000002</v>
      </c>
      <c r="E40" s="566">
        <f t="shared" si="74"/>
        <v>15312.609202851072</v>
      </c>
      <c r="F40" s="566">
        <f>F35+SUM(F36:F39)</f>
        <v>3775130.6</v>
      </c>
      <c r="G40" s="566">
        <f>G35+SUM(G36:G39)</f>
        <v>3844778.4700000007</v>
      </c>
      <c r="H40" s="562">
        <f>SUM(H35:H39)</f>
        <v>0</v>
      </c>
      <c r="I40" s="6">
        <f t="shared" ref="I40:AC40" si="85">IF(I$30&lt;=$C$13+1,SUM(I35:I39),"")</f>
        <v>3981278.3927412787</v>
      </c>
      <c r="J40" s="6">
        <f t="shared" si="85"/>
        <v>4209531.1178121958</v>
      </c>
      <c r="K40" s="6">
        <f>IF(K$30&lt;=$C$13+1,SUM(K35:K39),"")</f>
        <v>4335817.0513465609</v>
      </c>
      <c r="L40" s="6">
        <f>IF(L$30&lt;=$C$13+1,SUM(L35:L39),"")</f>
        <v>4465891.562886958</v>
      </c>
      <c r="M40" s="6">
        <f>IF(M$30&lt;=$C$13+1,SUM(M35:M39),"")</f>
        <v>4599868.3097735681</v>
      </c>
      <c r="N40" s="6">
        <f>IF(N$30&lt;=$C$13+1,SUM(N35:N39),"")</f>
        <v>4737864.3590667741</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5" t="str">
        <f t="shared" si="85"/>
        <v/>
      </c>
    </row>
    <row r="41" spans="2:29" x14ac:dyDescent="0.3">
      <c r="B41" s="139" t="s">
        <v>56</v>
      </c>
      <c r="C41" s="163"/>
      <c r="D41" s="241">
        <f t="shared" si="73"/>
        <v>661.22465384615384</v>
      </c>
      <c r="E41" s="204">
        <v>660</v>
      </c>
      <c r="F41" s="241">
        <f>'Historical Analysis'!X19</f>
        <v>178771.76</v>
      </c>
      <c r="G41" s="241">
        <f>'Historical Analysis'!W19</f>
        <v>171918.41</v>
      </c>
      <c r="H41" s="204">
        <v>0</v>
      </c>
      <c r="I41" s="241">
        <f>IF(I$46="","",E41*Units)</f>
        <v>171600</v>
      </c>
      <c r="J41" s="241">
        <f t="shared" ref="J41:AC41" si="86">IF(J$46="","",I41*(1+$H$9))</f>
        <v>176319</v>
      </c>
      <c r="K41" s="241">
        <f t="shared" si="86"/>
        <v>181167.77250000002</v>
      </c>
      <c r="L41" s="241">
        <f t="shared" si="86"/>
        <v>186149.88624375005</v>
      </c>
      <c r="M41" s="241">
        <f t="shared" si="86"/>
        <v>191269.00811545318</v>
      </c>
      <c r="N41" s="241">
        <f t="shared" si="86"/>
        <v>196528.90583862815</v>
      </c>
      <c r="O41" s="241" t="str">
        <f t="shared" si="86"/>
        <v/>
      </c>
      <c r="P41" s="241" t="str">
        <f t="shared" si="86"/>
        <v/>
      </c>
      <c r="Q41" s="241" t="str">
        <f t="shared" si="86"/>
        <v/>
      </c>
      <c r="R41" s="241" t="str">
        <f t="shared" si="86"/>
        <v/>
      </c>
      <c r="S41" s="241" t="str">
        <f t="shared" si="86"/>
        <v/>
      </c>
      <c r="T41" s="241" t="str">
        <f t="shared" si="86"/>
        <v/>
      </c>
      <c r="U41" s="241" t="str">
        <f t="shared" si="86"/>
        <v/>
      </c>
      <c r="V41" s="241" t="str">
        <f t="shared" si="86"/>
        <v/>
      </c>
      <c r="W41" s="241" t="str">
        <f t="shared" si="86"/>
        <v/>
      </c>
      <c r="X41" s="241" t="str">
        <f t="shared" si="86"/>
        <v/>
      </c>
      <c r="Y41" s="241" t="str">
        <f t="shared" si="86"/>
        <v/>
      </c>
      <c r="Z41" s="241" t="str">
        <f t="shared" si="86"/>
        <v/>
      </c>
      <c r="AA41" s="241" t="str">
        <f t="shared" si="86"/>
        <v/>
      </c>
      <c r="AB41" s="241" t="str">
        <f t="shared" si="86"/>
        <v/>
      </c>
      <c r="AC41" s="242" t="str">
        <f t="shared" si="86"/>
        <v/>
      </c>
    </row>
    <row r="42" spans="2:29" x14ac:dyDescent="0.3">
      <c r="B42" s="139" t="s">
        <v>57</v>
      </c>
      <c r="C42" s="163"/>
      <c r="D42" s="508">
        <f t="shared" si="73"/>
        <v>386.01715384615392</v>
      </c>
      <c r="E42" s="204">
        <v>390</v>
      </c>
      <c r="F42" s="241">
        <f>'Historical Analysis'!X20</f>
        <v>106408.95999999999</v>
      </c>
      <c r="G42" s="241">
        <f>'Historical Analysis'!W20</f>
        <v>100364.46000000002</v>
      </c>
      <c r="H42" s="204">
        <v>0</v>
      </c>
      <c r="I42" s="241">
        <f>IF(I$46="","",E42*Units)</f>
        <v>101400</v>
      </c>
      <c r="J42" s="241">
        <f>IF(J$30="","",(I42*(1+$H$9)))</f>
        <v>104188.50000000001</v>
      </c>
      <c r="K42" s="241">
        <f t="shared" ref="K42:AC42" si="87">IF(K$46="","",J42*(1+$H$9))</f>
        <v>107053.68375000003</v>
      </c>
      <c r="L42" s="241">
        <f t="shared" si="87"/>
        <v>109997.66005312503</v>
      </c>
      <c r="M42" s="241">
        <f t="shared" si="87"/>
        <v>113022.59570458598</v>
      </c>
      <c r="N42" s="241">
        <f t="shared" si="87"/>
        <v>116130.7170864621</v>
      </c>
      <c r="O42" s="241" t="str">
        <f t="shared" si="87"/>
        <v/>
      </c>
      <c r="P42" s="241" t="str">
        <f t="shared" si="87"/>
        <v/>
      </c>
      <c r="Q42" s="241" t="str">
        <f t="shared" si="87"/>
        <v/>
      </c>
      <c r="R42" s="241" t="str">
        <f t="shared" si="87"/>
        <v/>
      </c>
      <c r="S42" s="241" t="str">
        <f t="shared" si="87"/>
        <v/>
      </c>
      <c r="T42" s="241" t="str">
        <f t="shared" si="87"/>
        <v/>
      </c>
      <c r="U42" s="241" t="str">
        <f t="shared" si="87"/>
        <v/>
      </c>
      <c r="V42" s="241" t="str">
        <f t="shared" si="87"/>
        <v/>
      </c>
      <c r="W42" s="241" t="str">
        <f t="shared" si="87"/>
        <v/>
      </c>
      <c r="X42" s="241" t="str">
        <f t="shared" si="87"/>
        <v/>
      </c>
      <c r="Y42" s="241" t="str">
        <f t="shared" si="87"/>
        <v/>
      </c>
      <c r="Z42" s="241" t="str">
        <f t="shared" si="87"/>
        <v/>
      </c>
      <c r="AA42" s="241" t="str">
        <f t="shared" si="87"/>
        <v/>
      </c>
      <c r="AB42" s="241" t="str">
        <f t="shared" si="87"/>
        <v/>
      </c>
      <c r="AC42" s="242" t="str">
        <f t="shared" si="87"/>
        <v/>
      </c>
    </row>
    <row r="43" spans="2:29" x14ac:dyDescent="0.3">
      <c r="B43" s="139" t="s">
        <v>58</v>
      </c>
      <c r="C43" s="163"/>
      <c r="D43" s="243">
        <f t="shared" si="73"/>
        <v>765.68280769230785</v>
      </c>
      <c r="E43" s="559">
        <v>770</v>
      </c>
      <c r="F43" s="243">
        <f>'Historical Analysis'!X21</f>
        <v>240180.48000000004</v>
      </c>
      <c r="G43" s="243">
        <f>'Historical Analysis'!W21</f>
        <v>199077.53000000003</v>
      </c>
      <c r="H43" s="559">
        <v>0</v>
      </c>
      <c r="I43" s="243">
        <f>IF(I$46="","",E43*Units)</f>
        <v>200200</v>
      </c>
      <c r="J43" s="243">
        <f t="shared" ref="J43:AC43" si="88">IF(J$46="","",I43*(1+$H$8))</f>
        <v>206206</v>
      </c>
      <c r="K43" s="241">
        <f t="shared" si="88"/>
        <v>212392.18</v>
      </c>
      <c r="L43" s="243">
        <f t="shared" si="88"/>
        <v>218763.9454</v>
      </c>
      <c r="M43" s="243">
        <f t="shared" si="88"/>
        <v>225326.86376199999</v>
      </c>
      <c r="N43" s="243">
        <f t="shared" si="88"/>
        <v>232086.66967485999</v>
      </c>
      <c r="O43" s="243" t="str">
        <f t="shared" si="88"/>
        <v/>
      </c>
      <c r="P43" s="243" t="str">
        <f t="shared" si="88"/>
        <v/>
      </c>
      <c r="Q43" s="243" t="str">
        <f t="shared" si="88"/>
        <v/>
      </c>
      <c r="R43" s="243" t="str">
        <f t="shared" si="88"/>
        <v/>
      </c>
      <c r="S43" s="243" t="str">
        <f t="shared" si="88"/>
        <v/>
      </c>
      <c r="T43" s="243" t="str">
        <f t="shared" si="88"/>
        <v/>
      </c>
      <c r="U43" s="243" t="str">
        <f t="shared" si="88"/>
        <v/>
      </c>
      <c r="V43" s="243" t="str">
        <f t="shared" si="88"/>
        <v/>
      </c>
      <c r="W43" s="243" t="str">
        <f t="shared" si="88"/>
        <v/>
      </c>
      <c r="X43" s="243" t="str">
        <f t="shared" si="88"/>
        <v/>
      </c>
      <c r="Y43" s="243" t="str">
        <f t="shared" si="88"/>
        <v/>
      </c>
      <c r="Z43" s="243" t="str">
        <f t="shared" si="88"/>
        <v/>
      </c>
      <c r="AA43" s="243" t="str">
        <f t="shared" si="88"/>
        <v/>
      </c>
      <c r="AB43" s="243" t="str">
        <f t="shared" si="88"/>
        <v/>
      </c>
      <c r="AC43" s="244" t="str">
        <f t="shared" si="88"/>
        <v/>
      </c>
    </row>
    <row r="44" spans="2:29" ht="15" thickBot="1" x14ac:dyDescent="0.35">
      <c r="B44" s="110" t="s">
        <v>59</v>
      </c>
      <c r="C44" s="3"/>
      <c r="D44" s="7">
        <f t="shared" si="73"/>
        <v>16600.53411538462</v>
      </c>
      <c r="E44" s="7">
        <f>J44/Units</f>
        <v>18062.479299277675</v>
      </c>
      <c r="F44" s="7">
        <f>SUM(F40:F43)</f>
        <v>4300491.8000000007</v>
      </c>
      <c r="G44" s="7">
        <f>SUM(G40:G43)</f>
        <v>4316138.870000001</v>
      </c>
      <c r="H44" s="563">
        <f>SUM(H40:H43)</f>
        <v>0</v>
      </c>
      <c r="I44" s="109">
        <f>IF(I$30="","",SUM(I40:I43))</f>
        <v>4454478.3927412787</v>
      </c>
      <c r="J44" s="109">
        <f t="shared" ref="J44:AC44" si="89">IF(J$30="","",SUM(J40:J43))</f>
        <v>4696244.6178121958</v>
      </c>
      <c r="K44" s="109">
        <f>IF(K$30="","",SUM(K40:K43))</f>
        <v>4836430.6875965605</v>
      </c>
      <c r="L44" s="109">
        <f>IF(L$30="","",SUM(L40:L43))</f>
        <v>4980803.0545838326</v>
      </c>
      <c r="M44" s="109">
        <f>IF(M$30="","",SUM(M40:M43))</f>
        <v>5129486.7773556076</v>
      </c>
      <c r="N44" s="109">
        <f>IF(N$30="","",SUM(N40:N43))</f>
        <v>5282610.6516667251</v>
      </c>
      <c r="O44" s="109" t="str">
        <f t="shared" si="89"/>
        <v/>
      </c>
      <c r="P44" s="109" t="str">
        <f t="shared" si="89"/>
        <v/>
      </c>
      <c r="Q44" s="109" t="str">
        <f t="shared" si="89"/>
        <v/>
      </c>
      <c r="R44" s="109" t="str">
        <f t="shared" si="89"/>
        <v/>
      </c>
      <c r="S44" s="109" t="str">
        <f t="shared" si="89"/>
        <v/>
      </c>
      <c r="T44" s="109" t="str">
        <f t="shared" si="89"/>
        <v/>
      </c>
      <c r="U44" s="109" t="str">
        <f t="shared" si="89"/>
        <v/>
      </c>
      <c r="V44" s="109" t="str">
        <f t="shared" si="89"/>
        <v/>
      </c>
      <c r="W44" s="109" t="str">
        <f t="shared" si="89"/>
        <v/>
      </c>
      <c r="X44" s="109" t="str">
        <f t="shared" si="89"/>
        <v/>
      </c>
      <c r="Y44" s="109" t="str">
        <f t="shared" si="89"/>
        <v/>
      </c>
      <c r="Z44" s="109" t="str">
        <f t="shared" si="89"/>
        <v/>
      </c>
      <c r="AA44" s="109" t="str">
        <f t="shared" si="89"/>
        <v/>
      </c>
      <c r="AB44" s="109" t="str">
        <f t="shared" si="89"/>
        <v/>
      </c>
      <c r="AC44" s="126" t="str">
        <f t="shared" si="89"/>
        <v/>
      </c>
    </row>
    <row r="45" spans="2:29" ht="15.6" thickTop="1" thickBot="1" x14ac:dyDescent="0.35">
      <c r="B45" s="138"/>
      <c r="H45" s="210"/>
      <c r="R45" s="381" t="str">
        <f t="shared" ref="R45:AC45" si="90">IF(R30&lt;=$C$13+1,R44-Q44,"")</f>
        <v/>
      </c>
      <c r="S45" s="381" t="str">
        <f t="shared" si="90"/>
        <v/>
      </c>
      <c r="T45" s="381" t="str">
        <f t="shared" si="90"/>
        <v/>
      </c>
      <c r="U45" s="381" t="str">
        <f t="shared" si="90"/>
        <v/>
      </c>
      <c r="V45" s="381" t="str">
        <f t="shared" si="90"/>
        <v/>
      </c>
      <c r="W45" s="381" t="str">
        <f t="shared" si="90"/>
        <v/>
      </c>
      <c r="X45" s="381" t="str">
        <f t="shared" si="90"/>
        <v/>
      </c>
      <c r="Y45" s="381" t="str">
        <f t="shared" si="90"/>
        <v/>
      </c>
      <c r="Z45" s="381" t="str">
        <f t="shared" si="90"/>
        <v/>
      </c>
      <c r="AA45" s="381" t="str">
        <f t="shared" si="90"/>
        <v/>
      </c>
      <c r="AB45" s="381" t="str">
        <f t="shared" si="90"/>
        <v/>
      </c>
      <c r="AC45" s="381" t="str">
        <f t="shared" si="90"/>
        <v/>
      </c>
    </row>
    <row r="46" spans="2:29" ht="15" thickBot="1" x14ac:dyDescent="0.35">
      <c r="B46" s="169" t="s">
        <v>60</v>
      </c>
      <c r="C46" s="554"/>
      <c r="D46" s="136" t="s">
        <v>49</v>
      </c>
      <c r="E46" s="136" t="s">
        <v>61</v>
      </c>
      <c r="F46" s="136" t="str">
        <f>F30</f>
        <v>T3</v>
      </c>
      <c r="G46" s="136" t="s">
        <v>38</v>
      </c>
      <c r="H46" s="136" t="s">
        <v>314</v>
      </c>
      <c r="I46" s="170">
        <v>1</v>
      </c>
      <c r="J46" s="170">
        <f>IF(I46&lt;$C$13+1,I46+1,"")</f>
        <v>2</v>
      </c>
      <c r="K46" s="170">
        <f>IF(J46&lt;$C$13+1,J46+1,"")</f>
        <v>3</v>
      </c>
      <c r="L46" s="170">
        <f t="shared" ref="L46:S46" si="91">IF(K46&lt;$C$13+1,K46+1,"")</f>
        <v>4</v>
      </c>
      <c r="M46" s="170">
        <f t="shared" si="91"/>
        <v>5</v>
      </c>
      <c r="N46" s="170">
        <f t="shared" si="91"/>
        <v>6</v>
      </c>
      <c r="O46" s="170" t="str">
        <f>IF(N46&lt;$C$13+1,N46+1,"")</f>
        <v/>
      </c>
      <c r="P46" s="170" t="str">
        <f t="shared" si="91"/>
        <v/>
      </c>
      <c r="Q46" s="170" t="str">
        <f t="shared" si="91"/>
        <v/>
      </c>
      <c r="R46" s="170" t="str">
        <f t="shared" si="91"/>
        <v/>
      </c>
      <c r="S46" s="170" t="str">
        <f t="shared" si="91"/>
        <v/>
      </c>
      <c r="T46" s="170" t="str">
        <f t="shared" ref="T46" si="92">IF(S46&lt;$C$13+1,S46+1,"")</f>
        <v/>
      </c>
      <c r="U46" s="170" t="str">
        <f t="shared" ref="U46" si="93">IF(T46&lt;$C$13+1,T46+1,"")</f>
        <v/>
      </c>
      <c r="V46" s="170" t="str">
        <f t="shared" ref="V46" si="94">IF(U46&lt;$C$13+1,U46+1,"")</f>
        <v/>
      </c>
      <c r="W46" s="170" t="str">
        <f t="shared" ref="W46" si="95">IF(V46&lt;$C$13+1,V46+1,"")</f>
        <v/>
      </c>
      <c r="X46" s="170" t="str">
        <f t="shared" ref="X46" si="96">IF(W46&lt;$C$13+1,W46+1,"")</f>
        <v/>
      </c>
      <c r="Y46" s="170" t="str">
        <f t="shared" ref="Y46" si="97">IF(X46&lt;$C$13+1,X46+1,"")</f>
        <v/>
      </c>
      <c r="Z46" s="170" t="str">
        <f t="shared" ref="Z46" si="98">IF(Y46&lt;$C$13+1,Y46+1,"")</f>
        <v/>
      </c>
      <c r="AA46" s="170" t="str">
        <f t="shared" ref="AA46" si="99">IF(Z46&lt;$C$13+1,Z46+1,"")</f>
        <v/>
      </c>
      <c r="AB46" s="170" t="str">
        <f t="shared" ref="AB46" si="100">IF(AA46&lt;$C$13+1,AA46+1,"")</f>
        <v/>
      </c>
      <c r="AC46" s="171" t="str">
        <f t="shared" ref="AC46" si="101">IF(AB46&lt;$C$13+1,AB46+1,"")</f>
        <v/>
      </c>
    </row>
    <row r="47" spans="2:29" x14ac:dyDescent="0.3">
      <c r="B47" s="139" t="s">
        <v>62</v>
      </c>
      <c r="C47" s="163"/>
      <c r="D47" s="241">
        <f t="shared" ref="D47:D59" si="102">G47/Units</f>
        <v>408.53188461538451</v>
      </c>
      <c r="E47" s="204">
        <v>410</v>
      </c>
      <c r="F47" s="241">
        <f>'Historical Analysis'!X25</f>
        <v>121923.72</v>
      </c>
      <c r="G47" s="241">
        <f>'Historical Analysis'!W25</f>
        <v>106218.28999999998</v>
      </c>
      <c r="H47" s="204">
        <v>0</v>
      </c>
      <c r="I47" s="241">
        <f t="shared" ref="I47:I52" si="103">IF(I$46="","",E47*Units)</f>
        <v>106600</v>
      </c>
      <c r="J47" s="241">
        <f t="shared" ref="J47:AC47" si="104">IF(J$46="","",I47*(1+$H$9))</f>
        <v>109531.50000000001</v>
      </c>
      <c r="K47" s="241">
        <f t="shared" si="104"/>
        <v>112543.61625000002</v>
      </c>
      <c r="L47" s="241">
        <f t="shared" si="104"/>
        <v>115638.56569687503</v>
      </c>
      <c r="M47" s="241">
        <f t="shared" si="104"/>
        <v>118818.6262535391</v>
      </c>
      <c r="N47" s="241">
        <f t="shared" si="104"/>
        <v>122086.13847551144</v>
      </c>
      <c r="O47" s="241" t="str">
        <f t="shared" si="104"/>
        <v/>
      </c>
      <c r="P47" s="241" t="str">
        <f t="shared" si="104"/>
        <v/>
      </c>
      <c r="Q47" s="241" t="str">
        <f t="shared" si="104"/>
        <v/>
      </c>
      <c r="R47" s="241" t="str">
        <f t="shared" si="104"/>
        <v/>
      </c>
      <c r="S47" s="241" t="str">
        <f t="shared" si="104"/>
        <v/>
      </c>
      <c r="T47" s="241" t="str">
        <f t="shared" si="104"/>
        <v/>
      </c>
      <c r="U47" s="241" t="str">
        <f t="shared" si="104"/>
        <v/>
      </c>
      <c r="V47" s="241" t="str">
        <f t="shared" si="104"/>
        <v/>
      </c>
      <c r="W47" s="241" t="str">
        <f t="shared" si="104"/>
        <v/>
      </c>
      <c r="X47" s="241" t="str">
        <f t="shared" si="104"/>
        <v/>
      </c>
      <c r="Y47" s="241" t="str">
        <f t="shared" si="104"/>
        <v/>
      </c>
      <c r="Z47" s="241" t="str">
        <f t="shared" si="104"/>
        <v/>
      </c>
      <c r="AA47" s="241" t="str">
        <f t="shared" si="104"/>
        <v/>
      </c>
      <c r="AB47" s="241" t="str">
        <f t="shared" si="104"/>
        <v/>
      </c>
      <c r="AC47" s="242" t="str">
        <f t="shared" si="104"/>
        <v/>
      </c>
    </row>
    <row r="48" spans="2:29" x14ac:dyDescent="0.3">
      <c r="B48" s="139" t="s">
        <v>63</v>
      </c>
      <c r="C48" s="163"/>
      <c r="D48" s="241">
        <f t="shared" si="102"/>
        <v>261.84111538461542</v>
      </c>
      <c r="E48" s="204">
        <v>260</v>
      </c>
      <c r="F48" s="241">
        <f>'Historical Analysis'!X26</f>
        <v>47325.279999999999</v>
      </c>
      <c r="G48" s="241">
        <f>'Historical Analysis'!W26</f>
        <v>68078.69</v>
      </c>
      <c r="H48" s="204">
        <v>0</v>
      </c>
      <c r="I48" s="241">
        <f t="shared" si="103"/>
        <v>67600</v>
      </c>
      <c r="J48" s="241">
        <f t="shared" ref="J48:AC48" si="105">IF(J$46="","",I48*(1+$H$9))</f>
        <v>69459</v>
      </c>
      <c r="K48" s="241">
        <f t="shared" si="105"/>
        <v>71369.122500000012</v>
      </c>
      <c r="L48" s="241">
        <f t="shared" si="105"/>
        <v>73331.773368750015</v>
      </c>
      <c r="M48" s="241">
        <f t="shared" si="105"/>
        <v>75348.397136390646</v>
      </c>
      <c r="N48" s="241">
        <f t="shared" si="105"/>
        <v>77420.47805764139</v>
      </c>
      <c r="O48" s="241" t="str">
        <f t="shared" si="105"/>
        <v/>
      </c>
      <c r="P48" s="241" t="str">
        <f t="shared" si="105"/>
        <v/>
      </c>
      <c r="Q48" s="241" t="str">
        <f t="shared" si="105"/>
        <v/>
      </c>
      <c r="R48" s="241" t="str">
        <f t="shared" si="105"/>
        <v/>
      </c>
      <c r="S48" s="241" t="str">
        <f t="shared" si="105"/>
        <v/>
      </c>
      <c r="T48" s="241" t="str">
        <f t="shared" si="105"/>
        <v/>
      </c>
      <c r="U48" s="241" t="str">
        <f t="shared" si="105"/>
        <v/>
      </c>
      <c r="V48" s="241" t="str">
        <f t="shared" si="105"/>
        <v/>
      </c>
      <c r="W48" s="241" t="str">
        <f t="shared" si="105"/>
        <v/>
      </c>
      <c r="X48" s="241" t="str">
        <f t="shared" si="105"/>
        <v/>
      </c>
      <c r="Y48" s="241" t="str">
        <f t="shared" si="105"/>
        <v/>
      </c>
      <c r="Z48" s="241" t="str">
        <f t="shared" si="105"/>
        <v/>
      </c>
      <c r="AA48" s="241" t="str">
        <f t="shared" si="105"/>
        <v/>
      </c>
      <c r="AB48" s="241" t="str">
        <f t="shared" si="105"/>
        <v/>
      </c>
      <c r="AC48" s="242" t="str">
        <f t="shared" si="105"/>
        <v/>
      </c>
    </row>
    <row r="49" spans="2:29" x14ac:dyDescent="0.3">
      <c r="B49" s="139" t="s">
        <v>64</v>
      </c>
      <c r="C49" s="163"/>
      <c r="D49" s="241">
        <f t="shared" si="102"/>
        <v>1249.0985384615385</v>
      </c>
      <c r="E49" s="204">
        <v>1355</v>
      </c>
      <c r="F49" s="241">
        <f>'Historical Analysis'!X27</f>
        <v>344526.68</v>
      </c>
      <c r="G49" s="241">
        <f>'Historical Analysis'!W27</f>
        <v>324765.62</v>
      </c>
      <c r="H49" s="204">
        <v>0</v>
      </c>
      <c r="I49" s="241">
        <f t="shared" si="103"/>
        <v>352300</v>
      </c>
      <c r="J49" s="241">
        <f t="shared" ref="J49:AC49" si="106">IF(J$46="","",I49*(1+$H$9))</f>
        <v>361988.25</v>
      </c>
      <c r="K49" s="241">
        <f t="shared" si="106"/>
        <v>371942.926875</v>
      </c>
      <c r="L49" s="241">
        <f t="shared" si="106"/>
        <v>382171.35736406251</v>
      </c>
      <c r="M49" s="241">
        <f t="shared" si="106"/>
        <v>392681.06969157426</v>
      </c>
      <c r="N49" s="241">
        <f t="shared" si="106"/>
        <v>403479.79910809256</v>
      </c>
      <c r="O49" s="241" t="str">
        <f t="shared" si="106"/>
        <v/>
      </c>
      <c r="P49" s="241" t="str">
        <f t="shared" si="106"/>
        <v/>
      </c>
      <c r="Q49" s="241" t="str">
        <f t="shared" si="106"/>
        <v/>
      </c>
      <c r="R49" s="241" t="str">
        <f t="shared" si="106"/>
        <v/>
      </c>
      <c r="S49" s="241" t="str">
        <f t="shared" si="106"/>
        <v/>
      </c>
      <c r="T49" s="241" t="str">
        <f t="shared" si="106"/>
        <v/>
      </c>
      <c r="U49" s="241" t="str">
        <f t="shared" si="106"/>
        <v/>
      </c>
      <c r="V49" s="241" t="str">
        <f t="shared" si="106"/>
        <v/>
      </c>
      <c r="W49" s="241" t="str">
        <f t="shared" si="106"/>
        <v/>
      </c>
      <c r="X49" s="241" t="str">
        <f t="shared" si="106"/>
        <v/>
      </c>
      <c r="Y49" s="241" t="str">
        <f t="shared" si="106"/>
        <v/>
      </c>
      <c r="Z49" s="241" t="str">
        <f t="shared" si="106"/>
        <v/>
      </c>
      <c r="AA49" s="241" t="str">
        <f t="shared" si="106"/>
        <v/>
      </c>
      <c r="AB49" s="241" t="str">
        <f t="shared" si="106"/>
        <v/>
      </c>
      <c r="AC49" s="242" t="str">
        <f t="shared" si="106"/>
        <v/>
      </c>
    </row>
    <row r="50" spans="2:29" x14ac:dyDescent="0.3">
      <c r="B50" s="224" t="s">
        <v>65</v>
      </c>
      <c r="C50" s="225"/>
      <c r="D50" s="567">
        <f t="shared" si="102"/>
        <v>213.1243846153846</v>
      </c>
      <c r="E50" s="568">
        <v>215</v>
      </c>
      <c r="F50" s="567">
        <f>'Historical Analysis'!X28</f>
        <v>64601.520000000004</v>
      </c>
      <c r="G50" s="567">
        <f>'Historical Analysis'!W28</f>
        <v>55412.34</v>
      </c>
      <c r="H50" s="568">
        <v>0</v>
      </c>
      <c r="I50" s="567">
        <f t="shared" si="103"/>
        <v>55900</v>
      </c>
      <c r="J50" s="567">
        <f t="shared" ref="J50:AC50" si="107">IF(J$46="","",I50*(1+$H$9))</f>
        <v>57437.250000000007</v>
      </c>
      <c r="K50" s="567">
        <f t="shared" si="107"/>
        <v>59016.774375000015</v>
      </c>
      <c r="L50" s="567">
        <f t="shared" si="107"/>
        <v>60639.735670312519</v>
      </c>
      <c r="M50" s="567">
        <f t="shared" si="107"/>
        <v>62307.328401246115</v>
      </c>
      <c r="N50" s="567">
        <f t="shared" si="107"/>
        <v>64020.779932280391</v>
      </c>
      <c r="O50" s="567" t="str">
        <f t="shared" si="107"/>
        <v/>
      </c>
      <c r="P50" s="567" t="str">
        <f t="shared" si="107"/>
        <v/>
      </c>
      <c r="Q50" s="567" t="str">
        <f t="shared" si="107"/>
        <v/>
      </c>
      <c r="R50" s="567" t="str">
        <f t="shared" si="107"/>
        <v/>
      </c>
      <c r="S50" s="567" t="str">
        <f t="shared" si="107"/>
        <v/>
      </c>
      <c r="T50" s="567" t="str">
        <f t="shared" si="107"/>
        <v/>
      </c>
      <c r="U50" s="567" t="str">
        <f t="shared" si="107"/>
        <v/>
      </c>
      <c r="V50" s="567" t="str">
        <f t="shared" si="107"/>
        <v/>
      </c>
      <c r="W50" s="567" t="str">
        <f t="shared" si="107"/>
        <v/>
      </c>
      <c r="X50" s="567" t="str">
        <f t="shared" si="107"/>
        <v/>
      </c>
      <c r="Y50" s="567" t="str">
        <f t="shared" si="107"/>
        <v/>
      </c>
      <c r="Z50" s="567" t="str">
        <f t="shared" si="107"/>
        <v/>
      </c>
      <c r="AA50" s="567" t="str">
        <f t="shared" si="107"/>
        <v/>
      </c>
      <c r="AB50" s="567" t="str">
        <f t="shared" si="107"/>
        <v/>
      </c>
      <c r="AC50" s="569" t="str">
        <f t="shared" si="107"/>
        <v/>
      </c>
    </row>
    <row r="51" spans="2:29" x14ac:dyDescent="0.3">
      <c r="B51" s="139" t="s">
        <v>66</v>
      </c>
      <c r="C51" s="163"/>
      <c r="D51" s="241">
        <f t="shared" si="102"/>
        <v>601.58807692307687</v>
      </c>
      <c r="E51" s="204">
        <v>600</v>
      </c>
      <c r="F51" s="241">
        <f>'Historical Analysis'!X29</f>
        <v>177613.48</v>
      </c>
      <c r="G51" s="241">
        <f>'Historical Analysis'!W29</f>
        <v>156412.9</v>
      </c>
      <c r="H51" s="204">
        <v>0</v>
      </c>
      <c r="I51" s="241">
        <f t="shared" si="103"/>
        <v>156000</v>
      </c>
      <c r="J51" s="241">
        <f t="shared" ref="J51:AC51" si="108">IF(J$46="","",I51*(1+$H$9))</f>
        <v>160290</v>
      </c>
      <c r="K51" s="241">
        <f t="shared" si="108"/>
        <v>164697.97500000001</v>
      </c>
      <c r="L51" s="241">
        <f t="shared" si="108"/>
        <v>169227.16931250002</v>
      </c>
      <c r="M51" s="241">
        <f t="shared" si="108"/>
        <v>173880.91646859379</v>
      </c>
      <c r="N51" s="241">
        <f t="shared" si="108"/>
        <v>178662.64167148012</v>
      </c>
      <c r="O51" s="241" t="str">
        <f t="shared" si="108"/>
        <v/>
      </c>
      <c r="P51" s="241" t="str">
        <f t="shared" si="108"/>
        <v/>
      </c>
      <c r="Q51" s="241" t="str">
        <f t="shared" si="108"/>
        <v/>
      </c>
      <c r="R51" s="241" t="str">
        <f t="shared" si="108"/>
        <v/>
      </c>
      <c r="S51" s="241" t="str">
        <f t="shared" si="108"/>
        <v/>
      </c>
      <c r="T51" s="241" t="str">
        <f t="shared" si="108"/>
        <v/>
      </c>
      <c r="U51" s="241" t="str">
        <f t="shared" si="108"/>
        <v/>
      </c>
      <c r="V51" s="241" t="str">
        <f t="shared" si="108"/>
        <v/>
      </c>
      <c r="W51" s="241" t="str">
        <f t="shared" si="108"/>
        <v/>
      </c>
      <c r="X51" s="241" t="str">
        <f t="shared" si="108"/>
        <v/>
      </c>
      <c r="Y51" s="241" t="str">
        <f t="shared" si="108"/>
        <v/>
      </c>
      <c r="Z51" s="241" t="str">
        <f t="shared" si="108"/>
        <v/>
      </c>
      <c r="AA51" s="241" t="str">
        <f t="shared" si="108"/>
        <v/>
      </c>
      <c r="AB51" s="241" t="str">
        <f t="shared" si="108"/>
        <v/>
      </c>
      <c r="AC51" s="242" t="str">
        <f t="shared" si="108"/>
        <v/>
      </c>
    </row>
    <row r="52" spans="2:29" x14ac:dyDescent="0.3">
      <c r="B52" s="226" t="s">
        <v>67</v>
      </c>
      <c r="C52" s="227"/>
      <c r="D52" s="570">
        <f t="shared" si="102"/>
        <v>57.708230769230752</v>
      </c>
      <c r="E52" s="558">
        <v>60</v>
      </c>
      <c r="F52" s="570">
        <f>'Historical Analysis'!X30</f>
        <v>14451.039999999999</v>
      </c>
      <c r="G52" s="570">
        <f>'Historical Analysis'!W30</f>
        <v>15004.139999999996</v>
      </c>
      <c r="H52" s="558">
        <v>0</v>
      </c>
      <c r="I52" s="570">
        <f t="shared" si="103"/>
        <v>15600</v>
      </c>
      <c r="J52" s="570">
        <f t="shared" ref="J52:AC52" si="109">IF(J$46="","",I52*(1+$H$9))</f>
        <v>16029.000000000002</v>
      </c>
      <c r="K52" s="570">
        <f t="shared" si="109"/>
        <v>16469.797500000004</v>
      </c>
      <c r="L52" s="570">
        <f t="shared" si="109"/>
        <v>16922.716931250005</v>
      </c>
      <c r="M52" s="570">
        <f t="shared" si="109"/>
        <v>17388.091646859382</v>
      </c>
      <c r="N52" s="570">
        <f t="shared" si="109"/>
        <v>17866.264167148016</v>
      </c>
      <c r="O52" s="570" t="str">
        <f t="shared" si="109"/>
        <v/>
      </c>
      <c r="P52" s="570" t="str">
        <f t="shared" si="109"/>
        <v/>
      </c>
      <c r="Q52" s="570" t="str">
        <f t="shared" si="109"/>
        <v/>
      </c>
      <c r="R52" s="570" t="str">
        <f t="shared" si="109"/>
        <v/>
      </c>
      <c r="S52" s="570" t="str">
        <f t="shared" si="109"/>
        <v/>
      </c>
      <c r="T52" s="570" t="str">
        <f t="shared" si="109"/>
        <v/>
      </c>
      <c r="U52" s="570" t="str">
        <f t="shared" si="109"/>
        <v/>
      </c>
      <c r="V52" s="570" t="str">
        <f t="shared" si="109"/>
        <v/>
      </c>
      <c r="W52" s="570" t="str">
        <f t="shared" si="109"/>
        <v/>
      </c>
      <c r="X52" s="570" t="str">
        <f t="shared" si="109"/>
        <v/>
      </c>
      <c r="Y52" s="570" t="str">
        <f t="shared" si="109"/>
        <v/>
      </c>
      <c r="Z52" s="570" t="str">
        <f t="shared" si="109"/>
        <v/>
      </c>
      <c r="AA52" s="570" t="str">
        <f t="shared" si="109"/>
        <v/>
      </c>
      <c r="AB52" s="570" t="str">
        <f t="shared" si="109"/>
        <v/>
      </c>
      <c r="AC52" s="571" t="str">
        <f t="shared" si="109"/>
        <v/>
      </c>
    </row>
    <row r="53" spans="2:29" x14ac:dyDescent="0.3">
      <c r="B53" s="139" t="s">
        <v>68</v>
      </c>
      <c r="C53" s="163"/>
      <c r="D53" s="241">
        <f t="shared" si="102"/>
        <v>1990.0805384615387</v>
      </c>
      <c r="E53" s="241">
        <f>I53/Units</f>
        <v>2515.884</v>
      </c>
      <c r="F53" s="241">
        <f>'Historical Analysis'!X33</f>
        <v>515612.55999999994</v>
      </c>
      <c r="G53" s="567">
        <f>'Historical Analysis'!W33</f>
        <v>517420.94000000006</v>
      </c>
      <c r="H53" s="204">
        <v>0</v>
      </c>
      <c r="I53" s="241">
        <f>IF(I$46="","",IF($F$15="Y1 Tax T12 Based",$G$53,$H$15))</f>
        <v>654129.84</v>
      </c>
      <c r="J53" s="241">
        <f t="shared" ref="J53:AC53" si="110">IF(J$46="","",I53*(1+$H$16))</f>
        <v>673753.7352</v>
      </c>
      <c r="K53" s="241">
        <f t="shared" si="110"/>
        <v>693966.34725600004</v>
      </c>
      <c r="L53" s="241">
        <f t="shared" si="110"/>
        <v>714785.33767368004</v>
      </c>
      <c r="M53" s="241">
        <f t="shared" si="110"/>
        <v>736228.89780389052</v>
      </c>
      <c r="N53" s="241">
        <f t="shared" si="110"/>
        <v>758315.76473800722</v>
      </c>
      <c r="O53" s="241" t="str">
        <f t="shared" si="110"/>
        <v/>
      </c>
      <c r="P53" s="241" t="str">
        <f t="shared" si="110"/>
        <v/>
      </c>
      <c r="Q53" s="241" t="str">
        <f t="shared" si="110"/>
        <v/>
      </c>
      <c r="R53" s="241" t="str">
        <f t="shared" si="110"/>
        <v/>
      </c>
      <c r="S53" s="241" t="str">
        <f t="shared" si="110"/>
        <v/>
      </c>
      <c r="T53" s="241" t="str">
        <f t="shared" si="110"/>
        <v/>
      </c>
      <c r="U53" s="241" t="str">
        <f t="shared" si="110"/>
        <v/>
      </c>
      <c r="V53" s="241" t="str">
        <f t="shared" si="110"/>
        <v/>
      </c>
      <c r="W53" s="241" t="str">
        <f t="shared" si="110"/>
        <v/>
      </c>
      <c r="X53" s="241" t="str">
        <f t="shared" si="110"/>
        <v/>
      </c>
      <c r="Y53" s="241" t="str">
        <f t="shared" si="110"/>
        <v/>
      </c>
      <c r="Z53" s="241" t="str">
        <f t="shared" si="110"/>
        <v/>
      </c>
      <c r="AA53" s="241" t="str">
        <f t="shared" si="110"/>
        <v/>
      </c>
      <c r="AB53" s="241" t="str">
        <f t="shared" si="110"/>
        <v/>
      </c>
      <c r="AC53" s="242" t="str">
        <f t="shared" si="110"/>
        <v/>
      </c>
    </row>
    <row r="54" spans="2:29" x14ac:dyDescent="0.3">
      <c r="B54" s="226" t="s">
        <v>69</v>
      </c>
      <c r="C54" s="227"/>
      <c r="D54" s="570">
        <f t="shared" si="102"/>
        <v>415.54703846153842</v>
      </c>
      <c r="E54" s="570">
        <f>I54/Units</f>
        <v>471.14675307840452</v>
      </c>
      <c r="F54" s="570">
        <f>'Historical Analysis'!X35</f>
        <v>107512.80000000002</v>
      </c>
      <c r="G54" s="570">
        <f>'Historical Analysis'!W35</f>
        <v>108042.23</v>
      </c>
      <c r="H54" s="558">
        <v>0</v>
      </c>
      <c r="I54" s="570">
        <f t="shared" ref="I54:AC54" si="111">IF(I$46="","",I44*$H$10)</f>
        <v>122498.15580038517</v>
      </c>
      <c r="J54" s="570">
        <f t="shared" si="111"/>
        <v>129146.72698983538</v>
      </c>
      <c r="K54" s="570">
        <f t="shared" si="111"/>
        <v>133001.8439089054</v>
      </c>
      <c r="L54" s="570">
        <f t="shared" si="111"/>
        <v>136972.08400105539</v>
      </c>
      <c r="M54" s="570">
        <f t="shared" si="111"/>
        <v>141060.88637727921</v>
      </c>
      <c r="N54" s="570">
        <f t="shared" si="111"/>
        <v>145271.79292083494</v>
      </c>
      <c r="O54" s="570" t="str">
        <f t="shared" si="111"/>
        <v/>
      </c>
      <c r="P54" s="570" t="str">
        <f t="shared" si="111"/>
        <v/>
      </c>
      <c r="Q54" s="570" t="str">
        <f t="shared" si="111"/>
        <v/>
      </c>
      <c r="R54" s="570" t="str">
        <f t="shared" si="111"/>
        <v/>
      </c>
      <c r="S54" s="570" t="str">
        <f t="shared" si="111"/>
        <v/>
      </c>
      <c r="T54" s="570" t="str">
        <f t="shared" si="111"/>
        <v/>
      </c>
      <c r="U54" s="570" t="str">
        <f t="shared" si="111"/>
        <v/>
      </c>
      <c r="V54" s="570" t="str">
        <f t="shared" si="111"/>
        <v/>
      </c>
      <c r="W54" s="570" t="str">
        <f t="shared" si="111"/>
        <v/>
      </c>
      <c r="X54" s="570" t="str">
        <f t="shared" si="111"/>
        <v/>
      </c>
      <c r="Y54" s="570" t="str">
        <f t="shared" si="111"/>
        <v/>
      </c>
      <c r="Z54" s="570" t="str">
        <f t="shared" si="111"/>
        <v/>
      </c>
      <c r="AA54" s="570" t="str">
        <f t="shared" si="111"/>
        <v/>
      </c>
      <c r="AB54" s="570" t="str">
        <f t="shared" si="111"/>
        <v/>
      </c>
      <c r="AC54" s="571" t="str">
        <f t="shared" si="111"/>
        <v/>
      </c>
    </row>
    <row r="55" spans="2:29" x14ac:dyDescent="0.3">
      <c r="B55" s="139" t="s">
        <v>70</v>
      </c>
      <c r="C55" s="163"/>
      <c r="D55" s="241">
        <f>G55/Units</f>
        <v>382.5038076923077</v>
      </c>
      <c r="E55" s="204">
        <v>390</v>
      </c>
      <c r="F55" s="241">
        <f>'Historical Analysis'!X31</f>
        <v>110734.28</v>
      </c>
      <c r="G55" s="241">
        <f>'Historical Analysis'!W31</f>
        <v>99450.99</v>
      </c>
      <c r="H55" s="204">
        <v>0</v>
      </c>
      <c r="I55" s="241">
        <f>IF(I$46="","",E55*Units)</f>
        <v>101400</v>
      </c>
      <c r="J55" s="241">
        <f t="shared" ref="J55:AC55" si="112">IF(J$46="","",I55*(1+$H$9))</f>
        <v>104188.50000000001</v>
      </c>
      <c r="K55" s="241">
        <f t="shared" si="112"/>
        <v>107053.68375000003</v>
      </c>
      <c r="L55" s="241">
        <f t="shared" si="112"/>
        <v>109997.66005312503</v>
      </c>
      <c r="M55" s="241">
        <f t="shared" si="112"/>
        <v>113022.59570458598</v>
      </c>
      <c r="N55" s="241">
        <f t="shared" si="112"/>
        <v>116130.7170864621</v>
      </c>
      <c r="O55" s="241" t="str">
        <f t="shared" si="112"/>
        <v/>
      </c>
      <c r="P55" s="241" t="str">
        <f t="shared" si="112"/>
        <v/>
      </c>
      <c r="Q55" s="241" t="str">
        <f t="shared" si="112"/>
        <v/>
      </c>
      <c r="R55" s="241" t="str">
        <f t="shared" si="112"/>
        <v/>
      </c>
      <c r="S55" s="241" t="str">
        <f t="shared" si="112"/>
        <v/>
      </c>
      <c r="T55" s="241" t="str">
        <f t="shared" si="112"/>
        <v/>
      </c>
      <c r="U55" s="241" t="str">
        <f t="shared" si="112"/>
        <v/>
      </c>
      <c r="V55" s="241" t="str">
        <f t="shared" si="112"/>
        <v/>
      </c>
      <c r="W55" s="241" t="str">
        <f t="shared" si="112"/>
        <v/>
      </c>
      <c r="X55" s="241" t="str">
        <f t="shared" si="112"/>
        <v/>
      </c>
      <c r="Y55" s="241" t="str">
        <f t="shared" si="112"/>
        <v/>
      </c>
      <c r="Z55" s="241" t="str">
        <f t="shared" si="112"/>
        <v/>
      </c>
      <c r="AA55" s="241" t="str">
        <f t="shared" si="112"/>
        <v/>
      </c>
      <c r="AB55" s="241" t="str">
        <f t="shared" si="112"/>
        <v/>
      </c>
      <c r="AC55" s="242" t="str">
        <f t="shared" si="112"/>
        <v/>
      </c>
    </row>
    <row r="56" spans="2:29" x14ac:dyDescent="0.3">
      <c r="B56" s="139" t="s">
        <v>71</v>
      </c>
      <c r="C56" s="163"/>
      <c r="D56" s="241">
        <f>G56/Units</f>
        <v>1739.7502307692309</v>
      </c>
      <c r="E56" s="204">
        <v>1750</v>
      </c>
      <c r="F56" s="241">
        <f>'Historical Analysis'!X32</f>
        <v>478699.88</v>
      </c>
      <c r="G56" s="241">
        <f>'Historical Analysis'!W32</f>
        <v>452335.06000000006</v>
      </c>
      <c r="H56" s="204">
        <v>0</v>
      </c>
      <c r="I56" s="241">
        <f>IF(I$46="","",E56*Units)</f>
        <v>455000</v>
      </c>
      <c r="J56" s="241">
        <f t="shared" ref="J56:AC56" si="113">IF(J$46="","",I56*(1+$H$9))</f>
        <v>467512.50000000006</v>
      </c>
      <c r="K56" s="241">
        <f t="shared" si="113"/>
        <v>480369.09375000012</v>
      </c>
      <c r="L56" s="241">
        <f t="shared" si="113"/>
        <v>493579.24382812518</v>
      </c>
      <c r="M56" s="241">
        <f t="shared" si="113"/>
        <v>507152.67303339869</v>
      </c>
      <c r="N56" s="241">
        <f t="shared" si="113"/>
        <v>521099.37154181721</v>
      </c>
      <c r="O56" s="241" t="str">
        <f t="shared" si="113"/>
        <v/>
      </c>
      <c r="P56" s="241" t="str">
        <f t="shared" si="113"/>
        <v/>
      </c>
      <c r="Q56" s="241" t="str">
        <f t="shared" si="113"/>
        <v/>
      </c>
      <c r="R56" s="241" t="str">
        <f t="shared" si="113"/>
        <v/>
      </c>
      <c r="S56" s="241" t="str">
        <f t="shared" si="113"/>
        <v/>
      </c>
      <c r="T56" s="241" t="str">
        <f t="shared" si="113"/>
        <v/>
      </c>
      <c r="U56" s="241" t="str">
        <f t="shared" si="113"/>
        <v/>
      </c>
      <c r="V56" s="241" t="str">
        <f t="shared" si="113"/>
        <v/>
      </c>
      <c r="W56" s="241" t="str">
        <f t="shared" si="113"/>
        <v/>
      </c>
      <c r="X56" s="241" t="str">
        <f t="shared" si="113"/>
        <v/>
      </c>
      <c r="Y56" s="241" t="str">
        <f t="shared" si="113"/>
        <v/>
      </c>
      <c r="Z56" s="241" t="str">
        <f t="shared" si="113"/>
        <v/>
      </c>
      <c r="AA56" s="241" t="str">
        <f t="shared" si="113"/>
        <v/>
      </c>
      <c r="AB56" s="241" t="str">
        <f t="shared" si="113"/>
        <v/>
      </c>
      <c r="AC56" s="242" t="str">
        <f t="shared" si="113"/>
        <v/>
      </c>
    </row>
    <row r="57" spans="2:29" x14ac:dyDescent="0.3">
      <c r="B57" s="139" t="s">
        <v>72</v>
      </c>
      <c r="C57" s="163"/>
      <c r="D57" s="241">
        <f>G57/Units</f>
        <v>1105.2377692307693</v>
      </c>
      <c r="E57" s="204">
        <v>550</v>
      </c>
      <c r="F57" s="241">
        <f>'Historical Analysis'!X34</f>
        <v>285043.88</v>
      </c>
      <c r="G57" s="241">
        <f>'Historical Analysis'!W34</f>
        <v>287361.82</v>
      </c>
      <c r="H57" s="204">
        <v>0</v>
      </c>
      <c r="I57" s="241">
        <f>IF(I$46="","",E57*Units)</f>
        <v>143000</v>
      </c>
      <c r="J57" s="241">
        <f t="shared" ref="J57:AC57" si="114">IF(J$46="","",I57*(1+$H$9))</f>
        <v>146932.5</v>
      </c>
      <c r="K57" s="241">
        <f t="shared" si="114"/>
        <v>150973.14375000002</v>
      </c>
      <c r="L57" s="241">
        <f t="shared" si="114"/>
        <v>155124.90520312503</v>
      </c>
      <c r="M57" s="241">
        <f t="shared" si="114"/>
        <v>159390.84009621097</v>
      </c>
      <c r="N57" s="241">
        <f t="shared" si="114"/>
        <v>163774.0881988568</v>
      </c>
      <c r="O57" s="241" t="str">
        <f t="shared" si="114"/>
        <v/>
      </c>
      <c r="P57" s="241" t="str">
        <f t="shared" si="114"/>
        <v/>
      </c>
      <c r="Q57" s="241" t="str">
        <f t="shared" si="114"/>
        <v/>
      </c>
      <c r="R57" s="241" t="str">
        <f t="shared" si="114"/>
        <v/>
      </c>
      <c r="S57" s="241" t="str">
        <f t="shared" si="114"/>
        <v/>
      </c>
      <c r="T57" s="241" t="str">
        <f t="shared" si="114"/>
        <v/>
      </c>
      <c r="U57" s="241" t="str">
        <f t="shared" si="114"/>
        <v/>
      </c>
      <c r="V57" s="241" t="str">
        <f t="shared" si="114"/>
        <v/>
      </c>
      <c r="W57" s="241" t="str">
        <f t="shared" si="114"/>
        <v/>
      </c>
      <c r="X57" s="241" t="str">
        <f t="shared" si="114"/>
        <v/>
      </c>
      <c r="Y57" s="241" t="str">
        <f t="shared" si="114"/>
        <v/>
      </c>
      <c r="Z57" s="241" t="str">
        <f t="shared" si="114"/>
        <v/>
      </c>
      <c r="AA57" s="241" t="str">
        <f t="shared" si="114"/>
        <v/>
      </c>
      <c r="AB57" s="241" t="str">
        <f t="shared" si="114"/>
        <v/>
      </c>
      <c r="AC57" s="242" t="str">
        <f t="shared" si="114"/>
        <v/>
      </c>
    </row>
    <row r="58" spans="2:29" ht="13.5" customHeight="1" x14ac:dyDescent="0.3">
      <c r="B58" s="139" t="s">
        <v>73</v>
      </c>
      <c r="C58" s="163"/>
      <c r="D58" s="241">
        <f t="shared" si="102"/>
        <v>367.02161538461536</v>
      </c>
      <c r="E58" s="204">
        <v>350</v>
      </c>
      <c r="F58" s="241">
        <f>'Historical Analysis'!X36</f>
        <v>120435.84</v>
      </c>
      <c r="G58" s="241">
        <f>'Historical Analysis'!W36</f>
        <v>95425.62</v>
      </c>
      <c r="H58" s="204">
        <v>0</v>
      </c>
      <c r="I58" s="241">
        <f>IF(I$46="","",E58*Units)</f>
        <v>91000</v>
      </c>
      <c r="J58" s="241">
        <f t="shared" ref="J58:AC58" si="115">IF(J$46="","",I58*(1+$H$9))</f>
        <v>93502.5</v>
      </c>
      <c r="K58" s="241">
        <f t="shared" si="115"/>
        <v>96073.818750000006</v>
      </c>
      <c r="L58" s="241">
        <f t="shared" si="115"/>
        <v>98715.848765625007</v>
      </c>
      <c r="M58" s="241">
        <f t="shared" si="115"/>
        <v>101430.53460667971</v>
      </c>
      <c r="N58" s="241">
        <f t="shared" si="115"/>
        <v>104219.8743083634</v>
      </c>
      <c r="O58" s="241" t="str">
        <f t="shared" si="115"/>
        <v/>
      </c>
      <c r="P58" s="241" t="str">
        <f t="shared" si="115"/>
        <v/>
      </c>
      <c r="Q58" s="241" t="str">
        <f t="shared" si="115"/>
        <v/>
      </c>
      <c r="R58" s="241" t="str">
        <f t="shared" si="115"/>
        <v/>
      </c>
      <c r="S58" s="241" t="str">
        <f t="shared" si="115"/>
        <v/>
      </c>
      <c r="T58" s="241" t="str">
        <f t="shared" si="115"/>
        <v/>
      </c>
      <c r="U58" s="241" t="str">
        <f t="shared" si="115"/>
        <v/>
      </c>
      <c r="V58" s="241" t="str">
        <f t="shared" si="115"/>
        <v/>
      </c>
      <c r="W58" s="241" t="str">
        <f t="shared" si="115"/>
        <v/>
      </c>
      <c r="X58" s="241" t="str">
        <f t="shared" si="115"/>
        <v/>
      </c>
      <c r="Y58" s="241" t="str">
        <f t="shared" si="115"/>
        <v/>
      </c>
      <c r="Z58" s="241" t="str">
        <f t="shared" si="115"/>
        <v/>
      </c>
      <c r="AA58" s="241" t="str">
        <f t="shared" si="115"/>
        <v/>
      </c>
      <c r="AB58" s="241" t="str">
        <f t="shared" si="115"/>
        <v/>
      </c>
      <c r="AC58" s="242" t="str">
        <f t="shared" si="115"/>
        <v/>
      </c>
    </row>
    <row r="59" spans="2:29" x14ac:dyDescent="0.3">
      <c r="B59" s="139" t="s">
        <v>74</v>
      </c>
      <c r="C59" s="163"/>
      <c r="D59" s="241">
        <f t="shared" si="102"/>
        <v>77.000769230769237</v>
      </c>
      <c r="E59" s="204">
        <v>0</v>
      </c>
      <c r="F59" s="241">
        <f>'Historical Analysis'!X37</f>
        <v>36049.119999999995</v>
      </c>
      <c r="G59" s="241">
        <f>'Historical Analysis'!W37</f>
        <v>20020.2</v>
      </c>
      <c r="H59" s="204">
        <v>0</v>
      </c>
      <c r="I59" s="241">
        <f>IF(I$46="","",E59*Units)</f>
        <v>0</v>
      </c>
      <c r="J59" s="241">
        <f t="shared" ref="J59:AC59" si="116">IF(J$46="","",I59*(1+$H$9))</f>
        <v>0</v>
      </c>
      <c r="K59" s="241">
        <f t="shared" si="116"/>
        <v>0</v>
      </c>
      <c r="L59" s="241">
        <f t="shared" si="116"/>
        <v>0</v>
      </c>
      <c r="M59" s="241">
        <f t="shared" si="116"/>
        <v>0</v>
      </c>
      <c r="N59" s="241">
        <f t="shared" si="116"/>
        <v>0</v>
      </c>
      <c r="O59" s="241" t="str">
        <f t="shared" si="116"/>
        <v/>
      </c>
      <c r="P59" s="241" t="str">
        <f t="shared" si="116"/>
        <v/>
      </c>
      <c r="Q59" s="241" t="str">
        <f t="shared" si="116"/>
        <v/>
      </c>
      <c r="R59" s="241" t="str">
        <f t="shared" si="116"/>
        <v/>
      </c>
      <c r="S59" s="241" t="str">
        <f t="shared" si="116"/>
        <v/>
      </c>
      <c r="T59" s="241" t="str">
        <f t="shared" si="116"/>
        <v/>
      </c>
      <c r="U59" s="241" t="str">
        <f t="shared" si="116"/>
        <v/>
      </c>
      <c r="V59" s="241" t="str">
        <f t="shared" si="116"/>
        <v/>
      </c>
      <c r="W59" s="241" t="str">
        <f t="shared" si="116"/>
        <v/>
      </c>
      <c r="X59" s="241" t="str">
        <f t="shared" si="116"/>
        <v/>
      </c>
      <c r="Y59" s="241" t="str">
        <f t="shared" si="116"/>
        <v/>
      </c>
      <c r="Z59" s="241" t="str">
        <f t="shared" si="116"/>
        <v/>
      </c>
      <c r="AA59" s="241" t="str">
        <f t="shared" si="116"/>
        <v/>
      </c>
      <c r="AB59" s="241" t="str">
        <f t="shared" si="116"/>
        <v/>
      </c>
      <c r="AC59" s="242" t="str">
        <f t="shared" si="116"/>
        <v/>
      </c>
    </row>
    <row r="60" spans="2:29" ht="15" thickBot="1" x14ac:dyDescent="0.35">
      <c r="B60" s="110" t="s">
        <v>75</v>
      </c>
      <c r="C60" s="3"/>
      <c r="D60" s="109">
        <f t="shared" ref="D60:N60" si="117">SUM(D47:D59)</f>
        <v>8869.0340000000015</v>
      </c>
      <c r="E60" s="109">
        <f t="shared" si="117"/>
        <v>8927.0307530784048</v>
      </c>
      <c r="F60" s="109">
        <f t="shared" si="117"/>
        <v>2424530.0799999996</v>
      </c>
      <c r="G60" s="109">
        <f t="shared" si="117"/>
        <v>2305948.8400000003</v>
      </c>
      <c r="H60" s="572">
        <f t="shared" si="117"/>
        <v>0</v>
      </c>
      <c r="I60" s="109">
        <f t="shared" si="117"/>
        <v>2321027.9958003853</v>
      </c>
      <c r="J60" s="109">
        <f t="shared" si="117"/>
        <v>2389771.4621898355</v>
      </c>
      <c r="K60" s="109">
        <f t="shared" si="117"/>
        <v>2457478.1436649058</v>
      </c>
      <c r="L60" s="109">
        <f t="shared" si="117"/>
        <v>2527106.3978684861</v>
      </c>
      <c r="M60" s="109">
        <f t="shared" si="117"/>
        <v>2598710.8572202488</v>
      </c>
      <c r="N60" s="109">
        <f t="shared" si="117"/>
        <v>2672347.7102064961</v>
      </c>
      <c r="O60" s="109" t="str">
        <f t="shared" ref="O60:AC60" si="118">IF(O$46="","",SUM(O47:O59))</f>
        <v/>
      </c>
      <c r="P60" s="109" t="str">
        <f t="shared" si="118"/>
        <v/>
      </c>
      <c r="Q60" s="109" t="str">
        <f t="shared" si="118"/>
        <v/>
      </c>
      <c r="R60" s="109" t="str">
        <f t="shared" si="118"/>
        <v/>
      </c>
      <c r="S60" s="109" t="str">
        <f t="shared" si="118"/>
        <v/>
      </c>
      <c r="T60" s="109" t="str">
        <f t="shared" si="118"/>
        <v/>
      </c>
      <c r="U60" s="109" t="str">
        <f t="shared" si="118"/>
        <v/>
      </c>
      <c r="V60" s="109" t="str">
        <f t="shared" si="118"/>
        <v/>
      </c>
      <c r="W60" s="109" t="str">
        <f t="shared" si="118"/>
        <v/>
      </c>
      <c r="X60" s="109" t="str">
        <f t="shared" si="118"/>
        <v/>
      </c>
      <c r="Y60" s="109" t="str">
        <f t="shared" si="118"/>
        <v/>
      </c>
      <c r="Z60" s="109" t="str">
        <f t="shared" si="118"/>
        <v/>
      </c>
      <c r="AA60" s="109" t="str">
        <f t="shared" si="118"/>
        <v/>
      </c>
      <c r="AB60" s="109" t="str">
        <f t="shared" si="118"/>
        <v/>
      </c>
      <c r="AC60" s="126" t="str">
        <f t="shared" si="118"/>
        <v/>
      </c>
    </row>
    <row r="61" spans="2:29" ht="15" thickTop="1" x14ac:dyDescent="0.3">
      <c r="B61" s="428" t="s">
        <v>76</v>
      </c>
      <c r="C61" s="555"/>
      <c r="D61" s="172"/>
      <c r="E61" s="172"/>
      <c r="F61" s="426">
        <f t="shared" ref="F61:G61" si="119">IF(F$46="","",F60/F44)</f>
        <v>0.56377972398412646</v>
      </c>
      <c r="G61" s="426">
        <f t="shared" si="119"/>
        <v>0.53426196641351342</v>
      </c>
      <c r="H61" s="617" t="e">
        <f t="shared" ref="H61:AC61" si="120">IF(H$46="","",H60/H44)</f>
        <v>#DIV/0!</v>
      </c>
      <c r="I61" s="426">
        <f t="shared" si="120"/>
        <v>0.52105494541910402</v>
      </c>
      <c r="J61" s="426">
        <f t="shared" si="120"/>
        <v>0.50886860814825707</v>
      </c>
      <c r="K61" s="426">
        <f t="shared" si="120"/>
        <v>0.50811813554308105</v>
      </c>
      <c r="L61" s="426">
        <f t="shared" si="120"/>
        <v>0.50736926760089229</v>
      </c>
      <c r="M61" s="426">
        <f t="shared" si="120"/>
        <v>0.50662200138469915</v>
      </c>
      <c r="N61" s="426">
        <f t="shared" si="120"/>
        <v>0.50587633396062215</v>
      </c>
      <c r="O61" s="426" t="str">
        <f t="shared" si="120"/>
        <v/>
      </c>
      <c r="P61" s="426" t="str">
        <f t="shared" si="120"/>
        <v/>
      </c>
      <c r="Q61" s="426" t="str">
        <f t="shared" si="120"/>
        <v/>
      </c>
      <c r="R61" s="426" t="str">
        <f t="shared" si="120"/>
        <v/>
      </c>
      <c r="S61" s="426" t="str">
        <f t="shared" si="120"/>
        <v/>
      </c>
      <c r="T61" s="426" t="str">
        <f t="shared" si="120"/>
        <v/>
      </c>
      <c r="U61" s="426" t="str">
        <f t="shared" si="120"/>
        <v/>
      </c>
      <c r="V61" s="426" t="str">
        <f t="shared" si="120"/>
        <v/>
      </c>
      <c r="W61" s="426" t="str">
        <f t="shared" si="120"/>
        <v/>
      </c>
      <c r="X61" s="426" t="str">
        <f t="shared" si="120"/>
        <v/>
      </c>
      <c r="Y61" s="426" t="str">
        <f t="shared" si="120"/>
        <v/>
      </c>
      <c r="Z61" s="426" t="str">
        <f t="shared" si="120"/>
        <v/>
      </c>
      <c r="AA61" s="426" t="str">
        <f t="shared" si="120"/>
        <v/>
      </c>
      <c r="AB61" s="426" t="str">
        <f t="shared" si="120"/>
        <v/>
      </c>
      <c r="AC61" s="427" t="str">
        <f t="shared" si="120"/>
        <v/>
      </c>
    </row>
    <row r="62" spans="2:29" x14ac:dyDescent="0.3">
      <c r="B62" s="138"/>
      <c r="D62" s="373"/>
      <c r="E62" s="373"/>
      <c r="H62" s="210"/>
      <c r="I62" s="382"/>
      <c r="J62" s="382"/>
      <c r="AC62" s="246"/>
    </row>
    <row r="63" spans="2:29" ht="15" thickBot="1" x14ac:dyDescent="0.35">
      <c r="B63" s="110" t="s">
        <v>307</v>
      </c>
      <c r="C63" s="3"/>
      <c r="D63" s="375"/>
      <c r="E63" s="109"/>
      <c r="F63" s="109">
        <f>F44-F60</f>
        <v>1875961.7200000011</v>
      </c>
      <c r="G63" s="109">
        <f>G44-G60</f>
        <v>2010190.0300000007</v>
      </c>
      <c r="H63" s="109">
        <f>H44-H60</f>
        <v>0</v>
      </c>
      <c r="I63" s="109">
        <f t="shared" ref="I63:V63" si="121">IF(I$46="","",I44-I60)</f>
        <v>2133450.3969408935</v>
      </c>
      <c r="J63" s="376">
        <f t="shared" si="121"/>
        <v>2306473.1556223603</v>
      </c>
      <c r="K63" s="109">
        <f t="shared" si="121"/>
        <v>2378952.5439316547</v>
      </c>
      <c r="L63" s="109">
        <f t="shared" si="121"/>
        <v>2453696.6567153465</v>
      </c>
      <c r="M63" s="109">
        <f t="shared" si="121"/>
        <v>2530775.9201353588</v>
      </c>
      <c r="N63" s="109">
        <f t="shared" si="121"/>
        <v>2610262.941460229</v>
      </c>
      <c r="O63" s="109" t="str">
        <f t="shared" si="121"/>
        <v/>
      </c>
      <c r="P63" s="109" t="str">
        <f t="shared" si="121"/>
        <v/>
      </c>
      <c r="Q63" s="109" t="str">
        <f t="shared" si="121"/>
        <v/>
      </c>
      <c r="R63" s="109" t="str">
        <f t="shared" si="121"/>
        <v/>
      </c>
      <c r="S63" s="109" t="str">
        <f t="shared" si="121"/>
        <v/>
      </c>
      <c r="T63" s="109" t="str">
        <f t="shared" si="121"/>
        <v/>
      </c>
      <c r="U63" s="109" t="str">
        <f t="shared" si="121"/>
        <v/>
      </c>
      <c r="V63" s="109" t="str">
        <f t="shared" si="121"/>
        <v/>
      </c>
      <c r="W63" s="109" t="str">
        <f t="shared" ref="W63:AC63" si="122">IF(W$46="","",W44+W60)</f>
        <v/>
      </c>
      <c r="X63" s="109" t="str">
        <f t="shared" si="122"/>
        <v/>
      </c>
      <c r="Y63" s="109" t="str">
        <f t="shared" si="122"/>
        <v/>
      </c>
      <c r="Z63" s="109" t="str">
        <f t="shared" si="122"/>
        <v/>
      </c>
      <c r="AA63" s="109" t="str">
        <f t="shared" si="122"/>
        <v/>
      </c>
      <c r="AB63" s="109" t="str">
        <f t="shared" si="122"/>
        <v/>
      </c>
      <c r="AC63" s="126" t="str">
        <f t="shared" si="122"/>
        <v/>
      </c>
    </row>
    <row r="64" spans="2:29" ht="15" thickTop="1" x14ac:dyDescent="0.3">
      <c r="B64" s="250" t="s">
        <v>78</v>
      </c>
      <c r="C64" s="556"/>
      <c r="D64" s="259"/>
      <c r="E64" s="259"/>
      <c r="F64" s="259"/>
      <c r="G64" s="259"/>
      <c r="H64" s="259"/>
      <c r="I64" s="260">
        <f>IF(I$46="","",I63/G63-1)</f>
        <v>6.1317768520070093E-2</v>
      </c>
      <c r="J64" s="260">
        <f t="shared" ref="J64:AC64" si="123">IF(J$46="","",J63/I63-1)</f>
        <v>8.1099967887493518E-2</v>
      </c>
      <c r="K64" s="260">
        <f>IF(K$46="","",K63/J63-1)</f>
        <v>3.1424336386753682E-2</v>
      </c>
      <c r="L64" s="260">
        <f>IF(L$46="","",L63/K63-1)</f>
        <v>3.1418917108856359E-2</v>
      </c>
      <c r="M64" s="260">
        <f>IF(M$46="","",M63/L63-1)</f>
        <v>3.1413525876990311E-2</v>
      </c>
      <c r="N64" s="260">
        <f>IF(N$46="","",N63/M63-1)</f>
        <v>3.1408162489794389E-2</v>
      </c>
      <c r="O64" s="260" t="str">
        <f>IF(O$46="","",O63/N63-1)</f>
        <v/>
      </c>
      <c r="P64" s="260" t="str">
        <f t="shared" si="123"/>
        <v/>
      </c>
      <c r="Q64" s="260" t="str">
        <f t="shared" si="123"/>
        <v/>
      </c>
      <c r="R64" s="260" t="str">
        <f t="shared" si="123"/>
        <v/>
      </c>
      <c r="S64" s="260" t="str">
        <f t="shared" si="123"/>
        <v/>
      </c>
      <c r="T64" s="260" t="str">
        <f t="shared" si="123"/>
        <v/>
      </c>
      <c r="U64" s="260" t="str">
        <f t="shared" si="123"/>
        <v/>
      </c>
      <c r="V64" s="260" t="str">
        <f t="shared" si="123"/>
        <v/>
      </c>
      <c r="W64" s="260" t="str">
        <f t="shared" si="123"/>
        <v/>
      </c>
      <c r="X64" s="260" t="str">
        <f t="shared" si="123"/>
        <v/>
      </c>
      <c r="Y64" s="260" t="str">
        <f t="shared" si="123"/>
        <v/>
      </c>
      <c r="Z64" s="260" t="str">
        <f t="shared" si="123"/>
        <v/>
      </c>
      <c r="AA64" s="260" t="str">
        <f t="shared" si="123"/>
        <v/>
      </c>
      <c r="AB64" s="260" t="str">
        <f t="shared" si="123"/>
        <v/>
      </c>
      <c r="AC64" s="261" t="str">
        <f t="shared" si="123"/>
        <v/>
      </c>
    </row>
    <row r="65" spans="2:31" x14ac:dyDescent="0.3">
      <c r="B65" s="139" t="s">
        <v>79</v>
      </c>
      <c r="C65" s="163"/>
      <c r="D65">
        <f>G65/Units</f>
        <v>0</v>
      </c>
      <c r="E65">
        <f>I65/Units</f>
        <v>0</v>
      </c>
      <c r="F65" s="249">
        <f>'Historical Analysis'!X41</f>
        <v>0</v>
      </c>
      <c r="G65" s="249">
        <f>'Historical Analysis'!W41</f>
        <v>0</v>
      </c>
      <c r="H65" s="204">
        <v>0</v>
      </c>
      <c r="I65" s="241">
        <f>IF(I46="","",-$H$13*Units)</f>
        <v>0</v>
      </c>
      <c r="J65" s="241">
        <f t="shared" ref="J65:P65" si="124">IF(J46="","",I65*(1+$H$9))</f>
        <v>0</v>
      </c>
      <c r="K65" s="241">
        <f t="shared" si="124"/>
        <v>0</v>
      </c>
      <c r="L65" s="241">
        <f t="shared" si="124"/>
        <v>0</v>
      </c>
      <c r="M65" s="241">
        <f t="shared" si="124"/>
        <v>0</v>
      </c>
      <c r="N65" s="241">
        <f t="shared" si="124"/>
        <v>0</v>
      </c>
      <c r="O65" s="241" t="str">
        <f t="shared" si="124"/>
        <v/>
      </c>
      <c r="P65" s="241" t="str">
        <f t="shared" si="124"/>
        <v/>
      </c>
      <c r="Q65" s="241" t="str">
        <f t="shared" ref="Q65:AC65" si="125">IF(Q46="","",-$H$13*Units)</f>
        <v/>
      </c>
      <c r="R65" s="241" t="str">
        <f t="shared" si="125"/>
        <v/>
      </c>
      <c r="S65" s="241" t="str">
        <f t="shared" si="125"/>
        <v/>
      </c>
      <c r="T65" s="241" t="str">
        <f t="shared" si="125"/>
        <v/>
      </c>
      <c r="U65" s="241" t="str">
        <f t="shared" si="125"/>
        <v/>
      </c>
      <c r="V65" s="241" t="str">
        <f t="shared" si="125"/>
        <v/>
      </c>
      <c r="W65" s="241" t="str">
        <f t="shared" si="125"/>
        <v/>
      </c>
      <c r="X65" s="241" t="str">
        <f t="shared" si="125"/>
        <v/>
      </c>
      <c r="Y65" s="241" t="str">
        <f t="shared" si="125"/>
        <v/>
      </c>
      <c r="Z65" s="241" t="str">
        <f t="shared" si="125"/>
        <v/>
      </c>
      <c r="AA65" s="241" t="str">
        <f t="shared" si="125"/>
        <v/>
      </c>
      <c r="AB65" s="241" t="str">
        <f t="shared" si="125"/>
        <v/>
      </c>
      <c r="AC65" s="242" t="str">
        <f t="shared" si="125"/>
        <v/>
      </c>
    </row>
    <row r="66" spans="2:31" ht="15" thickBot="1" x14ac:dyDescent="0.35">
      <c r="B66" s="110" t="s">
        <v>80</v>
      </c>
      <c r="C66" s="3"/>
      <c r="D66" s="109"/>
      <c r="E66" s="109"/>
      <c r="F66" s="3"/>
      <c r="G66" s="109">
        <f>G63+G65</f>
        <v>2010190.0300000007</v>
      </c>
      <c r="H66" s="109">
        <f>H63+H65</f>
        <v>0</v>
      </c>
      <c r="I66" s="7">
        <f t="shared" ref="I66:AC66" si="126">IF(I46="","",I63+I65)</f>
        <v>2133450.3969408935</v>
      </c>
      <c r="J66" s="7">
        <f t="shared" si="126"/>
        <v>2306473.1556223603</v>
      </c>
      <c r="K66" s="7">
        <f t="shared" si="126"/>
        <v>2378952.5439316547</v>
      </c>
      <c r="L66" s="7">
        <f t="shared" si="126"/>
        <v>2453696.6567153465</v>
      </c>
      <c r="M66" s="7">
        <f t="shared" si="126"/>
        <v>2530775.9201353588</v>
      </c>
      <c r="N66" s="7">
        <f t="shared" si="126"/>
        <v>2610262.941460229</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7" t="str">
        <f t="shared" si="126"/>
        <v/>
      </c>
    </row>
    <row r="67" spans="2:31" ht="15" thickTop="1" x14ac:dyDescent="0.3">
      <c r="B67" s="139" t="s">
        <v>81</v>
      </c>
      <c r="C67" s="163"/>
      <c r="D67" s="4"/>
      <c r="E67" s="4"/>
      <c r="F67" s="4"/>
      <c r="G67" s="4"/>
      <c r="H67" s="4"/>
      <c r="I67" s="518">
        <f t="shared" ref="I67:AC67" si="127">IF(I46="","",IF(I46=$C$13,(J66/$C$14*(1-$H$12)),0))</f>
        <v>0</v>
      </c>
      <c r="J67" s="518">
        <f t="shared" si="127"/>
        <v>0</v>
      </c>
      <c r="K67" s="518">
        <f t="shared" si="127"/>
        <v>0</v>
      </c>
      <c r="L67" s="518">
        <f t="shared" si="127"/>
        <v>0</v>
      </c>
      <c r="M67" s="518">
        <f t="shared" si="127"/>
        <v>43069338.534093782</v>
      </c>
      <c r="N67" s="518">
        <f t="shared" si="127"/>
        <v>0</v>
      </c>
      <c r="O67" s="518" t="str">
        <f t="shared" si="127"/>
        <v/>
      </c>
      <c r="P67" s="518" t="str">
        <f t="shared" si="127"/>
        <v/>
      </c>
      <c r="Q67" s="518" t="str">
        <f t="shared" si="127"/>
        <v/>
      </c>
      <c r="R67" s="518" t="str">
        <f t="shared" si="127"/>
        <v/>
      </c>
      <c r="S67" s="518" t="str">
        <f t="shared" si="127"/>
        <v/>
      </c>
      <c r="T67" s="518" t="str">
        <f t="shared" si="127"/>
        <v/>
      </c>
      <c r="U67" s="518" t="str">
        <f t="shared" si="127"/>
        <v/>
      </c>
      <c r="V67" s="518" t="str">
        <f t="shared" si="127"/>
        <v/>
      </c>
      <c r="W67" s="518" t="str">
        <f t="shared" si="127"/>
        <v/>
      </c>
      <c r="X67" s="518" t="str">
        <f t="shared" si="127"/>
        <v/>
      </c>
      <c r="Y67" s="518" t="str">
        <f t="shared" si="127"/>
        <v/>
      </c>
      <c r="Z67" s="518" t="str">
        <f t="shared" si="127"/>
        <v/>
      </c>
      <c r="AA67" s="518" t="str">
        <f t="shared" si="127"/>
        <v/>
      </c>
      <c r="AB67" s="518" t="str">
        <f t="shared" si="127"/>
        <v/>
      </c>
      <c r="AC67" s="519" t="str">
        <f t="shared" si="127"/>
        <v/>
      </c>
    </row>
    <row r="68" spans="2:31" x14ac:dyDescent="0.3">
      <c r="B68" s="139" t="s">
        <v>82</v>
      </c>
      <c r="C68" s="163"/>
      <c r="I68" s="518">
        <f>-Loan!E46</f>
        <v>-1616152.2999999998</v>
      </c>
      <c r="J68" s="518">
        <f>-Loan!F46</f>
        <v>-1616152.2999999998</v>
      </c>
      <c r="K68" s="518">
        <f>-Loan!G46</f>
        <v>-1616152.2999999998</v>
      </c>
      <c r="L68" s="518">
        <f>-Loan!H46</f>
        <v>-2015666.1987550063</v>
      </c>
      <c r="M68" s="518">
        <f>-Loan!I46</f>
        <v>-2015666.1987550063</v>
      </c>
      <c r="N68" s="518">
        <f>-Loan!J46</f>
        <v>0</v>
      </c>
      <c r="O68" s="518">
        <f>-Loan!K46</f>
        <v>0</v>
      </c>
      <c r="P68" s="518">
        <f>-Loan!L46</f>
        <v>0</v>
      </c>
      <c r="Q68" s="518">
        <f>-Loan!M46</f>
        <v>0</v>
      </c>
      <c r="R68" s="518">
        <f>-Loan!N46</f>
        <v>0</v>
      </c>
      <c r="S68" s="518">
        <f>-Loan!O46</f>
        <v>0</v>
      </c>
      <c r="T68" s="518">
        <f>-Loan!P46</f>
        <v>0</v>
      </c>
      <c r="U68" s="518">
        <f>-Loan!Q46</f>
        <v>0</v>
      </c>
      <c r="V68" s="518">
        <f>-Loan!R46</f>
        <v>0</v>
      </c>
      <c r="W68" s="518">
        <f>-Loan!S46</f>
        <v>0</v>
      </c>
      <c r="X68" s="518">
        <f>-Loan!T46</f>
        <v>0</v>
      </c>
      <c r="Y68" s="518">
        <f>-Loan!U46</f>
        <v>0</v>
      </c>
      <c r="Z68" s="518">
        <f>-Loan!V46</f>
        <v>0</v>
      </c>
      <c r="AA68" s="518">
        <f>-Loan!W46</f>
        <v>0</v>
      </c>
      <c r="AB68" s="518">
        <f>-Loan!X46</f>
        <v>0</v>
      </c>
      <c r="AC68" s="519">
        <f>-Loan!Y46</f>
        <v>0</v>
      </c>
    </row>
    <row r="69" spans="2:31" x14ac:dyDescent="0.3">
      <c r="B69" s="432" t="s">
        <v>83</v>
      </c>
      <c r="C69" s="557"/>
      <c r="D69" s="433"/>
      <c r="E69" s="433"/>
      <c r="F69" s="433"/>
      <c r="G69" s="433"/>
      <c r="H69" s="433"/>
      <c r="I69" s="520">
        <f t="shared" ref="I69:AC69" si="128">IF(I46&lt;=$C$13,-(I67+I66)/(I70+I68),"")</f>
        <v>1.3200800425435733</v>
      </c>
      <c r="J69" s="520">
        <f t="shared" si="128"/>
        <v>1.4271384916027781</v>
      </c>
      <c r="K69" s="520">
        <f t="shared" si="128"/>
        <v>1.4719853716333882</v>
      </c>
      <c r="L69" s="520">
        <f t="shared" si="128"/>
        <v>1.2173129946966881</v>
      </c>
      <c r="M69" s="520">
        <f t="shared" si="128"/>
        <v>1.466947422861359</v>
      </c>
      <c r="N69" s="520" t="str">
        <f t="shared" si="128"/>
        <v/>
      </c>
      <c r="O69" s="520" t="str">
        <f t="shared" si="128"/>
        <v/>
      </c>
      <c r="P69" s="520" t="str">
        <f t="shared" si="128"/>
        <v/>
      </c>
      <c r="Q69" s="520" t="str">
        <f t="shared" si="128"/>
        <v/>
      </c>
      <c r="R69" s="520" t="str">
        <f t="shared" si="128"/>
        <v/>
      </c>
      <c r="S69" s="520" t="str">
        <f t="shared" si="128"/>
        <v/>
      </c>
      <c r="T69" s="520" t="str">
        <f t="shared" si="128"/>
        <v/>
      </c>
      <c r="U69" s="520" t="str">
        <f t="shared" si="128"/>
        <v/>
      </c>
      <c r="V69" s="520" t="str">
        <f t="shared" si="128"/>
        <v/>
      </c>
      <c r="W69" s="520" t="str">
        <f t="shared" si="128"/>
        <v/>
      </c>
      <c r="X69" s="520" t="str">
        <f t="shared" si="128"/>
        <v/>
      </c>
      <c r="Y69" s="520" t="str">
        <f t="shared" si="128"/>
        <v/>
      </c>
      <c r="Z69" s="520" t="str">
        <f t="shared" si="128"/>
        <v/>
      </c>
      <c r="AA69" s="520" t="str">
        <f t="shared" si="128"/>
        <v/>
      </c>
      <c r="AB69" s="520" t="str">
        <f t="shared" si="128"/>
        <v/>
      </c>
      <c r="AC69" s="521" t="str">
        <f t="shared" si="128"/>
        <v/>
      </c>
    </row>
    <row r="70" spans="2:31" x14ac:dyDescent="0.3">
      <c r="B70" s="139" t="s">
        <v>84</v>
      </c>
      <c r="C70" s="163"/>
      <c r="I70" s="518">
        <f>-Loan!E44</f>
        <v>0</v>
      </c>
      <c r="J70" s="518">
        <f>-Loan!F44</f>
        <v>0</v>
      </c>
      <c r="K70" s="518">
        <f>-Loan!G44</f>
        <v>0</v>
      </c>
      <c r="L70" s="518">
        <f>-Loan!H44</f>
        <v>0</v>
      </c>
      <c r="M70" s="518">
        <f>-Loan!I44</f>
        <v>-29069370.485984303</v>
      </c>
      <c r="N70" s="518">
        <f>-Loan!J44</f>
        <v>0</v>
      </c>
      <c r="O70" s="518">
        <f>-Loan!K44</f>
        <v>0</v>
      </c>
      <c r="P70" s="518">
        <f>-Loan!L44</f>
        <v>0</v>
      </c>
      <c r="Q70" s="518">
        <f>-Loan!M44</f>
        <v>0</v>
      </c>
      <c r="R70" s="518">
        <f>-Loan!N44</f>
        <v>0</v>
      </c>
      <c r="S70" s="518">
        <f>-Loan!O44</f>
        <v>0</v>
      </c>
      <c r="T70" s="518">
        <f>-Loan!P44</f>
        <v>0</v>
      </c>
      <c r="U70" s="518">
        <f>-Loan!Q44</f>
        <v>0</v>
      </c>
      <c r="V70" s="518">
        <f>-Loan!R44</f>
        <v>0</v>
      </c>
      <c r="W70" s="518">
        <f>-Loan!S44</f>
        <v>0</v>
      </c>
      <c r="X70" s="518">
        <f>-Loan!T44</f>
        <v>0</v>
      </c>
      <c r="Y70" s="518">
        <f>-Loan!U44</f>
        <v>0</v>
      </c>
      <c r="Z70" s="518">
        <f>-Loan!V44</f>
        <v>0</v>
      </c>
      <c r="AA70" s="518">
        <f>-Loan!W44</f>
        <v>0</v>
      </c>
      <c r="AB70" s="518">
        <f>-Loan!X44</f>
        <v>0</v>
      </c>
      <c r="AC70" s="519">
        <f>-Loan!Y44</f>
        <v>0</v>
      </c>
    </row>
    <row r="71" spans="2:31" hidden="1" x14ac:dyDescent="0.3">
      <c r="B71" s="139" t="s">
        <v>25</v>
      </c>
      <c r="C71" s="163"/>
      <c r="I71" s="516">
        <f>-IF(I46="",0,IF(I46&gt;$C$13,0,('Sources &amp; Usage'!$C$8*$H$11)))</f>
        <v>0</v>
      </c>
      <c r="J71" s="516">
        <f>-IF(J46="",0,IF(J46&gt;$C$13,0,('Sources &amp; Usage'!$C$8*$H$11)))</f>
        <v>0</v>
      </c>
      <c r="K71" s="516">
        <f>-IF(K46="",0,IF(K46&gt;$C$13,0,('Sources &amp; Usage'!$C$8*$H$11)))</f>
        <v>0</v>
      </c>
      <c r="L71" s="516">
        <f>-IF(L46="",0,IF(L46&gt;$C$13,0,('Sources &amp; Usage'!$C$8*$H$11)))</f>
        <v>0</v>
      </c>
      <c r="M71" s="516">
        <f>-IF(M46="",0,IF(M46&gt;$C$13,0,('Sources &amp; Usage'!$C$8*$H$11)))</f>
        <v>0</v>
      </c>
      <c r="N71" s="516">
        <f>-IF(N46="",0,IF(N46&gt;$C$13,0,('Sources &amp; Usage'!$C$8*$H$11)))</f>
        <v>0</v>
      </c>
      <c r="O71" s="516">
        <f>-IF(O46="",0,IF(O46&gt;$C$13,0,('Sources &amp; Usage'!$C$8*$H$11)))</f>
        <v>0</v>
      </c>
      <c r="P71" s="516">
        <f>-IF(P46="",0,IF(P46&gt;$C$13,0,('Sources &amp; Usage'!$C$8*$H$11)))</f>
        <v>0</v>
      </c>
      <c r="Q71" s="516">
        <f>-IF(Q46="",0,IF(Q46&gt;$C$13,0,('Sources &amp; Usage'!$C$8*$H$11)))</f>
        <v>0</v>
      </c>
      <c r="R71" s="516">
        <f>-IF(R46="",0,IF(R46&gt;$C$13,0,('Sources &amp; Usage'!$C$8*$H$11)))</f>
        <v>0</v>
      </c>
      <c r="S71" s="516">
        <f>-IF(S46="",0,IF(S46&gt;$C$13,0,('Sources &amp; Usage'!$C$8*$H$11)))</f>
        <v>0</v>
      </c>
      <c r="T71" s="516">
        <f>-IF(T46="",0,IF(T46&gt;$C$13,0,('Sources &amp; Usage'!$C$8*$H$11)))</f>
        <v>0</v>
      </c>
      <c r="U71" s="516">
        <f>-IF(U46="",0,IF(U46&gt;$C$13,0,('Sources &amp; Usage'!$C$8*$H$11)))</f>
        <v>0</v>
      </c>
      <c r="V71" s="516">
        <f>-IF(V46="",0,IF(V46&gt;$C$13,0,('Sources &amp; Usage'!$C$8*$H$11)))</f>
        <v>0</v>
      </c>
      <c r="W71" s="516">
        <f>-IF(W46="",0,IF(W46&gt;$C$13,0,('Sources &amp; Usage'!$C$8*$H$11)))</f>
        <v>0</v>
      </c>
      <c r="X71" s="516">
        <f>-IF(X46="",0,IF(X46&gt;$C$13,0,('Sources &amp; Usage'!$C$8*$H$11)))</f>
        <v>0</v>
      </c>
      <c r="Y71" s="516">
        <f>-IF(Y46="",0,IF(Y46&gt;$C$13,0,('Sources &amp; Usage'!$C$8*$H$11)))</f>
        <v>0</v>
      </c>
      <c r="Z71" s="516">
        <f>-IF(Z46="",0,IF(Z46&gt;$C$13,0,('Sources &amp; Usage'!$C$8*$H$11)))</f>
        <v>0</v>
      </c>
      <c r="AA71" s="516">
        <f>-IF(AA46="",0,IF(AA46&gt;$C$13,0,('Sources &amp; Usage'!$C$8*$H$11)))</f>
        <v>0</v>
      </c>
      <c r="AB71" s="516">
        <f>-IF(AB46="",0,IF(AB46&gt;$C$13,0,('Sources &amp; Usage'!$C$8*$H$11)))</f>
        <v>0</v>
      </c>
      <c r="AC71" s="517">
        <f>-IF(AC46="",0,IF(AC46&gt;$C$13,0,('Sources &amp; Usage'!$C$8*$H$11)))</f>
        <v>0</v>
      </c>
    </row>
    <row r="72" spans="2:31" ht="15" thickBot="1" x14ac:dyDescent="0.35">
      <c r="B72" s="100" t="s">
        <v>85</v>
      </c>
      <c r="C72" s="128"/>
      <c r="D72" s="128"/>
      <c r="E72" s="128"/>
      <c r="F72" s="128"/>
      <c r="G72" s="128"/>
      <c r="H72" s="128"/>
      <c r="I72" s="402">
        <f t="shared" ref="I72:AC72" si="129">IF(I46&gt;$C$13,0,I66+I67+I68+I70+I71)</f>
        <v>517298.09694089368</v>
      </c>
      <c r="J72" s="402">
        <f t="shared" si="129"/>
        <v>690320.85562236048</v>
      </c>
      <c r="K72" s="402">
        <f t="shared" si="129"/>
        <v>762800.24393165484</v>
      </c>
      <c r="L72" s="402">
        <f t="shared" si="129"/>
        <v>438030.45796034019</v>
      </c>
      <c r="M72" s="402">
        <f t="shared" si="129"/>
        <v>14515077.769489832</v>
      </c>
      <c r="N72" s="402">
        <f t="shared" si="129"/>
        <v>0</v>
      </c>
      <c r="O72" s="402">
        <f t="shared" si="129"/>
        <v>0</v>
      </c>
      <c r="P72" s="402">
        <f t="shared" si="129"/>
        <v>0</v>
      </c>
      <c r="Q72" s="402">
        <f t="shared" si="129"/>
        <v>0</v>
      </c>
      <c r="R72" s="402">
        <f t="shared" si="129"/>
        <v>0</v>
      </c>
      <c r="S72" s="402">
        <f t="shared" si="129"/>
        <v>0</v>
      </c>
      <c r="T72" s="402">
        <f t="shared" si="129"/>
        <v>0</v>
      </c>
      <c r="U72" s="402">
        <f t="shared" si="129"/>
        <v>0</v>
      </c>
      <c r="V72" s="402">
        <f t="shared" si="129"/>
        <v>0</v>
      </c>
      <c r="W72" s="402">
        <f t="shared" si="129"/>
        <v>0</v>
      </c>
      <c r="X72" s="402">
        <f t="shared" si="129"/>
        <v>0</v>
      </c>
      <c r="Y72" s="402">
        <f t="shared" si="129"/>
        <v>0</v>
      </c>
      <c r="Z72" s="402">
        <f t="shared" si="129"/>
        <v>0</v>
      </c>
      <c r="AA72" s="402">
        <f t="shared" si="129"/>
        <v>0</v>
      </c>
      <c r="AB72" s="402">
        <f t="shared" si="129"/>
        <v>0</v>
      </c>
      <c r="AC72" s="403">
        <f t="shared" si="129"/>
        <v>0</v>
      </c>
    </row>
    <row r="73" spans="2:31" ht="15" thickBot="1" x14ac:dyDescent="0.35">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x14ac:dyDescent="0.3">
      <c r="B74" s="158" t="s">
        <v>86</v>
      </c>
      <c r="C74" s="160"/>
      <c r="D74" s="160"/>
      <c r="E74" s="160"/>
      <c r="F74" s="160"/>
      <c r="G74" s="94" t="s">
        <v>87</v>
      </c>
      <c r="H74" s="88">
        <v>0</v>
      </c>
      <c r="I74" s="155">
        <f>IF(H74&lt;$C$13,H74+1,"")</f>
        <v>1</v>
      </c>
      <c r="J74" s="155">
        <f t="shared" ref="J74:R74" si="130">IF(I74&lt;$C$13,I74+1,"")</f>
        <v>2</v>
      </c>
      <c r="K74" s="155">
        <f>IF(J74&lt;$C$13,J74+1,"")</f>
        <v>3</v>
      </c>
      <c r="L74" s="155">
        <f t="shared" si="130"/>
        <v>4</v>
      </c>
      <c r="M74" s="155">
        <f t="shared" si="130"/>
        <v>5</v>
      </c>
      <c r="N74" s="155" t="str">
        <f t="shared" si="130"/>
        <v/>
      </c>
      <c r="O74" s="155" t="str">
        <f>IF(N74&lt;$C$13,N74+1,"")</f>
        <v/>
      </c>
      <c r="P74" s="155" t="str">
        <f t="shared" si="130"/>
        <v/>
      </c>
      <c r="Q74" s="155" t="str">
        <f t="shared" si="130"/>
        <v/>
      </c>
      <c r="R74" s="155" t="str">
        <f t="shared" si="130"/>
        <v/>
      </c>
      <c r="S74" s="155" t="str">
        <f t="shared" ref="S74:AC74" si="131">IF(R74&lt;$C$13,R74+1,"")</f>
        <v/>
      </c>
      <c r="T74" s="155" t="str">
        <f t="shared" si="131"/>
        <v/>
      </c>
      <c r="U74" s="155" t="str">
        <f t="shared" si="131"/>
        <v/>
      </c>
      <c r="V74" s="155" t="str">
        <f t="shared" si="131"/>
        <v/>
      </c>
      <c r="W74" s="155" t="str">
        <f t="shared" si="131"/>
        <v/>
      </c>
      <c r="X74" s="155" t="str">
        <f t="shared" si="131"/>
        <v/>
      </c>
      <c r="Y74" s="155" t="str">
        <f t="shared" si="131"/>
        <v/>
      </c>
      <c r="Z74" s="155" t="str">
        <f t="shared" si="131"/>
        <v/>
      </c>
      <c r="AA74" s="155" t="str">
        <f t="shared" si="131"/>
        <v/>
      </c>
      <c r="AB74" s="155" t="str">
        <f t="shared" si="131"/>
        <v/>
      </c>
      <c r="AC74" s="156" t="str">
        <f t="shared" si="131"/>
        <v/>
      </c>
    </row>
    <row r="75" spans="2:31" x14ac:dyDescent="0.3">
      <c r="B75" s="251" t="s">
        <v>88</v>
      </c>
      <c r="C75" s="252"/>
      <c r="D75" s="253"/>
      <c r="E75" s="253"/>
      <c r="F75" s="253"/>
      <c r="G75" s="165">
        <f>AVERAGE(I75:AC75)</f>
        <v>5.436087069396657E-2</v>
      </c>
      <c r="I75" s="240">
        <f>IF(I46&gt;$C$13,"",I66/'Sources &amp; Usage'!$C$23)</f>
        <v>4.9128524611830579E-2</v>
      </c>
      <c r="J75" s="240">
        <f>IF(J46&gt;$C$13,"",J66/'Sources &amp; Usage'!$C$23)</f>
        <v>5.3112846380209973E-2</v>
      </c>
      <c r="K75" s="240">
        <f>IF(K46&gt;$C$13,"",K66/'Sources &amp; Usage'!$C$23)</f>
        <v>5.4781882331319663E-2</v>
      </c>
      <c r="L75" s="240">
        <f>IF(L46&gt;$C$13,"",L66/'Sources &amp; Usage'!$C$23)</f>
        <v>5.6503069751354523E-2</v>
      </c>
      <c r="M75" s="240">
        <f>IF(M46&gt;$C$13,"",M66/'Sources &amp; Usage'!$C$23)</f>
        <v>5.8278030395118093E-2</v>
      </c>
      <c r="N75" s="240" t="str">
        <f>IF(N46&gt;$C$13,"",N66/'Sources &amp; Usage'!$C$23)</f>
        <v/>
      </c>
      <c r="O75" s="240" t="str">
        <f>IF(O46&gt;$C$13,"",O66/'Sources &amp; Usage'!$C$23)</f>
        <v/>
      </c>
      <c r="P75" s="240" t="str">
        <f>IF(P46&gt;$C$13,"",P66/'Sources &amp; Usage'!$C$23)</f>
        <v/>
      </c>
      <c r="Q75" s="240" t="str">
        <f>IF(Q46&gt;$C$13,"",Q66/'Sources &amp; Usage'!$C$23)</f>
        <v/>
      </c>
      <c r="R75" s="240" t="str">
        <f>IF(R46&gt;$C$13,"",R66/'Sources &amp; Usage'!$C$23)</f>
        <v/>
      </c>
      <c r="S75" s="240"/>
      <c r="T75" s="240"/>
      <c r="U75" s="240"/>
      <c r="V75" s="240"/>
      <c r="W75" s="240"/>
      <c r="X75" s="240"/>
      <c r="Y75" s="240"/>
      <c r="Z75" s="240"/>
      <c r="AA75" s="240"/>
      <c r="AB75" s="240"/>
      <c r="AC75" s="254"/>
    </row>
    <row r="76" spans="2:31" x14ac:dyDescent="0.3">
      <c r="B76" s="162" t="s">
        <v>89</v>
      </c>
      <c r="C76" s="255"/>
      <c r="D76" s="237"/>
      <c r="E76" s="237"/>
      <c r="F76" s="237"/>
      <c r="G76" s="166">
        <f>AVERAGE(I76:AC76)</f>
        <v>4.3197118415998964E-2</v>
      </c>
      <c r="I76" s="240">
        <f>IF(I46&gt;$C$13,"",SUM(I66,I68,I71)/'Sources &amp; Usage'!$C$8)</f>
        <v>3.8216749306724612E-2</v>
      </c>
      <c r="J76" s="240">
        <f>IF(J46&gt;$C$13,"",SUM(J66,J68,J71)/'Sources &amp; Usage'!$C$8)</f>
        <v>5.0999257945342422E-2</v>
      </c>
      <c r="K76" s="240">
        <f>IF(K46&gt;$C$13,"",SUM(K66,K68,K71)/'Sources &amp; Usage'!$C$8)</f>
        <v>5.6353862242751115E-2</v>
      </c>
      <c r="L76" s="240">
        <f>IF(L46&gt;$C$13,"",SUM(L66,L68,L71)/'Sources &amp; Usage'!$C$8)</f>
        <v>3.2360645244153712E-2</v>
      </c>
      <c r="M76" s="240">
        <f>IF(M46&gt;$C$13,"",SUM(M66,M68,M71)/'Sources &amp; Usage'!$C$8)</f>
        <v>3.8055077341022946E-2</v>
      </c>
      <c r="N76" s="240" t="str">
        <f>IF(N46&gt;$C$13,"",SUM(N66,N68,N71)/'Sources &amp; Usage'!$C$8)</f>
        <v/>
      </c>
      <c r="O76" s="240" t="str">
        <f>IF(O46&gt;$C$13,"",SUM(O66,O68,O71)/'Sources &amp; Usage'!$C$8)</f>
        <v/>
      </c>
      <c r="P76" s="240" t="str">
        <f>IF(P46&gt;$C$13,"",SUM(P66,P68,P71)/'Sources &amp; Usage'!$C$8)</f>
        <v/>
      </c>
      <c r="Q76" s="240" t="str">
        <f>IF(Q46&gt;$C$13,"",SUM(Q66,Q68,Q71)/'Sources &amp; Usage'!$C$8)</f>
        <v/>
      </c>
      <c r="R76" s="240" t="str">
        <f>IF(R46&gt;$C$13,"",SUM(R66,R68,R71)/'Sources &amp; Usage'!$C$8)</f>
        <v/>
      </c>
      <c r="S76" s="240"/>
      <c r="T76" s="240"/>
      <c r="U76" s="240"/>
      <c r="V76" s="240"/>
      <c r="W76" s="240"/>
      <c r="X76" s="240"/>
      <c r="Y76" s="240"/>
      <c r="Z76" s="240"/>
      <c r="AA76" s="240"/>
      <c r="AB76" s="240"/>
      <c r="AC76" s="254"/>
    </row>
    <row r="77" spans="2:31" x14ac:dyDescent="0.3">
      <c r="B77" s="256" t="s">
        <v>90</v>
      </c>
      <c r="D77" s="157"/>
      <c r="E77" s="157"/>
      <c r="F77" s="157"/>
      <c r="G77" s="165">
        <f>IRR(H79:AC79)</f>
        <v>5.2659270770430311E-2</v>
      </c>
      <c r="AC77" s="246"/>
    </row>
    <row r="78" spans="2:31" x14ac:dyDescent="0.3">
      <c r="B78" s="256" t="s">
        <v>91</v>
      </c>
      <c r="D78" s="157"/>
      <c r="E78" s="157"/>
      <c r="F78" s="157"/>
      <c r="G78" s="431">
        <f>IRR(H80:AC80)</f>
        <v>4.9579895656008732E-2</v>
      </c>
      <c r="AC78" s="246"/>
    </row>
    <row r="79" spans="2:31" x14ac:dyDescent="0.3">
      <c r="B79" s="251" t="s">
        <v>92</v>
      </c>
      <c r="C79" s="252"/>
      <c r="D79" s="253"/>
      <c r="E79" s="253"/>
      <c r="F79" s="253"/>
      <c r="G79" s="253"/>
      <c r="H79" s="434">
        <f>IF(H74="","",-'Sources &amp; Usage'!C9)</f>
        <v>-43425900</v>
      </c>
      <c r="I79" s="243">
        <f t="shared" ref="I79:AC79" si="132">IF(I74="","",I66+I67+I71)</f>
        <v>2133450.3969408935</v>
      </c>
      <c r="J79" s="243">
        <f t="shared" si="132"/>
        <v>2306473.1556223603</v>
      </c>
      <c r="K79" s="243">
        <f t="shared" si="132"/>
        <v>2378952.5439316547</v>
      </c>
      <c r="L79" s="243">
        <f t="shared" si="132"/>
        <v>2453696.6567153465</v>
      </c>
      <c r="M79" s="243">
        <f t="shared" si="132"/>
        <v>45600114.454229139</v>
      </c>
      <c r="N79" s="243" t="str">
        <f t="shared" si="132"/>
        <v/>
      </c>
      <c r="O79" s="243" t="str">
        <f t="shared" si="132"/>
        <v/>
      </c>
      <c r="P79" s="243" t="str">
        <f t="shared" si="132"/>
        <v/>
      </c>
      <c r="Q79" s="243" t="str">
        <f t="shared" si="132"/>
        <v/>
      </c>
      <c r="R79" s="243" t="str">
        <f t="shared" si="132"/>
        <v/>
      </c>
      <c r="S79" s="243" t="str">
        <f t="shared" si="132"/>
        <v/>
      </c>
      <c r="T79" s="243" t="str">
        <f t="shared" si="132"/>
        <v/>
      </c>
      <c r="U79" s="243" t="str">
        <f t="shared" si="132"/>
        <v/>
      </c>
      <c r="V79" s="243" t="str">
        <f t="shared" si="132"/>
        <v/>
      </c>
      <c r="W79" s="243" t="str">
        <f t="shared" si="132"/>
        <v/>
      </c>
      <c r="X79" s="243" t="str">
        <f t="shared" si="132"/>
        <v/>
      </c>
      <c r="Y79" s="243" t="str">
        <f t="shared" si="132"/>
        <v/>
      </c>
      <c r="Z79" s="243" t="str">
        <f t="shared" si="132"/>
        <v/>
      </c>
      <c r="AA79" s="243" t="str">
        <f t="shared" si="132"/>
        <v/>
      </c>
      <c r="AB79" s="243" t="str">
        <f t="shared" si="132"/>
        <v/>
      </c>
      <c r="AC79" s="244" t="str">
        <f t="shared" si="132"/>
        <v/>
      </c>
      <c r="AD79" s="243"/>
      <c r="AE79" s="243"/>
    </row>
    <row r="80" spans="2:31" x14ac:dyDescent="0.3">
      <c r="B80" s="256" t="s">
        <v>93</v>
      </c>
      <c r="C80" s="301"/>
      <c r="H80" s="435">
        <f>-'Sources &amp; Usage'!C8</f>
        <v>-13535900</v>
      </c>
      <c r="I80" s="243">
        <f t="shared" ref="I80:AC80" si="133">I72</f>
        <v>517298.09694089368</v>
      </c>
      <c r="J80" s="243">
        <f t="shared" si="133"/>
        <v>690320.85562236048</v>
      </c>
      <c r="K80" s="243">
        <f t="shared" si="133"/>
        <v>762800.24393165484</v>
      </c>
      <c r="L80" s="243">
        <f t="shared" si="133"/>
        <v>438030.45796034019</v>
      </c>
      <c r="M80" s="243">
        <f t="shared" si="133"/>
        <v>14515077.769489832</v>
      </c>
      <c r="N80" s="243">
        <f t="shared" si="133"/>
        <v>0</v>
      </c>
      <c r="O80" s="243">
        <f t="shared" si="133"/>
        <v>0</v>
      </c>
      <c r="P80" s="243">
        <f t="shared" si="133"/>
        <v>0</v>
      </c>
      <c r="Q80" s="243">
        <f t="shared" si="133"/>
        <v>0</v>
      </c>
      <c r="R80" s="243">
        <f t="shared" si="133"/>
        <v>0</v>
      </c>
      <c r="S80" s="243">
        <f t="shared" si="133"/>
        <v>0</v>
      </c>
      <c r="T80" s="243">
        <f t="shared" si="133"/>
        <v>0</v>
      </c>
      <c r="U80" s="243">
        <f t="shared" si="133"/>
        <v>0</v>
      </c>
      <c r="V80" s="243">
        <f t="shared" si="133"/>
        <v>0</v>
      </c>
      <c r="W80" s="243">
        <f t="shared" si="133"/>
        <v>0</v>
      </c>
      <c r="X80" s="243">
        <f t="shared" si="133"/>
        <v>0</v>
      </c>
      <c r="Y80" s="243">
        <f t="shared" si="133"/>
        <v>0</v>
      </c>
      <c r="Z80" s="243">
        <f t="shared" si="133"/>
        <v>0</v>
      </c>
      <c r="AA80" s="243">
        <f t="shared" si="133"/>
        <v>0</v>
      </c>
      <c r="AB80" s="243">
        <f t="shared" si="133"/>
        <v>0</v>
      </c>
      <c r="AC80" s="244">
        <f t="shared" si="133"/>
        <v>0</v>
      </c>
      <c r="AD80" s="243"/>
      <c r="AE80" s="243"/>
    </row>
    <row r="81" spans="2:29" ht="15" thickBot="1" x14ac:dyDescent="0.35">
      <c r="B81" s="164" t="s">
        <v>94</v>
      </c>
      <c r="C81" s="257"/>
      <c r="D81" s="257"/>
      <c r="E81" s="257"/>
      <c r="F81" s="257"/>
      <c r="G81" s="257"/>
      <c r="H81" s="436">
        <f>'Sources &amp; Usage'!C8</f>
        <v>13535900</v>
      </c>
      <c r="I81" s="257"/>
      <c r="J81" s="257"/>
      <c r="K81" s="257"/>
      <c r="L81" s="257"/>
      <c r="M81" s="257"/>
      <c r="N81" s="257"/>
      <c r="O81" s="257"/>
      <c r="P81" s="257"/>
      <c r="Q81" s="257"/>
      <c r="R81" s="257"/>
      <c r="S81" s="257"/>
      <c r="T81" s="257"/>
      <c r="U81" s="257"/>
      <c r="V81" s="257"/>
      <c r="W81" s="257"/>
      <c r="X81" s="257"/>
      <c r="Y81" s="257"/>
      <c r="Z81" s="257"/>
      <c r="AA81" s="257"/>
      <c r="AB81" s="257"/>
      <c r="AC81" s="258"/>
    </row>
    <row r="85" spans="2:29" ht="15" thickBot="1" x14ac:dyDescent="0.35">
      <c r="F85" s="525"/>
    </row>
    <row r="86" spans="2:29" x14ac:dyDescent="0.3">
      <c r="B86" s="529" t="s">
        <v>95</v>
      </c>
      <c r="C86" s="530"/>
      <c r="D86" s="530"/>
      <c r="E86" s="530"/>
      <c r="F86" s="530"/>
      <c r="G86" s="530"/>
      <c r="H86" s="530"/>
      <c r="I86" s="530"/>
      <c r="J86" s="530"/>
      <c r="K86" s="530"/>
      <c r="L86" s="530"/>
      <c r="M86" s="530"/>
      <c r="N86" s="530"/>
      <c r="O86" s="530"/>
      <c r="P86" s="530"/>
      <c r="Q86" s="530"/>
      <c r="R86" s="530"/>
      <c r="S86" s="546"/>
      <c r="T86" s="282"/>
      <c r="U86" s="282"/>
      <c r="V86" s="282"/>
      <c r="W86" s="282"/>
      <c r="X86" s="282"/>
      <c r="Y86" s="282"/>
      <c r="Z86" s="282"/>
      <c r="AA86" s="282"/>
      <c r="AB86" s="282"/>
    </row>
    <row r="87" spans="2:29" x14ac:dyDescent="0.3">
      <c r="B87" s="138"/>
      <c r="S87" s="246"/>
    </row>
    <row r="88" spans="2:29" x14ac:dyDescent="0.3">
      <c r="B88" s="531" t="s">
        <v>96</v>
      </c>
      <c r="C88" s="587"/>
      <c r="D88" s="587"/>
      <c r="E88" s="587"/>
      <c r="F88" s="587"/>
      <c r="G88" s="587"/>
      <c r="H88" s="587"/>
      <c r="I88" s="587"/>
      <c r="J88" s="587"/>
      <c r="K88" s="587"/>
      <c r="L88" s="587"/>
      <c r="M88" s="587"/>
      <c r="N88" s="587"/>
      <c r="O88" s="587"/>
      <c r="P88" s="587"/>
      <c r="Q88" s="587"/>
      <c r="R88" s="587"/>
      <c r="S88" s="547"/>
    </row>
    <row r="89" spans="2:29" x14ac:dyDescent="0.3">
      <c r="B89" s="532" t="s">
        <v>331</v>
      </c>
      <c r="C89" s="588"/>
      <c r="D89" s="588"/>
      <c r="E89" s="588"/>
      <c r="F89" s="588"/>
      <c r="G89" s="588"/>
      <c r="H89" s="588"/>
      <c r="I89" s="588"/>
      <c r="J89" s="588"/>
      <c r="K89" s="588"/>
      <c r="L89" s="588"/>
      <c r="S89" s="246"/>
    </row>
    <row r="90" spans="2:29" x14ac:dyDescent="0.3">
      <c r="B90" s="532" t="s">
        <v>304</v>
      </c>
      <c r="C90" s="588"/>
      <c r="D90" s="588"/>
      <c r="E90" s="588"/>
      <c r="F90" s="588"/>
      <c r="G90" s="588"/>
      <c r="H90" s="588"/>
      <c r="I90" s="588"/>
      <c r="J90" s="588"/>
      <c r="K90" s="588"/>
      <c r="L90" s="588"/>
      <c r="S90" s="246"/>
    </row>
    <row r="91" spans="2:29" x14ac:dyDescent="0.3">
      <c r="B91" s="532" t="s">
        <v>315</v>
      </c>
      <c r="C91" s="588"/>
      <c r="D91" s="588"/>
      <c r="E91" s="588"/>
      <c r="F91" s="588"/>
      <c r="G91" s="588"/>
      <c r="H91" s="588"/>
      <c r="I91" s="588"/>
      <c r="J91" s="588"/>
      <c r="K91" s="588"/>
      <c r="L91" s="588"/>
      <c r="S91" s="246"/>
    </row>
    <row r="92" spans="2:29" x14ac:dyDescent="0.3">
      <c r="B92" s="532" t="s">
        <v>767</v>
      </c>
      <c r="C92" s="588"/>
      <c r="D92" s="588"/>
      <c r="E92" s="588"/>
      <c r="F92" s="588"/>
      <c r="G92" s="588"/>
      <c r="H92" s="588"/>
      <c r="I92" s="588"/>
      <c r="J92" s="588"/>
      <c r="K92" s="588"/>
      <c r="L92" s="588"/>
      <c r="S92" s="246"/>
    </row>
    <row r="93" spans="2:29" x14ac:dyDescent="0.3">
      <c r="B93" s="531" t="s">
        <v>297</v>
      </c>
      <c r="C93" s="587"/>
      <c r="D93" s="587"/>
      <c r="E93" s="587"/>
      <c r="F93" s="587"/>
      <c r="G93" s="587"/>
      <c r="H93" s="587"/>
      <c r="I93" s="587"/>
      <c r="J93" s="587"/>
      <c r="K93" s="587"/>
      <c r="L93" s="587"/>
      <c r="M93" s="587"/>
      <c r="N93" s="587"/>
      <c r="O93" s="587"/>
      <c r="P93" s="587"/>
      <c r="Q93" s="587"/>
      <c r="R93" s="587"/>
      <c r="S93" s="547"/>
    </row>
    <row r="94" spans="2:29" x14ac:dyDescent="0.3">
      <c r="B94" s="589" t="s">
        <v>332</v>
      </c>
      <c r="S94" s="246"/>
    </row>
    <row r="95" spans="2:29" x14ac:dyDescent="0.3">
      <c r="B95" s="548" t="s">
        <v>300</v>
      </c>
      <c r="S95" s="246"/>
    </row>
    <row r="96" spans="2:29" x14ac:dyDescent="0.3">
      <c r="B96" s="548" t="s">
        <v>333</v>
      </c>
      <c r="S96" s="246"/>
    </row>
    <row r="97" spans="2:28" x14ac:dyDescent="0.3">
      <c r="B97" s="589" t="s">
        <v>334</v>
      </c>
      <c r="S97" s="246"/>
    </row>
    <row r="98" spans="2:28" x14ac:dyDescent="0.3">
      <c r="B98" s="548" t="s">
        <v>335</v>
      </c>
      <c r="S98" s="246"/>
    </row>
    <row r="99" spans="2:28" x14ac:dyDescent="0.3">
      <c r="B99" s="548" t="s">
        <v>296</v>
      </c>
      <c r="S99" s="246"/>
    </row>
    <row r="100" spans="2:28" x14ac:dyDescent="0.3">
      <c r="B100" s="589" t="s">
        <v>336</v>
      </c>
      <c r="S100" s="246"/>
    </row>
    <row r="101" spans="2:28" ht="15" thickBot="1" x14ac:dyDescent="0.35">
      <c r="B101" s="548" t="s">
        <v>337</v>
      </c>
      <c r="S101" s="246"/>
      <c r="T101" s="257"/>
      <c r="U101" s="257"/>
      <c r="V101" s="257"/>
      <c r="W101" s="257"/>
      <c r="X101" s="257"/>
      <c r="Y101" s="257"/>
      <c r="Z101" s="257"/>
      <c r="AA101" s="257"/>
      <c r="AB101" s="257"/>
    </row>
    <row r="102" spans="2:28" x14ac:dyDescent="0.3">
      <c r="B102" s="532" t="s">
        <v>338</v>
      </c>
      <c r="S102" s="246"/>
    </row>
    <row r="103" spans="2:28" x14ac:dyDescent="0.3">
      <c r="B103" s="590" t="s">
        <v>339</v>
      </c>
      <c r="C103" s="588"/>
      <c r="D103" s="588"/>
      <c r="E103" s="588"/>
      <c r="F103" s="588"/>
      <c r="G103" s="588"/>
      <c r="S103" s="246"/>
    </row>
    <row r="104" spans="2:28" x14ac:dyDescent="0.3">
      <c r="B104" s="548" t="s">
        <v>768</v>
      </c>
      <c r="S104" s="246"/>
    </row>
    <row r="105" spans="2:28" x14ac:dyDescent="0.3">
      <c r="B105" s="532"/>
      <c r="S105" s="246"/>
    </row>
    <row r="106" spans="2:28" x14ac:dyDescent="0.3">
      <c r="B106" s="531" t="s">
        <v>298</v>
      </c>
      <c r="C106" s="587"/>
      <c r="D106" s="587"/>
      <c r="E106" s="587"/>
      <c r="F106" s="587"/>
      <c r="G106" s="587"/>
      <c r="H106" s="587"/>
      <c r="I106" s="587"/>
      <c r="J106" s="587"/>
      <c r="K106" s="587"/>
      <c r="L106" s="587"/>
      <c r="M106" s="587"/>
      <c r="N106" s="587"/>
      <c r="O106" s="587"/>
      <c r="P106" s="587"/>
      <c r="Q106" s="587"/>
      <c r="R106" s="587"/>
      <c r="S106" s="547"/>
    </row>
    <row r="107" spans="2:28" x14ac:dyDescent="0.3">
      <c r="B107" s="138" t="s">
        <v>774</v>
      </c>
      <c r="S107" s="246"/>
    </row>
    <row r="108" spans="2:28" x14ac:dyDescent="0.3">
      <c r="B108" s="548"/>
      <c r="S108" s="246"/>
    </row>
    <row r="109" spans="2:28" x14ac:dyDescent="0.3">
      <c r="B109" s="531" t="s">
        <v>299</v>
      </c>
      <c r="C109" s="620"/>
      <c r="D109" s="620"/>
      <c r="E109" s="620"/>
      <c r="F109" s="620"/>
      <c r="G109" s="620"/>
      <c r="H109" s="620"/>
      <c r="I109" s="620"/>
      <c r="J109" s="620"/>
      <c r="K109" s="620"/>
      <c r="L109" s="620"/>
      <c r="M109" s="620"/>
      <c r="N109" s="620"/>
      <c r="O109" s="620"/>
      <c r="P109" s="620"/>
      <c r="Q109" s="620"/>
      <c r="R109" s="620"/>
      <c r="S109" s="621"/>
    </row>
    <row r="110" spans="2:28" x14ac:dyDescent="0.3">
      <c r="B110" s="532"/>
      <c r="S110" s="246"/>
    </row>
    <row r="111" spans="2:28" ht="15" thickBot="1" x14ac:dyDescent="0.35">
      <c r="B111" s="549"/>
      <c r="C111" s="257"/>
      <c r="D111" s="257"/>
      <c r="E111" s="257"/>
      <c r="F111" s="257"/>
      <c r="G111" s="257"/>
      <c r="H111" s="257"/>
      <c r="I111" s="257"/>
      <c r="J111" s="257"/>
      <c r="K111" s="257"/>
      <c r="L111" s="257"/>
      <c r="M111" s="257"/>
      <c r="N111" s="257"/>
      <c r="O111" s="257"/>
      <c r="P111" s="257"/>
      <c r="Q111" s="257"/>
      <c r="R111" s="257"/>
      <c r="S111" s="258"/>
    </row>
  </sheetData>
  <mergeCells count="1">
    <mergeCell ref="I14:L15"/>
  </mergeCells>
  <conditionalFormatting sqref="G15">
    <cfRule type="cellIs" dxfId="23" priority="3" operator="lessThan">
      <formula>0.001</formula>
    </cfRule>
  </conditionalFormatting>
  <conditionalFormatting sqref="J8:J13">
    <cfRule type="expression" dxfId="22" priority="11">
      <formula>$G$4=$K$7</formula>
    </cfRule>
  </conditionalFormatting>
  <conditionalFormatting sqref="J9:J10">
    <cfRule type="expression" dxfId="21" priority="54">
      <formula>IF($G$4=$J$7,$J$9&lt;&gt;$I$63)</formula>
    </cfRule>
  </conditionalFormatting>
  <conditionalFormatting sqref="J11">
    <cfRule type="expression" dxfId="20" priority="56">
      <formula>IF($G$4=$J$7,$J$11&lt;&gt;$G$76)</formula>
    </cfRule>
  </conditionalFormatting>
  <conditionalFormatting sqref="J12:J13">
    <cfRule type="expression" dxfId="19" priority="57">
      <formula>IF($G$4=$J$7,$J$12&lt;&gt;$G$78)</formula>
    </cfRule>
  </conditionalFormatting>
  <conditionalFormatting sqref="J7:K7">
    <cfRule type="cellIs" dxfId="18" priority="21" operator="equal">
      <formula>$G$4</formula>
    </cfRule>
  </conditionalFormatting>
  <conditionalFormatting sqref="K8:K13">
    <cfRule type="expression" dxfId="17" priority="10">
      <formula>$G$4=$J$7</formula>
    </cfRule>
  </conditionalFormatting>
  <conditionalFormatting sqref="K9:K10">
    <cfRule type="expression" dxfId="16" priority="55">
      <formula>IF($G$4=$K$7,$K$9&lt;&gt;$I$63)</formula>
    </cfRule>
  </conditionalFormatting>
  <conditionalFormatting sqref="K11">
    <cfRule type="expression" dxfId="15" priority="58">
      <formula>IF($G$4=$K$7,$K$11&lt;&gt;$G$76)</formula>
    </cfRule>
  </conditionalFormatting>
  <conditionalFormatting sqref="K12:K13">
    <cfRule type="expression" dxfId="14" priority="59">
      <formula>IF($G$4=$K$7,$K$12&lt;&gt;$G$78)</formula>
    </cfRule>
  </conditionalFormatting>
  <dataValidations disablePrompts="1"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xr:uid="{F2A783BC-4CE2-4EB1-9561-B9577DEEA46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zoomScale="90" zoomScaleNormal="90" workbookViewId="0">
      <selection activeCell="B2" sqref="B2"/>
    </sheetView>
  </sheetViews>
  <sheetFormatPr defaultRowHeight="14.4" x14ac:dyDescent="0.3"/>
  <cols>
    <col min="1" max="1" width="1.33203125" customWidth="1"/>
    <col min="2" max="2" width="12.33203125" bestFit="1" customWidth="1"/>
    <col min="3" max="3" width="24.6640625" customWidth="1"/>
    <col min="4" max="4" width="18.33203125" bestFit="1" customWidth="1"/>
    <col min="5" max="5" width="11" customWidth="1"/>
    <col min="6" max="6" width="20.6640625" customWidth="1"/>
    <col min="7" max="7" width="17.33203125" bestFit="1" customWidth="1"/>
    <col min="8" max="8" width="16" customWidth="1"/>
    <col min="9" max="9" width="18.6640625" customWidth="1"/>
    <col min="10" max="11" width="23.6640625" customWidth="1"/>
    <col min="12" max="12" width="20.6640625" customWidth="1"/>
    <col min="13" max="13" width="19.33203125" customWidth="1"/>
    <col min="14" max="15" width="14.77734375" customWidth="1"/>
    <col min="16" max="16" width="18.6640625" customWidth="1"/>
    <col min="17" max="17" width="12.6640625" customWidth="1"/>
    <col min="18" max="18" width="9.44140625" customWidth="1"/>
    <col min="20" max="21" width="10.6640625" bestFit="1" customWidth="1"/>
    <col min="22" max="22" width="19.6640625" bestFit="1" customWidth="1"/>
    <col min="24" max="24" width="12.6640625" bestFit="1" customWidth="1"/>
  </cols>
  <sheetData>
    <row r="1" spans="1:25" s="112" customFormat="1" ht="5.25" customHeight="1" x14ac:dyDescent="0.3">
      <c r="A1" s="113"/>
      <c r="B1" s="175"/>
      <c r="C1" s="175"/>
      <c r="D1" s="175"/>
      <c r="E1" s="175"/>
      <c r="F1" s="175"/>
      <c r="G1" s="175"/>
      <c r="H1" s="175"/>
      <c r="I1" s="175"/>
      <c r="J1" s="175"/>
      <c r="K1" s="175"/>
      <c r="L1" s="175"/>
      <c r="M1" s="175"/>
      <c r="N1" s="175"/>
      <c r="O1" s="176"/>
    </row>
    <row r="2" spans="1:25" s="112" customFormat="1" ht="15.6" x14ac:dyDescent="0.3">
      <c r="A2" s="177"/>
      <c r="B2" s="178" t="str">
        <f>'CFS-Main Page'!B2</f>
        <v>The Grove on Southlake</v>
      </c>
      <c r="C2" s="159"/>
      <c r="D2" s="159" t="str">
        <f>'CFS-Main Page'!C2</f>
        <v>Address:</v>
      </c>
      <c r="E2" s="159" t="str">
        <f>'CFS-Main Page'!D2</f>
        <v>7290 Southlake Parkway Morrow, GA, 30260</v>
      </c>
      <c r="F2" s="180"/>
      <c r="G2" s="180"/>
      <c r="H2" s="180"/>
      <c r="I2" s="180"/>
      <c r="J2" s="180"/>
      <c r="K2" s="180"/>
      <c r="L2" s="180"/>
      <c r="M2" s="180"/>
      <c r="N2" s="180"/>
      <c r="O2" s="181"/>
    </row>
    <row r="3" spans="1:25" s="112" customFormat="1" x14ac:dyDescent="0.3">
      <c r="A3" s="177"/>
      <c r="B3" s="180" t="s">
        <v>97</v>
      </c>
      <c r="C3" s="159"/>
      <c r="D3" s="159" t="str">
        <f>'CFS-Main Page'!C3</f>
        <v>Units</v>
      </c>
      <c r="E3" s="159">
        <f>'CFS-Main Page'!D3</f>
        <v>260</v>
      </c>
      <c r="F3" s="180"/>
      <c r="G3" s="180"/>
      <c r="H3" s="180"/>
      <c r="I3" s="180"/>
      <c r="J3" s="180"/>
      <c r="K3" s="180"/>
      <c r="L3" s="180"/>
      <c r="M3" s="180"/>
      <c r="N3" s="180"/>
      <c r="O3" s="181"/>
    </row>
    <row r="4" spans="1:25" s="112" customFormat="1" ht="15" thickBot="1" x14ac:dyDescent="0.35">
      <c r="A4" s="182"/>
      <c r="B4" s="183">
        <f>'CFS-Main Page'!B4</f>
        <v>0</v>
      </c>
      <c r="C4" s="186"/>
      <c r="D4" s="186" t="str">
        <f>'CFS-Main Page'!C4</f>
        <v>Year Built/Reno</v>
      </c>
      <c r="E4" s="186">
        <f>'CFS-Main Page'!D4</f>
        <v>2001</v>
      </c>
      <c r="F4" s="183"/>
      <c r="G4" s="183"/>
      <c r="H4" s="183"/>
      <c r="I4" s="183"/>
      <c r="J4" s="183"/>
      <c r="K4" s="183"/>
      <c r="L4" s="180"/>
      <c r="M4" s="180"/>
      <c r="N4" s="180"/>
      <c r="O4" s="181"/>
    </row>
    <row r="5" spans="1:25" ht="15" thickBot="1" x14ac:dyDescent="0.35">
      <c r="C5" s="195" t="s">
        <v>98</v>
      </c>
      <c r="D5" s="357">
        <v>46104</v>
      </c>
      <c r="E5" s="106" t="s">
        <v>99</v>
      </c>
      <c r="F5" s="594" t="s">
        <v>281</v>
      </c>
      <c r="G5" s="595" cm="1">
        <f t="array" ref="G5">-SUMPRODUCT(-($B$9:$B$28=F5),$E$9:$E$28,$J$9:$J$28)/SUMIF($B$9:$B$28,"="&amp;F5,$E$9:$E$28)</f>
        <v>1292.2823504019032</v>
      </c>
      <c r="H5" s="136" t="s">
        <v>100</v>
      </c>
      <c r="I5" s="595" cm="1">
        <f t="array" ref="I5">-SUMPRODUCT(-($B$9:$B$28=H5),$E$9:$E$28,$J$9:$J$28)/SUMIF($B$9:$B$28,"="&amp;H5,$E$9:$E$28)</f>
        <v>1487.5579959514171</v>
      </c>
      <c r="J5" s="136" t="s">
        <v>329</v>
      </c>
      <c r="K5" s="596" cm="1">
        <f t="array" ref="K5">-SUMPRODUCT(-($B$9:$B$28=J5),$E$9:$E$28,$J$9:$J$28)/SUMIF($B$9:$B$28,"="&amp;J5,$E$9:$E$28)</f>
        <v>1643.8853410740203</v>
      </c>
      <c r="L5" s="593"/>
      <c r="M5" s="593"/>
      <c r="N5" s="593"/>
      <c r="O5" s="593"/>
    </row>
    <row r="6" spans="1:25" ht="15" thickBot="1" x14ac:dyDescent="0.35">
      <c r="C6" s="9" t="s">
        <v>101</v>
      </c>
      <c r="D6" s="265"/>
      <c r="E6" s="265"/>
      <c r="F6" s="593"/>
      <c r="G6" s="593"/>
      <c r="H6" s="593"/>
      <c r="I6" s="593"/>
      <c r="J6" s="593"/>
      <c r="K6" s="593"/>
      <c r="L6" s="593"/>
      <c r="M6" s="593"/>
      <c r="N6" s="593"/>
      <c r="O6" s="593"/>
      <c r="W6" s="233"/>
      <c r="X6" s="233"/>
      <c r="Y6" s="233"/>
    </row>
    <row r="7" spans="1:25" ht="15" hidden="1" thickBot="1" x14ac:dyDescent="0.35">
      <c r="C7" s="159"/>
      <c r="D7" s="578"/>
      <c r="E7" s="578"/>
      <c r="F7" s="196"/>
      <c r="G7" s="197"/>
      <c r="H7" s="196"/>
      <c r="I7" s="197"/>
      <c r="J7" s="196"/>
      <c r="K7" s="197"/>
      <c r="L7" s="196"/>
      <c r="M7" s="197"/>
      <c r="N7" s="196"/>
      <c r="O7" s="196"/>
      <c r="W7" s="233"/>
      <c r="X7" s="233"/>
      <c r="Y7" s="233"/>
    </row>
    <row r="8" spans="1:25" x14ac:dyDescent="0.3">
      <c r="B8" s="11" t="s">
        <v>303</v>
      </c>
      <c r="C8" s="11" t="s">
        <v>102</v>
      </c>
      <c r="D8" s="8" t="s">
        <v>2</v>
      </c>
      <c r="E8" s="8" t="s">
        <v>103</v>
      </c>
      <c r="F8" s="8" t="s">
        <v>104</v>
      </c>
      <c r="G8" s="8" t="s">
        <v>105</v>
      </c>
      <c r="H8" s="8" t="s">
        <v>106</v>
      </c>
      <c r="I8" s="8" t="s">
        <v>107</v>
      </c>
      <c r="J8" s="12" t="s">
        <v>301</v>
      </c>
      <c r="K8" s="12" t="s">
        <v>108</v>
      </c>
      <c r="L8" s="12" t="s">
        <v>302</v>
      </c>
      <c r="M8" s="93" t="s">
        <v>109</v>
      </c>
      <c r="N8" s="94" t="s">
        <v>110</v>
      </c>
      <c r="O8" s="95" t="s">
        <v>111</v>
      </c>
      <c r="V8" s="262"/>
      <c r="W8" s="262"/>
      <c r="X8" s="233"/>
    </row>
    <row r="9" spans="1:25" x14ac:dyDescent="0.3">
      <c r="B9" s="515" t="s">
        <v>281</v>
      </c>
      <c r="C9" s="533" t="s">
        <v>340</v>
      </c>
      <c r="D9" s="105">
        <f t="shared" ref="D9:D28" si="0">IF(C9="","",COUNTIF($D$62:$D$997,"="&amp;C9))</f>
        <v>29</v>
      </c>
      <c r="E9" s="105">
        <f t="shared" ref="E9:E28" si="1">IF(C9="","",COUNTIF($I$62:$I$997,"="&amp;C9))</f>
        <v>26</v>
      </c>
      <c r="F9" s="247">
        <f t="shared" ref="F9:F28" si="2">IFERROR(D9-E9,0)</f>
        <v>3</v>
      </c>
      <c r="G9" s="248">
        <f t="shared" ref="G9:G28" si="3">IFERROR(D9/$D$29,0)</f>
        <v>0.11153846153846154</v>
      </c>
      <c r="H9" s="248">
        <f t="shared" ref="H9:H28" si="4">IFERROR(E9/D9,0)</f>
        <v>0.89655172413793105</v>
      </c>
      <c r="I9" s="105">
        <f t="shared" ref="I9:I28" si="5">IFERROR(SUMIF($D$62:$D$997,"="&amp;C9,$E$62:$E$997)/D9,0)</f>
        <v>583</v>
      </c>
      <c r="J9" s="643">
        <f>IFERROR(SUMIF($D$62:$D$997,"="&amp;C9,$G$62:$G$997)/D9,0)</f>
        <v>1128.7241379310344</v>
      </c>
      <c r="K9" s="644">
        <v>1454</v>
      </c>
      <c r="L9" s="444" t="s">
        <v>301</v>
      </c>
      <c r="M9" s="647">
        <f t="shared" ref="M9:M28" si="6">IFERROR(SUMIF($D$62:$D$997,"="&amp;C9,$H$62:$H$997)/E9,0)</f>
        <v>1082.9230769230769</v>
      </c>
      <c r="N9" s="648">
        <f t="shared" ref="N9:N28" si="7">IFERROR((M9*E9)+(F9*J9),0)</f>
        <v>31542.172413793101</v>
      </c>
      <c r="O9" s="649">
        <f t="shared" ref="O9:O28" si="8">IFERROR(N9/D9,0)</f>
        <v>1087.6611177170034</v>
      </c>
      <c r="V9" s="266"/>
      <c r="W9" s="262"/>
      <c r="X9" s="233"/>
    </row>
    <row r="10" spans="1:25" x14ac:dyDescent="0.3">
      <c r="B10" s="515" t="s">
        <v>281</v>
      </c>
      <c r="C10" s="206" t="s">
        <v>343</v>
      </c>
      <c r="D10" s="105">
        <f t="shared" si="0"/>
        <v>1</v>
      </c>
      <c r="E10" s="105">
        <f t="shared" si="1"/>
        <v>1</v>
      </c>
      <c r="F10" s="247">
        <f t="shared" si="2"/>
        <v>0</v>
      </c>
      <c r="G10" s="248">
        <f t="shared" si="3"/>
        <v>3.8461538461538464E-3</v>
      </c>
      <c r="H10" s="248">
        <f t="shared" si="4"/>
        <v>1</v>
      </c>
      <c r="I10" s="105">
        <f t="shared" si="5"/>
        <v>583</v>
      </c>
      <c r="J10" s="643">
        <f t="shared" ref="J10:J28" si="9">IFERROR(SUMIF($D$62:$D$997,"="&amp;C10,$G$62:$G$997)/D10,0)</f>
        <v>1134</v>
      </c>
      <c r="K10" s="644">
        <v>1454</v>
      </c>
      <c r="L10" s="444" t="s">
        <v>301</v>
      </c>
      <c r="M10" s="647">
        <f t="shared" si="6"/>
        <v>1242</v>
      </c>
      <c r="N10" s="648">
        <f t="shared" si="7"/>
        <v>1242</v>
      </c>
      <c r="O10" s="649">
        <f t="shared" si="8"/>
        <v>1242</v>
      </c>
      <c r="V10" s="266"/>
      <c r="W10" s="262"/>
      <c r="X10" s="233"/>
    </row>
    <row r="11" spans="1:25" x14ac:dyDescent="0.3">
      <c r="B11" s="515" t="s">
        <v>281</v>
      </c>
      <c r="C11" s="206" t="s">
        <v>345</v>
      </c>
      <c r="D11" s="105">
        <f t="shared" si="0"/>
        <v>26</v>
      </c>
      <c r="E11" s="105">
        <f t="shared" si="1"/>
        <v>23</v>
      </c>
      <c r="F11" s="247">
        <f t="shared" si="2"/>
        <v>3</v>
      </c>
      <c r="G11" s="248">
        <f t="shared" si="3"/>
        <v>0.1</v>
      </c>
      <c r="H11" s="248">
        <f t="shared" si="4"/>
        <v>0.88461538461538458</v>
      </c>
      <c r="I11" s="105">
        <f t="shared" si="5"/>
        <v>825</v>
      </c>
      <c r="J11" s="643">
        <f t="shared" si="9"/>
        <v>1201.8461538461538</v>
      </c>
      <c r="K11" s="644">
        <v>1744</v>
      </c>
      <c r="L11" s="444" t="s">
        <v>301</v>
      </c>
      <c r="M11" s="647">
        <f t="shared" si="6"/>
        <v>1195.9130434782608</v>
      </c>
      <c r="N11" s="648">
        <f t="shared" si="7"/>
        <v>31111.538461538457</v>
      </c>
      <c r="O11" s="649">
        <f t="shared" si="8"/>
        <v>1196.5976331360946</v>
      </c>
      <c r="V11" s="266"/>
      <c r="W11" s="262"/>
      <c r="X11" s="233"/>
    </row>
    <row r="12" spans="1:25" x14ac:dyDescent="0.3">
      <c r="B12" s="515" t="s">
        <v>281</v>
      </c>
      <c r="C12" s="206" t="s">
        <v>344</v>
      </c>
      <c r="D12" s="105">
        <f t="shared" si="0"/>
        <v>42</v>
      </c>
      <c r="E12" s="105">
        <f t="shared" si="1"/>
        <v>41</v>
      </c>
      <c r="F12" s="247">
        <f t="shared" si="2"/>
        <v>1</v>
      </c>
      <c r="G12" s="248">
        <f t="shared" si="3"/>
        <v>0.16153846153846155</v>
      </c>
      <c r="H12" s="248">
        <f t="shared" si="4"/>
        <v>0.97619047619047616</v>
      </c>
      <c r="I12" s="105">
        <f t="shared" si="5"/>
        <v>825</v>
      </c>
      <c r="J12" s="643">
        <f t="shared" si="9"/>
        <v>1450.5952380952381</v>
      </c>
      <c r="K12" s="644">
        <v>1744</v>
      </c>
      <c r="L12" s="444" t="s">
        <v>301</v>
      </c>
      <c r="M12" s="647">
        <f t="shared" si="6"/>
        <v>1374.1219512195121</v>
      </c>
      <c r="N12" s="648">
        <f t="shared" si="7"/>
        <v>57789.595238095229</v>
      </c>
      <c r="O12" s="649">
        <f t="shared" si="8"/>
        <v>1375.9427437641721</v>
      </c>
      <c r="V12" s="266"/>
      <c r="W12" s="262"/>
      <c r="X12" s="233"/>
    </row>
    <row r="13" spans="1:25" x14ac:dyDescent="0.3">
      <c r="B13" s="515" t="s">
        <v>100</v>
      </c>
      <c r="C13" s="206" t="s">
        <v>341</v>
      </c>
      <c r="D13" s="105">
        <f t="shared" si="0"/>
        <v>26</v>
      </c>
      <c r="E13" s="105">
        <f t="shared" si="1"/>
        <v>25</v>
      </c>
      <c r="F13" s="247">
        <f t="shared" si="2"/>
        <v>1</v>
      </c>
      <c r="G13" s="248">
        <f t="shared" si="3"/>
        <v>0.1</v>
      </c>
      <c r="H13" s="248">
        <f t="shared" si="4"/>
        <v>0.96153846153846156</v>
      </c>
      <c r="I13" s="105">
        <f t="shared" si="5"/>
        <v>1127</v>
      </c>
      <c r="J13" s="643">
        <f t="shared" si="9"/>
        <v>1309.1153846153845</v>
      </c>
      <c r="K13" s="644">
        <v>2045</v>
      </c>
      <c r="L13" s="444" t="s">
        <v>301</v>
      </c>
      <c r="M13" s="647">
        <f t="shared" si="6"/>
        <v>1335.44</v>
      </c>
      <c r="N13" s="648">
        <f t="shared" si="7"/>
        <v>34695.115384615383</v>
      </c>
      <c r="O13" s="649">
        <f t="shared" si="8"/>
        <v>1334.4275147928993</v>
      </c>
      <c r="V13" s="266"/>
      <c r="W13" s="262"/>
      <c r="X13" s="233"/>
    </row>
    <row r="14" spans="1:25" x14ac:dyDescent="0.3">
      <c r="B14" s="515" t="s">
        <v>100</v>
      </c>
      <c r="C14" s="206" t="s">
        <v>342</v>
      </c>
      <c r="D14" s="105">
        <f t="shared" si="0"/>
        <v>80</v>
      </c>
      <c r="E14" s="105">
        <f t="shared" si="1"/>
        <v>70</v>
      </c>
      <c r="F14" s="247">
        <f t="shared" si="2"/>
        <v>10</v>
      </c>
      <c r="G14" s="248">
        <f t="shared" si="3"/>
        <v>0.30769230769230771</v>
      </c>
      <c r="H14" s="248">
        <f t="shared" si="4"/>
        <v>0.875</v>
      </c>
      <c r="I14" s="105">
        <f t="shared" si="5"/>
        <v>1127</v>
      </c>
      <c r="J14" s="643">
        <f t="shared" si="9"/>
        <v>1551.2874999999999</v>
      </c>
      <c r="K14" s="644">
        <v>2045</v>
      </c>
      <c r="L14" s="444" t="s">
        <v>301</v>
      </c>
      <c r="M14" s="647">
        <f t="shared" si="6"/>
        <v>1474.6428571428571</v>
      </c>
      <c r="N14" s="648">
        <f t="shared" si="7"/>
        <v>118737.875</v>
      </c>
      <c r="O14" s="649">
        <f t="shared" si="8"/>
        <v>1484.2234375</v>
      </c>
      <c r="V14" s="266"/>
      <c r="W14" s="262"/>
      <c r="X14" s="233"/>
    </row>
    <row r="15" spans="1:25" x14ac:dyDescent="0.3">
      <c r="B15" s="515" t="s">
        <v>329</v>
      </c>
      <c r="C15" s="206" t="s">
        <v>346</v>
      </c>
      <c r="D15" s="105">
        <f t="shared" si="0"/>
        <v>17</v>
      </c>
      <c r="E15" s="105">
        <f t="shared" si="1"/>
        <v>17</v>
      </c>
      <c r="F15" s="247">
        <f t="shared" si="2"/>
        <v>0</v>
      </c>
      <c r="G15" s="248">
        <f t="shared" si="3"/>
        <v>6.5384615384615388E-2</v>
      </c>
      <c r="H15" s="248">
        <f t="shared" si="4"/>
        <v>1</v>
      </c>
      <c r="I15" s="105">
        <f t="shared" si="5"/>
        <v>1380</v>
      </c>
      <c r="J15" s="643">
        <f t="shared" si="9"/>
        <v>1489.7058823529412</v>
      </c>
      <c r="K15" s="644">
        <v>1454</v>
      </c>
      <c r="L15" s="444" t="s">
        <v>301</v>
      </c>
      <c r="M15" s="647">
        <f t="shared" si="6"/>
        <v>1529.8823529411766</v>
      </c>
      <c r="N15" s="648">
        <f t="shared" si="7"/>
        <v>26008</v>
      </c>
      <c r="O15" s="649">
        <f t="shared" si="8"/>
        <v>1529.8823529411766</v>
      </c>
      <c r="V15" s="266"/>
      <c r="W15" s="262"/>
      <c r="X15" s="233"/>
    </row>
    <row r="16" spans="1:25" x14ac:dyDescent="0.3">
      <c r="B16" s="515" t="s">
        <v>329</v>
      </c>
      <c r="C16" s="206" t="s">
        <v>347</v>
      </c>
      <c r="D16" s="105">
        <f t="shared" si="0"/>
        <v>39</v>
      </c>
      <c r="E16" s="105">
        <f t="shared" si="1"/>
        <v>36</v>
      </c>
      <c r="F16" s="247">
        <f t="shared" si="2"/>
        <v>3</v>
      </c>
      <c r="G16" s="248">
        <f t="shared" si="3"/>
        <v>0.15</v>
      </c>
      <c r="H16" s="248">
        <f t="shared" si="4"/>
        <v>0.92307692307692313</v>
      </c>
      <c r="I16" s="105">
        <f t="shared" si="5"/>
        <v>1380</v>
      </c>
      <c r="J16" s="643">
        <f t="shared" si="9"/>
        <v>1716.6923076923076</v>
      </c>
      <c r="K16" s="644">
        <v>1454</v>
      </c>
      <c r="L16" s="444" t="s">
        <v>301</v>
      </c>
      <c r="M16" s="647">
        <f t="shared" si="6"/>
        <v>1745.5555555555557</v>
      </c>
      <c r="N16" s="648">
        <f t="shared" si="7"/>
        <v>67990.076923076922</v>
      </c>
      <c r="O16" s="649">
        <f t="shared" si="8"/>
        <v>1743.3353057199211</v>
      </c>
      <c r="V16" s="266"/>
      <c r="W16" s="262"/>
      <c r="X16" s="233"/>
    </row>
    <row r="17" spans="2:24" x14ac:dyDescent="0.3">
      <c r="B17" s="515"/>
      <c r="C17" s="206"/>
      <c r="D17" s="105" t="str">
        <f t="shared" si="0"/>
        <v/>
      </c>
      <c r="E17" s="105" t="str">
        <f t="shared" si="1"/>
        <v/>
      </c>
      <c r="F17" s="247">
        <f t="shared" si="2"/>
        <v>0</v>
      </c>
      <c r="G17" s="248">
        <f t="shared" si="3"/>
        <v>0</v>
      </c>
      <c r="H17" s="248">
        <f t="shared" si="4"/>
        <v>0</v>
      </c>
      <c r="I17" s="105">
        <f t="shared" si="5"/>
        <v>0</v>
      </c>
      <c r="J17" s="643">
        <f t="shared" si="9"/>
        <v>0</v>
      </c>
      <c r="K17" s="644">
        <v>0</v>
      </c>
      <c r="L17" s="444"/>
      <c r="M17" s="647">
        <f t="shared" si="6"/>
        <v>0</v>
      </c>
      <c r="N17" s="648">
        <f t="shared" si="7"/>
        <v>0</v>
      </c>
      <c r="O17" s="649">
        <f t="shared" si="8"/>
        <v>0</v>
      </c>
      <c r="V17" s="266"/>
      <c r="W17" s="262"/>
      <c r="X17" s="233"/>
    </row>
    <row r="18" spans="2:24" x14ac:dyDescent="0.3">
      <c r="B18" s="515"/>
      <c r="C18" s="206"/>
      <c r="D18" s="105" t="str">
        <f t="shared" si="0"/>
        <v/>
      </c>
      <c r="E18" s="105" t="str">
        <f t="shared" si="1"/>
        <v/>
      </c>
      <c r="F18" s="247">
        <f t="shared" si="2"/>
        <v>0</v>
      </c>
      <c r="G18" s="248">
        <f t="shared" si="3"/>
        <v>0</v>
      </c>
      <c r="H18" s="248">
        <f t="shared" si="4"/>
        <v>0</v>
      </c>
      <c r="I18" s="105">
        <f t="shared" si="5"/>
        <v>0</v>
      </c>
      <c r="J18" s="643">
        <f t="shared" si="9"/>
        <v>0</v>
      </c>
      <c r="K18" s="644">
        <v>0</v>
      </c>
      <c r="L18" s="444"/>
      <c r="M18" s="647">
        <f t="shared" si="6"/>
        <v>0</v>
      </c>
      <c r="N18" s="648">
        <f t="shared" si="7"/>
        <v>0</v>
      </c>
      <c r="O18" s="649">
        <f t="shared" si="8"/>
        <v>0</v>
      </c>
      <c r="V18" s="266"/>
      <c r="W18" s="262"/>
      <c r="X18" s="233"/>
    </row>
    <row r="19" spans="2:24" x14ac:dyDescent="0.3">
      <c r="B19" s="515"/>
      <c r="C19" s="206"/>
      <c r="D19" s="105" t="str">
        <f t="shared" si="0"/>
        <v/>
      </c>
      <c r="E19" s="105" t="str">
        <f t="shared" si="1"/>
        <v/>
      </c>
      <c r="F19" s="247">
        <f t="shared" si="2"/>
        <v>0</v>
      </c>
      <c r="G19" s="248">
        <f t="shared" si="3"/>
        <v>0</v>
      </c>
      <c r="H19" s="248">
        <f t="shared" si="4"/>
        <v>0</v>
      </c>
      <c r="I19" s="105">
        <f t="shared" si="5"/>
        <v>0</v>
      </c>
      <c r="J19" s="643">
        <f t="shared" si="9"/>
        <v>0</v>
      </c>
      <c r="K19" s="644">
        <v>0</v>
      </c>
      <c r="L19" s="444"/>
      <c r="M19" s="647">
        <f t="shared" si="6"/>
        <v>0</v>
      </c>
      <c r="N19" s="648">
        <f t="shared" si="7"/>
        <v>0</v>
      </c>
      <c r="O19" s="649">
        <f t="shared" si="8"/>
        <v>0</v>
      </c>
      <c r="V19" s="266"/>
      <c r="W19" s="262"/>
      <c r="X19" s="233"/>
    </row>
    <row r="20" spans="2:24" x14ac:dyDescent="0.3">
      <c r="B20" s="515"/>
      <c r="C20" s="206"/>
      <c r="D20" s="105" t="str">
        <f t="shared" si="0"/>
        <v/>
      </c>
      <c r="E20" s="105" t="str">
        <f t="shared" si="1"/>
        <v/>
      </c>
      <c r="F20" s="247">
        <f t="shared" si="2"/>
        <v>0</v>
      </c>
      <c r="G20" s="248">
        <f t="shared" si="3"/>
        <v>0</v>
      </c>
      <c r="H20" s="248">
        <f t="shared" si="4"/>
        <v>0</v>
      </c>
      <c r="I20" s="105">
        <f t="shared" si="5"/>
        <v>0</v>
      </c>
      <c r="J20" s="643">
        <f t="shared" si="9"/>
        <v>0</v>
      </c>
      <c r="K20" s="644">
        <v>0</v>
      </c>
      <c r="L20" s="444"/>
      <c r="M20" s="647">
        <f t="shared" si="6"/>
        <v>0</v>
      </c>
      <c r="N20" s="648">
        <f t="shared" si="7"/>
        <v>0</v>
      </c>
      <c r="O20" s="649">
        <f t="shared" si="8"/>
        <v>0</v>
      </c>
      <c r="V20" s="266"/>
      <c r="W20" s="262"/>
      <c r="X20" s="233"/>
    </row>
    <row r="21" spans="2:24" x14ac:dyDescent="0.3">
      <c r="B21" s="515"/>
      <c r="C21" s="206"/>
      <c r="D21" s="105" t="str">
        <f t="shared" si="0"/>
        <v/>
      </c>
      <c r="E21" s="105" t="str">
        <f t="shared" si="1"/>
        <v/>
      </c>
      <c r="F21" s="247">
        <f t="shared" si="2"/>
        <v>0</v>
      </c>
      <c r="G21" s="248">
        <f t="shared" si="3"/>
        <v>0</v>
      </c>
      <c r="H21" s="248">
        <f t="shared" si="4"/>
        <v>0</v>
      </c>
      <c r="I21" s="105">
        <f t="shared" si="5"/>
        <v>0</v>
      </c>
      <c r="J21" s="643">
        <f t="shared" si="9"/>
        <v>0</v>
      </c>
      <c r="K21" s="644">
        <v>0</v>
      </c>
      <c r="L21" s="444"/>
      <c r="M21" s="647">
        <f t="shared" si="6"/>
        <v>0</v>
      </c>
      <c r="N21" s="648">
        <f t="shared" si="7"/>
        <v>0</v>
      </c>
      <c r="O21" s="649">
        <f t="shared" si="8"/>
        <v>0</v>
      </c>
      <c r="V21" s="266"/>
      <c r="W21" s="262"/>
      <c r="X21" s="233"/>
    </row>
    <row r="22" spans="2:24" x14ac:dyDescent="0.3">
      <c r="B22" s="515"/>
      <c r="C22" s="206"/>
      <c r="D22" s="105" t="str">
        <f t="shared" si="0"/>
        <v/>
      </c>
      <c r="E22" s="105" t="str">
        <f t="shared" si="1"/>
        <v/>
      </c>
      <c r="F22" s="247">
        <f t="shared" si="2"/>
        <v>0</v>
      </c>
      <c r="G22" s="248">
        <f t="shared" si="3"/>
        <v>0</v>
      </c>
      <c r="H22" s="248">
        <f t="shared" si="4"/>
        <v>0</v>
      </c>
      <c r="I22" s="105">
        <f t="shared" si="5"/>
        <v>0</v>
      </c>
      <c r="J22" s="643">
        <f t="shared" si="9"/>
        <v>0</v>
      </c>
      <c r="K22" s="644">
        <v>0</v>
      </c>
      <c r="L22" s="444"/>
      <c r="M22" s="647">
        <f t="shared" si="6"/>
        <v>0</v>
      </c>
      <c r="N22" s="648">
        <f t="shared" si="7"/>
        <v>0</v>
      </c>
      <c r="O22" s="649">
        <f t="shared" si="8"/>
        <v>0</v>
      </c>
      <c r="V22" s="266"/>
      <c r="W22" s="262"/>
      <c r="X22" s="233"/>
    </row>
    <row r="23" spans="2:24" x14ac:dyDescent="0.3">
      <c r="B23" s="515"/>
      <c r="C23" s="206"/>
      <c r="D23" s="105" t="str">
        <f t="shared" si="0"/>
        <v/>
      </c>
      <c r="E23" s="105" t="str">
        <f t="shared" si="1"/>
        <v/>
      </c>
      <c r="F23" s="247">
        <f t="shared" si="2"/>
        <v>0</v>
      </c>
      <c r="G23" s="248">
        <f t="shared" si="3"/>
        <v>0</v>
      </c>
      <c r="H23" s="248">
        <f t="shared" si="4"/>
        <v>0</v>
      </c>
      <c r="I23" s="105">
        <f t="shared" si="5"/>
        <v>0</v>
      </c>
      <c r="J23" s="643">
        <f t="shared" si="9"/>
        <v>0</v>
      </c>
      <c r="K23" s="644">
        <v>0</v>
      </c>
      <c r="L23" s="444"/>
      <c r="M23" s="647">
        <f t="shared" si="6"/>
        <v>0</v>
      </c>
      <c r="N23" s="648">
        <f t="shared" si="7"/>
        <v>0</v>
      </c>
      <c r="O23" s="649">
        <f t="shared" si="8"/>
        <v>0</v>
      </c>
      <c r="V23" s="266"/>
      <c r="W23" s="262"/>
      <c r="X23" s="233"/>
    </row>
    <row r="24" spans="2:24" x14ac:dyDescent="0.3">
      <c r="B24" s="515"/>
      <c r="C24" s="206"/>
      <c r="D24" s="105" t="str">
        <f t="shared" si="0"/>
        <v/>
      </c>
      <c r="E24" s="105" t="str">
        <f t="shared" si="1"/>
        <v/>
      </c>
      <c r="F24" s="247">
        <f t="shared" si="2"/>
        <v>0</v>
      </c>
      <c r="G24" s="248">
        <f t="shared" si="3"/>
        <v>0</v>
      </c>
      <c r="H24" s="248">
        <f t="shared" si="4"/>
        <v>0</v>
      </c>
      <c r="I24" s="105">
        <f t="shared" si="5"/>
        <v>0</v>
      </c>
      <c r="J24" s="643">
        <f t="shared" si="9"/>
        <v>0</v>
      </c>
      <c r="K24" s="644">
        <v>0</v>
      </c>
      <c r="L24" s="444"/>
      <c r="M24" s="647">
        <f t="shared" si="6"/>
        <v>0</v>
      </c>
      <c r="N24" s="648">
        <f t="shared" si="7"/>
        <v>0</v>
      </c>
      <c r="O24" s="649">
        <f t="shared" si="8"/>
        <v>0</v>
      </c>
      <c r="V24" s="266"/>
      <c r="W24" s="262"/>
      <c r="X24" s="233"/>
    </row>
    <row r="25" spans="2:24" x14ac:dyDescent="0.3">
      <c r="B25" s="515"/>
      <c r="C25" s="206"/>
      <c r="D25" s="105" t="str">
        <f t="shared" si="0"/>
        <v/>
      </c>
      <c r="E25" s="105" t="str">
        <f t="shared" si="1"/>
        <v/>
      </c>
      <c r="F25" s="247">
        <f t="shared" si="2"/>
        <v>0</v>
      </c>
      <c r="G25" s="248">
        <f t="shared" si="3"/>
        <v>0</v>
      </c>
      <c r="H25" s="248">
        <f t="shared" si="4"/>
        <v>0</v>
      </c>
      <c r="I25" s="105">
        <f t="shared" si="5"/>
        <v>0</v>
      </c>
      <c r="J25" s="643">
        <f t="shared" si="9"/>
        <v>0</v>
      </c>
      <c r="K25" s="644">
        <v>0</v>
      </c>
      <c r="L25" s="444"/>
      <c r="M25" s="647">
        <f t="shared" si="6"/>
        <v>0</v>
      </c>
      <c r="N25" s="648">
        <f t="shared" si="7"/>
        <v>0</v>
      </c>
      <c r="O25" s="649">
        <f t="shared" si="8"/>
        <v>0</v>
      </c>
      <c r="V25" s="266"/>
      <c r="W25" s="262"/>
      <c r="X25" s="233"/>
    </row>
    <row r="26" spans="2:24" x14ac:dyDescent="0.3">
      <c r="B26" s="515"/>
      <c r="C26" s="206"/>
      <c r="D26" s="105" t="str">
        <f t="shared" si="0"/>
        <v/>
      </c>
      <c r="E26" s="105" t="str">
        <f t="shared" si="1"/>
        <v/>
      </c>
      <c r="F26" s="247">
        <f t="shared" si="2"/>
        <v>0</v>
      </c>
      <c r="G26" s="248">
        <f t="shared" si="3"/>
        <v>0</v>
      </c>
      <c r="H26" s="248">
        <f t="shared" si="4"/>
        <v>0</v>
      </c>
      <c r="I26" s="105">
        <f t="shared" si="5"/>
        <v>0</v>
      </c>
      <c r="J26" s="643">
        <f t="shared" si="9"/>
        <v>0</v>
      </c>
      <c r="K26" s="644">
        <v>0</v>
      </c>
      <c r="L26" s="444"/>
      <c r="M26" s="647">
        <f t="shared" si="6"/>
        <v>0</v>
      </c>
      <c r="N26" s="648">
        <f t="shared" si="7"/>
        <v>0</v>
      </c>
      <c r="O26" s="649">
        <f t="shared" si="8"/>
        <v>0</v>
      </c>
      <c r="V26" s="266"/>
      <c r="W26" s="262"/>
      <c r="X26" s="233"/>
    </row>
    <row r="27" spans="2:24" x14ac:dyDescent="0.3">
      <c r="B27" s="205"/>
      <c r="C27" s="206"/>
      <c r="D27" s="105" t="str">
        <f t="shared" si="0"/>
        <v/>
      </c>
      <c r="E27" s="105" t="str">
        <f t="shared" si="1"/>
        <v/>
      </c>
      <c r="F27" s="247">
        <f t="shared" si="2"/>
        <v>0</v>
      </c>
      <c r="G27" s="248">
        <f t="shared" si="3"/>
        <v>0</v>
      </c>
      <c r="H27" s="248">
        <f t="shared" si="4"/>
        <v>0</v>
      </c>
      <c r="I27" s="105">
        <f t="shared" si="5"/>
        <v>0</v>
      </c>
      <c r="J27" s="643">
        <f t="shared" si="9"/>
        <v>0</v>
      </c>
      <c r="K27" s="644">
        <v>0</v>
      </c>
      <c r="L27" s="444"/>
      <c r="M27" s="647">
        <f t="shared" si="6"/>
        <v>0</v>
      </c>
      <c r="N27" s="648">
        <f t="shared" si="7"/>
        <v>0</v>
      </c>
      <c r="O27" s="649">
        <f t="shared" si="8"/>
        <v>0</v>
      </c>
      <c r="V27" s="266"/>
      <c r="W27" s="262"/>
      <c r="X27" s="233"/>
    </row>
    <row r="28" spans="2:24" ht="15" thickBot="1" x14ac:dyDescent="0.35">
      <c r="B28" s="205"/>
      <c r="C28" s="206"/>
      <c r="D28" s="105" t="str">
        <f t="shared" si="0"/>
        <v/>
      </c>
      <c r="E28" s="105" t="str">
        <f t="shared" si="1"/>
        <v/>
      </c>
      <c r="F28" s="247">
        <f t="shared" si="2"/>
        <v>0</v>
      </c>
      <c r="G28" s="248">
        <f t="shared" si="3"/>
        <v>0</v>
      </c>
      <c r="H28" s="248">
        <f t="shared" si="4"/>
        <v>0</v>
      </c>
      <c r="I28" s="105">
        <f t="shared" si="5"/>
        <v>0</v>
      </c>
      <c r="J28" s="643">
        <f t="shared" si="9"/>
        <v>0</v>
      </c>
      <c r="K28" s="644">
        <v>0</v>
      </c>
      <c r="L28" s="444"/>
      <c r="M28" s="647">
        <f t="shared" si="6"/>
        <v>0</v>
      </c>
      <c r="N28" s="648">
        <f t="shared" si="7"/>
        <v>0</v>
      </c>
      <c r="O28" s="649">
        <f t="shared" si="8"/>
        <v>0</v>
      </c>
      <c r="V28" s="266"/>
      <c r="W28" s="262"/>
      <c r="X28" s="233"/>
    </row>
    <row r="29" spans="2:24" ht="15" thickBot="1" x14ac:dyDescent="0.35">
      <c r="C29" s="267" t="s">
        <v>112</v>
      </c>
      <c r="D29" s="221">
        <f>SUM(D9:D28)</f>
        <v>260</v>
      </c>
      <c r="E29" s="221">
        <f>SUM(E9:E28)</f>
        <v>239</v>
      </c>
      <c r="F29" s="221">
        <f>SUM(F9:F28)</f>
        <v>21</v>
      </c>
      <c r="G29" s="268">
        <f>SUM(G9:G28)</f>
        <v>1</v>
      </c>
      <c r="H29" s="268">
        <f>E29/Units</f>
        <v>0.91923076923076918</v>
      </c>
      <c r="I29" s="269">
        <f>SUMPRODUCT($D$9:$D$28,I9:I28)</f>
        <v>270332</v>
      </c>
      <c r="J29" s="645">
        <f>SUMPRODUCT($D$9:$D$28,J9:J28)</f>
        <v>376456</v>
      </c>
      <c r="K29" s="646">
        <f>SUMPRODUCT($D$9:$D$28,K9:K28)</f>
        <v>460406</v>
      </c>
      <c r="L29" s="269"/>
      <c r="M29" s="650">
        <f>SUMPRODUCT(E9:E28,M9:M28)</f>
        <v>338702</v>
      </c>
      <c r="N29" s="646">
        <f>SUM(N9:N28)</f>
        <v>369116.37342111912</v>
      </c>
      <c r="O29" s="645"/>
      <c r="V29" s="266"/>
      <c r="W29" s="262"/>
      <c r="X29" s="233"/>
    </row>
    <row r="30" spans="2:24" x14ac:dyDescent="0.3">
      <c r="G30" s="270" t="s">
        <v>113</v>
      </c>
      <c r="H30" s="271">
        <f>J29*12</f>
        <v>4517472</v>
      </c>
      <c r="I30" s="272" t="s">
        <v>114</v>
      </c>
      <c r="J30" s="271">
        <f>SUMPRODUCT(D9:D28,J9:J28)/D29</f>
        <v>1447.9076923076923</v>
      </c>
      <c r="K30" s="271">
        <f>SUMPRODUCT(D9:D28,K9:K28)/D29</f>
        <v>1770.7923076923078</v>
      </c>
      <c r="L30" s="282"/>
      <c r="M30" s="273">
        <f>SUMPRODUCT(E9:E28,M9:M28)/E29</f>
        <v>1417.1631799163181</v>
      </c>
      <c r="U30" s="266"/>
      <c r="V30" s="262"/>
      <c r="W30" s="233"/>
    </row>
    <row r="31" spans="2:24" x14ac:dyDescent="0.3">
      <c r="G31" s="274" t="s">
        <v>110</v>
      </c>
      <c r="H31" s="249">
        <f>N29*12</f>
        <v>4429396.4810534297</v>
      </c>
      <c r="I31" s="275" t="s">
        <v>115</v>
      </c>
      <c r="J31" s="122">
        <f>J30/J32</f>
        <v>1.3925691372090616</v>
      </c>
      <c r="K31" s="122">
        <f>K30/K32</f>
        <v>1.7031132089430776</v>
      </c>
      <c r="M31" s="123">
        <f>M30/(SUMPRODUCT(E9:E28,I9:I28)/E29)</f>
        <v>1.3616379760880579</v>
      </c>
      <c r="U31" s="266"/>
      <c r="V31" s="262"/>
      <c r="W31" s="233"/>
    </row>
    <row r="32" spans="2:24" ht="15" thickBot="1" x14ac:dyDescent="0.35">
      <c r="F32" s="240"/>
      <c r="G32" s="276" t="s">
        <v>116</v>
      </c>
      <c r="H32" s="277">
        <f>H30-H31</f>
        <v>88075.518946570344</v>
      </c>
      <c r="I32" s="278" t="s">
        <v>117</v>
      </c>
      <c r="J32" s="279">
        <f>SUMPRODUCT(D9:D28,I9:I28)/D29</f>
        <v>1039.7384615384615</v>
      </c>
      <c r="K32" s="279">
        <f>SUMPRODUCT(D9:D28,I9:I28)/D29</f>
        <v>1039.7384615384615</v>
      </c>
      <c r="L32" s="257"/>
      <c r="M32" s="280">
        <f>SUMPRODUCT(E9:E28,I9:I28)/E29</f>
        <v>1040.7782426778242</v>
      </c>
      <c r="U32" s="266"/>
      <c r="V32" s="262"/>
      <c r="W32" s="233"/>
    </row>
    <row r="33" spans="3:23" x14ac:dyDescent="0.3">
      <c r="U33" s="266"/>
      <c r="V33" s="262"/>
      <c r="W33" s="233"/>
    </row>
    <row r="34" spans="3:23" x14ac:dyDescent="0.3">
      <c r="U34" s="266"/>
      <c r="V34" s="262"/>
      <c r="W34" s="233"/>
    </row>
    <row r="35" spans="3:23" ht="15" thickBot="1" x14ac:dyDescent="0.35">
      <c r="C35" s="9" t="s">
        <v>118</v>
      </c>
      <c r="D35" s="265"/>
      <c r="E35" s="265"/>
      <c r="F35" s="265"/>
      <c r="G35" s="265"/>
      <c r="H35" s="265"/>
      <c r="I35" s="265"/>
      <c r="U35" s="266"/>
      <c r="V35" s="262"/>
      <c r="W35" s="233"/>
    </row>
    <row r="36" spans="3:23" x14ac:dyDescent="0.3">
      <c r="C36" s="11" t="s">
        <v>102</v>
      </c>
      <c r="D36" s="8" t="s">
        <v>2</v>
      </c>
      <c r="E36" s="8"/>
      <c r="F36" s="8"/>
      <c r="G36" s="8" t="s">
        <v>119</v>
      </c>
      <c r="H36" s="8" t="s">
        <v>120</v>
      </c>
      <c r="I36" s="12" t="s">
        <v>121</v>
      </c>
      <c r="U36" s="266"/>
      <c r="V36" s="262"/>
      <c r="W36" s="233"/>
    </row>
    <row r="37" spans="3:23" x14ac:dyDescent="0.3">
      <c r="C37" s="207" t="str">
        <f t="shared" ref="C37:C56" si="10">IF(C9="","",C9)</f>
        <v>E1</v>
      </c>
      <c r="D37" s="208">
        <f>D9</f>
        <v>29</v>
      </c>
      <c r="E37" s="538"/>
      <c r="F37" s="5"/>
      <c r="G37" s="651">
        <v>0</v>
      </c>
      <c r="H37" s="652">
        <f>IFERROR(G37*D37,0)</f>
        <v>0</v>
      </c>
      <c r="I37" s="653">
        <v>0</v>
      </c>
      <c r="U37" s="266"/>
      <c r="V37" s="262"/>
      <c r="W37" s="233"/>
    </row>
    <row r="38" spans="3:23" x14ac:dyDescent="0.3">
      <c r="C38" s="207" t="str">
        <f t="shared" si="10"/>
        <v>E1-L2</v>
      </c>
      <c r="D38" s="208">
        <f>D10</f>
        <v>1</v>
      </c>
      <c r="E38" s="538"/>
      <c r="F38" s="5"/>
      <c r="G38" s="651">
        <v>0</v>
      </c>
      <c r="H38" s="652">
        <f t="shared" ref="H38:H56" si="11">IFERROR(G38*D38,0)</f>
        <v>0</v>
      </c>
      <c r="I38" s="653">
        <v>0</v>
      </c>
      <c r="U38" s="266"/>
      <c r="V38" s="262"/>
      <c r="W38" s="233"/>
    </row>
    <row r="39" spans="3:23" x14ac:dyDescent="0.3">
      <c r="C39" s="207" t="str">
        <f t="shared" si="10"/>
        <v>A1</v>
      </c>
      <c r="D39" s="208">
        <f t="shared" ref="D39:D56" si="12">D11</f>
        <v>26</v>
      </c>
      <c r="E39" s="5"/>
      <c r="F39" s="5"/>
      <c r="G39" s="651">
        <v>0</v>
      </c>
      <c r="H39" s="652">
        <f t="shared" si="11"/>
        <v>0</v>
      </c>
      <c r="I39" s="653">
        <v>0</v>
      </c>
      <c r="U39" s="266"/>
      <c r="V39" s="262"/>
      <c r="W39" s="233"/>
    </row>
    <row r="40" spans="3:23" x14ac:dyDescent="0.3">
      <c r="C40" s="207" t="str">
        <f t="shared" si="10"/>
        <v>A1-L2</v>
      </c>
      <c r="D40" s="208">
        <f t="shared" si="12"/>
        <v>42</v>
      </c>
      <c r="E40" s="5"/>
      <c r="F40" s="5"/>
      <c r="G40" s="651">
        <v>0</v>
      </c>
      <c r="H40" s="652">
        <f t="shared" si="11"/>
        <v>0</v>
      </c>
      <c r="I40" s="653">
        <v>0</v>
      </c>
      <c r="U40" s="266"/>
      <c r="V40" s="262"/>
      <c r="W40" s="233"/>
    </row>
    <row r="41" spans="3:23" x14ac:dyDescent="0.3">
      <c r="C41" s="207" t="str">
        <f t="shared" si="10"/>
        <v>B1</v>
      </c>
      <c r="D41" s="208">
        <f t="shared" si="12"/>
        <v>26</v>
      </c>
      <c r="E41" s="5"/>
      <c r="F41" s="5"/>
      <c r="G41" s="651">
        <v>0</v>
      </c>
      <c r="H41" s="652">
        <f t="shared" si="11"/>
        <v>0</v>
      </c>
      <c r="I41" s="653">
        <v>0</v>
      </c>
      <c r="U41" s="266"/>
      <c r="V41" s="262"/>
      <c r="W41" s="233"/>
    </row>
    <row r="42" spans="3:23" x14ac:dyDescent="0.3">
      <c r="C42" s="207" t="str">
        <f t="shared" si="10"/>
        <v>B1-L2</v>
      </c>
      <c r="D42" s="208">
        <f t="shared" si="12"/>
        <v>80</v>
      </c>
      <c r="E42" s="5"/>
      <c r="F42" s="5"/>
      <c r="G42" s="651">
        <v>0</v>
      </c>
      <c r="H42" s="652">
        <f t="shared" si="11"/>
        <v>0</v>
      </c>
      <c r="I42" s="653">
        <v>0</v>
      </c>
      <c r="U42" s="266"/>
      <c r="V42" s="262"/>
      <c r="W42" s="233"/>
    </row>
    <row r="43" spans="3:23" x14ac:dyDescent="0.3">
      <c r="C43" s="207" t="str">
        <f t="shared" si="10"/>
        <v>C1</v>
      </c>
      <c r="D43" s="208">
        <f t="shared" si="12"/>
        <v>17</v>
      </c>
      <c r="E43" s="5"/>
      <c r="F43" s="5"/>
      <c r="G43" s="651">
        <v>0</v>
      </c>
      <c r="H43" s="652">
        <f t="shared" si="11"/>
        <v>0</v>
      </c>
      <c r="I43" s="653">
        <v>0</v>
      </c>
      <c r="U43" s="266"/>
      <c r="V43" s="262"/>
      <c r="W43" s="233"/>
    </row>
    <row r="44" spans="3:23" x14ac:dyDescent="0.3">
      <c r="C44" s="207" t="str">
        <f t="shared" si="10"/>
        <v>C1-L2</v>
      </c>
      <c r="D44" s="208">
        <f t="shared" si="12"/>
        <v>39</v>
      </c>
      <c r="E44" s="5"/>
      <c r="F44" s="5"/>
      <c r="G44" s="651">
        <v>0</v>
      </c>
      <c r="H44" s="652">
        <f t="shared" si="11"/>
        <v>0</v>
      </c>
      <c r="I44" s="653">
        <v>0</v>
      </c>
      <c r="U44" s="266"/>
      <c r="V44" s="262"/>
      <c r="W44" s="233"/>
    </row>
    <row r="45" spans="3:23" x14ac:dyDescent="0.3">
      <c r="C45" s="207" t="str">
        <f t="shared" si="10"/>
        <v/>
      </c>
      <c r="D45" s="208" t="str">
        <f t="shared" si="12"/>
        <v/>
      </c>
      <c r="E45" s="5"/>
      <c r="F45" s="5"/>
      <c r="G45" s="651">
        <v>0</v>
      </c>
      <c r="H45" s="652">
        <f t="shared" si="11"/>
        <v>0</v>
      </c>
      <c r="I45" s="653">
        <v>0</v>
      </c>
      <c r="U45" s="266"/>
      <c r="V45" s="262"/>
      <c r="W45" s="233"/>
    </row>
    <row r="46" spans="3:23" x14ac:dyDescent="0.3">
      <c r="C46" s="207" t="str">
        <f t="shared" si="10"/>
        <v/>
      </c>
      <c r="D46" s="208" t="str">
        <f t="shared" si="12"/>
        <v/>
      </c>
      <c r="E46" s="5"/>
      <c r="F46" s="5"/>
      <c r="G46" s="651">
        <v>0</v>
      </c>
      <c r="H46" s="652">
        <f t="shared" si="11"/>
        <v>0</v>
      </c>
      <c r="I46" s="653">
        <v>0</v>
      </c>
      <c r="U46" s="266"/>
      <c r="V46" s="262"/>
      <c r="W46" s="233"/>
    </row>
    <row r="47" spans="3:23" x14ac:dyDescent="0.3">
      <c r="C47" s="207" t="str">
        <f t="shared" si="10"/>
        <v/>
      </c>
      <c r="D47" s="208" t="str">
        <f t="shared" si="12"/>
        <v/>
      </c>
      <c r="E47" s="5"/>
      <c r="F47" s="5"/>
      <c r="G47" s="651">
        <v>0</v>
      </c>
      <c r="H47" s="652">
        <f t="shared" si="11"/>
        <v>0</v>
      </c>
      <c r="I47" s="653">
        <v>0</v>
      </c>
      <c r="U47" s="266"/>
      <c r="V47" s="262"/>
      <c r="W47" s="233"/>
    </row>
    <row r="48" spans="3:23" x14ac:dyDescent="0.3">
      <c r="C48" s="207" t="str">
        <f t="shared" si="10"/>
        <v/>
      </c>
      <c r="D48" s="208" t="str">
        <f t="shared" si="12"/>
        <v/>
      </c>
      <c r="E48" s="5"/>
      <c r="F48" s="5"/>
      <c r="G48" s="651">
        <v>0</v>
      </c>
      <c r="H48" s="652">
        <f t="shared" si="11"/>
        <v>0</v>
      </c>
      <c r="I48" s="653">
        <v>0</v>
      </c>
      <c r="U48" s="266"/>
      <c r="V48" s="262"/>
      <c r="W48" s="233"/>
    </row>
    <row r="49" spans="2:23" x14ac:dyDescent="0.3">
      <c r="C49" s="207" t="str">
        <f t="shared" si="10"/>
        <v/>
      </c>
      <c r="D49" s="208" t="str">
        <f t="shared" si="12"/>
        <v/>
      </c>
      <c r="E49" s="5"/>
      <c r="F49" s="5"/>
      <c r="G49" s="651">
        <v>0</v>
      </c>
      <c r="H49" s="652">
        <f t="shared" si="11"/>
        <v>0</v>
      </c>
      <c r="I49" s="653">
        <v>0</v>
      </c>
      <c r="U49" s="266"/>
      <c r="V49" s="262"/>
      <c r="W49" s="233"/>
    </row>
    <row r="50" spans="2:23" x14ac:dyDescent="0.3">
      <c r="C50" s="207" t="str">
        <f t="shared" si="10"/>
        <v/>
      </c>
      <c r="D50" s="208" t="str">
        <f t="shared" si="12"/>
        <v/>
      </c>
      <c r="E50" s="5"/>
      <c r="F50" s="5"/>
      <c r="G50" s="651">
        <v>0</v>
      </c>
      <c r="H50" s="652">
        <f t="shared" si="11"/>
        <v>0</v>
      </c>
      <c r="I50" s="653">
        <v>0</v>
      </c>
      <c r="U50" s="266"/>
      <c r="V50" s="262"/>
      <c r="W50" s="233"/>
    </row>
    <row r="51" spans="2:23" x14ac:dyDescent="0.3">
      <c r="C51" s="207" t="str">
        <f t="shared" si="10"/>
        <v/>
      </c>
      <c r="D51" s="208" t="str">
        <f t="shared" si="12"/>
        <v/>
      </c>
      <c r="E51" s="5"/>
      <c r="F51" s="5"/>
      <c r="G51" s="651">
        <v>0</v>
      </c>
      <c r="H51" s="652">
        <f t="shared" si="11"/>
        <v>0</v>
      </c>
      <c r="I51" s="653">
        <v>0</v>
      </c>
      <c r="U51" s="266"/>
      <c r="V51" s="262"/>
      <c r="W51" s="233"/>
    </row>
    <row r="52" spans="2:23" x14ac:dyDescent="0.3">
      <c r="C52" s="207" t="str">
        <f t="shared" si="10"/>
        <v/>
      </c>
      <c r="D52" s="208" t="str">
        <f t="shared" si="12"/>
        <v/>
      </c>
      <c r="E52" s="5"/>
      <c r="F52" s="5"/>
      <c r="G52" s="651">
        <v>0</v>
      </c>
      <c r="H52" s="652">
        <f t="shared" si="11"/>
        <v>0</v>
      </c>
      <c r="I52" s="653">
        <v>0</v>
      </c>
      <c r="U52" s="266"/>
      <c r="V52" s="262"/>
      <c r="W52" s="233"/>
    </row>
    <row r="53" spans="2:23" x14ac:dyDescent="0.3">
      <c r="C53" s="207" t="str">
        <f t="shared" si="10"/>
        <v/>
      </c>
      <c r="D53" s="208" t="str">
        <f t="shared" si="12"/>
        <v/>
      </c>
      <c r="E53" s="5"/>
      <c r="F53" s="5"/>
      <c r="G53" s="651">
        <v>0</v>
      </c>
      <c r="H53" s="652">
        <f t="shared" si="11"/>
        <v>0</v>
      </c>
      <c r="I53" s="653">
        <v>0</v>
      </c>
      <c r="U53" s="266"/>
      <c r="V53" s="262"/>
      <c r="W53" s="233"/>
    </row>
    <row r="54" spans="2:23" x14ac:dyDescent="0.3">
      <c r="C54" s="207" t="str">
        <f t="shared" si="10"/>
        <v/>
      </c>
      <c r="D54" s="208" t="str">
        <f t="shared" si="12"/>
        <v/>
      </c>
      <c r="E54" s="5"/>
      <c r="F54" s="5"/>
      <c r="G54" s="651">
        <v>0</v>
      </c>
      <c r="H54" s="652">
        <f t="shared" si="11"/>
        <v>0</v>
      </c>
      <c r="I54" s="653">
        <v>0</v>
      </c>
      <c r="U54" s="266"/>
      <c r="V54" s="262"/>
      <c r="W54" s="233"/>
    </row>
    <row r="55" spans="2:23" x14ac:dyDescent="0.3">
      <c r="C55" s="207" t="str">
        <f t="shared" si="10"/>
        <v/>
      </c>
      <c r="D55" s="208" t="str">
        <f t="shared" si="12"/>
        <v/>
      </c>
      <c r="E55" s="5"/>
      <c r="F55" s="5"/>
      <c r="G55" s="651">
        <v>0</v>
      </c>
      <c r="H55" s="652">
        <f t="shared" si="11"/>
        <v>0</v>
      </c>
      <c r="I55" s="653">
        <v>0</v>
      </c>
      <c r="U55" s="266"/>
      <c r="V55" s="262"/>
      <c r="W55" s="233"/>
    </row>
    <row r="56" spans="2:23" ht="15" thickBot="1" x14ac:dyDescent="0.35">
      <c r="C56" s="207" t="str">
        <f t="shared" si="10"/>
        <v/>
      </c>
      <c r="D56" s="208" t="str">
        <f t="shared" si="12"/>
        <v/>
      </c>
      <c r="E56" s="5"/>
      <c r="F56" s="5"/>
      <c r="G56" s="651">
        <v>0</v>
      </c>
      <c r="H56" s="652">
        <f t="shared" si="11"/>
        <v>0</v>
      </c>
      <c r="I56" s="653">
        <v>0</v>
      </c>
      <c r="U56" s="266"/>
      <c r="V56" s="262"/>
      <c r="W56" s="233"/>
    </row>
    <row r="57" spans="2:23" ht="15" thickBot="1" x14ac:dyDescent="0.35">
      <c r="C57" s="267" t="s">
        <v>112</v>
      </c>
      <c r="D57" s="221">
        <f>SUM(D37:D56)</f>
        <v>260</v>
      </c>
      <c r="E57" s="221"/>
      <c r="F57" s="221"/>
      <c r="G57" s="646">
        <f>SUMPRODUCT(D37:D56,G37:G56)/D57</f>
        <v>0</v>
      </c>
      <c r="H57" s="646">
        <f>SUM(H37:H56)</f>
        <v>0</v>
      </c>
      <c r="I57" s="645">
        <f>SUMPRODUCT(D37:D56,I37:I56)</f>
        <v>0</v>
      </c>
      <c r="S57" s="262"/>
      <c r="T57" s="266"/>
      <c r="U57" s="266"/>
      <c r="V57" s="262"/>
      <c r="W57" s="233"/>
    </row>
    <row r="58" spans="2:23" x14ac:dyDescent="0.3">
      <c r="S58" s="262"/>
      <c r="T58" s="266"/>
      <c r="U58" s="266"/>
      <c r="V58" s="262"/>
      <c r="W58" s="233"/>
    </row>
    <row r="59" spans="2:23" x14ac:dyDescent="0.3">
      <c r="S59" s="262"/>
      <c r="T59" s="266"/>
      <c r="U59" s="266"/>
      <c r="V59" s="262"/>
      <c r="W59" s="233"/>
    </row>
    <row r="60" spans="2:23" x14ac:dyDescent="0.3">
      <c r="F60" s="102"/>
      <c r="S60" s="262"/>
      <c r="T60" s="266"/>
      <c r="U60" s="266"/>
      <c r="V60" s="262"/>
      <c r="W60" s="233"/>
    </row>
    <row r="61" spans="2:23" x14ac:dyDescent="0.3">
      <c r="B61" s="591" t="s">
        <v>122</v>
      </c>
      <c r="C61" s="103" t="s">
        <v>123</v>
      </c>
      <c r="D61" s="104" t="s">
        <v>124</v>
      </c>
      <c r="E61" s="104" t="s">
        <v>125</v>
      </c>
      <c r="F61" s="104" t="s">
        <v>126</v>
      </c>
      <c r="G61" s="104" t="s">
        <v>127</v>
      </c>
      <c r="H61" s="104" t="s">
        <v>128</v>
      </c>
      <c r="I61" s="104" t="s">
        <v>129</v>
      </c>
      <c r="S61" s="262"/>
      <c r="T61" s="266"/>
      <c r="U61" s="266"/>
      <c r="V61" s="262"/>
      <c r="W61" s="233"/>
    </row>
    <row r="62" spans="2:23" x14ac:dyDescent="0.3">
      <c r="B62" s="592" t="s">
        <v>345</v>
      </c>
      <c r="C62" s="209">
        <v>101</v>
      </c>
      <c r="D62" s="209" t="s">
        <v>340</v>
      </c>
      <c r="E62" s="209">
        <v>583</v>
      </c>
      <c r="F62" s="209" t="s">
        <v>348</v>
      </c>
      <c r="G62" s="209">
        <v>1162</v>
      </c>
      <c r="H62" s="209">
        <v>1071</v>
      </c>
      <c r="I62" s="264" t="str">
        <f>IF(H62=0,"",D62)</f>
        <v>E1</v>
      </c>
      <c r="S62" s="262"/>
      <c r="T62" s="266"/>
      <c r="U62" s="266"/>
      <c r="V62" s="262"/>
      <c r="W62" s="233"/>
    </row>
    <row r="63" spans="2:23" ht="14.7" customHeight="1" x14ac:dyDescent="0.3">
      <c r="B63" s="592" t="s">
        <v>344</v>
      </c>
      <c r="C63" s="209">
        <v>102</v>
      </c>
      <c r="D63" s="209" t="s">
        <v>341</v>
      </c>
      <c r="E63" s="209">
        <v>1127</v>
      </c>
      <c r="F63" s="209" t="s">
        <v>349</v>
      </c>
      <c r="G63" s="209">
        <v>1326</v>
      </c>
      <c r="H63" s="209">
        <v>1452</v>
      </c>
      <c r="I63" s="264" t="str">
        <f>IF(H63=0,"",D63)</f>
        <v>B1</v>
      </c>
      <c r="S63" s="262"/>
      <c r="T63" s="266"/>
      <c r="U63" s="266"/>
      <c r="V63" s="262"/>
      <c r="W63" s="233"/>
    </row>
    <row r="64" spans="2:23" x14ac:dyDescent="0.3">
      <c r="B64" s="592" t="s">
        <v>341</v>
      </c>
      <c r="C64" s="209">
        <v>103</v>
      </c>
      <c r="D64" s="209" t="s">
        <v>340</v>
      </c>
      <c r="E64" s="209">
        <v>583</v>
      </c>
      <c r="F64" s="209" t="s">
        <v>350</v>
      </c>
      <c r="G64" s="209">
        <v>1162</v>
      </c>
      <c r="H64" s="209">
        <v>1060</v>
      </c>
      <c r="I64" s="264" t="str">
        <f t="shared" ref="I64:I125" si="13">IF(H64=0,"",D64)</f>
        <v>E1</v>
      </c>
      <c r="S64" s="262"/>
      <c r="T64" s="266"/>
      <c r="U64" s="266"/>
      <c r="V64" s="262"/>
      <c r="W64" s="233"/>
    </row>
    <row r="65" spans="2:23" x14ac:dyDescent="0.3">
      <c r="B65" s="592" t="s">
        <v>342</v>
      </c>
      <c r="C65" s="209">
        <v>104</v>
      </c>
      <c r="D65" s="209" t="s">
        <v>342</v>
      </c>
      <c r="E65" s="209">
        <v>1127</v>
      </c>
      <c r="F65" s="209" t="s">
        <v>351</v>
      </c>
      <c r="G65" s="209">
        <v>1650</v>
      </c>
      <c r="H65" s="209">
        <v>1715</v>
      </c>
      <c r="I65" s="264" t="str">
        <f t="shared" si="13"/>
        <v>B1-L2</v>
      </c>
      <c r="S65" s="262"/>
      <c r="T65" s="266"/>
      <c r="U65" s="266"/>
      <c r="V65" s="262"/>
      <c r="W65" s="233"/>
    </row>
    <row r="66" spans="2:23" x14ac:dyDescent="0.3">
      <c r="B66" s="592" t="s">
        <v>346</v>
      </c>
      <c r="C66" s="209">
        <v>105</v>
      </c>
      <c r="D66" s="209" t="s">
        <v>340</v>
      </c>
      <c r="E66" s="209">
        <v>583</v>
      </c>
      <c r="F66" s="209" t="s">
        <v>352</v>
      </c>
      <c r="G66" s="209">
        <v>1152</v>
      </c>
      <c r="H66" s="209">
        <v>1091</v>
      </c>
      <c r="I66" s="264" t="str">
        <f t="shared" si="13"/>
        <v>E1</v>
      </c>
      <c r="S66" s="262"/>
      <c r="T66" s="266"/>
      <c r="U66" s="266"/>
      <c r="V66" s="262"/>
      <c r="W66" s="233"/>
    </row>
    <row r="67" spans="2:23" x14ac:dyDescent="0.3">
      <c r="B67" s="592" t="s">
        <v>347</v>
      </c>
      <c r="C67" s="209">
        <v>106</v>
      </c>
      <c r="D67" s="209" t="s">
        <v>341</v>
      </c>
      <c r="E67" s="209">
        <v>1127</v>
      </c>
      <c r="F67" s="209" t="s">
        <v>353</v>
      </c>
      <c r="G67" s="209">
        <v>1330</v>
      </c>
      <c r="H67" s="209">
        <v>1312</v>
      </c>
      <c r="I67" s="264" t="str">
        <f t="shared" si="13"/>
        <v>B1</v>
      </c>
      <c r="S67" s="262"/>
      <c r="T67" s="266"/>
      <c r="U67" s="266"/>
      <c r="V67" s="262"/>
      <c r="W67" s="233"/>
    </row>
    <row r="68" spans="2:23" x14ac:dyDescent="0.3">
      <c r="B68" s="592" t="s">
        <v>340</v>
      </c>
      <c r="C68" s="209">
        <v>107</v>
      </c>
      <c r="D68" s="209" t="s">
        <v>340</v>
      </c>
      <c r="E68" s="209">
        <v>583</v>
      </c>
      <c r="F68" s="209"/>
      <c r="G68" s="209">
        <v>1138</v>
      </c>
      <c r="H68" s="209">
        <v>0</v>
      </c>
      <c r="I68" s="264" t="str">
        <f t="shared" si="13"/>
        <v/>
      </c>
      <c r="S68" s="262"/>
      <c r="T68" s="266"/>
      <c r="U68" s="266"/>
      <c r="V68" s="262"/>
      <c r="W68" s="233"/>
    </row>
    <row r="69" spans="2:23" x14ac:dyDescent="0.3">
      <c r="B69" s="592" t="s">
        <v>343</v>
      </c>
      <c r="C69" s="209">
        <v>108</v>
      </c>
      <c r="D69" s="209" t="s">
        <v>342</v>
      </c>
      <c r="E69" s="209">
        <v>1127</v>
      </c>
      <c r="F69" s="209" t="s">
        <v>354</v>
      </c>
      <c r="G69" s="209">
        <v>1526</v>
      </c>
      <c r="H69" s="209">
        <v>1496</v>
      </c>
      <c r="I69" s="264" t="str">
        <f t="shared" si="13"/>
        <v>B1-L2</v>
      </c>
      <c r="S69" s="262"/>
      <c r="T69" s="266"/>
      <c r="U69" s="266"/>
      <c r="V69" s="262"/>
      <c r="W69" s="233"/>
    </row>
    <row r="70" spans="2:23" x14ac:dyDescent="0.3">
      <c r="B70" s="592" t="s">
        <v>130</v>
      </c>
      <c r="C70" s="209">
        <v>109</v>
      </c>
      <c r="D70" s="209" t="s">
        <v>342</v>
      </c>
      <c r="E70" s="209">
        <v>1127</v>
      </c>
      <c r="F70" s="209"/>
      <c r="G70" s="209">
        <v>1561</v>
      </c>
      <c r="H70" s="209">
        <v>0</v>
      </c>
      <c r="I70" s="264" t="str">
        <f t="shared" si="13"/>
        <v/>
      </c>
      <c r="S70" s="262"/>
      <c r="T70" s="266"/>
      <c r="U70" s="266"/>
      <c r="V70" s="262"/>
      <c r="W70" s="233"/>
    </row>
    <row r="71" spans="2:23" x14ac:dyDescent="0.3">
      <c r="B71" s="592" t="s">
        <v>131</v>
      </c>
      <c r="C71" s="209">
        <v>110</v>
      </c>
      <c r="D71" s="209" t="s">
        <v>340</v>
      </c>
      <c r="E71" s="209">
        <v>583</v>
      </c>
      <c r="F71" s="209" t="s">
        <v>355</v>
      </c>
      <c r="G71" s="209">
        <v>1162</v>
      </c>
      <c r="H71" s="209">
        <v>1119</v>
      </c>
      <c r="I71" s="264" t="str">
        <f t="shared" si="13"/>
        <v>E1</v>
      </c>
      <c r="S71" s="262"/>
      <c r="T71" s="266"/>
      <c r="U71" s="266"/>
      <c r="V71" s="262"/>
      <c r="W71" s="233"/>
    </row>
    <row r="72" spans="2:23" x14ac:dyDescent="0.3">
      <c r="C72" s="209">
        <v>111</v>
      </c>
      <c r="D72" s="209" t="s">
        <v>342</v>
      </c>
      <c r="E72" s="209">
        <v>1127</v>
      </c>
      <c r="F72" s="209" t="s">
        <v>356</v>
      </c>
      <c r="G72" s="209">
        <v>1636</v>
      </c>
      <c r="H72" s="209">
        <v>1519</v>
      </c>
      <c r="I72" s="264" t="str">
        <f t="shared" si="13"/>
        <v>B1-L2</v>
      </c>
      <c r="S72" s="262"/>
      <c r="T72" s="266"/>
      <c r="U72" s="266"/>
      <c r="V72" s="262"/>
      <c r="W72" s="233"/>
    </row>
    <row r="73" spans="2:23" x14ac:dyDescent="0.3">
      <c r="C73" s="209">
        <v>112</v>
      </c>
      <c r="D73" s="209" t="s">
        <v>340</v>
      </c>
      <c r="E73" s="209">
        <v>583</v>
      </c>
      <c r="F73" s="209" t="s">
        <v>357</v>
      </c>
      <c r="G73" s="209">
        <v>1197</v>
      </c>
      <c r="H73" s="209">
        <v>1089</v>
      </c>
      <c r="I73" s="264" t="str">
        <f t="shared" si="13"/>
        <v>E1</v>
      </c>
      <c r="S73" s="262"/>
      <c r="T73" s="266"/>
      <c r="U73" s="266"/>
      <c r="V73" s="262"/>
      <c r="W73" s="233"/>
    </row>
    <row r="74" spans="2:23" x14ac:dyDescent="0.3">
      <c r="C74" s="209">
        <v>113</v>
      </c>
      <c r="D74" s="209" t="s">
        <v>342</v>
      </c>
      <c r="E74" s="209">
        <v>1127</v>
      </c>
      <c r="F74" s="209" t="s">
        <v>358</v>
      </c>
      <c r="G74" s="209">
        <v>1550</v>
      </c>
      <c r="H74" s="209">
        <v>1467</v>
      </c>
      <c r="I74" s="264" t="str">
        <f t="shared" si="13"/>
        <v>B1-L2</v>
      </c>
      <c r="S74" s="262"/>
      <c r="T74" s="266"/>
      <c r="U74" s="266"/>
      <c r="V74" s="262"/>
      <c r="W74" s="233"/>
    </row>
    <row r="75" spans="2:23" x14ac:dyDescent="0.3">
      <c r="C75" s="209">
        <v>114</v>
      </c>
      <c r="D75" s="209" t="s">
        <v>340</v>
      </c>
      <c r="E75" s="209">
        <v>583</v>
      </c>
      <c r="F75" s="209" t="s">
        <v>359</v>
      </c>
      <c r="G75" s="209">
        <v>1152</v>
      </c>
      <c r="H75" s="209">
        <v>995</v>
      </c>
      <c r="I75" s="264" t="str">
        <f t="shared" si="13"/>
        <v>E1</v>
      </c>
      <c r="S75" s="262"/>
      <c r="T75" s="266"/>
      <c r="U75" s="266"/>
      <c r="V75" s="262"/>
      <c r="W75" s="233"/>
    </row>
    <row r="76" spans="2:23" x14ac:dyDescent="0.3">
      <c r="C76" s="209">
        <v>115</v>
      </c>
      <c r="D76" s="209" t="s">
        <v>342</v>
      </c>
      <c r="E76" s="209">
        <v>1127</v>
      </c>
      <c r="F76" s="209" t="s">
        <v>360</v>
      </c>
      <c r="G76" s="209">
        <v>1536</v>
      </c>
      <c r="H76" s="209">
        <v>1466</v>
      </c>
      <c r="I76" s="264" t="str">
        <f t="shared" si="13"/>
        <v>B1-L2</v>
      </c>
      <c r="S76" s="262"/>
      <c r="T76" s="266"/>
      <c r="U76" s="266"/>
      <c r="V76" s="262"/>
      <c r="W76" s="233"/>
    </row>
    <row r="77" spans="2:23" x14ac:dyDescent="0.3">
      <c r="C77" s="209">
        <v>116</v>
      </c>
      <c r="D77" s="209" t="s">
        <v>343</v>
      </c>
      <c r="E77" s="209">
        <v>583</v>
      </c>
      <c r="F77" s="209" t="s">
        <v>361</v>
      </c>
      <c r="G77" s="209">
        <v>1134</v>
      </c>
      <c r="H77" s="209">
        <v>1242</v>
      </c>
      <c r="I77" s="264" t="str">
        <f t="shared" si="13"/>
        <v>E1-L2</v>
      </c>
      <c r="S77" s="262"/>
      <c r="T77" s="266"/>
      <c r="U77" s="266"/>
      <c r="V77" s="262"/>
      <c r="W77" s="233"/>
    </row>
    <row r="78" spans="2:23" x14ac:dyDescent="0.3">
      <c r="C78" s="209">
        <v>201</v>
      </c>
      <c r="D78" s="209" t="s">
        <v>344</v>
      </c>
      <c r="E78" s="209">
        <v>825</v>
      </c>
      <c r="F78" s="209" t="s">
        <v>362</v>
      </c>
      <c r="G78" s="209">
        <v>1510</v>
      </c>
      <c r="H78" s="209">
        <v>1283</v>
      </c>
      <c r="I78" s="264" t="str">
        <f t="shared" si="13"/>
        <v>A1-L2</v>
      </c>
      <c r="S78" s="262"/>
      <c r="T78" s="266"/>
      <c r="U78" s="266"/>
      <c r="V78" s="262"/>
      <c r="W78" s="233"/>
    </row>
    <row r="79" spans="2:23" x14ac:dyDescent="0.3">
      <c r="C79" s="209">
        <v>202</v>
      </c>
      <c r="D79" s="209" t="s">
        <v>345</v>
      </c>
      <c r="E79" s="209">
        <v>825</v>
      </c>
      <c r="F79" s="209" t="s">
        <v>363</v>
      </c>
      <c r="G79" s="209">
        <v>1252</v>
      </c>
      <c r="H79" s="209">
        <v>1230</v>
      </c>
      <c r="I79" s="264" t="str">
        <f t="shared" si="13"/>
        <v>A1</v>
      </c>
      <c r="S79" s="262"/>
      <c r="T79" s="266"/>
      <c r="U79" s="266"/>
      <c r="V79" s="262"/>
      <c r="W79" s="233"/>
    </row>
    <row r="80" spans="2:23" x14ac:dyDescent="0.3">
      <c r="C80" s="209">
        <v>203</v>
      </c>
      <c r="D80" s="209" t="s">
        <v>345</v>
      </c>
      <c r="E80" s="209">
        <v>825</v>
      </c>
      <c r="F80" s="209" t="s">
        <v>364</v>
      </c>
      <c r="G80" s="209">
        <v>1212</v>
      </c>
      <c r="H80" s="209">
        <v>1203</v>
      </c>
      <c r="I80" s="264" t="str">
        <f t="shared" si="13"/>
        <v>A1</v>
      </c>
      <c r="S80" s="262"/>
      <c r="T80" s="266"/>
      <c r="U80" s="266"/>
      <c r="V80" s="262"/>
      <c r="W80" s="233"/>
    </row>
    <row r="81" spans="3:23" x14ac:dyDescent="0.3">
      <c r="C81" s="209">
        <v>204</v>
      </c>
      <c r="D81" s="209" t="s">
        <v>344</v>
      </c>
      <c r="E81" s="209">
        <v>825</v>
      </c>
      <c r="F81" s="209" t="s">
        <v>365</v>
      </c>
      <c r="G81" s="209">
        <v>1470</v>
      </c>
      <c r="H81" s="209">
        <v>1386</v>
      </c>
      <c r="I81" s="264" t="str">
        <f t="shared" si="13"/>
        <v>A1-L2</v>
      </c>
      <c r="S81" s="262"/>
      <c r="T81" s="266"/>
      <c r="U81" s="266"/>
      <c r="V81" s="262"/>
      <c r="W81" s="233"/>
    </row>
    <row r="82" spans="3:23" x14ac:dyDescent="0.3">
      <c r="C82" s="209">
        <v>205</v>
      </c>
      <c r="D82" s="209" t="s">
        <v>345</v>
      </c>
      <c r="E82" s="209">
        <v>825</v>
      </c>
      <c r="F82" s="209" t="s">
        <v>366</v>
      </c>
      <c r="G82" s="209">
        <v>1212</v>
      </c>
      <c r="H82" s="209">
        <v>1012</v>
      </c>
      <c r="I82" s="264" t="str">
        <f t="shared" si="13"/>
        <v>A1</v>
      </c>
      <c r="S82" s="262"/>
      <c r="T82" s="266"/>
      <c r="U82" s="266"/>
      <c r="V82" s="262"/>
      <c r="W82" s="233"/>
    </row>
    <row r="83" spans="3:23" x14ac:dyDescent="0.3">
      <c r="C83" s="209">
        <v>206</v>
      </c>
      <c r="D83" s="209" t="s">
        <v>344</v>
      </c>
      <c r="E83" s="209">
        <v>825</v>
      </c>
      <c r="F83" s="209" t="s">
        <v>367</v>
      </c>
      <c r="G83" s="209">
        <v>1455</v>
      </c>
      <c r="H83" s="209">
        <v>1350</v>
      </c>
      <c r="I83" s="264" t="str">
        <f t="shared" si="13"/>
        <v>A1-L2</v>
      </c>
      <c r="S83" s="262"/>
      <c r="T83" s="266"/>
      <c r="U83" s="266"/>
      <c r="V83" s="262"/>
      <c r="W83" s="233"/>
    </row>
    <row r="84" spans="3:23" x14ac:dyDescent="0.3">
      <c r="C84" s="209">
        <v>207</v>
      </c>
      <c r="D84" s="209" t="s">
        <v>344</v>
      </c>
      <c r="E84" s="209">
        <v>825</v>
      </c>
      <c r="F84" s="209" t="s">
        <v>368</v>
      </c>
      <c r="G84" s="209">
        <v>1445</v>
      </c>
      <c r="H84" s="209">
        <v>1297</v>
      </c>
      <c r="I84" s="264" t="str">
        <f t="shared" si="13"/>
        <v>A1-L2</v>
      </c>
      <c r="S84" s="262"/>
      <c r="T84" s="266"/>
      <c r="U84" s="266"/>
      <c r="V84" s="262"/>
      <c r="W84" s="233"/>
    </row>
    <row r="85" spans="3:23" x14ac:dyDescent="0.3">
      <c r="C85" s="209">
        <v>208</v>
      </c>
      <c r="D85" s="209" t="s">
        <v>344</v>
      </c>
      <c r="E85" s="209">
        <v>825</v>
      </c>
      <c r="F85" s="209" t="s">
        <v>369</v>
      </c>
      <c r="G85" s="209">
        <v>1431</v>
      </c>
      <c r="H85" s="209">
        <v>2645</v>
      </c>
      <c r="I85" s="264" t="str">
        <f t="shared" si="13"/>
        <v>A1-L2</v>
      </c>
      <c r="S85" s="262"/>
      <c r="T85" s="266"/>
      <c r="U85" s="266"/>
      <c r="V85" s="262"/>
      <c r="W85" s="233"/>
    </row>
    <row r="86" spans="3:23" x14ac:dyDescent="0.3">
      <c r="C86" s="209">
        <v>209</v>
      </c>
      <c r="D86" s="209" t="s">
        <v>345</v>
      </c>
      <c r="E86" s="209">
        <v>825</v>
      </c>
      <c r="F86" s="209" t="s">
        <v>370</v>
      </c>
      <c r="G86" s="209">
        <v>1216</v>
      </c>
      <c r="H86" s="209">
        <v>1193</v>
      </c>
      <c r="I86" s="264" t="str">
        <f t="shared" si="13"/>
        <v>A1</v>
      </c>
      <c r="S86" s="262"/>
      <c r="T86" s="266"/>
      <c r="U86" s="266"/>
      <c r="V86" s="262"/>
      <c r="W86" s="233"/>
    </row>
    <row r="87" spans="3:23" x14ac:dyDescent="0.3">
      <c r="C87" s="209">
        <v>210</v>
      </c>
      <c r="D87" s="209" t="s">
        <v>344</v>
      </c>
      <c r="E87" s="209">
        <v>825</v>
      </c>
      <c r="F87" s="209" t="s">
        <v>371</v>
      </c>
      <c r="G87" s="209">
        <v>1455</v>
      </c>
      <c r="H87" s="209">
        <v>1307</v>
      </c>
      <c r="I87" s="264" t="str">
        <f t="shared" si="13"/>
        <v>A1-L2</v>
      </c>
      <c r="S87" s="262"/>
      <c r="T87" s="266"/>
      <c r="U87" s="266"/>
      <c r="V87" s="262"/>
      <c r="W87" s="233"/>
    </row>
    <row r="88" spans="3:23" x14ac:dyDescent="0.3">
      <c r="C88" s="209">
        <v>211</v>
      </c>
      <c r="D88" s="209" t="s">
        <v>344</v>
      </c>
      <c r="E88" s="209">
        <v>825</v>
      </c>
      <c r="F88" s="209" t="s">
        <v>372</v>
      </c>
      <c r="G88" s="209">
        <v>1510</v>
      </c>
      <c r="H88" s="209">
        <v>1311</v>
      </c>
      <c r="I88" s="264" t="str">
        <f t="shared" si="13"/>
        <v>A1-L2</v>
      </c>
      <c r="S88" s="262"/>
      <c r="T88" s="266"/>
      <c r="U88" s="266"/>
      <c r="V88" s="262"/>
      <c r="W88" s="233"/>
    </row>
    <row r="89" spans="3:23" x14ac:dyDescent="0.3">
      <c r="C89" s="209">
        <v>212</v>
      </c>
      <c r="D89" s="209" t="s">
        <v>344</v>
      </c>
      <c r="E89" s="209">
        <v>825</v>
      </c>
      <c r="F89" s="209" t="s">
        <v>373</v>
      </c>
      <c r="G89" s="209">
        <v>1481</v>
      </c>
      <c r="H89" s="209">
        <v>1271</v>
      </c>
      <c r="I89" s="264" t="str">
        <f t="shared" si="13"/>
        <v>A1-L2</v>
      </c>
      <c r="S89" s="262"/>
      <c r="T89" s="266"/>
      <c r="U89" s="266"/>
      <c r="V89" s="262"/>
      <c r="W89" s="233"/>
    </row>
    <row r="90" spans="3:23" x14ac:dyDescent="0.3">
      <c r="C90" s="209">
        <v>213</v>
      </c>
      <c r="D90" s="209" t="s">
        <v>344</v>
      </c>
      <c r="E90" s="209">
        <v>825</v>
      </c>
      <c r="F90" s="209" t="s">
        <v>374</v>
      </c>
      <c r="G90" s="209">
        <v>1455</v>
      </c>
      <c r="H90" s="209">
        <v>1442</v>
      </c>
      <c r="I90" s="264" t="str">
        <f t="shared" si="13"/>
        <v>A1-L2</v>
      </c>
      <c r="S90" s="262"/>
      <c r="T90" s="266"/>
      <c r="U90" s="266"/>
      <c r="V90" s="262"/>
      <c r="W90" s="233"/>
    </row>
    <row r="91" spans="3:23" x14ac:dyDescent="0.3">
      <c r="C91" s="209">
        <v>214</v>
      </c>
      <c r="D91" s="209" t="s">
        <v>344</v>
      </c>
      <c r="E91" s="209">
        <v>825</v>
      </c>
      <c r="F91" s="209" t="s">
        <v>375</v>
      </c>
      <c r="G91" s="209">
        <v>1456</v>
      </c>
      <c r="H91" s="209">
        <v>1463</v>
      </c>
      <c r="I91" s="264" t="str">
        <f t="shared" si="13"/>
        <v>A1-L2</v>
      </c>
      <c r="S91" s="262"/>
      <c r="T91" s="266"/>
      <c r="U91" s="266"/>
      <c r="V91" s="262"/>
      <c r="W91" s="233"/>
    </row>
    <row r="92" spans="3:23" x14ac:dyDescent="0.3">
      <c r="C92" s="209">
        <v>215</v>
      </c>
      <c r="D92" s="209" t="s">
        <v>344</v>
      </c>
      <c r="E92" s="209">
        <v>825</v>
      </c>
      <c r="F92" s="209" t="s">
        <v>376</v>
      </c>
      <c r="G92" s="209">
        <v>1440</v>
      </c>
      <c r="H92" s="209">
        <v>1365</v>
      </c>
      <c r="I92" s="264" t="str">
        <f t="shared" si="13"/>
        <v>A1-L2</v>
      </c>
      <c r="S92" s="262"/>
      <c r="T92" s="266"/>
      <c r="U92" s="266"/>
      <c r="V92" s="262"/>
      <c r="W92" s="233"/>
    </row>
    <row r="93" spans="3:23" x14ac:dyDescent="0.3">
      <c r="C93" s="209">
        <v>216</v>
      </c>
      <c r="D93" s="209" t="s">
        <v>344</v>
      </c>
      <c r="E93" s="209">
        <v>825</v>
      </c>
      <c r="F93" s="209" t="s">
        <v>377</v>
      </c>
      <c r="G93" s="209">
        <v>1440</v>
      </c>
      <c r="H93" s="209">
        <v>1473</v>
      </c>
      <c r="I93" s="264" t="str">
        <f t="shared" si="13"/>
        <v>A1-L2</v>
      </c>
      <c r="S93" s="262"/>
      <c r="T93" s="266"/>
      <c r="U93" s="266"/>
      <c r="V93" s="262"/>
      <c r="W93" s="233"/>
    </row>
    <row r="94" spans="3:23" x14ac:dyDescent="0.3">
      <c r="C94" s="209">
        <v>217</v>
      </c>
      <c r="D94" s="209" t="s">
        <v>345</v>
      </c>
      <c r="E94" s="209">
        <v>825</v>
      </c>
      <c r="F94" s="209" t="s">
        <v>378</v>
      </c>
      <c r="G94" s="209">
        <v>1202</v>
      </c>
      <c r="H94" s="209">
        <v>1101</v>
      </c>
      <c r="I94" s="264" t="str">
        <f t="shared" si="13"/>
        <v>A1</v>
      </c>
      <c r="S94" s="262"/>
      <c r="T94" s="266"/>
      <c r="U94" s="266"/>
      <c r="V94" s="262"/>
      <c r="W94" s="233"/>
    </row>
    <row r="95" spans="3:23" x14ac:dyDescent="0.3">
      <c r="C95" s="209">
        <v>218</v>
      </c>
      <c r="D95" s="209" t="s">
        <v>345</v>
      </c>
      <c r="E95" s="209">
        <v>825</v>
      </c>
      <c r="F95" s="209" t="s">
        <v>379</v>
      </c>
      <c r="G95" s="209">
        <v>1202</v>
      </c>
      <c r="H95" s="209">
        <v>1147</v>
      </c>
      <c r="I95" s="264" t="str">
        <f t="shared" si="13"/>
        <v>A1</v>
      </c>
      <c r="S95" s="262"/>
      <c r="T95" s="266"/>
      <c r="U95" s="266"/>
      <c r="V95" s="262"/>
      <c r="W95" s="233"/>
    </row>
    <row r="96" spans="3:23" x14ac:dyDescent="0.3">
      <c r="C96" s="209">
        <v>219</v>
      </c>
      <c r="D96" s="209" t="s">
        <v>344</v>
      </c>
      <c r="E96" s="209">
        <v>825</v>
      </c>
      <c r="F96" s="209" t="s">
        <v>380</v>
      </c>
      <c r="G96" s="209">
        <v>1445</v>
      </c>
      <c r="H96" s="209">
        <v>1336</v>
      </c>
      <c r="I96" s="264" t="str">
        <f t="shared" si="13"/>
        <v>A1-L2</v>
      </c>
      <c r="S96" s="262"/>
      <c r="T96" s="266"/>
      <c r="U96" s="266"/>
      <c r="V96" s="262"/>
      <c r="W96" s="233"/>
    </row>
    <row r="97" spans="3:23" x14ac:dyDescent="0.3">
      <c r="C97" s="209">
        <v>220</v>
      </c>
      <c r="D97" s="209" t="s">
        <v>345</v>
      </c>
      <c r="E97" s="209">
        <v>825</v>
      </c>
      <c r="F97" s="209" t="s">
        <v>381</v>
      </c>
      <c r="G97" s="209">
        <v>1202</v>
      </c>
      <c r="H97" s="209">
        <v>1265</v>
      </c>
      <c r="I97" s="264" t="str">
        <f t="shared" si="13"/>
        <v>A1</v>
      </c>
      <c r="S97" s="262"/>
      <c r="T97" s="266"/>
      <c r="U97" s="266"/>
      <c r="V97" s="262"/>
      <c r="W97" s="233"/>
    </row>
    <row r="98" spans="3:23" x14ac:dyDescent="0.3">
      <c r="C98" s="209">
        <v>301</v>
      </c>
      <c r="D98" s="209" t="s">
        <v>344</v>
      </c>
      <c r="E98" s="209">
        <v>825</v>
      </c>
      <c r="F98" s="209" t="s">
        <v>382</v>
      </c>
      <c r="G98" s="209">
        <v>1555</v>
      </c>
      <c r="H98" s="209">
        <v>1491</v>
      </c>
      <c r="I98" s="264" t="str">
        <f t="shared" si="13"/>
        <v>A1-L2</v>
      </c>
      <c r="S98" s="262"/>
      <c r="T98" s="266"/>
      <c r="U98" s="266"/>
      <c r="V98" s="262"/>
      <c r="W98" s="233"/>
    </row>
    <row r="99" spans="3:23" x14ac:dyDescent="0.3">
      <c r="C99" s="209">
        <v>302</v>
      </c>
      <c r="D99" s="209" t="s">
        <v>345</v>
      </c>
      <c r="E99" s="209">
        <v>825</v>
      </c>
      <c r="F99" s="209" t="s">
        <v>383</v>
      </c>
      <c r="G99" s="209">
        <v>1197</v>
      </c>
      <c r="H99" s="209">
        <v>1237</v>
      </c>
      <c r="I99" s="264" t="str">
        <f t="shared" si="13"/>
        <v>A1</v>
      </c>
      <c r="S99" s="262"/>
      <c r="T99" s="266"/>
      <c r="U99" s="266"/>
      <c r="V99" s="262"/>
      <c r="W99" s="233"/>
    </row>
    <row r="100" spans="3:23" x14ac:dyDescent="0.3">
      <c r="C100" s="209">
        <v>303</v>
      </c>
      <c r="D100" s="209" t="s">
        <v>344</v>
      </c>
      <c r="E100" s="209">
        <v>825</v>
      </c>
      <c r="F100" s="209" t="s">
        <v>384</v>
      </c>
      <c r="G100" s="209">
        <v>1491</v>
      </c>
      <c r="H100" s="209">
        <v>1228</v>
      </c>
      <c r="I100" s="264" t="str">
        <f t="shared" si="13"/>
        <v>A1-L2</v>
      </c>
      <c r="S100" s="262"/>
      <c r="T100" s="266"/>
      <c r="U100" s="266"/>
      <c r="V100" s="262"/>
      <c r="W100" s="233"/>
    </row>
    <row r="101" spans="3:23" x14ac:dyDescent="0.3">
      <c r="C101" s="209">
        <v>304</v>
      </c>
      <c r="D101" s="209" t="s">
        <v>344</v>
      </c>
      <c r="E101" s="209">
        <v>825</v>
      </c>
      <c r="F101" s="209" t="s">
        <v>385</v>
      </c>
      <c r="G101" s="209">
        <v>1516</v>
      </c>
      <c r="H101" s="209">
        <v>1623</v>
      </c>
      <c r="I101" s="264" t="str">
        <f t="shared" si="13"/>
        <v>A1-L2</v>
      </c>
      <c r="S101" s="262"/>
      <c r="T101" s="266"/>
      <c r="U101" s="266"/>
      <c r="V101" s="262"/>
      <c r="W101" s="233"/>
    </row>
    <row r="102" spans="3:23" x14ac:dyDescent="0.3">
      <c r="C102" s="209">
        <v>305</v>
      </c>
      <c r="D102" s="209" t="s">
        <v>345</v>
      </c>
      <c r="E102" s="209">
        <v>825</v>
      </c>
      <c r="F102" s="209" t="s">
        <v>386</v>
      </c>
      <c r="G102" s="209">
        <v>1172</v>
      </c>
      <c r="H102" s="209">
        <v>1466</v>
      </c>
      <c r="I102" s="264" t="str">
        <f t="shared" si="13"/>
        <v>A1</v>
      </c>
      <c r="S102" s="262"/>
      <c r="T102" s="266"/>
      <c r="U102" s="266"/>
      <c r="V102" s="262"/>
      <c r="W102" s="233"/>
    </row>
    <row r="103" spans="3:23" x14ac:dyDescent="0.3">
      <c r="C103" s="209">
        <v>306</v>
      </c>
      <c r="D103" s="209" t="s">
        <v>344</v>
      </c>
      <c r="E103" s="209">
        <v>825</v>
      </c>
      <c r="F103" s="209" t="s">
        <v>387</v>
      </c>
      <c r="G103" s="209">
        <v>1415</v>
      </c>
      <c r="H103" s="209">
        <v>1507</v>
      </c>
      <c r="I103" s="264" t="str">
        <f t="shared" si="13"/>
        <v>A1-L2</v>
      </c>
      <c r="S103" s="262"/>
      <c r="T103" s="266"/>
      <c r="U103" s="266"/>
      <c r="V103" s="262"/>
      <c r="W103" s="233"/>
    </row>
    <row r="104" spans="3:23" x14ac:dyDescent="0.3">
      <c r="C104" s="209">
        <v>307</v>
      </c>
      <c r="D104" s="209" t="s">
        <v>344</v>
      </c>
      <c r="E104" s="209">
        <v>825</v>
      </c>
      <c r="F104" s="209" t="s">
        <v>388</v>
      </c>
      <c r="G104" s="209">
        <v>1450</v>
      </c>
      <c r="H104" s="209">
        <v>1240</v>
      </c>
      <c r="I104" s="264" t="str">
        <f t="shared" si="13"/>
        <v>A1-L2</v>
      </c>
      <c r="S104" s="262"/>
      <c r="T104" s="266"/>
      <c r="U104" s="266"/>
      <c r="V104" s="262"/>
      <c r="W104" s="233"/>
    </row>
    <row r="105" spans="3:23" x14ac:dyDescent="0.3">
      <c r="C105" s="209">
        <v>308</v>
      </c>
      <c r="D105" s="209" t="s">
        <v>345</v>
      </c>
      <c r="E105" s="209">
        <v>825</v>
      </c>
      <c r="F105" s="209" t="s">
        <v>389</v>
      </c>
      <c r="G105" s="209">
        <v>1172</v>
      </c>
      <c r="H105" s="209">
        <v>1215</v>
      </c>
      <c r="I105" s="264" t="str">
        <f t="shared" si="13"/>
        <v>A1</v>
      </c>
      <c r="S105" s="262"/>
      <c r="T105" s="266"/>
      <c r="U105" s="266"/>
      <c r="V105" s="262"/>
      <c r="W105" s="233"/>
    </row>
    <row r="106" spans="3:23" x14ac:dyDescent="0.3">
      <c r="C106" s="209">
        <v>309</v>
      </c>
      <c r="D106" s="209" t="s">
        <v>344</v>
      </c>
      <c r="E106" s="209">
        <v>825</v>
      </c>
      <c r="F106" s="209" t="s">
        <v>390</v>
      </c>
      <c r="G106" s="209">
        <v>1460</v>
      </c>
      <c r="H106" s="209">
        <v>1278</v>
      </c>
      <c r="I106" s="264" t="str">
        <f t="shared" si="13"/>
        <v>A1-L2</v>
      </c>
      <c r="S106" s="262"/>
      <c r="T106" s="266"/>
      <c r="U106" s="266"/>
      <c r="V106" s="262"/>
      <c r="W106" s="233"/>
    </row>
    <row r="107" spans="3:23" x14ac:dyDescent="0.3">
      <c r="C107" s="209">
        <v>310</v>
      </c>
      <c r="D107" s="209" t="s">
        <v>344</v>
      </c>
      <c r="E107" s="209">
        <v>825</v>
      </c>
      <c r="F107" s="209" t="s">
        <v>391</v>
      </c>
      <c r="G107" s="209">
        <v>1435</v>
      </c>
      <c r="H107" s="209">
        <v>1579</v>
      </c>
      <c r="I107" s="264" t="str">
        <f t="shared" si="13"/>
        <v>A1-L2</v>
      </c>
      <c r="S107" s="262"/>
      <c r="T107" s="266"/>
      <c r="U107" s="266"/>
      <c r="V107" s="262"/>
      <c r="W107" s="233"/>
    </row>
    <row r="108" spans="3:23" x14ac:dyDescent="0.3">
      <c r="C108" s="209">
        <v>311</v>
      </c>
      <c r="D108" s="209" t="s">
        <v>344</v>
      </c>
      <c r="E108" s="209">
        <v>825</v>
      </c>
      <c r="F108" s="209" t="s">
        <v>392</v>
      </c>
      <c r="G108" s="209">
        <v>1411</v>
      </c>
      <c r="H108" s="209">
        <v>1273</v>
      </c>
      <c r="I108" s="264" t="str">
        <f t="shared" si="13"/>
        <v>A1-L2</v>
      </c>
      <c r="S108" s="262"/>
      <c r="T108" s="266"/>
      <c r="U108" s="266"/>
      <c r="V108" s="262"/>
      <c r="W108" s="233"/>
    </row>
    <row r="109" spans="3:23" x14ac:dyDescent="0.3">
      <c r="C109" s="209">
        <v>312</v>
      </c>
      <c r="D109" s="209" t="s">
        <v>344</v>
      </c>
      <c r="E109" s="209">
        <v>825</v>
      </c>
      <c r="F109" s="209" t="s">
        <v>393</v>
      </c>
      <c r="G109" s="209">
        <v>1435</v>
      </c>
      <c r="H109" s="209">
        <v>1222</v>
      </c>
      <c r="I109" s="264" t="str">
        <f t="shared" si="13"/>
        <v>A1-L2</v>
      </c>
      <c r="S109" s="262"/>
      <c r="T109" s="266"/>
      <c r="U109" s="266"/>
      <c r="V109" s="262"/>
      <c r="W109" s="233"/>
    </row>
    <row r="110" spans="3:23" x14ac:dyDescent="0.3">
      <c r="C110" s="209">
        <v>313</v>
      </c>
      <c r="D110" s="209" t="s">
        <v>344</v>
      </c>
      <c r="E110" s="209">
        <v>825</v>
      </c>
      <c r="F110" s="209" t="s">
        <v>394</v>
      </c>
      <c r="G110" s="209">
        <v>1441</v>
      </c>
      <c r="H110" s="209">
        <v>1214</v>
      </c>
      <c r="I110" s="264" t="str">
        <f t="shared" si="13"/>
        <v>A1-L2</v>
      </c>
      <c r="S110" s="262"/>
      <c r="T110" s="266"/>
      <c r="U110" s="266"/>
      <c r="V110" s="262"/>
      <c r="W110" s="233"/>
    </row>
    <row r="111" spans="3:23" x14ac:dyDescent="0.3">
      <c r="C111" s="209">
        <v>314</v>
      </c>
      <c r="D111" s="209" t="s">
        <v>345</v>
      </c>
      <c r="E111" s="209">
        <v>825</v>
      </c>
      <c r="F111" s="209" t="s">
        <v>395</v>
      </c>
      <c r="G111" s="209">
        <v>1197</v>
      </c>
      <c r="H111" s="209">
        <v>1243</v>
      </c>
      <c r="I111" s="264" t="str">
        <f t="shared" si="13"/>
        <v>A1</v>
      </c>
      <c r="S111" s="262"/>
      <c r="T111" s="266"/>
      <c r="U111" s="266"/>
      <c r="V111" s="262"/>
      <c r="W111" s="233"/>
    </row>
    <row r="112" spans="3:23" x14ac:dyDescent="0.3">
      <c r="C112" s="209">
        <v>315</v>
      </c>
      <c r="D112" s="209" t="s">
        <v>344</v>
      </c>
      <c r="E112" s="209">
        <v>825</v>
      </c>
      <c r="F112" s="209"/>
      <c r="G112" s="209">
        <v>1530</v>
      </c>
      <c r="H112" s="209">
        <v>0</v>
      </c>
      <c r="I112" s="264" t="str">
        <f t="shared" si="13"/>
        <v/>
      </c>
      <c r="S112" s="262"/>
      <c r="T112" s="266"/>
      <c r="U112" s="266"/>
      <c r="V112" s="262"/>
      <c r="W112" s="233"/>
    </row>
    <row r="113" spans="3:23" x14ac:dyDescent="0.3">
      <c r="C113" s="209">
        <v>316</v>
      </c>
      <c r="D113" s="209" t="s">
        <v>344</v>
      </c>
      <c r="E113" s="209">
        <v>825</v>
      </c>
      <c r="F113" s="209" t="s">
        <v>396</v>
      </c>
      <c r="G113" s="209">
        <v>1516</v>
      </c>
      <c r="H113" s="209">
        <v>1557</v>
      </c>
      <c r="I113" s="264" t="str">
        <f t="shared" si="13"/>
        <v>A1-L2</v>
      </c>
      <c r="S113" s="262"/>
      <c r="T113" s="266"/>
      <c r="U113" s="266"/>
      <c r="V113" s="262"/>
      <c r="W113" s="233"/>
    </row>
    <row r="114" spans="3:23" x14ac:dyDescent="0.3">
      <c r="C114" s="209">
        <v>317</v>
      </c>
      <c r="D114" s="209" t="s">
        <v>345</v>
      </c>
      <c r="E114" s="209">
        <v>825</v>
      </c>
      <c r="F114" s="209"/>
      <c r="G114" s="209">
        <v>1186</v>
      </c>
      <c r="H114" s="209">
        <v>0</v>
      </c>
      <c r="I114" s="264" t="str">
        <f t="shared" si="13"/>
        <v/>
      </c>
      <c r="S114" s="262"/>
      <c r="T114" s="266"/>
      <c r="U114" s="266"/>
      <c r="V114" s="262"/>
      <c r="W114" s="233"/>
    </row>
    <row r="115" spans="3:23" x14ac:dyDescent="0.3">
      <c r="C115" s="209">
        <v>318</v>
      </c>
      <c r="D115" s="209" t="s">
        <v>344</v>
      </c>
      <c r="E115" s="209">
        <v>825</v>
      </c>
      <c r="F115" s="209" t="s">
        <v>397</v>
      </c>
      <c r="G115" s="209">
        <v>1415</v>
      </c>
      <c r="H115" s="209">
        <v>1252</v>
      </c>
      <c r="I115" s="264" t="str">
        <f t="shared" si="13"/>
        <v>A1-L2</v>
      </c>
      <c r="S115" s="262"/>
      <c r="T115" s="266"/>
      <c r="U115" s="266"/>
      <c r="V115" s="262"/>
      <c r="W115" s="233"/>
    </row>
    <row r="116" spans="3:23" x14ac:dyDescent="0.3">
      <c r="C116" s="209">
        <v>319</v>
      </c>
      <c r="D116" s="209" t="s">
        <v>344</v>
      </c>
      <c r="E116" s="209">
        <v>825</v>
      </c>
      <c r="F116" s="209" t="s">
        <v>398</v>
      </c>
      <c r="G116" s="209">
        <v>1415</v>
      </c>
      <c r="H116" s="209">
        <v>1208</v>
      </c>
      <c r="I116" s="264" t="str">
        <f t="shared" si="13"/>
        <v>A1-L2</v>
      </c>
      <c r="S116" s="262"/>
      <c r="T116" s="266"/>
      <c r="U116" s="266"/>
      <c r="V116" s="262"/>
      <c r="W116" s="233"/>
    </row>
    <row r="117" spans="3:23" x14ac:dyDescent="0.3">
      <c r="C117" s="209">
        <v>320</v>
      </c>
      <c r="D117" s="209" t="s">
        <v>344</v>
      </c>
      <c r="E117" s="209">
        <v>825</v>
      </c>
      <c r="F117" s="209" t="s">
        <v>399</v>
      </c>
      <c r="G117" s="209">
        <v>1415</v>
      </c>
      <c r="H117" s="209">
        <v>1266</v>
      </c>
      <c r="I117" s="264" t="str">
        <f t="shared" si="13"/>
        <v>A1-L2</v>
      </c>
      <c r="S117" s="262"/>
      <c r="T117" s="266"/>
      <c r="U117" s="266"/>
      <c r="V117" s="262"/>
      <c r="W117" s="233"/>
    </row>
    <row r="118" spans="3:23" x14ac:dyDescent="0.3">
      <c r="C118" s="209">
        <v>321</v>
      </c>
      <c r="D118" s="209" t="s">
        <v>344</v>
      </c>
      <c r="E118" s="209">
        <v>825</v>
      </c>
      <c r="F118" s="209" t="s">
        <v>400</v>
      </c>
      <c r="G118" s="209">
        <v>1435</v>
      </c>
      <c r="H118" s="209">
        <v>1206</v>
      </c>
      <c r="I118" s="264" t="str">
        <f t="shared" si="13"/>
        <v>A1-L2</v>
      </c>
      <c r="S118" s="262"/>
      <c r="T118" s="266"/>
      <c r="U118" s="266"/>
      <c r="V118" s="262"/>
      <c r="W118" s="233"/>
    </row>
    <row r="119" spans="3:23" x14ac:dyDescent="0.3">
      <c r="C119" s="209">
        <v>322</v>
      </c>
      <c r="D119" s="209" t="s">
        <v>344</v>
      </c>
      <c r="E119" s="209">
        <v>825</v>
      </c>
      <c r="F119" s="209" t="s">
        <v>401</v>
      </c>
      <c r="G119" s="209">
        <v>1435</v>
      </c>
      <c r="H119" s="209">
        <v>1472</v>
      </c>
      <c r="I119" s="264" t="str">
        <f t="shared" si="13"/>
        <v>A1-L2</v>
      </c>
      <c r="S119" s="262"/>
      <c r="T119" s="266"/>
      <c r="U119" s="266"/>
      <c r="V119" s="262"/>
      <c r="W119" s="233"/>
    </row>
    <row r="120" spans="3:23" x14ac:dyDescent="0.3">
      <c r="C120" s="209">
        <v>323</v>
      </c>
      <c r="D120" s="209" t="s">
        <v>345</v>
      </c>
      <c r="E120" s="209">
        <v>825</v>
      </c>
      <c r="F120" s="209" t="s">
        <v>402</v>
      </c>
      <c r="G120" s="209">
        <v>1192</v>
      </c>
      <c r="H120" s="209">
        <v>1230</v>
      </c>
      <c r="I120" s="264" t="str">
        <f t="shared" si="13"/>
        <v>A1</v>
      </c>
      <c r="S120" s="262"/>
      <c r="T120" s="266"/>
      <c r="U120" s="266"/>
      <c r="V120" s="262"/>
      <c r="W120" s="233"/>
    </row>
    <row r="121" spans="3:23" x14ac:dyDescent="0.3">
      <c r="C121" s="209">
        <v>324</v>
      </c>
      <c r="D121" s="209" t="s">
        <v>345</v>
      </c>
      <c r="E121" s="209">
        <v>825</v>
      </c>
      <c r="F121" s="209"/>
      <c r="G121" s="209">
        <v>1192</v>
      </c>
      <c r="H121" s="209">
        <v>0</v>
      </c>
      <c r="I121" s="264" t="str">
        <f t="shared" si="13"/>
        <v/>
      </c>
      <c r="S121" s="262"/>
      <c r="T121" s="266"/>
      <c r="U121" s="266"/>
      <c r="V121" s="262"/>
      <c r="W121" s="233"/>
    </row>
    <row r="122" spans="3:23" x14ac:dyDescent="0.3">
      <c r="C122" s="209">
        <v>401</v>
      </c>
      <c r="D122" s="209" t="s">
        <v>346</v>
      </c>
      <c r="E122" s="209">
        <v>1380</v>
      </c>
      <c r="F122" s="209" t="s">
        <v>403</v>
      </c>
      <c r="G122" s="209">
        <v>1585</v>
      </c>
      <c r="H122" s="209">
        <v>1591</v>
      </c>
      <c r="I122" s="264" t="str">
        <f t="shared" si="13"/>
        <v>C1</v>
      </c>
      <c r="S122" s="262"/>
      <c r="T122" s="266"/>
      <c r="U122" s="266"/>
      <c r="V122" s="262"/>
      <c r="W122" s="233"/>
    </row>
    <row r="123" spans="3:23" x14ac:dyDescent="0.3">
      <c r="C123" s="209">
        <v>402</v>
      </c>
      <c r="D123" s="209" t="s">
        <v>342</v>
      </c>
      <c r="E123" s="209">
        <v>1127</v>
      </c>
      <c r="F123" s="209" t="s">
        <v>404</v>
      </c>
      <c r="G123" s="209">
        <v>1575</v>
      </c>
      <c r="H123" s="209">
        <v>1526</v>
      </c>
      <c r="I123" s="264" t="str">
        <f t="shared" si="13"/>
        <v>B1-L2</v>
      </c>
      <c r="S123" s="262"/>
      <c r="T123" s="266"/>
      <c r="U123" s="266"/>
      <c r="V123" s="262"/>
      <c r="W123" s="233"/>
    </row>
    <row r="124" spans="3:23" x14ac:dyDescent="0.3">
      <c r="C124" s="209">
        <v>403</v>
      </c>
      <c r="D124" s="209" t="s">
        <v>347</v>
      </c>
      <c r="E124" s="209">
        <v>1380</v>
      </c>
      <c r="F124" s="209" t="s">
        <v>405</v>
      </c>
      <c r="G124" s="209">
        <v>1720</v>
      </c>
      <c r="H124" s="209">
        <v>1696</v>
      </c>
      <c r="I124" s="264" t="str">
        <f t="shared" si="13"/>
        <v>C1-L2</v>
      </c>
      <c r="S124" s="262"/>
      <c r="T124" s="266"/>
      <c r="U124" s="266"/>
      <c r="V124" s="262"/>
      <c r="W124" s="233"/>
    </row>
    <row r="125" spans="3:23" x14ac:dyDescent="0.3">
      <c r="C125" s="209">
        <v>404</v>
      </c>
      <c r="D125" s="209" t="s">
        <v>342</v>
      </c>
      <c r="E125" s="209">
        <v>1127</v>
      </c>
      <c r="F125" s="209" t="s">
        <v>406</v>
      </c>
      <c r="G125" s="209">
        <v>1550</v>
      </c>
      <c r="H125" s="209">
        <v>1377</v>
      </c>
      <c r="I125" s="264" t="str">
        <f t="shared" si="13"/>
        <v>B1-L2</v>
      </c>
      <c r="S125" s="262"/>
      <c r="T125" s="266"/>
      <c r="U125" s="266"/>
      <c r="V125" s="262"/>
      <c r="W125" s="233"/>
    </row>
    <row r="126" spans="3:23" x14ac:dyDescent="0.3">
      <c r="C126" s="209">
        <v>405</v>
      </c>
      <c r="D126" s="209" t="s">
        <v>346</v>
      </c>
      <c r="E126" s="209">
        <v>1380</v>
      </c>
      <c r="F126" s="209" t="s">
        <v>407</v>
      </c>
      <c r="G126" s="209">
        <v>1481</v>
      </c>
      <c r="H126" s="209">
        <v>1585</v>
      </c>
      <c r="I126" s="264" t="str">
        <f t="shared" ref="I126:I189" si="14">IF(H126=0,"",D126)</f>
        <v>C1</v>
      </c>
      <c r="S126" s="262"/>
      <c r="T126" s="266"/>
      <c r="U126" s="266"/>
      <c r="V126" s="262"/>
      <c r="W126" s="233"/>
    </row>
    <row r="127" spans="3:23" x14ac:dyDescent="0.3">
      <c r="C127" s="209">
        <v>406</v>
      </c>
      <c r="D127" s="209" t="s">
        <v>342</v>
      </c>
      <c r="E127" s="209">
        <v>1127</v>
      </c>
      <c r="F127" s="209" t="s">
        <v>408</v>
      </c>
      <c r="G127" s="209">
        <v>1550</v>
      </c>
      <c r="H127" s="209">
        <v>1616</v>
      </c>
      <c r="I127" s="264" t="str">
        <f t="shared" si="14"/>
        <v>B1-L2</v>
      </c>
      <c r="S127" s="262"/>
      <c r="T127" s="266"/>
      <c r="U127" s="266"/>
      <c r="V127" s="262"/>
      <c r="W127" s="233"/>
    </row>
    <row r="128" spans="3:23" x14ac:dyDescent="0.3">
      <c r="C128" s="209">
        <v>407</v>
      </c>
      <c r="D128" s="209" t="s">
        <v>346</v>
      </c>
      <c r="E128" s="209">
        <v>1380</v>
      </c>
      <c r="F128" s="209" t="s">
        <v>409</v>
      </c>
      <c r="G128" s="209">
        <v>1486</v>
      </c>
      <c r="H128" s="209">
        <v>1457</v>
      </c>
      <c r="I128" s="264" t="str">
        <f t="shared" si="14"/>
        <v>C1</v>
      </c>
      <c r="S128" s="262"/>
      <c r="T128" s="266"/>
      <c r="U128" s="266"/>
      <c r="V128" s="262"/>
      <c r="W128" s="233"/>
    </row>
    <row r="129" spans="3:23" x14ac:dyDescent="0.3">
      <c r="C129" s="209">
        <v>408</v>
      </c>
      <c r="D129" s="209" t="s">
        <v>342</v>
      </c>
      <c r="E129" s="209">
        <v>1127</v>
      </c>
      <c r="F129" s="209" t="s">
        <v>410</v>
      </c>
      <c r="G129" s="209">
        <v>1540</v>
      </c>
      <c r="H129" s="209">
        <v>1337</v>
      </c>
      <c r="I129" s="264" t="str">
        <f t="shared" si="14"/>
        <v>B1-L2</v>
      </c>
      <c r="S129" s="262"/>
      <c r="T129" s="266"/>
      <c r="U129" s="266"/>
      <c r="V129" s="262"/>
      <c r="W129" s="233"/>
    </row>
    <row r="130" spans="3:23" x14ac:dyDescent="0.3">
      <c r="C130" s="209">
        <v>409</v>
      </c>
      <c r="D130" s="209" t="s">
        <v>347</v>
      </c>
      <c r="E130" s="209">
        <v>1380</v>
      </c>
      <c r="F130" s="209" t="s">
        <v>411</v>
      </c>
      <c r="G130" s="209">
        <v>1710</v>
      </c>
      <c r="H130" s="209">
        <v>1606</v>
      </c>
      <c r="I130" s="264" t="str">
        <f t="shared" si="14"/>
        <v>C1-L2</v>
      </c>
      <c r="S130" s="262"/>
      <c r="T130" s="266"/>
      <c r="U130" s="266"/>
      <c r="V130" s="262"/>
      <c r="W130" s="233"/>
    </row>
    <row r="131" spans="3:23" x14ac:dyDescent="0.3">
      <c r="C131" s="209">
        <v>410</v>
      </c>
      <c r="D131" s="209" t="s">
        <v>341</v>
      </c>
      <c r="E131" s="209">
        <v>1127</v>
      </c>
      <c r="F131" s="209" t="s">
        <v>412</v>
      </c>
      <c r="G131" s="209">
        <v>1306</v>
      </c>
      <c r="H131" s="209">
        <v>1366</v>
      </c>
      <c r="I131" s="264" t="str">
        <f t="shared" si="14"/>
        <v>B1</v>
      </c>
      <c r="S131" s="262"/>
      <c r="T131" s="266"/>
      <c r="U131" s="266"/>
      <c r="V131" s="262"/>
      <c r="W131" s="233"/>
    </row>
    <row r="132" spans="3:23" x14ac:dyDescent="0.3">
      <c r="C132" s="209">
        <v>411</v>
      </c>
      <c r="D132" s="209" t="s">
        <v>342</v>
      </c>
      <c r="E132" s="209">
        <v>1127</v>
      </c>
      <c r="F132" s="209"/>
      <c r="G132" s="209">
        <v>1590</v>
      </c>
      <c r="H132" s="209">
        <v>0</v>
      </c>
      <c r="I132" s="264" t="str">
        <f t="shared" si="14"/>
        <v/>
      </c>
      <c r="S132" s="262"/>
      <c r="T132" s="266"/>
      <c r="U132" s="266"/>
      <c r="V132" s="262"/>
      <c r="W132" s="233"/>
    </row>
    <row r="133" spans="3:23" x14ac:dyDescent="0.3">
      <c r="C133" s="209">
        <v>412</v>
      </c>
      <c r="D133" s="209" t="s">
        <v>347</v>
      </c>
      <c r="E133" s="209">
        <v>1380</v>
      </c>
      <c r="F133" s="209" t="s">
        <v>413</v>
      </c>
      <c r="G133" s="209">
        <v>1745</v>
      </c>
      <c r="H133" s="209">
        <v>1899</v>
      </c>
      <c r="I133" s="264" t="str">
        <f t="shared" si="14"/>
        <v>C1-L2</v>
      </c>
      <c r="S133" s="262"/>
      <c r="T133" s="266"/>
      <c r="U133" s="266"/>
      <c r="V133" s="262"/>
      <c r="W133" s="233"/>
    </row>
    <row r="134" spans="3:23" x14ac:dyDescent="0.3">
      <c r="C134" s="209">
        <v>413</v>
      </c>
      <c r="D134" s="209" t="s">
        <v>341</v>
      </c>
      <c r="E134" s="209">
        <v>1127</v>
      </c>
      <c r="F134" s="209" t="s">
        <v>414</v>
      </c>
      <c r="G134" s="209">
        <v>1315</v>
      </c>
      <c r="H134" s="209">
        <v>1323</v>
      </c>
      <c r="I134" s="264" t="str">
        <f t="shared" si="14"/>
        <v>B1</v>
      </c>
      <c r="S134" s="262"/>
      <c r="T134" s="266"/>
      <c r="U134" s="266"/>
      <c r="V134" s="262"/>
      <c r="W134" s="233"/>
    </row>
    <row r="135" spans="3:23" x14ac:dyDescent="0.3">
      <c r="C135" s="209">
        <v>414</v>
      </c>
      <c r="D135" s="209" t="s">
        <v>347</v>
      </c>
      <c r="E135" s="209">
        <v>1380</v>
      </c>
      <c r="F135" s="209" t="s">
        <v>415</v>
      </c>
      <c r="G135" s="209">
        <v>1720</v>
      </c>
      <c r="H135" s="209">
        <v>1645</v>
      </c>
      <c r="I135" s="264" t="str">
        <f t="shared" si="14"/>
        <v>C1-L2</v>
      </c>
      <c r="S135" s="262"/>
      <c r="T135" s="266"/>
      <c r="U135" s="266"/>
      <c r="V135" s="262"/>
      <c r="W135" s="233"/>
    </row>
    <row r="136" spans="3:23" x14ac:dyDescent="0.3">
      <c r="C136" s="209">
        <v>415</v>
      </c>
      <c r="D136" s="209" t="s">
        <v>342</v>
      </c>
      <c r="E136" s="209">
        <v>1127</v>
      </c>
      <c r="F136" s="209" t="s">
        <v>416</v>
      </c>
      <c r="G136" s="209">
        <v>1536</v>
      </c>
      <c r="H136" s="209">
        <v>1321</v>
      </c>
      <c r="I136" s="264" t="str">
        <f t="shared" si="14"/>
        <v>B1-L2</v>
      </c>
      <c r="S136" s="262"/>
      <c r="T136" s="266"/>
      <c r="U136" s="266"/>
      <c r="V136" s="262"/>
      <c r="W136" s="233"/>
    </row>
    <row r="137" spans="3:23" x14ac:dyDescent="0.3">
      <c r="C137" s="209">
        <v>416</v>
      </c>
      <c r="D137" s="209" t="s">
        <v>347</v>
      </c>
      <c r="E137" s="209">
        <v>1380</v>
      </c>
      <c r="F137" s="209" t="s">
        <v>417</v>
      </c>
      <c r="G137" s="209">
        <v>1691</v>
      </c>
      <c r="H137" s="209">
        <v>1717</v>
      </c>
      <c r="I137" s="264" t="str">
        <f t="shared" si="14"/>
        <v>C1-L2</v>
      </c>
      <c r="S137" s="262"/>
      <c r="T137" s="266"/>
      <c r="U137" s="266"/>
      <c r="V137" s="262"/>
      <c r="W137" s="233"/>
    </row>
    <row r="138" spans="3:23" x14ac:dyDescent="0.3">
      <c r="C138" s="209">
        <v>417</v>
      </c>
      <c r="D138" s="209" t="s">
        <v>342</v>
      </c>
      <c r="E138" s="209">
        <v>1127</v>
      </c>
      <c r="F138" s="209" t="s">
        <v>418</v>
      </c>
      <c r="G138" s="209">
        <v>1540</v>
      </c>
      <c r="H138" s="209">
        <v>1645</v>
      </c>
      <c r="I138" s="264" t="str">
        <f t="shared" si="14"/>
        <v>B1-L2</v>
      </c>
      <c r="S138" s="262"/>
      <c r="T138" s="266"/>
      <c r="U138" s="266"/>
      <c r="V138" s="262"/>
      <c r="W138" s="233"/>
    </row>
    <row r="139" spans="3:23" x14ac:dyDescent="0.3">
      <c r="C139" s="209">
        <v>418</v>
      </c>
      <c r="D139" s="209" t="s">
        <v>347</v>
      </c>
      <c r="E139" s="209">
        <v>1380</v>
      </c>
      <c r="F139" s="209" t="s">
        <v>419</v>
      </c>
      <c r="G139" s="209">
        <v>1760</v>
      </c>
      <c r="H139" s="209">
        <v>1841</v>
      </c>
      <c r="I139" s="264" t="str">
        <f t="shared" si="14"/>
        <v>C1-L2</v>
      </c>
      <c r="S139" s="262"/>
      <c r="T139" s="266"/>
      <c r="U139" s="266"/>
      <c r="V139" s="262"/>
      <c r="W139" s="233"/>
    </row>
    <row r="140" spans="3:23" x14ac:dyDescent="0.3">
      <c r="C140" s="209">
        <v>419</v>
      </c>
      <c r="D140" s="209" t="s">
        <v>342</v>
      </c>
      <c r="E140" s="209">
        <v>1127</v>
      </c>
      <c r="F140" s="209" t="s">
        <v>420</v>
      </c>
      <c r="G140" s="209">
        <v>1555</v>
      </c>
      <c r="H140" s="209">
        <v>1659</v>
      </c>
      <c r="I140" s="264" t="str">
        <f t="shared" si="14"/>
        <v>B1-L2</v>
      </c>
      <c r="S140" s="262"/>
      <c r="T140" s="266"/>
      <c r="U140" s="266"/>
      <c r="V140" s="262"/>
      <c r="W140" s="233"/>
    </row>
    <row r="141" spans="3:23" x14ac:dyDescent="0.3">
      <c r="C141" s="209">
        <v>420</v>
      </c>
      <c r="D141" s="209" t="s">
        <v>347</v>
      </c>
      <c r="E141" s="209">
        <v>1380</v>
      </c>
      <c r="F141" s="209" t="s">
        <v>421</v>
      </c>
      <c r="G141" s="209">
        <v>1710</v>
      </c>
      <c r="H141" s="209">
        <v>1895</v>
      </c>
      <c r="I141" s="264" t="str">
        <f t="shared" si="14"/>
        <v>C1-L2</v>
      </c>
      <c r="S141" s="262"/>
      <c r="T141" s="266"/>
      <c r="U141" s="266"/>
      <c r="V141" s="262"/>
      <c r="W141" s="233"/>
    </row>
    <row r="142" spans="3:23" x14ac:dyDescent="0.3">
      <c r="C142" s="209">
        <v>501</v>
      </c>
      <c r="D142" s="209" t="s">
        <v>342</v>
      </c>
      <c r="E142" s="209">
        <v>1127</v>
      </c>
      <c r="F142" s="209"/>
      <c r="G142" s="209">
        <v>1500</v>
      </c>
      <c r="H142" s="209">
        <v>0</v>
      </c>
      <c r="I142" s="264" t="str">
        <f t="shared" si="14"/>
        <v/>
      </c>
      <c r="S142" s="262"/>
      <c r="T142" s="266"/>
      <c r="U142" s="266"/>
      <c r="V142" s="262"/>
      <c r="W142" s="233"/>
    </row>
    <row r="143" spans="3:23" x14ac:dyDescent="0.3">
      <c r="C143" s="209">
        <v>502</v>
      </c>
      <c r="D143" s="209" t="s">
        <v>341</v>
      </c>
      <c r="E143" s="209">
        <v>1127</v>
      </c>
      <c r="F143" s="209" t="s">
        <v>422</v>
      </c>
      <c r="G143" s="209">
        <v>1266</v>
      </c>
      <c r="H143" s="209">
        <v>1011</v>
      </c>
      <c r="I143" s="264" t="str">
        <f t="shared" si="14"/>
        <v>B1</v>
      </c>
      <c r="S143" s="262"/>
      <c r="T143" s="266"/>
      <c r="U143" s="266"/>
      <c r="V143" s="262"/>
      <c r="W143" s="233"/>
    </row>
    <row r="144" spans="3:23" x14ac:dyDescent="0.3">
      <c r="C144" s="209">
        <v>503</v>
      </c>
      <c r="D144" s="209" t="s">
        <v>342</v>
      </c>
      <c r="E144" s="209">
        <v>1127</v>
      </c>
      <c r="F144" s="209" t="s">
        <v>423</v>
      </c>
      <c r="G144" s="209">
        <v>1535</v>
      </c>
      <c r="H144" s="209">
        <v>1495</v>
      </c>
      <c r="I144" s="264" t="str">
        <f t="shared" si="14"/>
        <v>B1-L2</v>
      </c>
      <c r="S144" s="262"/>
      <c r="T144" s="266"/>
      <c r="U144" s="266"/>
      <c r="V144" s="262"/>
      <c r="W144" s="233"/>
    </row>
    <row r="145" spans="3:23" x14ac:dyDescent="0.3">
      <c r="C145" s="209">
        <v>504</v>
      </c>
      <c r="D145" s="209" t="s">
        <v>341</v>
      </c>
      <c r="E145" s="209">
        <v>1127</v>
      </c>
      <c r="F145" s="209" t="s">
        <v>424</v>
      </c>
      <c r="G145" s="209">
        <v>1306</v>
      </c>
      <c r="H145" s="209">
        <v>1218</v>
      </c>
      <c r="I145" s="264" t="str">
        <f t="shared" si="14"/>
        <v>B1</v>
      </c>
      <c r="S145" s="262"/>
      <c r="T145" s="266"/>
      <c r="U145" s="266"/>
      <c r="V145" s="262"/>
      <c r="W145" s="233"/>
    </row>
    <row r="146" spans="3:23" x14ac:dyDescent="0.3">
      <c r="C146" s="209">
        <v>505</v>
      </c>
      <c r="D146" s="209" t="s">
        <v>342</v>
      </c>
      <c r="E146" s="209">
        <v>1127</v>
      </c>
      <c r="F146" s="209" t="s">
        <v>425</v>
      </c>
      <c r="G146" s="209">
        <v>1626</v>
      </c>
      <c r="H146" s="209">
        <v>1681</v>
      </c>
      <c r="I146" s="264" t="str">
        <f t="shared" si="14"/>
        <v>B1-L2</v>
      </c>
      <c r="S146" s="262"/>
      <c r="T146" s="266"/>
      <c r="U146" s="266"/>
      <c r="V146" s="262"/>
      <c r="W146" s="233"/>
    </row>
    <row r="147" spans="3:23" x14ac:dyDescent="0.3">
      <c r="C147" s="209">
        <v>506</v>
      </c>
      <c r="D147" s="209" t="s">
        <v>341</v>
      </c>
      <c r="E147" s="209">
        <v>1127</v>
      </c>
      <c r="F147" s="209" t="s">
        <v>426</v>
      </c>
      <c r="G147" s="209">
        <v>1391</v>
      </c>
      <c r="H147" s="209">
        <v>1455</v>
      </c>
      <c r="I147" s="264" t="str">
        <f t="shared" si="14"/>
        <v>B1</v>
      </c>
      <c r="S147" s="262"/>
      <c r="T147" s="266"/>
      <c r="U147" s="266"/>
      <c r="V147" s="262"/>
      <c r="W147" s="233"/>
    </row>
    <row r="148" spans="3:23" x14ac:dyDescent="0.3">
      <c r="C148" s="209">
        <v>507</v>
      </c>
      <c r="D148" s="209" t="s">
        <v>341</v>
      </c>
      <c r="E148" s="209">
        <v>1127</v>
      </c>
      <c r="F148" s="209" t="s">
        <v>427</v>
      </c>
      <c r="G148" s="209">
        <v>1305</v>
      </c>
      <c r="H148" s="209">
        <v>1139</v>
      </c>
      <c r="I148" s="264" t="str">
        <f t="shared" si="14"/>
        <v>B1</v>
      </c>
      <c r="S148" s="262"/>
      <c r="T148" s="266"/>
      <c r="U148" s="266"/>
      <c r="V148" s="262"/>
      <c r="W148" s="233"/>
    </row>
    <row r="149" spans="3:23" x14ac:dyDescent="0.3">
      <c r="C149" s="209">
        <v>508</v>
      </c>
      <c r="D149" s="209" t="s">
        <v>342</v>
      </c>
      <c r="E149" s="209">
        <v>1127</v>
      </c>
      <c r="F149" s="209" t="s">
        <v>428</v>
      </c>
      <c r="G149" s="209">
        <v>1540</v>
      </c>
      <c r="H149" s="209">
        <v>1612</v>
      </c>
      <c r="I149" s="264" t="str">
        <f t="shared" si="14"/>
        <v>B1-L2</v>
      </c>
      <c r="S149" s="262"/>
      <c r="T149" s="266"/>
      <c r="U149" s="266"/>
      <c r="V149" s="262"/>
      <c r="W149" s="233"/>
    </row>
    <row r="150" spans="3:23" x14ac:dyDescent="0.3">
      <c r="C150" s="209">
        <v>509</v>
      </c>
      <c r="D150" s="209" t="s">
        <v>341</v>
      </c>
      <c r="E150" s="209">
        <v>1127</v>
      </c>
      <c r="F150" s="209" t="s">
        <v>429</v>
      </c>
      <c r="G150" s="209">
        <v>1291</v>
      </c>
      <c r="H150" s="209">
        <v>1102</v>
      </c>
      <c r="I150" s="264" t="str">
        <f t="shared" si="14"/>
        <v>B1</v>
      </c>
      <c r="S150" s="262"/>
      <c r="T150" s="266"/>
      <c r="U150" s="266"/>
      <c r="V150" s="262"/>
      <c r="W150" s="233"/>
    </row>
    <row r="151" spans="3:23" x14ac:dyDescent="0.3">
      <c r="C151" s="209">
        <v>510</v>
      </c>
      <c r="D151" s="209" t="s">
        <v>342</v>
      </c>
      <c r="E151" s="209">
        <v>1127</v>
      </c>
      <c r="F151" s="209" t="s">
        <v>430</v>
      </c>
      <c r="G151" s="209">
        <v>1535</v>
      </c>
      <c r="H151" s="209">
        <v>1513</v>
      </c>
      <c r="I151" s="264" t="str">
        <f t="shared" si="14"/>
        <v>B1-L2</v>
      </c>
      <c r="S151" s="262"/>
      <c r="T151" s="266"/>
      <c r="U151" s="266"/>
      <c r="V151" s="262"/>
      <c r="W151" s="233"/>
    </row>
    <row r="152" spans="3:23" x14ac:dyDescent="0.3">
      <c r="C152" s="209">
        <v>511</v>
      </c>
      <c r="D152" s="209" t="s">
        <v>342</v>
      </c>
      <c r="E152" s="209">
        <v>1127</v>
      </c>
      <c r="F152" s="209" t="s">
        <v>431</v>
      </c>
      <c r="G152" s="209">
        <v>1501</v>
      </c>
      <c r="H152" s="209">
        <v>1295</v>
      </c>
      <c r="I152" s="264" t="str">
        <f t="shared" si="14"/>
        <v>B1-L2</v>
      </c>
    </row>
    <row r="153" spans="3:23" x14ac:dyDescent="0.3">
      <c r="C153" s="209">
        <v>512</v>
      </c>
      <c r="D153" s="209" t="s">
        <v>341</v>
      </c>
      <c r="E153" s="209">
        <v>1127</v>
      </c>
      <c r="F153" s="209" t="s">
        <v>432</v>
      </c>
      <c r="G153" s="209">
        <v>1266</v>
      </c>
      <c r="H153" s="209">
        <v>1417</v>
      </c>
      <c r="I153" s="264" t="str">
        <f t="shared" si="14"/>
        <v>B1</v>
      </c>
    </row>
    <row r="154" spans="3:23" x14ac:dyDescent="0.3">
      <c r="C154" s="209">
        <v>513</v>
      </c>
      <c r="D154" s="209" t="s">
        <v>341</v>
      </c>
      <c r="E154" s="209">
        <v>1127</v>
      </c>
      <c r="F154" s="209" t="s">
        <v>433</v>
      </c>
      <c r="G154" s="209">
        <v>1291</v>
      </c>
      <c r="H154" s="209">
        <v>1306</v>
      </c>
      <c r="I154" s="264" t="str">
        <f t="shared" si="14"/>
        <v>B1</v>
      </c>
    </row>
    <row r="155" spans="3:23" x14ac:dyDescent="0.3">
      <c r="C155" s="209">
        <v>514</v>
      </c>
      <c r="D155" s="209" t="s">
        <v>342</v>
      </c>
      <c r="E155" s="209">
        <v>1127</v>
      </c>
      <c r="F155" s="209" t="s">
        <v>434</v>
      </c>
      <c r="G155" s="209">
        <v>1520</v>
      </c>
      <c r="H155" s="209">
        <v>1528</v>
      </c>
      <c r="I155" s="264" t="str">
        <f t="shared" si="14"/>
        <v>B1-L2</v>
      </c>
    </row>
    <row r="156" spans="3:23" x14ac:dyDescent="0.3">
      <c r="C156" s="209">
        <v>515</v>
      </c>
      <c r="D156" s="209" t="s">
        <v>342</v>
      </c>
      <c r="E156" s="209">
        <v>1127</v>
      </c>
      <c r="F156" s="209"/>
      <c r="G156" s="209">
        <v>1650</v>
      </c>
      <c r="H156" s="209">
        <v>0</v>
      </c>
      <c r="I156" s="264" t="str">
        <f t="shared" si="14"/>
        <v/>
      </c>
    </row>
    <row r="157" spans="3:23" x14ac:dyDescent="0.3">
      <c r="C157" s="209">
        <v>516</v>
      </c>
      <c r="D157" s="209" t="s">
        <v>342</v>
      </c>
      <c r="E157" s="209">
        <v>1127</v>
      </c>
      <c r="F157" s="209" t="s">
        <v>435</v>
      </c>
      <c r="G157" s="209">
        <v>1611</v>
      </c>
      <c r="H157" s="209">
        <v>1440</v>
      </c>
      <c r="I157" s="264" t="str">
        <f t="shared" si="14"/>
        <v>B1-L2</v>
      </c>
    </row>
    <row r="158" spans="3:23" x14ac:dyDescent="0.3">
      <c r="C158" s="209">
        <v>517</v>
      </c>
      <c r="D158" s="209" t="s">
        <v>342</v>
      </c>
      <c r="E158" s="209">
        <v>1127</v>
      </c>
      <c r="F158" s="209" t="s">
        <v>436</v>
      </c>
      <c r="G158" s="209">
        <v>1526</v>
      </c>
      <c r="H158" s="209">
        <v>1320</v>
      </c>
      <c r="I158" s="264" t="str">
        <f t="shared" si="14"/>
        <v>B1-L2</v>
      </c>
    </row>
    <row r="159" spans="3:23" x14ac:dyDescent="0.3">
      <c r="C159" s="209">
        <v>518</v>
      </c>
      <c r="D159" s="209" t="s">
        <v>341</v>
      </c>
      <c r="E159" s="209">
        <v>1127</v>
      </c>
      <c r="F159" s="209" t="s">
        <v>437</v>
      </c>
      <c r="G159" s="209">
        <v>1306</v>
      </c>
      <c r="H159" s="209">
        <v>1269</v>
      </c>
      <c r="I159" s="264" t="str">
        <f t="shared" si="14"/>
        <v>B1</v>
      </c>
    </row>
    <row r="160" spans="3:23" x14ac:dyDescent="0.3">
      <c r="C160" s="209">
        <v>519</v>
      </c>
      <c r="D160" s="209" t="s">
        <v>342</v>
      </c>
      <c r="E160" s="209">
        <v>1127</v>
      </c>
      <c r="F160" s="209" t="s">
        <v>438</v>
      </c>
      <c r="G160" s="209">
        <v>1565</v>
      </c>
      <c r="H160" s="209">
        <v>1609</v>
      </c>
      <c r="I160" s="264" t="str">
        <f t="shared" si="14"/>
        <v>B1-L2</v>
      </c>
    </row>
    <row r="161" spans="3:9" x14ac:dyDescent="0.3">
      <c r="C161" s="209">
        <v>520</v>
      </c>
      <c r="D161" s="209" t="s">
        <v>342</v>
      </c>
      <c r="E161" s="209">
        <v>1127</v>
      </c>
      <c r="F161" s="209" t="s">
        <v>439</v>
      </c>
      <c r="G161" s="209">
        <v>1565</v>
      </c>
      <c r="H161" s="209">
        <v>1447</v>
      </c>
      <c r="I161" s="264" t="str">
        <f t="shared" si="14"/>
        <v>B1-L2</v>
      </c>
    </row>
    <row r="162" spans="3:9" x14ac:dyDescent="0.3">
      <c r="C162" s="209">
        <v>601</v>
      </c>
      <c r="D162" s="209" t="s">
        <v>342</v>
      </c>
      <c r="E162" s="209">
        <v>1127</v>
      </c>
      <c r="F162" s="209" t="s">
        <v>440</v>
      </c>
      <c r="G162" s="209">
        <v>1590</v>
      </c>
      <c r="H162" s="209">
        <v>1401</v>
      </c>
      <c r="I162" s="264" t="str">
        <f t="shared" si="14"/>
        <v>B1-L2</v>
      </c>
    </row>
    <row r="163" spans="3:9" x14ac:dyDescent="0.3">
      <c r="C163" s="209">
        <v>602</v>
      </c>
      <c r="D163" s="209" t="s">
        <v>347</v>
      </c>
      <c r="E163" s="209">
        <v>1380</v>
      </c>
      <c r="F163" s="209" t="s">
        <v>441</v>
      </c>
      <c r="G163" s="209">
        <v>1760</v>
      </c>
      <c r="H163" s="209">
        <v>1859</v>
      </c>
      <c r="I163" s="264" t="str">
        <f t="shared" si="14"/>
        <v>C1-L2</v>
      </c>
    </row>
    <row r="164" spans="3:9" x14ac:dyDescent="0.3">
      <c r="C164" s="209">
        <v>603</v>
      </c>
      <c r="D164" s="209" t="s">
        <v>347</v>
      </c>
      <c r="E164" s="209">
        <v>1380</v>
      </c>
      <c r="F164" s="209" t="s">
        <v>442</v>
      </c>
      <c r="G164" s="209">
        <v>1720</v>
      </c>
      <c r="H164" s="209">
        <v>1944</v>
      </c>
      <c r="I164" s="264" t="str">
        <f t="shared" si="14"/>
        <v>C1-L2</v>
      </c>
    </row>
    <row r="165" spans="3:9" x14ac:dyDescent="0.3">
      <c r="C165" s="209">
        <v>604</v>
      </c>
      <c r="D165" s="209" t="s">
        <v>342</v>
      </c>
      <c r="E165" s="209">
        <v>1127</v>
      </c>
      <c r="F165" s="209" t="s">
        <v>443</v>
      </c>
      <c r="G165" s="209">
        <v>1550</v>
      </c>
      <c r="H165" s="209">
        <v>1490</v>
      </c>
      <c r="I165" s="264" t="str">
        <f t="shared" si="14"/>
        <v>B1-L2</v>
      </c>
    </row>
    <row r="166" spans="3:9" x14ac:dyDescent="0.3">
      <c r="C166" s="209">
        <v>605</v>
      </c>
      <c r="D166" s="209" t="s">
        <v>346</v>
      </c>
      <c r="E166" s="209">
        <v>1380</v>
      </c>
      <c r="F166" s="209" t="s">
        <v>444</v>
      </c>
      <c r="G166" s="209">
        <v>1481</v>
      </c>
      <c r="H166" s="209">
        <v>1519</v>
      </c>
      <c r="I166" s="264" t="str">
        <f t="shared" si="14"/>
        <v>C1</v>
      </c>
    </row>
    <row r="167" spans="3:9" x14ac:dyDescent="0.3">
      <c r="C167" s="209">
        <v>606</v>
      </c>
      <c r="D167" s="209" t="s">
        <v>342</v>
      </c>
      <c r="E167" s="209">
        <v>1127</v>
      </c>
      <c r="F167" s="209" t="s">
        <v>445</v>
      </c>
      <c r="G167" s="209">
        <v>1531</v>
      </c>
      <c r="H167" s="209">
        <v>1343</v>
      </c>
      <c r="I167" s="264" t="str">
        <f t="shared" si="14"/>
        <v>B1-L2</v>
      </c>
    </row>
    <row r="168" spans="3:9" x14ac:dyDescent="0.3">
      <c r="C168" s="209">
        <v>607</v>
      </c>
      <c r="D168" s="209" t="s">
        <v>347</v>
      </c>
      <c r="E168" s="209">
        <v>1380</v>
      </c>
      <c r="F168" s="209" t="s">
        <v>446</v>
      </c>
      <c r="G168" s="209">
        <v>1710</v>
      </c>
      <c r="H168" s="209">
        <v>1719</v>
      </c>
      <c r="I168" s="264" t="str">
        <f t="shared" si="14"/>
        <v>C1-L2</v>
      </c>
    </row>
    <row r="169" spans="3:9" x14ac:dyDescent="0.3">
      <c r="C169" s="209">
        <v>608</v>
      </c>
      <c r="D169" s="209" t="s">
        <v>342</v>
      </c>
      <c r="E169" s="209">
        <v>1127</v>
      </c>
      <c r="F169" s="209" t="s">
        <v>447</v>
      </c>
      <c r="G169" s="209">
        <v>1540</v>
      </c>
      <c r="H169" s="209">
        <v>1627</v>
      </c>
      <c r="I169" s="264" t="str">
        <f t="shared" si="14"/>
        <v>B1-L2</v>
      </c>
    </row>
    <row r="170" spans="3:9" x14ac:dyDescent="0.3">
      <c r="C170" s="209">
        <v>609</v>
      </c>
      <c r="D170" s="209" t="s">
        <v>347</v>
      </c>
      <c r="E170" s="209">
        <v>1380</v>
      </c>
      <c r="F170" s="209" t="s">
        <v>448</v>
      </c>
      <c r="G170" s="209">
        <v>1720</v>
      </c>
      <c r="H170" s="209">
        <v>1627</v>
      </c>
      <c r="I170" s="264" t="str">
        <f t="shared" si="14"/>
        <v>C1-L2</v>
      </c>
    </row>
    <row r="171" spans="3:9" x14ac:dyDescent="0.3">
      <c r="C171" s="209">
        <v>610</v>
      </c>
      <c r="D171" s="209" t="s">
        <v>342</v>
      </c>
      <c r="E171" s="209">
        <v>1127</v>
      </c>
      <c r="F171" s="209" t="s">
        <v>449</v>
      </c>
      <c r="G171" s="209">
        <v>1516</v>
      </c>
      <c r="H171" s="209">
        <v>1577</v>
      </c>
      <c r="I171" s="264" t="str">
        <f t="shared" si="14"/>
        <v>B1-L2</v>
      </c>
    </row>
    <row r="172" spans="3:9" x14ac:dyDescent="0.3">
      <c r="C172" s="209">
        <v>611</v>
      </c>
      <c r="D172" s="209" t="s">
        <v>346</v>
      </c>
      <c r="E172" s="209">
        <v>1380</v>
      </c>
      <c r="F172" s="209" t="s">
        <v>450</v>
      </c>
      <c r="G172" s="209">
        <v>1521</v>
      </c>
      <c r="H172" s="209">
        <v>1449</v>
      </c>
      <c r="I172" s="264" t="str">
        <f t="shared" si="14"/>
        <v>C1</v>
      </c>
    </row>
    <row r="173" spans="3:9" x14ac:dyDescent="0.3">
      <c r="C173" s="209">
        <v>612</v>
      </c>
      <c r="D173" s="209" t="s">
        <v>342</v>
      </c>
      <c r="E173" s="209">
        <v>1127</v>
      </c>
      <c r="F173" s="209"/>
      <c r="G173" s="209">
        <v>1590</v>
      </c>
      <c r="H173" s="209">
        <v>0</v>
      </c>
      <c r="I173" s="264" t="str">
        <f t="shared" si="14"/>
        <v/>
      </c>
    </row>
    <row r="174" spans="3:9" x14ac:dyDescent="0.3">
      <c r="C174" s="209">
        <v>613</v>
      </c>
      <c r="D174" s="209" t="s">
        <v>342</v>
      </c>
      <c r="E174" s="209">
        <v>1127</v>
      </c>
      <c r="F174" s="209" t="s">
        <v>451</v>
      </c>
      <c r="G174" s="209">
        <v>1536</v>
      </c>
      <c r="H174" s="209">
        <v>1355</v>
      </c>
      <c r="I174" s="264" t="str">
        <f t="shared" si="14"/>
        <v>B1-L2</v>
      </c>
    </row>
    <row r="175" spans="3:9" x14ac:dyDescent="0.3">
      <c r="C175" s="209">
        <v>614</v>
      </c>
      <c r="D175" s="209" t="s">
        <v>346</v>
      </c>
      <c r="E175" s="209">
        <v>1380</v>
      </c>
      <c r="F175" s="209" t="s">
        <v>452</v>
      </c>
      <c r="G175" s="209">
        <v>1481</v>
      </c>
      <c r="H175" s="209">
        <v>1473</v>
      </c>
      <c r="I175" s="264" t="str">
        <f t="shared" si="14"/>
        <v>C1</v>
      </c>
    </row>
    <row r="176" spans="3:9" x14ac:dyDescent="0.3">
      <c r="C176" s="209">
        <v>615</v>
      </c>
      <c r="D176" s="209" t="s">
        <v>341</v>
      </c>
      <c r="E176" s="209">
        <v>1127</v>
      </c>
      <c r="F176" s="209" t="s">
        <v>453</v>
      </c>
      <c r="G176" s="209">
        <v>1301</v>
      </c>
      <c r="H176" s="209">
        <v>1505</v>
      </c>
      <c r="I176" s="264" t="str">
        <f t="shared" si="14"/>
        <v>B1</v>
      </c>
    </row>
    <row r="177" spans="3:9" x14ac:dyDescent="0.3">
      <c r="C177" s="209">
        <v>616</v>
      </c>
      <c r="D177" s="209" t="s">
        <v>347</v>
      </c>
      <c r="E177" s="209">
        <v>1380</v>
      </c>
      <c r="F177" s="209" t="s">
        <v>454</v>
      </c>
      <c r="G177" s="209">
        <v>1705</v>
      </c>
      <c r="H177" s="209">
        <v>1301</v>
      </c>
      <c r="I177" s="264" t="str">
        <f t="shared" si="14"/>
        <v>C1-L2</v>
      </c>
    </row>
    <row r="178" spans="3:9" x14ac:dyDescent="0.3">
      <c r="C178" s="209">
        <v>617</v>
      </c>
      <c r="D178" s="209" t="s">
        <v>342</v>
      </c>
      <c r="E178" s="209">
        <v>1127</v>
      </c>
      <c r="F178" s="209" t="s">
        <v>455</v>
      </c>
      <c r="G178" s="209">
        <v>1550</v>
      </c>
      <c r="H178" s="209">
        <v>1339</v>
      </c>
      <c r="I178" s="264" t="str">
        <f t="shared" si="14"/>
        <v>B1-L2</v>
      </c>
    </row>
    <row r="179" spans="3:9" x14ac:dyDescent="0.3">
      <c r="C179" s="209">
        <v>618</v>
      </c>
      <c r="D179" s="209" t="s">
        <v>347</v>
      </c>
      <c r="E179" s="209">
        <v>1380</v>
      </c>
      <c r="F179" s="209" t="s">
        <v>456</v>
      </c>
      <c r="G179" s="209">
        <v>1720</v>
      </c>
      <c r="H179" s="209">
        <v>1792</v>
      </c>
      <c r="I179" s="264" t="str">
        <f t="shared" si="14"/>
        <v>C1-L2</v>
      </c>
    </row>
    <row r="180" spans="3:9" x14ac:dyDescent="0.3">
      <c r="C180" s="209">
        <v>619</v>
      </c>
      <c r="D180" s="209" t="s">
        <v>341</v>
      </c>
      <c r="E180" s="209">
        <v>1127</v>
      </c>
      <c r="F180" s="209" t="s">
        <v>457</v>
      </c>
      <c r="G180" s="209">
        <v>1306</v>
      </c>
      <c r="H180" s="209">
        <v>1213</v>
      </c>
      <c r="I180" s="264" t="str">
        <f t="shared" si="14"/>
        <v>B1</v>
      </c>
    </row>
    <row r="181" spans="3:9" x14ac:dyDescent="0.3">
      <c r="C181" s="209">
        <v>620</v>
      </c>
      <c r="D181" s="209" t="s">
        <v>346</v>
      </c>
      <c r="E181" s="209">
        <v>1380</v>
      </c>
      <c r="F181" s="209" t="s">
        <v>458</v>
      </c>
      <c r="G181" s="209">
        <v>1486</v>
      </c>
      <c r="H181" s="209">
        <v>1461</v>
      </c>
      <c r="I181" s="264" t="str">
        <f t="shared" si="14"/>
        <v>C1</v>
      </c>
    </row>
    <row r="182" spans="3:9" x14ac:dyDescent="0.3">
      <c r="C182" s="209">
        <v>701</v>
      </c>
      <c r="D182" s="209" t="s">
        <v>347</v>
      </c>
      <c r="E182" s="209">
        <v>1380</v>
      </c>
      <c r="F182" s="209" t="s">
        <v>459</v>
      </c>
      <c r="G182" s="209">
        <v>1670</v>
      </c>
      <c r="H182" s="209">
        <v>1719</v>
      </c>
      <c r="I182" s="264" t="str">
        <f t="shared" si="14"/>
        <v>C1-L2</v>
      </c>
    </row>
    <row r="183" spans="3:9" x14ac:dyDescent="0.3">
      <c r="C183" s="209">
        <v>702</v>
      </c>
      <c r="D183" s="209" t="s">
        <v>342</v>
      </c>
      <c r="E183" s="209">
        <v>1127</v>
      </c>
      <c r="F183" s="209" t="s">
        <v>460</v>
      </c>
      <c r="G183" s="209">
        <v>1625</v>
      </c>
      <c r="H183" s="209">
        <v>1515</v>
      </c>
      <c r="I183" s="264" t="str">
        <f t="shared" si="14"/>
        <v>B1-L2</v>
      </c>
    </row>
    <row r="184" spans="3:9" x14ac:dyDescent="0.3">
      <c r="C184" s="209">
        <v>703</v>
      </c>
      <c r="D184" s="209" t="s">
        <v>347</v>
      </c>
      <c r="E184" s="209">
        <v>1380</v>
      </c>
      <c r="F184" s="209" t="s">
        <v>461</v>
      </c>
      <c r="G184" s="209">
        <v>1795</v>
      </c>
      <c r="H184" s="209">
        <v>1688</v>
      </c>
      <c r="I184" s="264" t="str">
        <f t="shared" si="14"/>
        <v>C1-L2</v>
      </c>
    </row>
    <row r="185" spans="3:9" x14ac:dyDescent="0.3">
      <c r="C185" s="209">
        <v>704</v>
      </c>
      <c r="D185" s="209" t="s">
        <v>341</v>
      </c>
      <c r="E185" s="209">
        <v>1127</v>
      </c>
      <c r="F185" s="209" t="s">
        <v>462</v>
      </c>
      <c r="G185" s="209">
        <v>1376</v>
      </c>
      <c r="H185" s="209">
        <v>1510</v>
      </c>
      <c r="I185" s="264" t="str">
        <f t="shared" si="14"/>
        <v>B1</v>
      </c>
    </row>
    <row r="186" spans="3:9" x14ac:dyDescent="0.3">
      <c r="C186" s="209">
        <v>705</v>
      </c>
      <c r="D186" s="209" t="s">
        <v>346</v>
      </c>
      <c r="E186" s="209">
        <v>1380</v>
      </c>
      <c r="F186" s="209" t="s">
        <v>463</v>
      </c>
      <c r="G186" s="209">
        <v>1456</v>
      </c>
      <c r="H186" s="209">
        <v>1488</v>
      </c>
      <c r="I186" s="264" t="str">
        <f t="shared" si="14"/>
        <v>C1</v>
      </c>
    </row>
    <row r="187" spans="3:9" x14ac:dyDescent="0.3">
      <c r="C187" s="209">
        <v>706</v>
      </c>
      <c r="D187" s="209" t="s">
        <v>342</v>
      </c>
      <c r="E187" s="209">
        <v>1127</v>
      </c>
      <c r="F187" s="209" t="s">
        <v>464</v>
      </c>
      <c r="G187" s="209">
        <v>1510</v>
      </c>
      <c r="H187" s="209">
        <v>1349</v>
      </c>
      <c r="I187" s="264" t="str">
        <f t="shared" si="14"/>
        <v>B1-L2</v>
      </c>
    </row>
    <row r="188" spans="3:9" x14ac:dyDescent="0.3">
      <c r="C188" s="209">
        <v>707</v>
      </c>
      <c r="D188" s="209" t="s">
        <v>347</v>
      </c>
      <c r="E188" s="209">
        <v>1380</v>
      </c>
      <c r="F188" s="209" t="s">
        <v>465</v>
      </c>
      <c r="G188" s="209">
        <v>1681</v>
      </c>
      <c r="H188" s="209">
        <v>1688</v>
      </c>
      <c r="I188" s="264" t="str">
        <f t="shared" si="14"/>
        <v>C1-L2</v>
      </c>
    </row>
    <row r="189" spans="3:9" x14ac:dyDescent="0.3">
      <c r="C189" s="209">
        <v>708</v>
      </c>
      <c r="D189" s="209" t="s">
        <v>341</v>
      </c>
      <c r="E189" s="209">
        <v>1127</v>
      </c>
      <c r="F189" s="209" t="s">
        <v>466</v>
      </c>
      <c r="G189" s="209">
        <v>1276</v>
      </c>
      <c r="H189" s="209">
        <v>1460</v>
      </c>
      <c r="I189" s="264" t="str">
        <f t="shared" si="14"/>
        <v>B1</v>
      </c>
    </row>
    <row r="190" spans="3:9" x14ac:dyDescent="0.3">
      <c r="C190" s="209">
        <v>709</v>
      </c>
      <c r="D190" s="209" t="s">
        <v>347</v>
      </c>
      <c r="E190" s="209">
        <v>1380</v>
      </c>
      <c r="F190" s="209" t="s">
        <v>467</v>
      </c>
      <c r="G190" s="209">
        <v>1686</v>
      </c>
      <c r="H190" s="209">
        <v>1582</v>
      </c>
      <c r="I190" s="264" t="str">
        <f t="shared" ref="I190:I253" si="15">IF(H190=0,"",D190)</f>
        <v>C1-L2</v>
      </c>
    </row>
    <row r="191" spans="3:9" x14ac:dyDescent="0.3">
      <c r="C191" s="209">
        <v>710</v>
      </c>
      <c r="D191" s="209" t="s">
        <v>342</v>
      </c>
      <c r="E191" s="209">
        <v>1127</v>
      </c>
      <c r="F191" s="209" t="s">
        <v>468</v>
      </c>
      <c r="G191" s="209">
        <v>1530</v>
      </c>
      <c r="H191" s="209">
        <v>1339</v>
      </c>
      <c r="I191" s="264" t="str">
        <f t="shared" si="15"/>
        <v>B1-L2</v>
      </c>
    </row>
    <row r="192" spans="3:9" x14ac:dyDescent="0.3">
      <c r="C192" s="209">
        <v>711</v>
      </c>
      <c r="D192" s="209" t="s">
        <v>346</v>
      </c>
      <c r="E192" s="209">
        <v>1380</v>
      </c>
      <c r="F192" s="209" t="s">
        <v>469</v>
      </c>
      <c r="G192" s="209">
        <v>1476</v>
      </c>
      <c r="H192" s="209">
        <v>1538</v>
      </c>
      <c r="I192" s="264" t="str">
        <f t="shared" si="15"/>
        <v>C1</v>
      </c>
    </row>
    <row r="193" spans="3:9" x14ac:dyDescent="0.3">
      <c r="C193" s="209">
        <v>712</v>
      </c>
      <c r="D193" s="209" t="s">
        <v>342</v>
      </c>
      <c r="E193" s="209">
        <v>1127</v>
      </c>
      <c r="F193" s="209" t="s">
        <v>470</v>
      </c>
      <c r="G193" s="209">
        <v>1530</v>
      </c>
      <c r="H193" s="209">
        <v>1403</v>
      </c>
      <c r="I193" s="264" t="str">
        <f t="shared" si="15"/>
        <v>B1-L2</v>
      </c>
    </row>
    <row r="194" spans="3:9" x14ac:dyDescent="0.3">
      <c r="C194" s="209">
        <v>713</v>
      </c>
      <c r="D194" s="209" t="s">
        <v>342</v>
      </c>
      <c r="E194" s="209">
        <v>1127</v>
      </c>
      <c r="F194" s="209" t="s">
        <v>471</v>
      </c>
      <c r="G194" s="209">
        <v>1550</v>
      </c>
      <c r="H194" s="209">
        <v>1615</v>
      </c>
      <c r="I194" s="264" t="str">
        <f t="shared" si="15"/>
        <v>B1-L2</v>
      </c>
    </row>
    <row r="195" spans="3:9" x14ac:dyDescent="0.3">
      <c r="C195" s="209">
        <v>714</v>
      </c>
      <c r="D195" s="209" t="s">
        <v>347</v>
      </c>
      <c r="E195" s="209">
        <v>1380</v>
      </c>
      <c r="F195" s="209" t="s">
        <v>472</v>
      </c>
      <c r="G195" s="209">
        <v>1720</v>
      </c>
      <c r="H195" s="209">
        <v>1475</v>
      </c>
      <c r="I195" s="264" t="str">
        <f t="shared" si="15"/>
        <v>C1-L2</v>
      </c>
    </row>
    <row r="196" spans="3:9" x14ac:dyDescent="0.3">
      <c r="C196" s="209">
        <v>715</v>
      </c>
      <c r="D196" s="209" t="s">
        <v>342</v>
      </c>
      <c r="E196" s="209">
        <v>1127</v>
      </c>
      <c r="F196" s="209" t="s">
        <v>473</v>
      </c>
      <c r="G196" s="209">
        <v>1610</v>
      </c>
      <c r="H196" s="209">
        <v>1429</v>
      </c>
      <c r="I196" s="264" t="str">
        <f t="shared" si="15"/>
        <v>B1-L2</v>
      </c>
    </row>
    <row r="197" spans="3:9" x14ac:dyDescent="0.3">
      <c r="C197" s="209">
        <v>716</v>
      </c>
      <c r="D197" s="209" t="s">
        <v>346</v>
      </c>
      <c r="E197" s="209">
        <v>1380</v>
      </c>
      <c r="F197" s="209" t="s">
        <v>474</v>
      </c>
      <c r="G197" s="209">
        <v>1570</v>
      </c>
      <c r="H197" s="209">
        <v>1695</v>
      </c>
      <c r="I197" s="264" t="str">
        <f t="shared" si="15"/>
        <v>C1</v>
      </c>
    </row>
    <row r="198" spans="3:9" x14ac:dyDescent="0.3">
      <c r="C198" s="209">
        <v>717</v>
      </c>
      <c r="D198" s="209" t="s">
        <v>341</v>
      </c>
      <c r="E198" s="209">
        <v>1127</v>
      </c>
      <c r="F198" s="209"/>
      <c r="G198" s="209">
        <v>1276</v>
      </c>
      <c r="H198" s="209">
        <v>0</v>
      </c>
      <c r="I198" s="264" t="str">
        <f t="shared" si="15"/>
        <v/>
      </c>
    </row>
    <row r="199" spans="3:9" x14ac:dyDescent="0.3">
      <c r="C199" s="209">
        <v>718</v>
      </c>
      <c r="D199" s="209" t="s">
        <v>347</v>
      </c>
      <c r="E199" s="209">
        <v>1380</v>
      </c>
      <c r="F199" s="209" t="s">
        <v>475</v>
      </c>
      <c r="G199" s="209">
        <v>1680</v>
      </c>
      <c r="H199" s="209">
        <v>1714</v>
      </c>
      <c r="I199" s="264" t="str">
        <f t="shared" si="15"/>
        <v>C1-L2</v>
      </c>
    </row>
    <row r="200" spans="3:9" x14ac:dyDescent="0.3">
      <c r="C200" s="209">
        <v>719</v>
      </c>
      <c r="D200" s="209" t="s">
        <v>342</v>
      </c>
      <c r="E200" s="209">
        <v>1127</v>
      </c>
      <c r="F200" s="209" t="s">
        <v>476</v>
      </c>
      <c r="G200" s="209">
        <v>1496</v>
      </c>
      <c r="H200" s="209">
        <v>1334</v>
      </c>
      <c r="I200" s="264" t="str">
        <f t="shared" si="15"/>
        <v>B1-L2</v>
      </c>
    </row>
    <row r="201" spans="3:9" x14ac:dyDescent="0.3">
      <c r="C201" s="209">
        <v>720</v>
      </c>
      <c r="D201" s="209" t="s">
        <v>347</v>
      </c>
      <c r="E201" s="209">
        <v>1380</v>
      </c>
      <c r="F201" s="209" t="s">
        <v>477</v>
      </c>
      <c r="G201" s="209">
        <v>1680</v>
      </c>
      <c r="H201" s="209">
        <v>1686</v>
      </c>
      <c r="I201" s="264" t="str">
        <f t="shared" si="15"/>
        <v>C1-L2</v>
      </c>
    </row>
    <row r="202" spans="3:9" x14ac:dyDescent="0.3">
      <c r="C202" s="209">
        <v>721</v>
      </c>
      <c r="D202" s="209" t="s">
        <v>342</v>
      </c>
      <c r="E202" s="209">
        <v>1127</v>
      </c>
      <c r="F202" s="209" t="s">
        <v>478</v>
      </c>
      <c r="G202" s="209">
        <v>1520</v>
      </c>
      <c r="H202" s="209">
        <v>1468</v>
      </c>
      <c r="I202" s="264" t="str">
        <f t="shared" si="15"/>
        <v>B1-L2</v>
      </c>
    </row>
    <row r="203" spans="3:9" x14ac:dyDescent="0.3">
      <c r="C203" s="209">
        <v>722</v>
      </c>
      <c r="D203" s="209" t="s">
        <v>347</v>
      </c>
      <c r="E203" s="209">
        <v>1380</v>
      </c>
      <c r="F203" s="209" t="s">
        <v>479</v>
      </c>
      <c r="G203" s="209">
        <v>1700</v>
      </c>
      <c r="H203" s="209">
        <v>1641</v>
      </c>
      <c r="I203" s="264" t="str">
        <f t="shared" si="15"/>
        <v>C1-L2</v>
      </c>
    </row>
    <row r="204" spans="3:9" x14ac:dyDescent="0.3">
      <c r="C204" s="209">
        <v>723</v>
      </c>
      <c r="D204" s="209" t="s">
        <v>342</v>
      </c>
      <c r="E204" s="209">
        <v>1127</v>
      </c>
      <c r="F204" s="209" t="s">
        <v>480</v>
      </c>
      <c r="G204" s="209">
        <v>1530</v>
      </c>
      <c r="H204" s="209">
        <v>1610</v>
      </c>
      <c r="I204" s="264" t="str">
        <f t="shared" si="15"/>
        <v>B1-L2</v>
      </c>
    </row>
    <row r="205" spans="3:9" x14ac:dyDescent="0.3">
      <c r="C205" s="209">
        <v>724</v>
      </c>
      <c r="D205" s="209" t="s">
        <v>347</v>
      </c>
      <c r="E205" s="209">
        <v>1380</v>
      </c>
      <c r="F205" s="209" t="s">
        <v>481</v>
      </c>
      <c r="G205" s="209">
        <v>1700</v>
      </c>
      <c r="H205" s="209">
        <v>1589</v>
      </c>
      <c r="I205" s="264" t="str">
        <f t="shared" si="15"/>
        <v>C1-L2</v>
      </c>
    </row>
    <row r="206" spans="3:9" x14ac:dyDescent="0.3">
      <c r="C206" s="209">
        <v>801</v>
      </c>
      <c r="D206" s="209" t="s">
        <v>345</v>
      </c>
      <c r="E206" s="209">
        <v>825</v>
      </c>
      <c r="F206" s="209" t="s">
        <v>482</v>
      </c>
      <c r="G206" s="209">
        <v>1187</v>
      </c>
      <c r="H206" s="209">
        <v>1048</v>
      </c>
      <c r="I206" s="264" t="str">
        <f t="shared" si="15"/>
        <v>A1</v>
      </c>
    </row>
    <row r="207" spans="3:9" x14ac:dyDescent="0.3">
      <c r="C207" s="209">
        <v>802</v>
      </c>
      <c r="D207" s="209" t="s">
        <v>345</v>
      </c>
      <c r="E207" s="209">
        <v>825</v>
      </c>
      <c r="F207" s="209" t="s">
        <v>483</v>
      </c>
      <c r="G207" s="209">
        <v>1187</v>
      </c>
      <c r="H207" s="209">
        <v>1181</v>
      </c>
      <c r="I207" s="264" t="str">
        <f t="shared" si="15"/>
        <v>A1</v>
      </c>
    </row>
    <row r="208" spans="3:9" x14ac:dyDescent="0.3">
      <c r="C208" s="209">
        <v>803</v>
      </c>
      <c r="D208" s="209" t="s">
        <v>344</v>
      </c>
      <c r="E208" s="209">
        <v>825</v>
      </c>
      <c r="F208" s="209" t="s">
        <v>484</v>
      </c>
      <c r="G208" s="209">
        <v>1506</v>
      </c>
      <c r="H208" s="209">
        <v>1442</v>
      </c>
      <c r="I208" s="264" t="str">
        <f t="shared" si="15"/>
        <v>A1-L2</v>
      </c>
    </row>
    <row r="209" spans="3:9" x14ac:dyDescent="0.3">
      <c r="C209" s="209">
        <v>804</v>
      </c>
      <c r="D209" s="209" t="s">
        <v>345</v>
      </c>
      <c r="E209" s="209">
        <v>825</v>
      </c>
      <c r="F209" s="209" t="s">
        <v>485</v>
      </c>
      <c r="G209" s="209">
        <v>1262</v>
      </c>
      <c r="H209" s="209">
        <v>1204</v>
      </c>
      <c r="I209" s="264" t="str">
        <f t="shared" si="15"/>
        <v>A1</v>
      </c>
    </row>
    <row r="210" spans="3:9" x14ac:dyDescent="0.3">
      <c r="C210" s="209">
        <v>805</v>
      </c>
      <c r="D210" s="209" t="s">
        <v>344</v>
      </c>
      <c r="E210" s="209">
        <v>825</v>
      </c>
      <c r="F210" s="209" t="s">
        <v>486</v>
      </c>
      <c r="G210" s="209">
        <v>1405</v>
      </c>
      <c r="H210" s="209">
        <v>1215</v>
      </c>
      <c r="I210" s="264" t="str">
        <f t="shared" si="15"/>
        <v>A1-L2</v>
      </c>
    </row>
    <row r="211" spans="3:9" x14ac:dyDescent="0.3">
      <c r="C211" s="209">
        <v>806</v>
      </c>
      <c r="D211" s="209" t="s">
        <v>344</v>
      </c>
      <c r="E211" s="209">
        <v>825</v>
      </c>
      <c r="F211" s="209" t="s">
        <v>487</v>
      </c>
      <c r="G211" s="209">
        <v>1405</v>
      </c>
      <c r="H211" s="209">
        <v>1299</v>
      </c>
      <c r="I211" s="264" t="str">
        <f t="shared" si="15"/>
        <v>A1-L2</v>
      </c>
    </row>
    <row r="212" spans="3:9" x14ac:dyDescent="0.3">
      <c r="C212" s="209">
        <v>807</v>
      </c>
      <c r="D212" s="209" t="s">
        <v>344</v>
      </c>
      <c r="E212" s="209">
        <v>825</v>
      </c>
      <c r="F212" s="209" t="s">
        <v>488</v>
      </c>
      <c r="G212" s="209">
        <v>1405</v>
      </c>
      <c r="H212" s="209">
        <v>1341</v>
      </c>
      <c r="I212" s="264" t="str">
        <f t="shared" si="15"/>
        <v>A1-L2</v>
      </c>
    </row>
    <row r="213" spans="3:9" x14ac:dyDescent="0.3">
      <c r="C213" s="209">
        <v>808</v>
      </c>
      <c r="D213" s="209" t="s">
        <v>344</v>
      </c>
      <c r="E213" s="209">
        <v>825</v>
      </c>
      <c r="F213" s="209" t="s">
        <v>489</v>
      </c>
      <c r="G213" s="209">
        <v>1405</v>
      </c>
      <c r="H213" s="209">
        <v>1345</v>
      </c>
      <c r="I213" s="264" t="str">
        <f t="shared" si="15"/>
        <v>A1-L2</v>
      </c>
    </row>
    <row r="214" spans="3:9" x14ac:dyDescent="0.3">
      <c r="C214" s="209">
        <v>809</v>
      </c>
      <c r="D214" s="209" t="s">
        <v>344</v>
      </c>
      <c r="E214" s="209">
        <v>825</v>
      </c>
      <c r="F214" s="209" t="s">
        <v>490</v>
      </c>
      <c r="G214" s="209">
        <v>1425</v>
      </c>
      <c r="H214" s="209">
        <v>1309</v>
      </c>
      <c r="I214" s="264" t="str">
        <f t="shared" si="15"/>
        <v>A1-L2</v>
      </c>
    </row>
    <row r="215" spans="3:9" x14ac:dyDescent="0.3">
      <c r="C215" s="209">
        <v>810</v>
      </c>
      <c r="D215" s="209" t="s">
        <v>345</v>
      </c>
      <c r="E215" s="209">
        <v>825</v>
      </c>
      <c r="F215" s="209" t="s">
        <v>491</v>
      </c>
      <c r="G215" s="209">
        <v>1182</v>
      </c>
      <c r="H215" s="209">
        <v>1177</v>
      </c>
      <c r="I215" s="264" t="str">
        <f t="shared" si="15"/>
        <v>A1</v>
      </c>
    </row>
    <row r="216" spans="3:9" x14ac:dyDescent="0.3">
      <c r="C216" s="209">
        <v>811</v>
      </c>
      <c r="D216" s="209" t="s">
        <v>344</v>
      </c>
      <c r="E216" s="209">
        <v>825</v>
      </c>
      <c r="F216" s="209" t="s">
        <v>492</v>
      </c>
      <c r="G216" s="209">
        <v>1425</v>
      </c>
      <c r="H216" s="209">
        <v>1269</v>
      </c>
      <c r="I216" s="264" t="str">
        <f t="shared" si="15"/>
        <v>A1-L2</v>
      </c>
    </row>
    <row r="217" spans="3:9" x14ac:dyDescent="0.3">
      <c r="C217" s="209">
        <v>812</v>
      </c>
      <c r="D217" s="209" t="s">
        <v>344</v>
      </c>
      <c r="E217" s="209">
        <v>825</v>
      </c>
      <c r="F217" s="209" t="s">
        <v>493</v>
      </c>
      <c r="G217" s="209">
        <v>1425</v>
      </c>
      <c r="H217" s="209">
        <v>1312</v>
      </c>
      <c r="I217" s="264" t="str">
        <f t="shared" si="15"/>
        <v>A1-L2</v>
      </c>
    </row>
    <row r="218" spans="3:9" x14ac:dyDescent="0.3">
      <c r="C218" s="209">
        <v>813</v>
      </c>
      <c r="D218" s="209" t="s">
        <v>345</v>
      </c>
      <c r="E218" s="209">
        <v>825</v>
      </c>
      <c r="F218" s="209" t="s">
        <v>494</v>
      </c>
      <c r="G218" s="209">
        <v>1187</v>
      </c>
      <c r="H218" s="209">
        <v>1212</v>
      </c>
      <c r="I218" s="264" t="str">
        <f t="shared" si="15"/>
        <v>A1</v>
      </c>
    </row>
    <row r="219" spans="3:9" x14ac:dyDescent="0.3">
      <c r="C219" s="209">
        <v>814</v>
      </c>
      <c r="D219" s="209" t="s">
        <v>345</v>
      </c>
      <c r="E219" s="209">
        <v>825</v>
      </c>
      <c r="F219" s="209" t="s">
        <v>495</v>
      </c>
      <c r="G219" s="209">
        <v>1262</v>
      </c>
      <c r="H219" s="209">
        <v>1378</v>
      </c>
      <c r="I219" s="264" t="str">
        <f t="shared" si="15"/>
        <v>A1</v>
      </c>
    </row>
    <row r="220" spans="3:9" x14ac:dyDescent="0.3">
      <c r="C220" s="209">
        <v>815</v>
      </c>
      <c r="D220" s="209" t="s">
        <v>344</v>
      </c>
      <c r="E220" s="209">
        <v>825</v>
      </c>
      <c r="F220" s="209" t="s">
        <v>496</v>
      </c>
      <c r="G220" s="209">
        <v>1520</v>
      </c>
      <c r="H220" s="209">
        <v>1307</v>
      </c>
      <c r="I220" s="264" t="str">
        <f t="shared" si="15"/>
        <v>A1-L2</v>
      </c>
    </row>
    <row r="221" spans="3:9" x14ac:dyDescent="0.3">
      <c r="C221" s="209">
        <v>816</v>
      </c>
      <c r="D221" s="209" t="s">
        <v>345</v>
      </c>
      <c r="E221" s="209">
        <v>825</v>
      </c>
      <c r="F221" s="209"/>
      <c r="G221" s="209">
        <v>1262</v>
      </c>
      <c r="H221" s="209">
        <v>0</v>
      </c>
      <c r="I221" s="264" t="str">
        <f t="shared" si="15"/>
        <v/>
      </c>
    </row>
    <row r="222" spans="3:9" x14ac:dyDescent="0.3">
      <c r="C222" s="209">
        <v>817</v>
      </c>
      <c r="D222" s="209" t="s">
        <v>345</v>
      </c>
      <c r="E222" s="209">
        <v>825</v>
      </c>
      <c r="F222" s="209" t="s">
        <v>497</v>
      </c>
      <c r="G222" s="209">
        <v>1211</v>
      </c>
      <c r="H222" s="209">
        <v>1168</v>
      </c>
      <c r="I222" s="264" t="str">
        <f t="shared" si="15"/>
        <v>A1</v>
      </c>
    </row>
    <row r="223" spans="3:9" x14ac:dyDescent="0.3">
      <c r="C223" s="209">
        <v>818</v>
      </c>
      <c r="D223" s="209" t="s">
        <v>344</v>
      </c>
      <c r="E223" s="209">
        <v>825</v>
      </c>
      <c r="F223" s="209" t="s">
        <v>498</v>
      </c>
      <c r="G223" s="209">
        <v>1405</v>
      </c>
      <c r="H223" s="209">
        <v>1253</v>
      </c>
      <c r="I223" s="264" t="str">
        <f t="shared" si="15"/>
        <v>A1-L2</v>
      </c>
    </row>
    <row r="224" spans="3:9" x14ac:dyDescent="0.3">
      <c r="C224" s="209">
        <v>819</v>
      </c>
      <c r="D224" s="209" t="s">
        <v>345</v>
      </c>
      <c r="E224" s="209">
        <v>825</v>
      </c>
      <c r="F224" s="209" t="s">
        <v>499</v>
      </c>
      <c r="G224" s="209">
        <v>1162</v>
      </c>
      <c r="H224" s="209">
        <v>1142</v>
      </c>
      <c r="I224" s="264" t="str">
        <f t="shared" si="15"/>
        <v>A1</v>
      </c>
    </row>
    <row r="225" spans="3:9" x14ac:dyDescent="0.3">
      <c r="C225" s="209">
        <v>820</v>
      </c>
      <c r="D225" s="209" t="s">
        <v>345</v>
      </c>
      <c r="E225" s="209">
        <v>825</v>
      </c>
      <c r="F225" s="209" t="s">
        <v>500</v>
      </c>
      <c r="G225" s="209">
        <v>1162</v>
      </c>
      <c r="H225" s="209">
        <v>1119</v>
      </c>
      <c r="I225" s="264" t="str">
        <f t="shared" si="15"/>
        <v>A1</v>
      </c>
    </row>
    <row r="226" spans="3:9" x14ac:dyDescent="0.3">
      <c r="C226" s="209">
        <v>821</v>
      </c>
      <c r="D226" s="209" t="s">
        <v>345</v>
      </c>
      <c r="E226" s="209">
        <v>825</v>
      </c>
      <c r="F226" s="209" t="s">
        <v>501</v>
      </c>
      <c r="G226" s="209">
        <v>1196</v>
      </c>
      <c r="H226" s="209">
        <v>1223</v>
      </c>
      <c r="I226" s="264" t="str">
        <f t="shared" si="15"/>
        <v>A1</v>
      </c>
    </row>
    <row r="227" spans="3:9" x14ac:dyDescent="0.3">
      <c r="C227" s="209">
        <v>822</v>
      </c>
      <c r="D227" s="209" t="s">
        <v>345</v>
      </c>
      <c r="E227" s="209">
        <v>825</v>
      </c>
      <c r="F227" s="209" t="s">
        <v>502</v>
      </c>
      <c r="G227" s="209">
        <v>1182</v>
      </c>
      <c r="H227" s="209">
        <v>1112</v>
      </c>
      <c r="I227" s="264" t="str">
        <f t="shared" si="15"/>
        <v>A1</v>
      </c>
    </row>
    <row r="228" spans="3:9" x14ac:dyDescent="0.3">
      <c r="C228" s="209">
        <v>823</v>
      </c>
      <c r="D228" s="209" t="s">
        <v>344</v>
      </c>
      <c r="E228" s="209">
        <v>825</v>
      </c>
      <c r="F228" s="209" t="s">
        <v>503</v>
      </c>
      <c r="G228" s="209">
        <v>1411</v>
      </c>
      <c r="H228" s="209">
        <v>1269</v>
      </c>
      <c r="I228" s="264" t="str">
        <f t="shared" si="15"/>
        <v>A1-L2</v>
      </c>
    </row>
    <row r="229" spans="3:9" x14ac:dyDescent="0.3">
      <c r="C229" s="209">
        <v>824</v>
      </c>
      <c r="D229" s="209" t="s">
        <v>344</v>
      </c>
      <c r="E229" s="209">
        <v>825</v>
      </c>
      <c r="F229" s="209" t="s">
        <v>504</v>
      </c>
      <c r="G229" s="209">
        <v>1425</v>
      </c>
      <c r="H229" s="209">
        <v>1433</v>
      </c>
      <c r="I229" s="264" t="str">
        <f t="shared" si="15"/>
        <v>A1-L2</v>
      </c>
    </row>
    <row r="230" spans="3:9" x14ac:dyDescent="0.3">
      <c r="C230" s="209">
        <v>901</v>
      </c>
      <c r="D230" s="209" t="s">
        <v>347</v>
      </c>
      <c r="E230" s="209">
        <v>1380</v>
      </c>
      <c r="F230" s="209" t="s">
        <v>505</v>
      </c>
      <c r="G230" s="209">
        <v>1795</v>
      </c>
      <c r="H230" s="209">
        <v>1690</v>
      </c>
      <c r="I230" s="264" t="str">
        <f t="shared" si="15"/>
        <v>C1-L2</v>
      </c>
    </row>
    <row r="231" spans="3:9" x14ac:dyDescent="0.3">
      <c r="C231" s="209">
        <v>902</v>
      </c>
      <c r="D231" s="209" t="s">
        <v>342</v>
      </c>
      <c r="E231" s="209">
        <v>1127</v>
      </c>
      <c r="F231" s="209" t="s">
        <v>506</v>
      </c>
      <c r="G231" s="209">
        <v>1611</v>
      </c>
      <c r="H231" s="209">
        <v>1649</v>
      </c>
      <c r="I231" s="264" t="str">
        <f t="shared" si="15"/>
        <v>B1-L2</v>
      </c>
    </row>
    <row r="232" spans="3:9" x14ac:dyDescent="0.3">
      <c r="C232" s="209">
        <v>903</v>
      </c>
      <c r="D232" s="209" t="s">
        <v>346</v>
      </c>
      <c r="E232" s="209">
        <v>1380</v>
      </c>
      <c r="F232" s="209" t="s">
        <v>507</v>
      </c>
      <c r="G232" s="209">
        <v>1556</v>
      </c>
      <c r="H232" s="209">
        <v>1412</v>
      </c>
      <c r="I232" s="264" t="str">
        <f t="shared" si="15"/>
        <v>C1</v>
      </c>
    </row>
    <row r="233" spans="3:9" x14ac:dyDescent="0.3">
      <c r="C233" s="209">
        <v>904</v>
      </c>
      <c r="D233" s="209" t="s">
        <v>342</v>
      </c>
      <c r="E233" s="209">
        <v>1127</v>
      </c>
      <c r="F233" s="209" t="s">
        <v>508</v>
      </c>
      <c r="G233" s="209">
        <v>1625</v>
      </c>
      <c r="H233" s="209">
        <v>1358</v>
      </c>
      <c r="I233" s="264" t="str">
        <f t="shared" si="15"/>
        <v>B1-L2</v>
      </c>
    </row>
    <row r="234" spans="3:9" x14ac:dyDescent="0.3">
      <c r="C234" s="209">
        <v>905</v>
      </c>
      <c r="D234" s="209" t="s">
        <v>346</v>
      </c>
      <c r="E234" s="209">
        <v>1380</v>
      </c>
      <c r="F234" s="209" t="s">
        <v>509</v>
      </c>
      <c r="G234" s="209">
        <v>1456</v>
      </c>
      <c r="H234" s="209">
        <v>1510</v>
      </c>
      <c r="I234" s="264" t="str">
        <f t="shared" si="15"/>
        <v>C1</v>
      </c>
    </row>
    <row r="235" spans="3:9" x14ac:dyDescent="0.3">
      <c r="C235" s="209">
        <v>906</v>
      </c>
      <c r="D235" s="209" t="s">
        <v>341</v>
      </c>
      <c r="E235" s="209">
        <v>1127</v>
      </c>
      <c r="F235" s="209" t="s">
        <v>510</v>
      </c>
      <c r="G235" s="209">
        <v>1276</v>
      </c>
      <c r="H235" s="209">
        <v>1391</v>
      </c>
      <c r="I235" s="264" t="str">
        <f t="shared" si="15"/>
        <v>B1</v>
      </c>
    </row>
    <row r="236" spans="3:9" x14ac:dyDescent="0.3">
      <c r="C236" s="209">
        <v>907</v>
      </c>
      <c r="D236" s="209" t="s">
        <v>347</v>
      </c>
      <c r="E236" s="209">
        <v>1380</v>
      </c>
      <c r="F236" s="209" t="s">
        <v>511</v>
      </c>
      <c r="G236" s="209">
        <v>1666</v>
      </c>
      <c r="H236" s="209">
        <v>1569</v>
      </c>
      <c r="I236" s="264" t="str">
        <f t="shared" si="15"/>
        <v>C1-L2</v>
      </c>
    </row>
    <row r="237" spans="3:9" x14ac:dyDescent="0.3">
      <c r="C237" s="209">
        <v>908</v>
      </c>
      <c r="D237" s="209" t="s">
        <v>341</v>
      </c>
      <c r="E237" s="209">
        <v>1127</v>
      </c>
      <c r="F237" s="209" t="s">
        <v>512</v>
      </c>
      <c r="G237" s="209">
        <v>1276</v>
      </c>
      <c r="H237" s="209">
        <v>1474</v>
      </c>
      <c r="I237" s="264" t="str">
        <f t="shared" si="15"/>
        <v>B1</v>
      </c>
    </row>
    <row r="238" spans="3:9" x14ac:dyDescent="0.3">
      <c r="C238" s="209">
        <v>909</v>
      </c>
      <c r="D238" s="209" t="s">
        <v>347</v>
      </c>
      <c r="E238" s="209">
        <v>1380</v>
      </c>
      <c r="F238" s="209" t="s">
        <v>513</v>
      </c>
      <c r="G238" s="209">
        <v>1685</v>
      </c>
      <c r="H238" s="209">
        <v>1560</v>
      </c>
      <c r="I238" s="264" t="str">
        <f t="shared" si="15"/>
        <v>C1-L2</v>
      </c>
    </row>
    <row r="239" spans="3:9" x14ac:dyDescent="0.3">
      <c r="C239" s="209">
        <v>910</v>
      </c>
      <c r="D239" s="209" t="s">
        <v>342</v>
      </c>
      <c r="E239" s="209">
        <v>1127</v>
      </c>
      <c r="F239" s="209" t="s">
        <v>514</v>
      </c>
      <c r="G239" s="209">
        <v>1540</v>
      </c>
      <c r="H239" s="209">
        <v>1480</v>
      </c>
      <c r="I239" s="264" t="str">
        <f t="shared" si="15"/>
        <v>B1-L2</v>
      </c>
    </row>
    <row r="240" spans="3:9" x14ac:dyDescent="0.3">
      <c r="C240" s="209">
        <v>911</v>
      </c>
      <c r="D240" s="209" t="s">
        <v>347</v>
      </c>
      <c r="E240" s="209">
        <v>1380</v>
      </c>
      <c r="F240" s="209" t="s">
        <v>515</v>
      </c>
      <c r="G240" s="209">
        <v>1685</v>
      </c>
      <c r="H240" s="209">
        <v>1980</v>
      </c>
      <c r="I240" s="264" t="str">
        <f t="shared" si="15"/>
        <v>C1-L2</v>
      </c>
    </row>
    <row r="241" spans="3:9" x14ac:dyDescent="0.3">
      <c r="C241" s="209">
        <v>912</v>
      </c>
      <c r="D241" s="209" t="s">
        <v>342</v>
      </c>
      <c r="E241" s="209">
        <v>1127</v>
      </c>
      <c r="F241" s="209" t="s">
        <v>516</v>
      </c>
      <c r="G241" s="209">
        <v>1525</v>
      </c>
      <c r="H241" s="209">
        <v>1536</v>
      </c>
      <c r="I241" s="264" t="str">
        <f t="shared" si="15"/>
        <v>B1-L2</v>
      </c>
    </row>
    <row r="242" spans="3:9" x14ac:dyDescent="0.3">
      <c r="C242" s="209">
        <v>913</v>
      </c>
      <c r="D242" s="209" t="s">
        <v>342</v>
      </c>
      <c r="E242" s="209">
        <v>1127</v>
      </c>
      <c r="F242" s="209" t="s">
        <v>517</v>
      </c>
      <c r="G242" s="209">
        <v>1575</v>
      </c>
      <c r="H242" s="209">
        <v>1432</v>
      </c>
      <c r="I242" s="264" t="str">
        <f t="shared" si="15"/>
        <v>B1-L2</v>
      </c>
    </row>
    <row r="243" spans="3:9" x14ac:dyDescent="0.3">
      <c r="C243" s="209">
        <v>914</v>
      </c>
      <c r="D243" s="209" t="s">
        <v>347</v>
      </c>
      <c r="E243" s="209">
        <v>1380</v>
      </c>
      <c r="F243" s="209" t="s">
        <v>518</v>
      </c>
      <c r="G243" s="209">
        <v>1720</v>
      </c>
      <c r="H243" s="209">
        <v>1950</v>
      </c>
      <c r="I243" s="264" t="str">
        <f t="shared" si="15"/>
        <v>C1-L2</v>
      </c>
    </row>
    <row r="244" spans="3:9" x14ac:dyDescent="0.3">
      <c r="C244" s="209">
        <v>915</v>
      </c>
      <c r="D244" s="209" t="s">
        <v>342</v>
      </c>
      <c r="E244" s="209">
        <v>1127</v>
      </c>
      <c r="F244" s="209" t="s">
        <v>519</v>
      </c>
      <c r="G244" s="209">
        <v>1625</v>
      </c>
      <c r="H244" s="209">
        <v>1423</v>
      </c>
      <c r="I244" s="264" t="str">
        <f t="shared" si="15"/>
        <v>B1-L2</v>
      </c>
    </row>
    <row r="245" spans="3:9" x14ac:dyDescent="0.3">
      <c r="C245" s="209">
        <v>916</v>
      </c>
      <c r="D245" s="209" t="s">
        <v>347</v>
      </c>
      <c r="E245" s="209">
        <v>1380</v>
      </c>
      <c r="F245" s="209" t="s">
        <v>520</v>
      </c>
      <c r="G245" s="209">
        <v>1795</v>
      </c>
      <c r="H245" s="209">
        <v>1776</v>
      </c>
      <c r="I245" s="264" t="str">
        <f t="shared" si="15"/>
        <v>C1-L2</v>
      </c>
    </row>
    <row r="246" spans="3:9" x14ac:dyDescent="0.3">
      <c r="C246" s="209">
        <v>917</v>
      </c>
      <c r="D246" s="209" t="s">
        <v>341</v>
      </c>
      <c r="E246" s="209">
        <v>1127</v>
      </c>
      <c r="F246" s="209" t="s">
        <v>521</v>
      </c>
      <c r="G246" s="209">
        <v>1276</v>
      </c>
      <c r="H246" s="209">
        <v>1391</v>
      </c>
      <c r="I246" s="264" t="str">
        <f t="shared" si="15"/>
        <v>B1</v>
      </c>
    </row>
    <row r="247" spans="3:9" x14ac:dyDescent="0.3">
      <c r="C247" s="209">
        <v>918</v>
      </c>
      <c r="D247" s="209" t="s">
        <v>346</v>
      </c>
      <c r="E247" s="209">
        <v>1380</v>
      </c>
      <c r="F247" s="209" t="s">
        <v>522</v>
      </c>
      <c r="G247" s="209">
        <v>1456</v>
      </c>
      <c r="H247" s="209">
        <v>1490</v>
      </c>
      <c r="I247" s="264" t="str">
        <f t="shared" si="15"/>
        <v>C1</v>
      </c>
    </row>
    <row r="248" spans="3:9" x14ac:dyDescent="0.3">
      <c r="C248" s="209">
        <v>919</v>
      </c>
      <c r="D248" s="209" t="s">
        <v>341</v>
      </c>
      <c r="E248" s="209">
        <v>1127</v>
      </c>
      <c r="F248" s="209" t="s">
        <v>523</v>
      </c>
      <c r="G248" s="209">
        <v>1276</v>
      </c>
      <c r="H248" s="209">
        <v>1203</v>
      </c>
      <c r="I248" s="264" t="str">
        <f t="shared" si="15"/>
        <v>B1</v>
      </c>
    </row>
    <row r="249" spans="3:9" x14ac:dyDescent="0.3">
      <c r="C249" s="209">
        <v>920</v>
      </c>
      <c r="D249" s="209" t="s">
        <v>346</v>
      </c>
      <c r="E249" s="209">
        <v>1380</v>
      </c>
      <c r="F249" s="209" t="s">
        <v>524</v>
      </c>
      <c r="G249" s="209">
        <v>1456</v>
      </c>
      <c r="H249" s="209">
        <v>1903</v>
      </c>
      <c r="I249" s="264" t="str">
        <f t="shared" si="15"/>
        <v>C1</v>
      </c>
    </row>
    <row r="250" spans="3:9" x14ac:dyDescent="0.3">
      <c r="C250" s="209">
        <v>921</v>
      </c>
      <c r="D250" s="209" t="s">
        <v>342</v>
      </c>
      <c r="E250" s="209">
        <v>1127</v>
      </c>
      <c r="F250" s="209" t="s">
        <v>525</v>
      </c>
      <c r="G250" s="209">
        <v>1540</v>
      </c>
      <c r="H250" s="209">
        <v>1415</v>
      </c>
      <c r="I250" s="264" t="str">
        <f t="shared" si="15"/>
        <v>B1-L2</v>
      </c>
    </row>
    <row r="251" spans="3:9" x14ac:dyDescent="0.3">
      <c r="C251" s="209">
        <v>922</v>
      </c>
      <c r="D251" s="209" t="s">
        <v>346</v>
      </c>
      <c r="E251" s="209">
        <v>1380</v>
      </c>
      <c r="F251" s="209" t="s">
        <v>526</v>
      </c>
      <c r="G251" s="209">
        <v>1461</v>
      </c>
      <c r="H251" s="209">
        <v>1519</v>
      </c>
      <c r="I251" s="264" t="str">
        <f t="shared" si="15"/>
        <v>C1</v>
      </c>
    </row>
    <row r="252" spans="3:9" x14ac:dyDescent="0.3">
      <c r="C252" s="209">
        <v>923</v>
      </c>
      <c r="D252" s="209" t="s">
        <v>342</v>
      </c>
      <c r="E252" s="209">
        <v>1127</v>
      </c>
      <c r="F252" s="209" t="s">
        <v>527</v>
      </c>
      <c r="G252" s="209">
        <v>1515</v>
      </c>
      <c r="H252" s="209">
        <v>1566</v>
      </c>
      <c r="I252" s="264" t="str">
        <f t="shared" si="15"/>
        <v>B1-L2</v>
      </c>
    </row>
    <row r="253" spans="3:9" x14ac:dyDescent="0.3">
      <c r="C253" s="209">
        <v>924</v>
      </c>
      <c r="D253" s="209" t="s">
        <v>346</v>
      </c>
      <c r="E253" s="209">
        <v>1380</v>
      </c>
      <c r="F253" s="209" t="s">
        <v>528</v>
      </c>
      <c r="G253" s="209">
        <v>1461</v>
      </c>
      <c r="H253" s="209">
        <v>1427</v>
      </c>
      <c r="I253" s="264" t="str">
        <f t="shared" si="15"/>
        <v>C1</v>
      </c>
    </row>
    <row r="254" spans="3:9" x14ac:dyDescent="0.3">
      <c r="C254" s="209">
        <v>1001</v>
      </c>
      <c r="D254" s="209" t="s">
        <v>340</v>
      </c>
      <c r="E254" s="209">
        <v>583</v>
      </c>
      <c r="F254" s="209" t="s">
        <v>529</v>
      </c>
      <c r="G254" s="209">
        <v>1102</v>
      </c>
      <c r="H254" s="209">
        <v>1054</v>
      </c>
      <c r="I254" s="264" t="str">
        <f t="shared" ref="I254:I317" si="16">IF(H254=0,"",D254)</f>
        <v>E1</v>
      </c>
    </row>
    <row r="255" spans="3:9" x14ac:dyDescent="0.3">
      <c r="C255" s="209">
        <v>1002</v>
      </c>
      <c r="D255" s="209" t="s">
        <v>342</v>
      </c>
      <c r="E255" s="209">
        <v>1127</v>
      </c>
      <c r="F255" s="209"/>
      <c r="G255" s="209">
        <v>1515</v>
      </c>
      <c r="H255" s="209">
        <v>0</v>
      </c>
      <c r="I255" s="264" t="str">
        <f t="shared" si="16"/>
        <v/>
      </c>
    </row>
    <row r="256" spans="3:9" x14ac:dyDescent="0.3">
      <c r="C256" s="209">
        <v>1003</v>
      </c>
      <c r="D256" s="209" t="s">
        <v>340</v>
      </c>
      <c r="E256" s="209">
        <v>583</v>
      </c>
      <c r="F256" s="209" t="s">
        <v>530</v>
      </c>
      <c r="G256" s="209">
        <v>1098</v>
      </c>
      <c r="H256" s="209">
        <v>1176</v>
      </c>
      <c r="I256" s="264" t="str">
        <f t="shared" si="16"/>
        <v>E1</v>
      </c>
    </row>
    <row r="257" spans="3:9" x14ac:dyDescent="0.3">
      <c r="C257" s="209">
        <v>1004</v>
      </c>
      <c r="D257" s="209" t="s">
        <v>342</v>
      </c>
      <c r="E257" s="209">
        <v>1127</v>
      </c>
      <c r="F257" s="209" t="s">
        <v>531</v>
      </c>
      <c r="G257" s="209">
        <v>1496</v>
      </c>
      <c r="H257" s="209">
        <v>1596</v>
      </c>
      <c r="I257" s="264" t="str">
        <f t="shared" si="16"/>
        <v>B1-L2</v>
      </c>
    </row>
    <row r="258" spans="3:9" x14ac:dyDescent="0.3">
      <c r="C258" s="209">
        <v>1005</v>
      </c>
      <c r="D258" s="209" t="s">
        <v>340</v>
      </c>
      <c r="E258" s="209">
        <v>583</v>
      </c>
      <c r="F258" s="209" t="s">
        <v>532</v>
      </c>
      <c r="G258" s="209">
        <v>1122</v>
      </c>
      <c r="H258" s="209">
        <v>1115</v>
      </c>
      <c r="I258" s="264" t="str">
        <f t="shared" si="16"/>
        <v>E1</v>
      </c>
    </row>
    <row r="259" spans="3:9" x14ac:dyDescent="0.3">
      <c r="C259" s="209">
        <v>1006</v>
      </c>
      <c r="D259" s="209" t="s">
        <v>342</v>
      </c>
      <c r="E259" s="209">
        <v>1127</v>
      </c>
      <c r="F259" s="209" t="s">
        <v>533</v>
      </c>
      <c r="G259" s="209">
        <v>1581</v>
      </c>
      <c r="H259" s="209">
        <v>1398</v>
      </c>
      <c r="I259" s="264" t="str">
        <f t="shared" si="16"/>
        <v>B1-L2</v>
      </c>
    </row>
    <row r="260" spans="3:9" x14ac:dyDescent="0.3">
      <c r="C260" s="209">
        <v>1007</v>
      </c>
      <c r="D260" s="209" t="s">
        <v>340</v>
      </c>
      <c r="E260" s="209">
        <v>583</v>
      </c>
      <c r="F260" s="209" t="s">
        <v>534</v>
      </c>
      <c r="G260" s="209">
        <v>1132</v>
      </c>
      <c r="H260" s="209">
        <v>1163</v>
      </c>
      <c r="I260" s="264" t="str">
        <f t="shared" si="16"/>
        <v>E1</v>
      </c>
    </row>
    <row r="261" spans="3:9" x14ac:dyDescent="0.3">
      <c r="C261" s="209">
        <v>1008</v>
      </c>
      <c r="D261" s="209" t="s">
        <v>342</v>
      </c>
      <c r="E261" s="209">
        <v>1127</v>
      </c>
      <c r="F261" s="209" t="s">
        <v>535</v>
      </c>
      <c r="G261" s="209">
        <v>1530</v>
      </c>
      <c r="H261" s="209">
        <v>1508</v>
      </c>
      <c r="I261" s="264" t="str">
        <f t="shared" si="16"/>
        <v>B1-L2</v>
      </c>
    </row>
    <row r="262" spans="3:9" x14ac:dyDescent="0.3">
      <c r="C262" s="209">
        <v>1009</v>
      </c>
      <c r="D262" s="209" t="s">
        <v>340</v>
      </c>
      <c r="E262" s="209">
        <v>583</v>
      </c>
      <c r="F262" s="209" t="s">
        <v>536</v>
      </c>
      <c r="G262" s="209">
        <v>1132</v>
      </c>
      <c r="H262" s="209">
        <v>1036</v>
      </c>
      <c r="I262" s="264" t="str">
        <f t="shared" si="16"/>
        <v>E1</v>
      </c>
    </row>
    <row r="263" spans="3:9" x14ac:dyDescent="0.3">
      <c r="C263" s="209">
        <v>1010</v>
      </c>
      <c r="D263" s="209" t="s">
        <v>342</v>
      </c>
      <c r="E263" s="209">
        <v>1127</v>
      </c>
      <c r="F263" s="209"/>
      <c r="G263" s="209">
        <v>1555</v>
      </c>
      <c r="H263" s="209">
        <v>0</v>
      </c>
      <c r="I263" s="264" t="str">
        <f t="shared" si="16"/>
        <v/>
      </c>
    </row>
    <row r="264" spans="3:9" x14ac:dyDescent="0.3">
      <c r="C264" s="209">
        <v>1011</v>
      </c>
      <c r="D264" s="209" t="s">
        <v>342</v>
      </c>
      <c r="E264" s="209">
        <v>1127</v>
      </c>
      <c r="F264" s="209" t="s">
        <v>537</v>
      </c>
      <c r="G264" s="209">
        <v>1515</v>
      </c>
      <c r="H264" s="209">
        <v>1524</v>
      </c>
      <c r="I264" s="264" t="str">
        <f t="shared" si="16"/>
        <v>B1-L2</v>
      </c>
    </row>
    <row r="265" spans="3:9" x14ac:dyDescent="0.3">
      <c r="C265" s="209">
        <v>1012</v>
      </c>
      <c r="D265" s="209" t="s">
        <v>340</v>
      </c>
      <c r="E265" s="209">
        <v>583</v>
      </c>
      <c r="F265" s="209" t="s">
        <v>538</v>
      </c>
      <c r="G265" s="209">
        <v>1112</v>
      </c>
      <c r="H265" s="209">
        <v>1147</v>
      </c>
      <c r="I265" s="264" t="str">
        <f t="shared" si="16"/>
        <v>E1</v>
      </c>
    </row>
    <row r="266" spans="3:9" x14ac:dyDescent="0.3">
      <c r="C266" s="209">
        <v>1013</v>
      </c>
      <c r="D266" s="209" t="s">
        <v>342</v>
      </c>
      <c r="E266" s="209">
        <v>1127</v>
      </c>
      <c r="F266" s="209" t="s">
        <v>539</v>
      </c>
      <c r="G266" s="209">
        <v>1510</v>
      </c>
      <c r="H266" s="209">
        <v>1636</v>
      </c>
      <c r="I266" s="264" t="str">
        <f t="shared" si="16"/>
        <v>B1-L2</v>
      </c>
    </row>
    <row r="267" spans="3:9" x14ac:dyDescent="0.3">
      <c r="C267" s="209">
        <v>1014</v>
      </c>
      <c r="D267" s="209" t="s">
        <v>340</v>
      </c>
      <c r="E267" s="209">
        <v>583</v>
      </c>
      <c r="F267" s="209"/>
      <c r="G267" s="209">
        <v>1098</v>
      </c>
      <c r="H267" s="209">
        <v>0</v>
      </c>
      <c r="I267" s="264" t="str">
        <f t="shared" si="16"/>
        <v/>
      </c>
    </row>
    <row r="268" spans="3:9" x14ac:dyDescent="0.3">
      <c r="C268" s="209">
        <v>1015</v>
      </c>
      <c r="D268" s="209" t="s">
        <v>341</v>
      </c>
      <c r="E268" s="209">
        <v>1127</v>
      </c>
      <c r="F268" s="209" t="s">
        <v>540</v>
      </c>
      <c r="G268" s="209">
        <v>1361</v>
      </c>
      <c r="H268" s="209">
        <v>1415</v>
      </c>
      <c r="I268" s="264" t="str">
        <f t="shared" si="16"/>
        <v>B1</v>
      </c>
    </row>
    <row r="269" spans="3:9" x14ac:dyDescent="0.3">
      <c r="C269" s="209">
        <v>1016</v>
      </c>
      <c r="D269" s="209" t="s">
        <v>340</v>
      </c>
      <c r="E269" s="209">
        <v>583</v>
      </c>
      <c r="F269" s="209" t="s">
        <v>541</v>
      </c>
      <c r="G269" s="209">
        <v>1122</v>
      </c>
      <c r="H269" s="209">
        <v>1008</v>
      </c>
      <c r="I269" s="264" t="str">
        <f t="shared" si="16"/>
        <v>E1</v>
      </c>
    </row>
    <row r="270" spans="3:9" x14ac:dyDescent="0.3">
      <c r="C270" s="209">
        <v>1017</v>
      </c>
      <c r="D270" s="209" t="s">
        <v>342</v>
      </c>
      <c r="E270" s="209">
        <v>1127</v>
      </c>
      <c r="F270" s="209" t="s">
        <v>542</v>
      </c>
      <c r="G270" s="209">
        <v>1530</v>
      </c>
      <c r="H270" s="209">
        <v>1343</v>
      </c>
      <c r="I270" s="264" t="str">
        <f t="shared" si="16"/>
        <v>B1-L2</v>
      </c>
    </row>
    <row r="271" spans="3:9" x14ac:dyDescent="0.3">
      <c r="C271" s="209">
        <v>1018</v>
      </c>
      <c r="D271" s="209" t="s">
        <v>340</v>
      </c>
      <c r="E271" s="209">
        <v>583</v>
      </c>
      <c r="F271" s="209" t="s">
        <v>543</v>
      </c>
      <c r="G271" s="209">
        <v>1132</v>
      </c>
      <c r="H271" s="209">
        <v>1108</v>
      </c>
      <c r="I271" s="264" t="str">
        <f t="shared" si="16"/>
        <v>E1</v>
      </c>
    </row>
    <row r="272" spans="3:9" x14ac:dyDescent="0.3">
      <c r="C272" s="209">
        <v>1019</v>
      </c>
      <c r="D272" s="209" t="s">
        <v>342</v>
      </c>
      <c r="E272" s="209">
        <v>1127</v>
      </c>
      <c r="F272" s="209" t="s">
        <v>544</v>
      </c>
      <c r="G272" s="209">
        <v>1530</v>
      </c>
      <c r="H272" s="209">
        <v>1484</v>
      </c>
      <c r="I272" s="264" t="str">
        <f t="shared" si="16"/>
        <v>B1-L2</v>
      </c>
    </row>
    <row r="273" spans="3:9" x14ac:dyDescent="0.3">
      <c r="C273" s="209">
        <v>1020</v>
      </c>
      <c r="D273" s="209" t="s">
        <v>340</v>
      </c>
      <c r="E273" s="209">
        <v>583</v>
      </c>
      <c r="F273" s="209" t="s">
        <v>545</v>
      </c>
      <c r="G273" s="209">
        <v>1118</v>
      </c>
      <c r="H273" s="209">
        <v>1116</v>
      </c>
      <c r="I273" s="264" t="str">
        <f t="shared" si="16"/>
        <v>E1</v>
      </c>
    </row>
    <row r="274" spans="3:9" x14ac:dyDescent="0.3">
      <c r="C274" s="209">
        <v>1101</v>
      </c>
      <c r="D274" s="209" t="s">
        <v>340</v>
      </c>
      <c r="E274" s="209">
        <v>583</v>
      </c>
      <c r="F274" s="209" t="s">
        <v>546</v>
      </c>
      <c r="G274" s="209">
        <v>1137</v>
      </c>
      <c r="H274" s="209">
        <v>996</v>
      </c>
      <c r="I274" s="264" t="str">
        <f t="shared" si="16"/>
        <v>E1</v>
      </c>
    </row>
    <row r="275" spans="3:9" x14ac:dyDescent="0.3">
      <c r="C275" s="209">
        <v>1102</v>
      </c>
      <c r="D275" s="209" t="s">
        <v>342</v>
      </c>
      <c r="E275" s="209">
        <v>1127</v>
      </c>
      <c r="F275" s="209" t="s">
        <v>547</v>
      </c>
      <c r="G275" s="209">
        <v>1650</v>
      </c>
      <c r="H275" s="209">
        <v>1683</v>
      </c>
      <c r="I275" s="264" t="str">
        <f t="shared" si="16"/>
        <v>B1-L2</v>
      </c>
    </row>
    <row r="276" spans="3:9" x14ac:dyDescent="0.3">
      <c r="C276" s="209">
        <v>1103</v>
      </c>
      <c r="D276" s="209" t="s">
        <v>340</v>
      </c>
      <c r="E276" s="209">
        <v>583</v>
      </c>
      <c r="F276" s="209" t="s">
        <v>548</v>
      </c>
      <c r="G276" s="209">
        <v>1137</v>
      </c>
      <c r="H276" s="209">
        <v>1099</v>
      </c>
      <c r="I276" s="264" t="str">
        <f t="shared" si="16"/>
        <v>E1</v>
      </c>
    </row>
    <row r="277" spans="3:9" x14ac:dyDescent="0.3">
      <c r="C277" s="209">
        <v>1104</v>
      </c>
      <c r="D277" s="209" t="s">
        <v>342</v>
      </c>
      <c r="E277" s="209">
        <v>1127</v>
      </c>
      <c r="F277" s="209" t="s">
        <v>549</v>
      </c>
      <c r="G277" s="209">
        <v>1625</v>
      </c>
      <c r="H277" s="209">
        <v>1237</v>
      </c>
      <c r="I277" s="264" t="str">
        <f t="shared" si="16"/>
        <v>B1-L2</v>
      </c>
    </row>
    <row r="278" spans="3:9" x14ac:dyDescent="0.3">
      <c r="C278" s="209">
        <v>1105</v>
      </c>
      <c r="D278" s="209" t="s">
        <v>340</v>
      </c>
      <c r="E278" s="209">
        <v>583</v>
      </c>
      <c r="F278" s="209" t="s">
        <v>550</v>
      </c>
      <c r="G278" s="209">
        <v>1098</v>
      </c>
      <c r="H278" s="209">
        <v>1004</v>
      </c>
      <c r="I278" s="264" t="str">
        <f t="shared" si="16"/>
        <v>E1</v>
      </c>
    </row>
    <row r="279" spans="3:9" x14ac:dyDescent="0.3">
      <c r="C279" s="209">
        <v>1106</v>
      </c>
      <c r="D279" s="209" t="s">
        <v>342</v>
      </c>
      <c r="E279" s="209">
        <v>1127</v>
      </c>
      <c r="F279" s="209"/>
      <c r="G279" s="209">
        <v>1535</v>
      </c>
      <c r="H279" s="209">
        <v>0</v>
      </c>
      <c r="I279" s="264" t="str">
        <f t="shared" si="16"/>
        <v/>
      </c>
    </row>
    <row r="280" spans="3:9" x14ac:dyDescent="0.3">
      <c r="C280" s="209">
        <v>1107</v>
      </c>
      <c r="D280" s="209" t="s">
        <v>340</v>
      </c>
      <c r="E280" s="209">
        <v>583</v>
      </c>
      <c r="F280" s="209" t="s">
        <v>551</v>
      </c>
      <c r="G280" s="209">
        <v>1098</v>
      </c>
      <c r="H280" s="209">
        <v>1200</v>
      </c>
      <c r="I280" s="264" t="str">
        <f t="shared" si="16"/>
        <v>E1</v>
      </c>
    </row>
    <row r="281" spans="3:9" x14ac:dyDescent="0.3">
      <c r="C281" s="209">
        <v>1108</v>
      </c>
      <c r="D281" s="209" t="s">
        <v>342</v>
      </c>
      <c r="E281" s="209">
        <v>1127</v>
      </c>
      <c r="F281" s="209"/>
      <c r="G281" s="209">
        <v>1496</v>
      </c>
      <c r="H281" s="209">
        <v>0</v>
      </c>
      <c r="I281" s="264" t="str">
        <f t="shared" si="16"/>
        <v/>
      </c>
    </row>
    <row r="282" spans="3:9" x14ac:dyDescent="0.3">
      <c r="C282" s="209">
        <v>1109</v>
      </c>
      <c r="D282" s="209" t="s">
        <v>340</v>
      </c>
      <c r="E282" s="209">
        <v>583</v>
      </c>
      <c r="F282" s="209" t="s">
        <v>552</v>
      </c>
      <c r="G282" s="209">
        <v>1132</v>
      </c>
      <c r="H282" s="209">
        <v>1001</v>
      </c>
      <c r="I282" s="264" t="str">
        <f t="shared" si="16"/>
        <v>E1</v>
      </c>
    </row>
    <row r="283" spans="3:9" x14ac:dyDescent="0.3">
      <c r="C283" s="209">
        <v>1110</v>
      </c>
      <c r="D283" s="209" t="s">
        <v>342</v>
      </c>
      <c r="E283" s="209">
        <v>1127</v>
      </c>
      <c r="F283" s="209" t="s">
        <v>553</v>
      </c>
      <c r="G283" s="209">
        <v>1541</v>
      </c>
      <c r="H283" s="209">
        <v>1346</v>
      </c>
      <c r="I283" s="264" t="str">
        <f t="shared" si="16"/>
        <v>B1-L2</v>
      </c>
    </row>
    <row r="284" spans="3:9" x14ac:dyDescent="0.3">
      <c r="C284" s="209">
        <v>1111</v>
      </c>
      <c r="D284" s="209" t="s">
        <v>340</v>
      </c>
      <c r="E284" s="209">
        <v>583</v>
      </c>
      <c r="F284" s="209" t="s">
        <v>554</v>
      </c>
      <c r="G284" s="209">
        <v>1132</v>
      </c>
      <c r="H284" s="209">
        <v>1319</v>
      </c>
      <c r="I284" s="264" t="str">
        <f t="shared" si="16"/>
        <v>E1</v>
      </c>
    </row>
    <row r="285" spans="3:9" x14ac:dyDescent="0.3">
      <c r="C285" s="209">
        <v>1112</v>
      </c>
      <c r="D285" s="209" t="s">
        <v>342</v>
      </c>
      <c r="E285" s="209">
        <v>1127</v>
      </c>
      <c r="F285" s="209" t="s">
        <v>555</v>
      </c>
      <c r="G285" s="209">
        <v>1516</v>
      </c>
      <c r="H285" s="209">
        <v>1265</v>
      </c>
      <c r="I285" s="264" t="str">
        <f t="shared" si="16"/>
        <v>B1-L2</v>
      </c>
    </row>
    <row r="286" spans="3:9" x14ac:dyDescent="0.3">
      <c r="C286" s="209">
        <v>1113</v>
      </c>
      <c r="D286" s="209" t="s">
        <v>341</v>
      </c>
      <c r="E286" s="209">
        <v>1127</v>
      </c>
      <c r="F286" s="209" t="s">
        <v>556</v>
      </c>
      <c r="G286" s="209">
        <v>1390</v>
      </c>
      <c r="H286" s="209">
        <v>1460</v>
      </c>
      <c r="I286" s="264" t="str">
        <f t="shared" si="16"/>
        <v>B1</v>
      </c>
    </row>
    <row r="287" spans="3:9" x14ac:dyDescent="0.3">
      <c r="C287" s="209">
        <v>1114</v>
      </c>
      <c r="D287" s="209" t="s">
        <v>340</v>
      </c>
      <c r="E287" s="209">
        <v>583</v>
      </c>
      <c r="F287" s="209" t="s">
        <v>557</v>
      </c>
      <c r="G287" s="209">
        <v>1123</v>
      </c>
      <c r="H287" s="209">
        <v>829</v>
      </c>
      <c r="I287" s="264" t="str">
        <f t="shared" si="16"/>
        <v>E1</v>
      </c>
    </row>
    <row r="288" spans="3:9" x14ac:dyDescent="0.3">
      <c r="C288" s="209">
        <v>1115</v>
      </c>
      <c r="D288" s="209" t="s">
        <v>342</v>
      </c>
      <c r="E288" s="209">
        <v>1127</v>
      </c>
      <c r="F288" s="209" t="s">
        <v>558</v>
      </c>
      <c r="G288" s="209">
        <v>1610</v>
      </c>
      <c r="H288" s="209">
        <v>1544</v>
      </c>
      <c r="I288" s="264" t="str">
        <f t="shared" si="16"/>
        <v>B1-L2</v>
      </c>
    </row>
    <row r="289" spans="3:9" x14ac:dyDescent="0.3">
      <c r="C289" s="209">
        <v>1116</v>
      </c>
      <c r="D289" s="209" t="s">
        <v>340</v>
      </c>
      <c r="E289" s="209">
        <v>583</v>
      </c>
      <c r="F289" s="209" t="s">
        <v>559</v>
      </c>
      <c r="G289" s="209">
        <v>1123</v>
      </c>
      <c r="H289" s="209">
        <v>1085</v>
      </c>
      <c r="I289" s="264" t="str">
        <f t="shared" si="16"/>
        <v>E1</v>
      </c>
    </row>
    <row r="290" spans="3:9" x14ac:dyDescent="0.3">
      <c r="C290" s="209">
        <v>1117</v>
      </c>
      <c r="D290" s="209" t="s">
        <v>342</v>
      </c>
      <c r="E290" s="209">
        <v>1127</v>
      </c>
      <c r="F290" s="209" t="s">
        <v>560</v>
      </c>
      <c r="G290" s="209">
        <v>1510</v>
      </c>
      <c r="H290" s="209">
        <v>1629</v>
      </c>
      <c r="I290" s="264" t="str">
        <f t="shared" si="16"/>
        <v>B1-L2</v>
      </c>
    </row>
    <row r="291" spans="3:9" x14ac:dyDescent="0.3">
      <c r="C291" s="209">
        <v>1118</v>
      </c>
      <c r="D291" s="209" t="s">
        <v>340</v>
      </c>
      <c r="E291" s="209">
        <v>583</v>
      </c>
      <c r="F291" s="209" t="s">
        <v>561</v>
      </c>
      <c r="G291" s="209">
        <v>1098</v>
      </c>
      <c r="H291" s="209">
        <v>1034</v>
      </c>
      <c r="I291" s="264" t="str">
        <f t="shared" si="16"/>
        <v>E1</v>
      </c>
    </row>
    <row r="292" spans="3:9" x14ac:dyDescent="0.3">
      <c r="C292" s="209">
        <v>1119</v>
      </c>
      <c r="D292" s="209" t="s">
        <v>342</v>
      </c>
      <c r="E292" s="209">
        <v>1127</v>
      </c>
      <c r="F292" s="209" t="s">
        <v>562</v>
      </c>
      <c r="G292" s="209">
        <v>1510</v>
      </c>
      <c r="H292" s="209">
        <v>1543</v>
      </c>
      <c r="I292" s="264" t="str">
        <f t="shared" si="16"/>
        <v>B1-L2</v>
      </c>
    </row>
    <row r="293" spans="3:9" x14ac:dyDescent="0.3">
      <c r="C293" s="209">
        <v>1120</v>
      </c>
      <c r="D293" s="209" t="s">
        <v>340</v>
      </c>
      <c r="E293" s="209">
        <v>583</v>
      </c>
      <c r="F293" s="209" t="s">
        <v>563</v>
      </c>
      <c r="G293" s="209">
        <v>1112</v>
      </c>
      <c r="H293" s="209">
        <v>1272</v>
      </c>
      <c r="I293" s="264" t="str">
        <f t="shared" si="16"/>
        <v>E1</v>
      </c>
    </row>
    <row r="294" spans="3:9" x14ac:dyDescent="0.3">
      <c r="C294" s="209">
        <v>1121</v>
      </c>
      <c r="D294" s="209" t="s">
        <v>342</v>
      </c>
      <c r="E294" s="209">
        <v>1127</v>
      </c>
      <c r="F294" s="209" t="s">
        <v>564</v>
      </c>
      <c r="G294" s="209">
        <v>1516</v>
      </c>
      <c r="H294" s="209">
        <v>1429</v>
      </c>
      <c r="I294" s="264" t="str">
        <f t="shared" si="16"/>
        <v>B1-L2</v>
      </c>
    </row>
    <row r="295" spans="3:9" x14ac:dyDescent="0.3">
      <c r="C295" s="209">
        <v>1122</v>
      </c>
      <c r="D295" s="209" t="s">
        <v>340</v>
      </c>
      <c r="E295" s="209">
        <v>583</v>
      </c>
      <c r="F295" s="209" t="s">
        <v>565</v>
      </c>
      <c r="G295" s="209">
        <v>1132</v>
      </c>
      <c r="H295" s="209">
        <v>969</v>
      </c>
      <c r="I295" s="264" t="str">
        <f t="shared" si="16"/>
        <v>E1</v>
      </c>
    </row>
    <row r="296" spans="3:9" x14ac:dyDescent="0.3">
      <c r="C296" s="209">
        <v>1123</v>
      </c>
      <c r="D296" s="209" t="s">
        <v>342</v>
      </c>
      <c r="E296" s="209">
        <v>1127</v>
      </c>
      <c r="F296" s="209"/>
      <c r="G296" s="209">
        <v>1530</v>
      </c>
      <c r="H296" s="209">
        <v>0</v>
      </c>
      <c r="I296" s="264" t="str">
        <f t="shared" si="16"/>
        <v/>
      </c>
    </row>
    <row r="297" spans="3:9" x14ac:dyDescent="0.3">
      <c r="C297" s="209">
        <v>1124</v>
      </c>
      <c r="D297" s="209" t="s">
        <v>340</v>
      </c>
      <c r="E297" s="209">
        <v>583</v>
      </c>
      <c r="F297" s="209"/>
      <c r="G297" s="209">
        <v>1118</v>
      </c>
      <c r="H297" s="209">
        <v>0</v>
      </c>
      <c r="I297" s="264" t="str">
        <f t="shared" si="16"/>
        <v/>
      </c>
    </row>
    <row r="298" spans="3:9" x14ac:dyDescent="0.3">
      <c r="C298" s="209">
        <v>1201</v>
      </c>
      <c r="D298" s="209" t="s">
        <v>347</v>
      </c>
      <c r="E298" s="209">
        <v>1380</v>
      </c>
      <c r="F298" s="209"/>
      <c r="G298" s="209">
        <v>1795</v>
      </c>
      <c r="H298" s="209">
        <v>0</v>
      </c>
      <c r="I298" s="264" t="str">
        <f t="shared" si="16"/>
        <v/>
      </c>
    </row>
    <row r="299" spans="3:9" x14ac:dyDescent="0.3">
      <c r="C299" s="209">
        <v>1202</v>
      </c>
      <c r="D299" s="209" t="s">
        <v>342</v>
      </c>
      <c r="E299" s="209">
        <v>1127</v>
      </c>
      <c r="F299" s="209" t="s">
        <v>566</v>
      </c>
      <c r="G299" s="209">
        <v>1625</v>
      </c>
      <c r="H299" s="209">
        <v>1439</v>
      </c>
      <c r="I299" s="264" t="str">
        <f t="shared" si="16"/>
        <v>B1-L2</v>
      </c>
    </row>
    <row r="300" spans="3:9" x14ac:dyDescent="0.3">
      <c r="C300" s="209">
        <v>1203</v>
      </c>
      <c r="D300" s="209" t="s">
        <v>347</v>
      </c>
      <c r="E300" s="209">
        <v>1380</v>
      </c>
      <c r="F300" s="209" t="s">
        <v>567</v>
      </c>
      <c r="G300" s="209">
        <v>1795</v>
      </c>
      <c r="H300" s="209">
        <v>1787</v>
      </c>
      <c r="I300" s="264" t="str">
        <f t="shared" si="16"/>
        <v>C1-L2</v>
      </c>
    </row>
    <row r="301" spans="3:9" x14ac:dyDescent="0.3">
      <c r="C301" s="209">
        <v>1204</v>
      </c>
      <c r="D301" s="209" t="s">
        <v>342</v>
      </c>
      <c r="E301" s="209">
        <v>1127</v>
      </c>
      <c r="F301" s="209" t="s">
        <v>568</v>
      </c>
      <c r="G301" s="209">
        <v>1611</v>
      </c>
      <c r="H301" s="209">
        <v>1533</v>
      </c>
      <c r="I301" s="264" t="str">
        <f t="shared" si="16"/>
        <v>B1-L2</v>
      </c>
    </row>
    <row r="302" spans="3:9" x14ac:dyDescent="0.3">
      <c r="C302" s="209">
        <v>1205</v>
      </c>
      <c r="D302" s="209" t="s">
        <v>347</v>
      </c>
      <c r="E302" s="209">
        <v>1380</v>
      </c>
      <c r="F302" s="209"/>
      <c r="G302" s="209">
        <v>1680</v>
      </c>
      <c r="H302" s="209">
        <v>0</v>
      </c>
      <c r="I302" s="264" t="str">
        <f t="shared" si="16"/>
        <v/>
      </c>
    </row>
    <row r="303" spans="3:9" x14ac:dyDescent="0.3">
      <c r="C303" s="209">
        <v>1206</v>
      </c>
      <c r="D303" s="209" t="s">
        <v>342</v>
      </c>
      <c r="E303" s="209">
        <v>1127</v>
      </c>
      <c r="F303" s="209" t="s">
        <v>569</v>
      </c>
      <c r="G303" s="209">
        <v>1510</v>
      </c>
      <c r="H303" s="209">
        <v>1579</v>
      </c>
      <c r="I303" s="264" t="str">
        <f t="shared" si="16"/>
        <v>B1-L2</v>
      </c>
    </row>
    <row r="304" spans="3:9" x14ac:dyDescent="0.3">
      <c r="C304" s="209">
        <v>1207</v>
      </c>
      <c r="D304" s="209" t="s">
        <v>346</v>
      </c>
      <c r="E304" s="209">
        <v>1380</v>
      </c>
      <c r="F304" s="209" t="s">
        <v>570</v>
      </c>
      <c r="G304" s="209">
        <v>1456</v>
      </c>
      <c r="H304" s="209">
        <v>1491</v>
      </c>
      <c r="I304" s="264" t="str">
        <f t="shared" si="16"/>
        <v>C1</v>
      </c>
    </row>
    <row r="305" spans="3:9" x14ac:dyDescent="0.3">
      <c r="C305" s="209">
        <v>1208</v>
      </c>
      <c r="D305" s="209" t="s">
        <v>341</v>
      </c>
      <c r="E305" s="209">
        <v>1127</v>
      </c>
      <c r="F305" s="209" t="s">
        <v>571</v>
      </c>
      <c r="G305" s="209">
        <v>1276</v>
      </c>
      <c r="H305" s="209">
        <v>1413</v>
      </c>
      <c r="I305" s="264" t="str">
        <f t="shared" si="16"/>
        <v>B1</v>
      </c>
    </row>
    <row r="306" spans="3:9" x14ac:dyDescent="0.3">
      <c r="C306" s="209">
        <v>1209</v>
      </c>
      <c r="D306" s="209" t="s">
        <v>347</v>
      </c>
      <c r="E306" s="209">
        <v>1380</v>
      </c>
      <c r="F306" s="209" t="s">
        <v>572</v>
      </c>
      <c r="G306" s="209">
        <v>1671</v>
      </c>
      <c r="H306" s="209">
        <v>1626</v>
      </c>
      <c r="I306" s="264" t="str">
        <f t="shared" si="16"/>
        <v>C1-L2</v>
      </c>
    </row>
    <row r="307" spans="3:9" x14ac:dyDescent="0.3">
      <c r="C307" s="209">
        <v>1210</v>
      </c>
      <c r="D307" s="209" t="s">
        <v>342</v>
      </c>
      <c r="E307" s="209">
        <v>1127</v>
      </c>
      <c r="F307" s="209" t="s">
        <v>573</v>
      </c>
      <c r="G307" s="209">
        <v>1530</v>
      </c>
      <c r="H307" s="209">
        <v>1475</v>
      </c>
      <c r="I307" s="264" t="str">
        <f t="shared" si="16"/>
        <v>B1-L2</v>
      </c>
    </row>
    <row r="308" spans="3:9" x14ac:dyDescent="0.3">
      <c r="C308" s="209">
        <v>1211</v>
      </c>
      <c r="D308" s="209" t="s">
        <v>347</v>
      </c>
      <c r="E308" s="209">
        <v>1380</v>
      </c>
      <c r="F308" s="209" t="s">
        <v>574</v>
      </c>
      <c r="G308" s="209">
        <v>1700</v>
      </c>
      <c r="H308" s="209">
        <v>1786</v>
      </c>
      <c r="I308" s="264" t="str">
        <f t="shared" si="16"/>
        <v>C1-L2</v>
      </c>
    </row>
    <row r="309" spans="3:9" x14ac:dyDescent="0.3">
      <c r="C309" s="209">
        <v>1212</v>
      </c>
      <c r="D309" s="209" t="s">
        <v>341</v>
      </c>
      <c r="E309" s="209">
        <v>1127</v>
      </c>
      <c r="F309" s="209" t="s">
        <v>575</v>
      </c>
      <c r="G309" s="209">
        <v>1296</v>
      </c>
      <c r="H309" s="209">
        <v>1107</v>
      </c>
      <c r="I309" s="264" t="str">
        <f t="shared" si="16"/>
        <v>B1</v>
      </c>
    </row>
    <row r="310" spans="3:9" x14ac:dyDescent="0.3">
      <c r="C310" s="209">
        <v>1213</v>
      </c>
      <c r="D310" s="209" t="s">
        <v>342</v>
      </c>
      <c r="E310" s="209">
        <v>1127</v>
      </c>
      <c r="F310" s="209" t="s">
        <v>576</v>
      </c>
      <c r="G310" s="209">
        <v>1535</v>
      </c>
      <c r="H310" s="209">
        <v>1416</v>
      </c>
      <c r="I310" s="264" t="str">
        <f t="shared" si="16"/>
        <v>B1-L2</v>
      </c>
    </row>
    <row r="311" spans="3:9" x14ac:dyDescent="0.3">
      <c r="C311" s="209">
        <v>1214</v>
      </c>
      <c r="D311" s="209" t="s">
        <v>347</v>
      </c>
      <c r="E311" s="209">
        <v>1380</v>
      </c>
      <c r="F311" s="209" t="s">
        <v>577</v>
      </c>
      <c r="G311" s="209">
        <v>1706</v>
      </c>
      <c r="H311" s="209">
        <v>1839</v>
      </c>
      <c r="I311" s="264" t="str">
        <f t="shared" si="16"/>
        <v>C1-L2</v>
      </c>
    </row>
    <row r="312" spans="3:9" x14ac:dyDescent="0.3">
      <c r="C312" s="209">
        <v>1215</v>
      </c>
      <c r="D312" s="209" t="s">
        <v>341</v>
      </c>
      <c r="E312" s="209">
        <v>1127</v>
      </c>
      <c r="F312" s="209" t="s">
        <v>578</v>
      </c>
      <c r="G312" s="209">
        <v>1376</v>
      </c>
      <c r="H312" s="209">
        <v>1474</v>
      </c>
      <c r="I312" s="264" t="str">
        <f t="shared" si="16"/>
        <v>B1</v>
      </c>
    </row>
    <row r="313" spans="3:9" x14ac:dyDescent="0.3">
      <c r="C313" s="209">
        <v>1216</v>
      </c>
      <c r="D313" s="209" t="s">
        <v>347</v>
      </c>
      <c r="E313" s="209">
        <v>1380</v>
      </c>
      <c r="F313" s="209" t="s">
        <v>579</v>
      </c>
      <c r="G313" s="209">
        <v>1795</v>
      </c>
      <c r="H313" s="209">
        <v>1855</v>
      </c>
      <c r="I313" s="264" t="str">
        <f t="shared" si="16"/>
        <v>C1-L2</v>
      </c>
    </row>
    <row r="314" spans="3:9" x14ac:dyDescent="0.3">
      <c r="C314" s="209">
        <v>1217</v>
      </c>
      <c r="D314" s="209" t="s">
        <v>342</v>
      </c>
      <c r="E314" s="209">
        <v>1127</v>
      </c>
      <c r="F314" s="209" t="s">
        <v>580</v>
      </c>
      <c r="G314" s="209">
        <v>1496</v>
      </c>
      <c r="H314" s="209">
        <v>1430</v>
      </c>
      <c r="I314" s="264" t="str">
        <f t="shared" si="16"/>
        <v>B1-L2</v>
      </c>
    </row>
    <row r="315" spans="3:9" x14ac:dyDescent="0.3">
      <c r="C315" s="209">
        <v>1218</v>
      </c>
      <c r="D315" s="209" t="s">
        <v>347</v>
      </c>
      <c r="E315" s="209">
        <v>1380</v>
      </c>
      <c r="F315" s="209"/>
      <c r="G315" s="209">
        <v>1680</v>
      </c>
      <c r="H315" s="209">
        <v>0</v>
      </c>
      <c r="I315" s="264" t="str">
        <f t="shared" si="16"/>
        <v/>
      </c>
    </row>
    <row r="316" spans="3:9" x14ac:dyDescent="0.3">
      <c r="C316" s="209">
        <v>1219</v>
      </c>
      <c r="D316" s="209" t="s">
        <v>342</v>
      </c>
      <c r="E316" s="209">
        <v>1127</v>
      </c>
      <c r="F316" s="209" t="s">
        <v>581</v>
      </c>
      <c r="G316" s="209">
        <v>1506</v>
      </c>
      <c r="H316" s="209">
        <v>1585</v>
      </c>
      <c r="I316" s="264" t="str">
        <f t="shared" si="16"/>
        <v>B1-L2</v>
      </c>
    </row>
    <row r="317" spans="3:9" x14ac:dyDescent="0.3">
      <c r="C317" s="209">
        <v>1220</v>
      </c>
      <c r="D317" s="209" t="s">
        <v>347</v>
      </c>
      <c r="E317" s="209">
        <v>1380</v>
      </c>
      <c r="F317" s="209" t="s">
        <v>582</v>
      </c>
      <c r="G317" s="209">
        <v>1680</v>
      </c>
      <c r="H317" s="209">
        <v>1568</v>
      </c>
      <c r="I317" s="264" t="str">
        <f t="shared" si="16"/>
        <v>C1-L2</v>
      </c>
    </row>
    <row r="318" spans="3:9" x14ac:dyDescent="0.3">
      <c r="C318" s="209">
        <v>1221</v>
      </c>
      <c r="D318" s="209" t="s">
        <v>342</v>
      </c>
      <c r="E318" s="209">
        <v>1127</v>
      </c>
      <c r="F318" s="209" t="s">
        <v>583</v>
      </c>
      <c r="G318" s="209">
        <v>1530</v>
      </c>
      <c r="H318" s="209">
        <v>1385</v>
      </c>
      <c r="I318" s="264" t="str">
        <f t="shared" ref="I318:I381" si="17">IF(H318=0,"",D318)</f>
        <v>B1-L2</v>
      </c>
    </row>
    <row r="319" spans="3:9" x14ac:dyDescent="0.3">
      <c r="C319" s="209">
        <v>1222</v>
      </c>
      <c r="D319" s="209" t="s">
        <v>347</v>
      </c>
      <c r="E319" s="209">
        <v>1380</v>
      </c>
      <c r="F319" s="209" t="s">
        <v>584</v>
      </c>
      <c r="G319" s="209">
        <v>1700</v>
      </c>
      <c r="H319" s="209">
        <v>2820</v>
      </c>
      <c r="I319" s="264" t="str">
        <f t="shared" si="17"/>
        <v>C1-L2</v>
      </c>
    </row>
    <row r="320" spans="3:9" x14ac:dyDescent="0.3">
      <c r="C320" s="209">
        <v>1223</v>
      </c>
      <c r="D320" s="209" t="s">
        <v>342</v>
      </c>
      <c r="E320" s="209">
        <v>1127</v>
      </c>
      <c r="F320" s="209" t="s">
        <v>585</v>
      </c>
      <c r="G320" s="209">
        <v>1530</v>
      </c>
      <c r="H320" s="209">
        <v>1081</v>
      </c>
      <c r="I320" s="264" t="str">
        <f t="shared" si="17"/>
        <v>B1-L2</v>
      </c>
    </row>
    <row r="321" spans="3:9" x14ac:dyDescent="0.3">
      <c r="C321" s="209">
        <v>1224</v>
      </c>
      <c r="D321" s="209" t="s">
        <v>347</v>
      </c>
      <c r="E321" s="209">
        <v>1380</v>
      </c>
      <c r="F321" s="209" t="s">
        <v>586</v>
      </c>
      <c r="G321" s="209">
        <v>1700</v>
      </c>
      <c r="H321" s="209">
        <v>1711</v>
      </c>
      <c r="I321" s="264" t="str">
        <f t="shared" si="17"/>
        <v>C1-L2</v>
      </c>
    </row>
    <row r="322" spans="3:9" x14ac:dyDescent="0.3">
      <c r="C322" s="209"/>
      <c r="D322" s="209"/>
      <c r="E322" s="209"/>
      <c r="F322" s="209"/>
      <c r="G322" s="209"/>
      <c r="H322" s="209"/>
      <c r="I322" s="264" t="str">
        <f t="shared" si="17"/>
        <v/>
      </c>
    </row>
    <row r="323" spans="3:9" x14ac:dyDescent="0.3">
      <c r="C323" s="209"/>
      <c r="D323" s="209"/>
      <c r="E323" s="209"/>
      <c r="F323" s="209"/>
      <c r="G323" s="209"/>
      <c r="H323" s="209"/>
      <c r="I323" s="264" t="str">
        <f t="shared" si="17"/>
        <v/>
      </c>
    </row>
    <row r="324" spans="3:9" x14ac:dyDescent="0.3">
      <c r="C324" s="209"/>
      <c r="D324" s="209"/>
      <c r="E324" s="209"/>
      <c r="F324" s="209"/>
      <c r="G324" s="209"/>
      <c r="H324" s="209"/>
      <c r="I324" s="264" t="str">
        <f t="shared" si="17"/>
        <v/>
      </c>
    </row>
    <row r="325" spans="3:9" x14ac:dyDescent="0.3">
      <c r="C325" s="209"/>
      <c r="D325" s="209"/>
      <c r="E325" s="209"/>
      <c r="F325" s="209"/>
      <c r="G325" s="209"/>
      <c r="H325" s="209"/>
      <c r="I325" s="264" t="str">
        <f t="shared" si="17"/>
        <v/>
      </c>
    </row>
    <row r="326" spans="3:9" x14ac:dyDescent="0.3">
      <c r="C326" s="209"/>
      <c r="D326" s="209"/>
      <c r="E326" s="209"/>
      <c r="F326" s="209"/>
      <c r="G326" s="209"/>
      <c r="H326" s="209"/>
      <c r="I326" s="264" t="str">
        <f t="shared" si="17"/>
        <v/>
      </c>
    </row>
    <row r="327" spans="3:9" x14ac:dyDescent="0.3">
      <c r="C327" s="209"/>
      <c r="D327" s="209"/>
      <c r="E327" s="209"/>
      <c r="F327" s="209"/>
      <c r="G327" s="209"/>
      <c r="H327" s="209"/>
      <c r="I327" s="264" t="str">
        <f t="shared" si="17"/>
        <v/>
      </c>
    </row>
    <row r="328" spans="3:9" x14ac:dyDescent="0.3">
      <c r="C328" s="209"/>
      <c r="D328" s="209"/>
      <c r="E328" s="209"/>
      <c r="F328" s="209"/>
      <c r="G328" s="209"/>
      <c r="H328" s="209"/>
      <c r="I328" s="264" t="str">
        <f t="shared" si="17"/>
        <v/>
      </c>
    </row>
    <row r="329" spans="3:9" x14ac:dyDescent="0.3">
      <c r="C329" s="209"/>
      <c r="D329" s="209"/>
      <c r="E329" s="209"/>
      <c r="F329" s="209"/>
      <c r="G329" s="209"/>
      <c r="H329" s="209"/>
      <c r="I329" s="264" t="str">
        <f t="shared" si="17"/>
        <v/>
      </c>
    </row>
    <row r="330" spans="3:9" x14ac:dyDescent="0.3">
      <c r="C330" s="209"/>
      <c r="D330" s="209"/>
      <c r="E330" s="209"/>
      <c r="F330" s="209"/>
      <c r="G330" s="209"/>
      <c r="H330" s="209"/>
      <c r="I330" s="264" t="str">
        <f t="shared" si="17"/>
        <v/>
      </c>
    </row>
    <row r="331" spans="3:9" x14ac:dyDescent="0.3">
      <c r="C331" s="209"/>
      <c r="D331" s="209"/>
      <c r="E331" s="209"/>
      <c r="F331" s="209"/>
      <c r="G331" s="209"/>
      <c r="H331" s="209"/>
      <c r="I331" s="264" t="str">
        <f t="shared" si="17"/>
        <v/>
      </c>
    </row>
    <row r="332" spans="3:9" x14ac:dyDescent="0.3">
      <c r="C332" s="209"/>
      <c r="D332" s="209"/>
      <c r="E332" s="209"/>
      <c r="F332" s="209"/>
      <c r="G332" s="209"/>
      <c r="H332" s="209"/>
      <c r="I332" s="264" t="str">
        <f t="shared" si="17"/>
        <v/>
      </c>
    </row>
    <row r="333" spans="3:9" x14ac:dyDescent="0.3">
      <c r="C333" s="209"/>
      <c r="D333" s="209"/>
      <c r="E333" s="209"/>
      <c r="F333" s="209"/>
      <c r="G333" s="209"/>
      <c r="H333" s="209"/>
      <c r="I333" s="264" t="str">
        <f t="shared" si="17"/>
        <v/>
      </c>
    </row>
    <row r="334" spans="3:9" x14ac:dyDescent="0.3">
      <c r="C334" s="209"/>
      <c r="D334" s="209"/>
      <c r="E334" s="209"/>
      <c r="F334" s="209"/>
      <c r="G334" s="209"/>
      <c r="H334" s="209"/>
      <c r="I334" s="264" t="str">
        <f t="shared" si="17"/>
        <v/>
      </c>
    </row>
    <row r="335" spans="3:9" x14ac:dyDescent="0.3">
      <c r="C335" s="209"/>
      <c r="D335" s="209"/>
      <c r="E335" s="209"/>
      <c r="F335" s="209"/>
      <c r="G335" s="209"/>
      <c r="H335" s="209"/>
      <c r="I335" s="264" t="str">
        <f t="shared" si="17"/>
        <v/>
      </c>
    </row>
    <row r="336" spans="3:9" x14ac:dyDescent="0.3">
      <c r="C336" s="209"/>
      <c r="D336" s="209"/>
      <c r="E336" s="209"/>
      <c r="F336" s="209"/>
      <c r="G336" s="209"/>
      <c r="H336" s="209"/>
      <c r="I336" s="264" t="str">
        <f t="shared" si="17"/>
        <v/>
      </c>
    </row>
    <row r="337" spans="3:9" x14ac:dyDescent="0.3">
      <c r="C337" s="209"/>
      <c r="D337" s="209"/>
      <c r="E337" s="209"/>
      <c r="F337" s="209"/>
      <c r="G337" s="209"/>
      <c r="H337" s="209"/>
      <c r="I337" s="264" t="str">
        <f t="shared" si="17"/>
        <v/>
      </c>
    </row>
    <row r="338" spans="3:9" x14ac:dyDescent="0.3">
      <c r="C338" s="209"/>
      <c r="D338" s="209"/>
      <c r="E338" s="209"/>
      <c r="F338" s="209"/>
      <c r="G338" s="209"/>
      <c r="H338" s="209"/>
      <c r="I338" s="264" t="str">
        <f t="shared" si="17"/>
        <v/>
      </c>
    </row>
    <row r="339" spans="3:9" x14ac:dyDescent="0.3">
      <c r="C339" s="209"/>
      <c r="D339" s="209"/>
      <c r="E339" s="209"/>
      <c r="F339" s="209"/>
      <c r="G339" s="209"/>
      <c r="H339" s="209"/>
      <c r="I339" s="264" t="str">
        <f t="shared" si="17"/>
        <v/>
      </c>
    </row>
    <row r="340" spans="3:9" x14ac:dyDescent="0.3">
      <c r="C340" s="209"/>
      <c r="D340" s="209"/>
      <c r="E340" s="209"/>
      <c r="F340" s="209"/>
      <c r="G340" s="209"/>
      <c r="H340" s="209"/>
      <c r="I340" s="264" t="str">
        <f t="shared" si="17"/>
        <v/>
      </c>
    </row>
    <row r="341" spans="3:9" x14ac:dyDescent="0.3">
      <c r="C341" s="209"/>
      <c r="D341" s="209"/>
      <c r="E341" s="209"/>
      <c r="F341" s="209"/>
      <c r="G341" s="209"/>
      <c r="H341" s="209"/>
      <c r="I341" s="264" t="str">
        <f t="shared" si="17"/>
        <v/>
      </c>
    </row>
    <row r="342" spans="3:9" x14ac:dyDescent="0.3">
      <c r="C342" s="209"/>
      <c r="D342" s="209"/>
      <c r="E342" s="209"/>
      <c r="F342" s="209"/>
      <c r="G342" s="209"/>
      <c r="H342" s="209"/>
      <c r="I342" s="264" t="str">
        <f t="shared" si="17"/>
        <v/>
      </c>
    </row>
    <row r="343" spans="3:9" x14ac:dyDescent="0.3">
      <c r="C343" s="209"/>
      <c r="D343" s="209"/>
      <c r="E343" s="209"/>
      <c r="F343" s="209"/>
      <c r="G343" s="209"/>
      <c r="H343" s="209"/>
      <c r="I343" s="264" t="str">
        <f t="shared" si="17"/>
        <v/>
      </c>
    </row>
    <row r="344" spans="3:9" x14ac:dyDescent="0.3">
      <c r="C344" s="209"/>
      <c r="D344" s="209"/>
      <c r="E344" s="209"/>
      <c r="F344" s="209"/>
      <c r="G344" s="209"/>
      <c r="H344" s="209"/>
      <c r="I344" s="264" t="str">
        <f t="shared" si="17"/>
        <v/>
      </c>
    </row>
    <row r="345" spans="3:9" x14ac:dyDescent="0.3">
      <c r="C345" s="209"/>
      <c r="D345" s="209"/>
      <c r="E345" s="209"/>
      <c r="F345" s="209"/>
      <c r="G345" s="209"/>
      <c r="H345" s="209"/>
      <c r="I345" s="264" t="str">
        <f t="shared" si="17"/>
        <v/>
      </c>
    </row>
    <row r="346" spans="3:9" x14ac:dyDescent="0.3">
      <c r="C346" s="209"/>
      <c r="D346" s="209"/>
      <c r="E346" s="209"/>
      <c r="F346" s="209"/>
      <c r="G346" s="209"/>
      <c r="H346" s="209"/>
      <c r="I346" s="264" t="str">
        <f t="shared" si="17"/>
        <v/>
      </c>
    </row>
    <row r="347" spans="3:9" x14ac:dyDescent="0.3">
      <c r="C347" s="209"/>
      <c r="D347" s="209"/>
      <c r="E347" s="209"/>
      <c r="F347" s="209"/>
      <c r="G347" s="209"/>
      <c r="H347" s="209"/>
      <c r="I347" s="264" t="str">
        <f t="shared" si="17"/>
        <v/>
      </c>
    </row>
    <row r="348" spans="3:9" x14ac:dyDescent="0.3">
      <c r="C348" s="209"/>
      <c r="D348" s="209"/>
      <c r="E348" s="209"/>
      <c r="F348" s="209"/>
      <c r="G348" s="209"/>
      <c r="H348" s="209"/>
      <c r="I348" s="264" t="str">
        <f t="shared" si="17"/>
        <v/>
      </c>
    </row>
    <row r="349" spans="3:9" x14ac:dyDescent="0.3">
      <c r="C349" s="209"/>
      <c r="D349" s="209"/>
      <c r="E349" s="209"/>
      <c r="F349" s="209"/>
      <c r="G349" s="209"/>
      <c r="H349" s="209"/>
      <c r="I349" s="264" t="str">
        <f t="shared" si="17"/>
        <v/>
      </c>
    </row>
    <row r="350" spans="3:9" x14ac:dyDescent="0.3">
      <c r="C350" s="209"/>
      <c r="D350" s="209"/>
      <c r="E350" s="209"/>
      <c r="F350" s="209"/>
      <c r="G350" s="209"/>
      <c r="H350" s="209"/>
      <c r="I350" s="264" t="str">
        <f t="shared" si="17"/>
        <v/>
      </c>
    </row>
    <row r="351" spans="3:9" x14ac:dyDescent="0.3">
      <c r="C351" s="209"/>
      <c r="D351" s="209"/>
      <c r="E351" s="209"/>
      <c r="F351" s="209"/>
      <c r="G351" s="209"/>
      <c r="H351" s="209"/>
      <c r="I351" s="264" t="str">
        <f t="shared" si="17"/>
        <v/>
      </c>
    </row>
    <row r="352" spans="3:9" x14ac:dyDescent="0.3">
      <c r="C352" s="209"/>
      <c r="D352" s="209"/>
      <c r="E352" s="209"/>
      <c r="F352" s="209"/>
      <c r="G352" s="209"/>
      <c r="H352" s="209"/>
      <c r="I352" s="264" t="str">
        <f t="shared" si="17"/>
        <v/>
      </c>
    </row>
    <row r="353" spans="3:9" x14ac:dyDescent="0.3">
      <c r="C353" s="209"/>
      <c r="D353" s="209"/>
      <c r="E353" s="209"/>
      <c r="F353" s="209"/>
      <c r="G353" s="209"/>
      <c r="H353" s="209"/>
      <c r="I353" s="264" t="str">
        <f t="shared" si="17"/>
        <v/>
      </c>
    </row>
    <row r="354" spans="3:9" x14ac:dyDescent="0.3">
      <c r="C354" s="209"/>
      <c r="D354" s="209"/>
      <c r="E354" s="209"/>
      <c r="F354" s="209"/>
      <c r="G354" s="209"/>
      <c r="H354" s="209"/>
      <c r="I354" s="264" t="str">
        <f t="shared" si="17"/>
        <v/>
      </c>
    </row>
    <row r="355" spans="3:9" x14ac:dyDescent="0.3">
      <c r="C355" s="209"/>
      <c r="D355" s="209"/>
      <c r="E355" s="209"/>
      <c r="F355" s="209"/>
      <c r="G355" s="209"/>
      <c r="H355" s="209"/>
      <c r="I355" s="264" t="str">
        <f t="shared" si="17"/>
        <v/>
      </c>
    </row>
    <row r="356" spans="3:9" x14ac:dyDescent="0.3">
      <c r="C356" s="209"/>
      <c r="D356" s="209"/>
      <c r="E356" s="209"/>
      <c r="F356" s="209"/>
      <c r="G356" s="209"/>
      <c r="H356" s="209"/>
      <c r="I356" s="264" t="str">
        <f t="shared" si="17"/>
        <v/>
      </c>
    </row>
    <row r="357" spans="3:9" x14ac:dyDescent="0.3">
      <c r="C357" s="209"/>
      <c r="D357" s="209"/>
      <c r="E357" s="209"/>
      <c r="F357" s="209"/>
      <c r="G357" s="209"/>
      <c r="H357" s="209"/>
      <c r="I357" s="264" t="str">
        <f t="shared" si="17"/>
        <v/>
      </c>
    </row>
    <row r="358" spans="3:9" x14ac:dyDescent="0.3">
      <c r="C358" s="209"/>
      <c r="D358" s="209"/>
      <c r="E358" s="209"/>
      <c r="F358" s="209"/>
      <c r="G358" s="209"/>
      <c r="H358" s="209"/>
      <c r="I358" s="264" t="str">
        <f t="shared" si="17"/>
        <v/>
      </c>
    </row>
    <row r="359" spans="3:9" x14ac:dyDescent="0.3">
      <c r="C359" s="209"/>
      <c r="D359" s="209"/>
      <c r="E359" s="209"/>
      <c r="F359" s="209"/>
      <c r="G359" s="209"/>
      <c r="H359" s="209"/>
      <c r="I359" s="264" t="str">
        <f t="shared" si="17"/>
        <v/>
      </c>
    </row>
    <row r="360" spans="3:9" x14ac:dyDescent="0.3">
      <c r="C360" s="209"/>
      <c r="D360" s="209"/>
      <c r="E360" s="209"/>
      <c r="F360" s="209"/>
      <c r="G360" s="209"/>
      <c r="H360" s="209"/>
      <c r="I360" s="264" t="str">
        <f t="shared" si="17"/>
        <v/>
      </c>
    </row>
    <row r="361" spans="3:9" x14ac:dyDescent="0.3">
      <c r="C361" s="209"/>
      <c r="D361" s="209"/>
      <c r="E361" s="209"/>
      <c r="F361" s="209"/>
      <c r="G361" s="209"/>
      <c r="H361" s="209"/>
      <c r="I361" s="264" t="str">
        <f t="shared" si="17"/>
        <v/>
      </c>
    </row>
    <row r="362" spans="3:9" x14ac:dyDescent="0.3">
      <c r="C362" s="209"/>
      <c r="D362" s="209"/>
      <c r="E362" s="209"/>
      <c r="F362" s="209"/>
      <c r="G362" s="209"/>
      <c r="H362" s="209"/>
      <c r="I362" s="264" t="str">
        <f t="shared" si="17"/>
        <v/>
      </c>
    </row>
    <row r="363" spans="3:9" x14ac:dyDescent="0.3">
      <c r="C363" s="209"/>
      <c r="D363" s="209"/>
      <c r="E363" s="209"/>
      <c r="F363" s="209"/>
      <c r="G363" s="209"/>
      <c r="H363" s="209"/>
      <c r="I363" s="264" t="str">
        <f t="shared" si="17"/>
        <v/>
      </c>
    </row>
    <row r="364" spans="3:9" x14ac:dyDescent="0.3">
      <c r="C364" s="209"/>
      <c r="D364" s="209"/>
      <c r="E364" s="209"/>
      <c r="F364" s="209"/>
      <c r="G364" s="209"/>
      <c r="H364" s="209"/>
      <c r="I364" s="264" t="str">
        <f t="shared" si="17"/>
        <v/>
      </c>
    </row>
    <row r="365" spans="3:9" x14ac:dyDescent="0.3">
      <c r="C365" s="209"/>
      <c r="D365" s="209"/>
      <c r="E365" s="209"/>
      <c r="F365" s="209"/>
      <c r="G365" s="209"/>
      <c r="H365" s="209"/>
      <c r="I365" s="264" t="str">
        <f t="shared" si="17"/>
        <v/>
      </c>
    </row>
    <row r="366" spans="3:9" x14ac:dyDescent="0.3">
      <c r="C366" s="209"/>
      <c r="D366" s="209"/>
      <c r="E366" s="209"/>
      <c r="F366" s="209"/>
      <c r="G366" s="209"/>
      <c r="H366" s="209"/>
      <c r="I366" s="264" t="str">
        <f t="shared" si="17"/>
        <v/>
      </c>
    </row>
    <row r="367" spans="3:9" x14ac:dyDescent="0.3">
      <c r="C367" s="209"/>
      <c r="D367" s="209"/>
      <c r="E367" s="209"/>
      <c r="F367" s="209"/>
      <c r="G367" s="209"/>
      <c r="H367" s="209"/>
      <c r="I367" s="264" t="str">
        <f t="shared" si="17"/>
        <v/>
      </c>
    </row>
    <row r="368" spans="3:9" x14ac:dyDescent="0.3">
      <c r="C368" s="209"/>
      <c r="D368" s="209"/>
      <c r="E368" s="209"/>
      <c r="F368" s="209"/>
      <c r="G368" s="209"/>
      <c r="H368" s="209"/>
      <c r="I368" s="264" t="str">
        <f t="shared" si="17"/>
        <v/>
      </c>
    </row>
    <row r="369" spans="3:9" x14ac:dyDescent="0.3">
      <c r="C369" s="209"/>
      <c r="D369" s="209"/>
      <c r="E369" s="209"/>
      <c r="F369" s="209"/>
      <c r="G369" s="209"/>
      <c r="H369" s="209"/>
      <c r="I369" s="264" t="str">
        <f t="shared" si="17"/>
        <v/>
      </c>
    </row>
    <row r="370" spans="3:9" x14ac:dyDescent="0.3">
      <c r="C370" s="209"/>
      <c r="D370" s="209"/>
      <c r="E370" s="209"/>
      <c r="F370" s="209"/>
      <c r="G370" s="209"/>
      <c r="H370" s="209"/>
      <c r="I370" s="264" t="str">
        <f t="shared" si="17"/>
        <v/>
      </c>
    </row>
    <row r="371" spans="3:9" x14ac:dyDescent="0.3">
      <c r="C371" s="209"/>
      <c r="D371" s="209"/>
      <c r="E371" s="209"/>
      <c r="F371" s="209"/>
      <c r="G371" s="209"/>
      <c r="H371" s="209"/>
      <c r="I371" s="264" t="str">
        <f t="shared" si="17"/>
        <v/>
      </c>
    </row>
    <row r="372" spans="3:9" x14ac:dyDescent="0.3">
      <c r="C372" s="209"/>
      <c r="D372" s="209"/>
      <c r="E372" s="209"/>
      <c r="F372" s="209"/>
      <c r="G372" s="209"/>
      <c r="H372" s="209"/>
      <c r="I372" s="264" t="str">
        <f t="shared" si="17"/>
        <v/>
      </c>
    </row>
    <row r="373" spans="3:9" x14ac:dyDescent="0.3">
      <c r="C373" s="209"/>
      <c r="D373" s="209"/>
      <c r="E373" s="209"/>
      <c r="F373" s="209"/>
      <c r="G373" s="209"/>
      <c r="H373" s="209"/>
      <c r="I373" s="264" t="str">
        <f t="shared" si="17"/>
        <v/>
      </c>
    </row>
    <row r="374" spans="3:9" x14ac:dyDescent="0.3">
      <c r="C374" s="209"/>
      <c r="D374" s="209"/>
      <c r="E374" s="209"/>
      <c r="F374" s="209"/>
      <c r="G374" s="209"/>
      <c r="H374" s="209"/>
      <c r="I374" s="264" t="str">
        <f t="shared" si="17"/>
        <v/>
      </c>
    </row>
    <row r="375" spans="3:9" x14ac:dyDescent="0.3">
      <c r="C375" s="209"/>
      <c r="D375" s="209"/>
      <c r="E375" s="209"/>
      <c r="F375" s="209"/>
      <c r="G375" s="209"/>
      <c r="H375" s="209"/>
      <c r="I375" s="264" t="str">
        <f t="shared" si="17"/>
        <v/>
      </c>
    </row>
    <row r="376" spans="3:9" x14ac:dyDescent="0.3">
      <c r="C376" s="209"/>
      <c r="D376" s="209"/>
      <c r="E376" s="209"/>
      <c r="F376" s="209"/>
      <c r="G376" s="209"/>
      <c r="H376" s="209"/>
      <c r="I376" s="264" t="str">
        <f t="shared" si="17"/>
        <v/>
      </c>
    </row>
    <row r="377" spans="3:9" x14ac:dyDescent="0.3">
      <c r="C377" s="209"/>
      <c r="D377" s="209"/>
      <c r="E377" s="209"/>
      <c r="F377" s="209"/>
      <c r="G377" s="209"/>
      <c r="H377" s="209"/>
      <c r="I377" s="264" t="str">
        <f t="shared" si="17"/>
        <v/>
      </c>
    </row>
    <row r="378" spans="3:9" x14ac:dyDescent="0.3">
      <c r="C378" s="209"/>
      <c r="D378" s="209"/>
      <c r="E378" s="209"/>
      <c r="F378" s="209"/>
      <c r="G378" s="209"/>
      <c r="H378" s="209"/>
      <c r="I378" s="264" t="str">
        <f t="shared" si="17"/>
        <v/>
      </c>
    </row>
    <row r="379" spans="3:9" x14ac:dyDescent="0.3">
      <c r="C379" s="209"/>
      <c r="D379" s="209"/>
      <c r="E379" s="209"/>
      <c r="F379" s="209"/>
      <c r="G379" s="209"/>
      <c r="H379" s="209"/>
      <c r="I379" s="264" t="str">
        <f t="shared" si="17"/>
        <v/>
      </c>
    </row>
    <row r="380" spans="3:9" x14ac:dyDescent="0.3">
      <c r="C380" s="209"/>
      <c r="D380" s="209"/>
      <c r="E380" s="209"/>
      <c r="F380" s="209"/>
      <c r="G380" s="209"/>
      <c r="H380" s="209"/>
      <c r="I380" s="264" t="str">
        <f t="shared" si="17"/>
        <v/>
      </c>
    </row>
    <row r="381" spans="3:9" x14ac:dyDescent="0.3">
      <c r="C381" s="209"/>
      <c r="D381" s="209"/>
      <c r="E381" s="209"/>
      <c r="F381" s="209"/>
      <c r="G381" s="209"/>
      <c r="H381" s="209"/>
      <c r="I381" s="264" t="str">
        <f t="shared" si="17"/>
        <v/>
      </c>
    </row>
    <row r="382" spans="3:9" x14ac:dyDescent="0.3">
      <c r="C382" s="209"/>
      <c r="D382" s="209"/>
      <c r="E382" s="209"/>
      <c r="F382" s="209"/>
      <c r="G382" s="209"/>
      <c r="H382" s="209"/>
      <c r="I382" s="264" t="str">
        <f t="shared" ref="I382:I445" si="18">IF(H382=0,"",D382)</f>
        <v/>
      </c>
    </row>
    <row r="383" spans="3:9" x14ac:dyDescent="0.3">
      <c r="C383" s="209"/>
      <c r="D383" s="209"/>
      <c r="E383" s="209"/>
      <c r="F383" s="209"/>
      <c r="G383" s="209"/>
      <c r="H383" s="209"/>
      <c r="I383" s="264" t="str">
        <f t="shared" si="18"/>
        <v/>
      </c>
    </row>
    <row r="384" spans="3:9" x14ac:dyDescent="0.3">
      <c r="C384" s="209"/>
      <c r="D384" s="209"/>
      <c r="E384" s="209"/>
      <c r="F384" s="209"/>
      <c r="G384" s="209"/>
      <c r="H384" s="209"/>
      <c r="I384" s="264" t="str">
        <f t="shared" si="18"/>
        <v/>
      </c>
    </row>
    <row r="385" spans="3:9" x14ac:dyDescent="0.3">
      <c r="C385" s="209"/>
      <c r="D385" s="209"/>
      <c r="E385" s="209"/>
      <c r="F385" s="209"/>
      <c r="G385" s="209"/>
      <c r="H385" s="209"/>
      <c r="I385" s="264" t="str">
        <f t="shared" si="18"/>
        <v/>
      </c>
    </row>
    <row r="386" spans="3:9" x14ac:dyDescent="0.3">
      <c r="C386" s="209"/>
      <c r="D386" s="209"/>
      <c r="E386" s="209"/>
      <c r="F386" s="209"/>
      <c r="G386" s="209"/>
      <c r="H386" s="209"/>
      <c r="I386" s="264" t="str">
        <f t="shared" si="18"/>
        <v/>
      </c>
    </row>
    <row r="387" spans="3:9" x14ac:dyDescent="0.3">
      <c r="C387" s="209"/>
      <c r="D387" s="209"/>
      <c r="E387" s="209"/>
      <c r="F387" s="209"/>
      <c r="G387" s="209"/>
      <c r="H387" s="209"/>
      <c r="I387" s="264" t="str">
        <f t="shared" si="18"/>
        <v/>
      </c>
    </row>
    <row r="388" spans="3:9" x14ac:dyDescent="0.3">
      <c r="C388" s="209"/>
      <c r="D388" s="209"/>
      <c r="E388" s="209"/>
      <c r="F388" s="209"/>
      <c r="G388" s="209"/>
      <c r="H388" s="209"/>
      <c r="I388" s="264" t="str">
        <f t="shared" si="18"/>
        <v/>
      </c>
    </row>
    <row r="389" spans="3:9" x14ac:dyDescent="0.3">
      <c r="C389" s="209"/>
      <c r="D389" s="209"/>
      <c r="E389" s="209"/>
      <c r="F389" s="209"/>
      <c r="G389" s="209"/>
      <c r="H389" s="209"/>
      <c r="I389" s="264" t="str">
        <f t="shared" si="18"/>
        <v/>
      </c>
    </row>
    <row r="390" spans="3:9" x14ac:dyDescent="0.3">
      <c r="C390" s="209"/>
      <c r="D390" s="209"/>
      <c r="E390" s="209"/>
      <c r="F390" s="209"/>
      <c r="G390" s="209"/>
      <c r="H390" s="209"/>
      <c r="I390" s="264" t="str">
        <f t="shared" si="18"/>
        <v/>
      </c>
    </row>
    <row r="391" spans="3:9" x14ac:dyDescent="0.3">
      <c r="C391" s="209"/>
      <c r="D391" s="209"/>
      <c r="E391" s="209"/>
      <c r="F391" s="209"/>
      <c r="G391" s="209"/>
      <c r="H391" s="209"/>
      <c r="I391" s="264" t="str">
        <f t="shared" si="18"/>
        <v/>
      </c>
    </row>
    <row r="392" spans="3:9" x14ac:dyDescent="0.3">
      <c r="C392" s="209"/>
      <c r="D392" s="209"/>
      <c r="E392" s="209"/>
      <c r="F392" s="209"/>
      <c r="G392" s="209"/>
      <c r="H392" s="209"/>
      <c r="I392" s="264" t="str">
        <f t="shared" si="18"/>
        <v/>
      </c>
    </row>
    <row r="393" spans="3:9" x14ac:dyDescent="0.3">
      <c r="C393" s="209"/>
      <c r="D393" s="209"/>
      <c r="E393" s="209"/>
      <c r="F393" s="209"/>
      <c r="G393" s="209"/>
      <c r="H393" s="209"/>
      <c r="I393" s="264" t="str">
        <f t="shared" si="18"/>
        <v/>
      </c>
    </row>
    <row r="394" spans="3:9" x14ac:dyDescent="0.3">
      <c r="C394" s="209"/>
      <c r="D394" s="209"/>
      <c r="E394" s="209"/>
      <c r="F394" s="209"/>
      <c r="G394" s="209"/>
      <c r="H394" s="209"/>
      <c r="I394" s="264" t="str">
        <f t="shared" si="18"/>
        <v/>
      </c>
    </row>
    <row r="395" spans="3:9" x14ac:dyDescent="0.3">
      <c r="C395" s="209"/>
      <c r="D395" s="209"/>
      <c r="E395" s="209"/>
      <c r="F395" s="209"/>
      <c r="G395" s="209"/>
      <c r="H395" s="209"/>
      <c r="I395" s="264" t="str">
        <f t="shared" si="18"/>
        <v/>
      </c>
    </row>
    <row r="396" spans="3:9" x14ac:dyDescent="0.3">
      <c r="C396" s="209"/>
      <c r="D396" s="209"/>
      <c r="E396" s="209"/>
      <c r="F396" s="209"/>
      <c r="G396" s="209"/>
      <c r="H396" s="209"/>
      <c r="I396" s="264" t="str">
        <f t="shared" si="18"/>
        <v/>
      </c>
    </row>
    <row r="397" spans="3:9" x14ac:dyDescent="0.3">
      <c r="C397" s="209"/>
      <c r="D397" s="209"/>
      <c r="E397" s="209"/>
      <c r="F397" s="209"/>
      <c r="G397" s="209"/>
      <c r="H397" s="209"/>
      <c r="I397" s="264" t="str">
        <f t="shared" si="18"/>
        <v/>
      </c>
    </row>
    <row r="398" spans="3:9" x14ac:dyDescent="0.3">
      <c r="C398" s="209"/>
      <c r="D398" s="209"/>
      <c r="E398" s="209"/>
      <c r="F398" s="209"/>
      <c r="G398" s="209"/>
      <c r="H398" s="209"/>
      <c r="I398" s="264" t="str">
        <f t="shared" si="18"/>
        <v/>
      </c>
    </row>
    <row r="399" spans="3:9" x14ac:dyDescent="0.3">
      <c r="C399" s="209"/>
      <c r="D399" s="209"/>
      <c r="E399" s="209"/>
      <c r="F399" s="209"/>
      <c r="G399" s="209"/>
      <c r="H399" s="209"/>
      <c r="I399" s="264" t="str">
        <f t="shared" si="18"/>
        <v/>
      </c>
    </row>
    <row r="400" spans="3:9" x14ac:dyDescent="0.3">
      <c r="C400" s="209"/>
      <c r="D400" s="209"/>
      <c r="E400" s="209"/>
      <c r="F400" s="209"/>
      <c r="G400" s="209"/>
      <c r="H400" s="209"/>
      <c r="I400" s="264" t="str">
        <f t="shared" si="18"/>
        <v/>
      </c>
    </row>
    <row r="401" spans="3:9" x14ac:dyDescent="0.3">
      <c r="C401" s="209"/>
      <c r="D401" s="209"/>
      <c r="E401" s="209"/>
      <c r="F401" s="209"/>
      <c r="G401" s="209"/>
      <c r="H401" s="209"/>
      <c r="I401" s="264" t="str">
        <f t="shared" si="18"/>
        <v/>
      </c>
    </row>
    <row r="402" spans="3:9" x14ac:dyDescent="0.3">
      <c r="C402" s="209"/>
      <c r="D402" s="209"/>
      <c r="E402" s="209"/>
      <c r="F402" s="209"/>
      <c r="G402" s="209"/>
      <c r="H402" s="209"/>
      <c r="I402" s="264" t="str">
        <f t="shared" si="18"/>
        <v/>
      </c>
    </row>
    <row r="403" spans="3:9" x14ac:dyDescent="0.3">
      <c r="C403" s="209"/>
      <c r="D403" s="209"/>
      <c r="E403" s="209"/>
      <c r="F403" s="209"/>
      <c r="G403" s="209"/>
      <c r="H403" s="209"/>
      <c r="I403" s="264" t="str">
        <f t="shared" si="18"/>
        <v/>
      </c>
    </row>
    <row r="404" spans="3:9" x14ac:dyDescent="0.3">
      <c r="C404" s="209"/>
      <c r="D404" s="209"/>
      <c r="E404" s="209"/>
      <c r="F404" s="209"/>
      <c r="G404" s="209"/>
      <c r="H404" s="209"/>
      <c r="I404" s="264" t="str">
        <f t="shared" si="18"/>
        <v/>
      </c>
    </row>
    <row r="405" spans="3:9" x14ac:dyDescent="0.3">
      <c r="C405" s="209"/>
      <c r="D405" s="209"/>
      <c r="E405" s="209"/>
      <c r="F405" s="209"/>
      <c r="G405" s="209"/>
      <c r="H405" s="209"/>
      <c r="I405" s="264" t="str">
        <f t="shared" si="18"/>
        <v/>
      </c>
    </row>
    <row r="406" spans="3:9" x14ac:dyDescent="0.3">
      <c r="C406" s="209"/>
      <c r="D406" s="209"/>
      <c r="E406" s="209"/>
      <c r="F406" s="209"/>
      <c r="G406" s="209"/>
      <c r="H406" s="209"/>
      <c r="I406" s="264" t="str">
        <f t="shared" si="18"/>
        <v/>
      </c>
    </row>
    <row r="407" spans="3:9" x14ac:dyDescent="0.3">
      <c r="C407" s="209"/>
      <c r="D407" s="209"/>
      <c r="E407" s="209"/>
      <c r="F407" s="209"/>
      <c r="G407" s="209"/>
      <c r="H407" s="209"/>
      <c r="I407" s="264" t="str">
        <f t="shared" si="18"/>
        <v/>
      </c>
    </row>
    <row r="408" spans="3:9" x14ac:dyDescent="0.3">
      <c r="C408" s="209"/>
      <c r="D408" s="209"/>
      <c r="E408" s="209"/>
      <c r="F408" s="209"/>
      <c r="G408" s="209"/>
      <c r="H408" s="209"/>
      <c r="I408" s="264" t="str">
        <f t="shared" si="18"/>
        <v/>
      </c>
    </row>
    <row r="409" spans="3:9" x14ac:dyDescent="0.3">
      <c r="C409" s="209"/>
      <c r="D409" s="209"/>
      <c r="E409" s="209"/>
      <c r="F409" s="209"/>
      <c r="G409" s="209"/>
      <c r="H409" s="209"/>
      <c r="I409" s="264" t="str">
        <f t="shared" si="18"/>
        <v/>
      </c>
    </row>
    <row r="410" spans="3:9" x14ac:dyDescent="0.3">
      <c r="C410" s="209"/>
      <c r="D410" s="209"/>
      <c r="E410" s="209"/>
      <c r="F410" s="209"/>
      <c r="G410" s="209"/>
      <c r="H410" s="209"/>
      <c r="I410" s="264" t="str">
        <f t="shared" si="18"/>
        <v/>
      </c>
    </row>
    <row r="411" spans="3:9" x14ac:dyDescent="0.3">
      <c r="C411" s="209"/>
      <c r="D411" s="209"/>
      <c r="E411" s="209"/>
      <c r="F411" s="209"/>
      <c r="G411" s="209"/>
      <c r="H411" s="209"/>
      <c r="I411" s="264" t="str">
        <f t="shared" si="18"/>
        <v/>
      </c>
    </row>
    <row r="412" spans="3:9" x14ac:dyDescent="0.3">
      <c r="C412" s="209"/>
      <c r="D412" s="209"/>
      <c r="E412" s="209"/>
      <c r="F412" s="209"/>
      <c r="G412" s="209"/>
      <c r="H412" s="209"/>
      <c r="I412" s="264" t="str">
        <f t="shared" si="18"/>
        <v/>
      </c>
    </row>
    <row r="413" spans="3:9" x14ac:dyDescent="0.3">
      <c r="C413" s="209"/>
      <c r="D413" s="209"/>
      <c r="E413" s="209"/>
      <c r="F413" s="209"/>
      <c r="G413" s="209"/>
      <c r="H413" s="209"/>
      <c r="I413" s="264" t="str">
        <f t="shared" si="18"/>
        <v/>
      </c>
    </row>
    <row r="414" spans="3:9" x14ac:dyDescent="0.3">
      <c r="C414" s="209"/>
      <c r="D414" s="209"/>
      <c r="E414" s="209"/>
      <c r="F414" s="209"/>
      <c r="G414" s="209"/>
      <c r="H414" s="209"/>
      <c r="I414" s="264" t="str">
        <f t="shared" si="18"/>
        <v/>
      </c>
    </row>
    <row r="415" spans="3:9" x14ac:dyDescent="0.3">
      <c r="C415" s="209"/>
      <c r="D415" s="209"/>
      <c r="E415" s="209"/>
      <c r="F415" s="209"/>
      <c r="G415" s="209"/>
      <c r="H415" s="209"/>
      <c r="I415" s="264" t="str">
        <f t="shared" si="18"/>
        <v/>
      </c>
    </row>
    <row r="416" spans="3:9" x14ac:dyDescent="0.3">
      <c r="C416" s="209"/>
      <c r="D416" s="209"/>
      <c r="E416" s="209"/>
      <c r="F416" s="209"/>
      <c r="G416" s="209"/>
      <c r="H416" s="209"/>
      <c r="I416" s="264" t="str">
        <f t="shared" si="18"/>
        <v/>
      </c>
    </row>
    <row r="417" spans="3:9" x14ac:dyDescent="0.3">
      <c r="C417" s="209"/>
      <c r="D417" s="209"/>
      <c r="E417" s="209"/>
      <c r="F417" s="209"/>
      <c r="G417" s="209"/>
      <c r="H417" s="209"/>
      <c r="I417" s="264" t="str">
        <f t="shared" si="18"/>
        <v/>
      </c>
    </row>
    <row r="418" spans="3:9" x14ac:dyDescent="0.3">
      <c r="C418" s="209"/>
      <c r="D418" s="209"/>
      <c r="E418" s="209"/>
      <c r="F418" s="209"/>
      <c r="G418" s="209"/>
      <c r="H418" s="209"/>
      <c r="I418" s="264" t="str">
        <f t="shared" si="18"/>
        <v/>
      </c>
    </row>
    <row r="419" spans="3:9" x14ac:dyDescent="0.3">
      <c r="C419" s="209"/>
      <c r="D419" s="209"/>
      <c r="E419" s="209"/>
      <c r="F419" s="209"/>
      <c r="G419" s="209"/>
      <c r="H419" s="209"/>
      <c r="I419" s="264" t="str">
        <f t="shared" si="18"/>
        <v/>
      </c>
    </row>
    <row r="420" spans="3:9" x14ac:dyDescent="0.3">
      <c r="C420" s="209"/>
      <c r="D420" s="209"/>
      <c r="E420" s="209"/>
      <c r="F420" s="209"/>
      <c r="G420" s="209"/>
      <c r="H420" s="209"/>
      <c r="I420" s="264" t="str">
        <f t="shared" si="18"/>
        <v/>
      </c>
    </row>
    <row r="421" spans="3:9" x14ac:dyDescent="0.3">
      <c r="C421" s="209"/>
      <c r="D421" s="209"/>
      <c r="E421" s="209"/>
      <c r="F421" s="209"/>
      <c r="G421" s="209"/>
      <c r="H421" s="209"/>
      <c r="I421" s="264" t="str">
        <f t="shared" si="18"/>
        <v/>
      </c>
    </row>
    <row r="422" spans="3:9" x14ac:dyDescent="0.3">
      <c r="C422" s="209"/>
      <c r="D422" s="209"/>
      <c r="E422" s="209"/>
      <c r="F422" s="209"/>
      <c r="G422" s="209"/>
      <c r="H422" s="209"/>
      <c r="I422" s="264" t="str">
        <f t="shared" si="18"/>
        <v/>
      </c>
    </row>
    <row r="423" spans="3:9" x14ac:dyDescent="0.3">
      <c r="C423" s="209"/>
      <c r="D423" s="209"/>
      <c r="E423" s="209"/>
      <c r="F423" s="209"/>
      <c r="G423" s="209"/>
      <c r="H423" s="209"/>
      <c r="I423" s="264" t="str">
        <f t="shared" si="18"/>
        <v/>
      </c>
    </row>
    <row r="424" spans="3:9" x14ac:dyDescent="0.3">
      <c r="C424" s="209"/>
      <c r="D424" s="209"/>
      <c r="E424" s="209"/>
      <c r="F424" s="209"/>
      <c r="G424" s="209"/>
      <c r="H424" s="209"/>
      <c r="I424" s="264" t="str">
        <f t="shared" si="18"/>
        <v/>
      </c>
    </row>
    <row r="425" spans="3:9" x14ac:dyDescent="0.3">
      <c r="C425" s="209"/>
      <c r="D425" s="209"/>
      <c r="E425" s="209"/>
      <c r="F425" s="209"/>
      <c r="G425" s="209"/>
      <c r="H425" s="209"/>
      <c r="I425" s="264" t="str">
        <f t="shared" si="18"/>
        <v/>
      </c>
    </row>
    <row r="426" spans="3:9" x14ac:dyDescent="0.3">
      <c r="C426" s="209"/>
      <c r="D426" s="209"/>
      <c r="E426" s="209"/>
      <c r="F426" s="209"/>
      <c r="G426" s="209"/>
      <c r="H426" s="209"/>
      <c r="I426" s="264" t="str">
        <f t="shared" si="18"/>
        <v/>
      </c>
    </row>
    <row r="427" spans="3:9" x14ac:dyDescent="0.3">
      <c r="C427" s="209"/>
      <c r="D427" s="209"/>
      <c r="E427" s="209"/>
      <c r="F427" s="209"/>
      <c r="G427" s="209"/>
      <c r="H427" s="209"/>
      <c r="I427" s="264" t="str">
        <f t="shared" si="18"/>
        <v/>
      </c>
    </row>
    <row r="428" spans="3:9" x14ac:dyDescent="0.3">
      <c r="C428" s="209"/>
      <c r="D428" s="209"/>
      <c r="E428" s="209"/>
      <c r="F428" s="209"/>
      <c r="G428" s="209"/>
      <c r="H428" s="209"/>
      <c r="I428" s="264" t="str">
        <f t="shared" si="18"/>
        <v/>
      </c>
    </row>
    <row r="429" spans="3:9" x14ac:dyDescent="0.3">
      <c r="C429" s="209"/>
      <c r="D429" s="209"/>
      <c r="E429" s="209"/>
      <c r="F429" s="209"/>
      <c r="G429" s="209"/>
      <c r="H429" s="209"/>
      <c r="I429" s="264" t="str">
        <f t="shared" si="18"/>
        <v/>
      </c>
    </row>
    <row r="430" spans="3:9" x14ac:dyDescent="0.3">
      <c r="C430" s="209"/>
      <c r="D430" s="209"/>
      <c r="E430" s="209"/>
      <c r="F430" s="209"/>
      <c r="G430" s="209"/>
      <c r="H430" s="209"/>
      <c r="I430" s="264" t="str">
        <f t="shared" si="18"/>
        <v/>
      </c>
    </row>
    <row r="431" spans="3:9" x14ac:dyDescent="0.3">
      <c r="C431" s="209"/>
      <c r="D431" s="209"/>
      <c r="E431" s="209"/>
      <c r="F431" s="209"/>
      <c r="G431" s="209"/>
      <c r="H431" s="209"/>
      <c r="I431" s="264" t="str">
        <f t="shared" si="18"/>
        <v/>
      </c>
    </row>
    <row r="432" spans="3:9" x14ac:dyDescent="0.3">
      <c r="C432" s="209"/>
      <c r="D432" s="209"/>
      <c r="E432" s="209"/>
      <c r="F432" s="209"/>
      <c r="G432" s="209"/>
      <c r="H432" s="209"/>
      <c r="I432" s="264" t="str">
        <f t="shared" si="18"/>
        <v/>
      </c>
    </row>
    <row r="433" spans="3:9" x14ac:dyDescent="0.3">
      <c r="C433" s="209"/>
      <c r="D433" s="209"/>
      <c r="E433" s="209"/>
      <c r="F433" s="209"/>
      <c r="G433" s="209"/>
      <c r="H433" s="209"/>
      <c r="I433" s="264" t="str">
        <f t="shared" si="18"/>
        <v/>
      </c>
    </row>
    <row r="434" spans="3:9" x14ac:dyDescent="0.3">
      <c r="C434" s="209"/>
      <c r="D434" s="209"/>
      <c r="E434" s="209"/>
      <c r="F434" s="209"/>
      <c r="G434" s="209"/>
      <c r="H434" s="209"/>
      <c r="I434" s="264" t="str">
        <f t="shared" si="18"/>
        <v/>
      </c>
    </row>
    <row r="435" spans="3:9" x14ac:dyDescent="0.3">
      <c r="C435" s="209"/>
      <c r="D435" s="209"/>
      <c r="E435" s="209"/>
      <c r="F435" s="209"/>
      <c r="G435" s="209"/>
      <c r="H435" s="209"/>
      <c r="I435" s="264" t="str">
        <f t="shared" si="18"/>
        <v/>
      </c>
    </row>
    <row r="436" spans="3:9" x14ac:dyDescent="0.3">
      <c r="C436" s="209"/>
      <c r="D436" s="209"/>
      <c r="E436" s="209"/>
      <c r="F436" s="209"/>
      <c r="G436" s="209"/>
      <c r="H436" s="209"/>
      <c r="I436" s="264" t="str">
        <f t="shared" si="18"/>
        <v/>
      </c>
    </row>
    <row r="437" spans="3:9" x14ac:dyDescent="0.3">
      <c r="C437" s="209"/>
      <c r="D437" s="209"/>
      <c r="E437" s="209"/>
      <c r="F437" s="209"/>
      <c r="G437" s="209"/>
      <c r="H437" s="209"/>
      <c r="I437" s="264" t="str">
        <f t="shared" si="18"/>
        <v/>
      </c>
    </row>
    <row r="438" spans="3:9" x14ac:dyDescent="0.3">
      <c r="C438" s="209"/>
      <c r="D438" s="209"/>
      <c r="E438" s="209"/>
      <c r="F438" s="209"/>
      <c r="G438" s="209"/>
      <c r="H438" s="209"/>
      <c r="I438" s="264" t="str">
        <f t="shared" si="18"/>
        <v/>
      </c>
    </row>
    <row r="439" spans="3:9" x14ac:dyDescent="0.3">
      <c r="C439" s="209"/>
      <c r="D439" s="209"/>
      <c r="E439" s="209"/>
      <c r="F439" s="209"/>
      <c r="G439" s="209"/>
      <c r="H439" s="209"/>
      <c r="I439" s="264" t="str">
        <f t="shared" si="18"/>
        <v/>
      </c>
    </row>
    <row r="440" spans="3:9" x14ac:dyDescent="0.3">
      <c r="C440" s="209"/>
      <c r="D440" s="209"/>
      <c r="E440" s="209"/>
      <c r="F440" s="209"/>
      <c r="G440" s="209"/>
      <c r="H440" s="209"/>
      <c r="I440" s="264" t="str">
        <f t="shared" si="18"/>
        <v/>
      </c>
    </row>
    <row r="441" spans="3:9" x14ac:dyDescent="0.3">
      <c r="C441" s="209"/>
      <c r="D441" s="209"/>
      <c r="E441" s="209"/>
      <c r="F441" s="209"/>
      <c r="G441" s="209"/>
      <c r="H441" s="209"/>
      <c r="I441" s="264" t="str">
        <f t="shared" si="18"/>
        <v/>
      </c>
    </row>
    <row r="442" spans="3:9" x14ac:dyDescent="0.3">
      <c r="C442" s="209"/>
      <c r="D442" s="209"/>
      <c r="E442" s="209"/>
      <c r="F442" s="209"/>
      <c r="G442" s="209"/>
      <c r="H442" s="209"/>
      <c r="I442" s="264" t="str">
        <f t="shared" si="18"/>
        <v/>
      </c>
    </row>
    <row r="443" spans="3:9" x14ac:dyDescent="0.3">
      <c r="C443" s="209"/>
      <c r="D443" s="209"/>
      <c r="E443" s="209"/>
      <c r="F443" s="209"/>
      <c r="G443" s="209"/>
      <c r="H443" s="209"/>
      <c r="I443" s="264" t="str">
        <f t="shared" si="18"/>
        <v/>
      </c>
    </row>
    <row r="444" spans="3:9" x14ac:dyDescent="0.3">
      <c r="C444" s="209"/>
      <c r="D444" s="209"/>
      <c r="E444" s="209"/>
      <c r="F444" s="209"/>
      <c r="G444" s="209"/>
      <c r="H444" s="209"/>
      <c r="I444" s="264" t="str">
        <f t="shared" si="18"/>
        <v/>
      </c>
    </row>
    <row r="445" spans="3:9" x14ac:dyDescent="0.3">
      <c r="C445" s="209"/>
      <c r="D445" s="209"/>
      <c r="E445" s="209"/>
      <c r="F445" s="209"/>
      <c r="G445" s="209"/>
      <c r="H445" s="209"/>
      <c r="I445" s="264" t="str">
        <f t="shared" si="18"/>
        <v/>
      </c>
    </row>
    <row r="446" spans="3:9" x14ac:dyDescent="0.3">
      <c r="C446" s="209"/>
      <c r="D446" s="209"/>
      <c r="E446" s="209"/>
      <c r="F446" s="209"/>
      <c r="G446" s="209"/>
      <c r="H446" s="209"/>
      <c r="I446" s="264" t="str">
        <f t="shared" ref="I446:I509" si="19">IF(H446=0,"",D446)</f>
        <v/>
      </c>
    </row>
    <row r="447" spans="3:9" x14ac:dyDescent="0.3">
      <c r="C447" s="209"/>
      <c r="D447" s="209"/>
      <c r="E447" s="209"/>
      <c r="F447" s="209"/>
      <c r="G447" s="209"/>
      <c r="H447" s="209"/>
      <c r="I447" s="264" t="str">
        <f t="shared" si="19"/>
        <v/>
      </c>
    </row>
    <row r="448" spans="3:9" x14ac:dyDescent="0.3">
      <c r="C448" s="209"/>
      <c r="D448" s="209"/>
      <c r="E448" s="209"/>
      <c r="F448" s="209"/>
      <c r="G448" s="209"/>
      <c r="H448" s="209"/>
      <c r="I448" s="264" t="str">
        <f t="shared" si="19"/>
        <v/>
      </c>
    </row>
    <row r="449" spans="3:9" x14ac:dyDescent="0.3">
      <c r="C449" s="209"/>
      <c r="D449" s="209"/>
      <c r="E449" s="209"/>
      <c r="F449" s="209"/>
      <c r="G449" s="209"/>
      <c r="H449" s="209"/>
      <c r="I449" s="264" t="str">
        <f t="shared" si="19"/>
        <v/>
      </c>
    </row>
    <row r="450" spans="3:9" x14ac:dyDescent="0.3">
      <c r="C450" s="209"/>
      <c r="D450" s="209"/>
      <c r="E450" s="209"/>
      <c r="F450" s="209"/>
      <c r="G450" s="209"/>
      <c r="H450" s="209"/>
      <c r="I450" s="264" t="str">
        <f t="shared" si="19"/>
        <v/>
      </c>
    </row>
    <row r="451" spans="3:9" x14ac:dyDescent="0.3">
      <c r="C451" s="209"/>
      <c r="D451" s="209"/>
      <c r="E451" s="209"/>
      <c r="F451" s="209"/>
      <c r="G451" s="209"/>
      <c r="H451" s="209"/>
      <c r="I451" s="264" t="str">
        <f t="shared" si="19"/>
        <v/>
      </c>
    </row>
    <row r="452" spans="3:9" x14ac:dyDescent="0.3">
      <c r="C452" s="209"/>
      <c r="D452" s="209"/>
      <c r="E452" s="209"/>
      <c r="F452" s="209"/>
      <c r="G452" s="209"/>
      <c r="H452" s="209"/>
      <c r="I452" s="264" t="str">
        <f t="shared" si="19"/>
        <v/>
      </c>
    </row>
    <row r="453" spans="3:9" x14ac:dyDescent="0.3">
      <c r="C453" s="209"/>
      <c r="D453" s="209"/>
      <c r="E453" s="209"/>
      <c r="F453" s="209"/>
      <c r="G453" s="209"/>
      <c r="H453" s="209"/>
      <c r="I453" s="264" t="str">
        <f t="shared" si="19"/>
        <v/>
      </c>
    </row>
    <row r="454" spans="3:9" x14ac:dyDescent="0.3">
      <c r="C454" s="209"/>
      <c r="D454" s="209"/>
      <c r="E454" s="209"/>
      <c r="F454" s="209"/>
      <c r="G454" s="209"/>
      <c r="H454" s="209"/>
      <c r="I454" s="264" t="str">
        <f t="shared" si="19"/>
        <v/>
      </c>
    </row>
    <row r="455" spans="3:9" x14ac:dyDescent="0.3">
      <c r="C455" s="209"/>
      <c r="D455" s="209"/>
      <c r="E455" s="209"/>
      <c r="F455" s="209"/>
      <c r="G455" s="209"/>
      <c r="H455" s="209"/>
      <c r="I455" s="264" t="str">
        <f t="shared" si="19"/>
        <v/>
      </c>
    </row>
    <row r="456" spans="3:9" x14ac:dyDescent="0.3">
      <c r="C456" s="209"/>
      <c r="D456" s="209"/>
      <c r="E456" s="209"/>
      <c r="F456" s="209"/>
      <c r="G456" s="209"/>
      <c r="H456" s="209"/>
      <c r="I456" s="264" t="str">
        <f t="shared" si="19"/>
        <v/>
      </c>
    </row>
    <row r="457" spans="3:9" x14ac:dyDescent="0.3">
      <c r="C457" s="209"/>
      <c r="D457" s="209"/>
      <c r="E457" s="209"/>
      <c r="F457" s="209"/>
      <c r="G457" s="209"/>
      <c r="H457" s="209"/>
      <c r="I457" s="264" t="str">
        <f t="shared" si="19"/>
        <v/>
      </c>
    </row>
    <row r="458" spans="3:9" x14ac:dyDescent="0.3">
      <c r="C458" s="209"/>
      <c r="D458" s="209"/>
      <c r="E458" s="209"/>
      <c r="F458" s="209"/>
      <c r="G458" s="209"/>
      <c r="H458" s="209"/>
      <c r="I458" s="264" t="str">
        <f t="shared" si="19"/>
        <v/>
      </c>
    </row>
    <row r="459" spans="3:9" x14ac:dyDescent="0.3">
      <c r="C459" s="209"/>
      <c r="D459" s="209"/>
      <c r="E459" s="209"/>
      <c r="F459" s="209"/>
      <c r="G459" s="209"/>
      <c r="H459" s="209"/>
      <c r="I459" s="264" t="str">
        <f t="shared" si="19"/>
        <v/>
      </c>
    </row>
    <row r="460" spans="3:9" x14ac:dyDescent="0.3">
      <c r="C460" s="209"/>
      <c r="D460" s="209"/>
      <c r="E460" s="209"/>
      <c r="F460" s="209"/>
      <c r="G460" s="209"/>
      <c r="H460" s="209"/>
      <c r="I460" s="264" t="str">
        <f t="shared" si="19"/>
        <v/>
      </c>
    </row>
    <row r="461" spans="3:9" x14ac:dyDescent="0.3">
      <c r="C461" s="209"/>
      <c r="D461" s="209"/>
      <c r="E461" s="209"/>
      <c r="F461" s="209"/>
      <c r="G461" s="209"/>
      <c r="H461" s="209"/>
      <c r="I461" s="264" t="str">
        <f t="shared" si="19"/>
        <v/>
      </c>
    </row>
    <row r="462" spans="3:9" x14ac:dyDescent="0.3">
      <c r="C462" s="209"/>
      <c r="D462" s="209"/>
      <c r="E462" s="209"/>
      <c r="F462" s="209"/>
      <c r="G462" s="209"/>
      <c r="H462" s="209"/>
      <c r="I462" s="264" t="str">
        <f t="shared" si="19"/>
        <v/>
      </c>
    </row>
    <row r="463" spans="3:9" x14ac:dyDescent="0.3">
      <c r="C463" s="209"/>
      <c r="D463" s="209"/>
      <c r="E463" s="209"/>
      <c r="F463" s="209"/>
      <c r="G463" s="209"/>
      <c r="H463" s="209"/>
      <c r="I463" s="264" t="str">
        <f t="shared" si="19"/>
        <v/>
      </c>
    </row>
    <row r="464" spans="3:9" x14ac:dyDescent="0.3">
      <c r="C464" s="209"/>
      <c r="D464" s="209"/>
      <c r="E464" s="209"/>
      <c r="F464" s="209"/>
      <c r="G464" s="209"/>
      <c r="H464" s="209"/>
      <c r="I464" s="264" t="str">
        <f t="shared" si="19"/>
        <v/>
      </c>
    </row>
    <row r="465" spans="3:9" x14ac:dyDescent="0.3">
      <c r="C465" s="209"/>
      <c r="D465" s="209"/>
      <c r="E465" s="209"/>
      <c r="F465" s="209"/>
      <c r="G465" s="209"/>
      <c r="H465" s="209"/>
      <c r="I465" s="264" t="str">
        <f t="shared" si="19"/>
        <v/>
      </c>
    </row>
    <row r="466" spans="3:9" x14ac:dyDescent="0.3">
      <c r="C466" s="209"/>
      <c r="D466" s="209"/>
      <c r="E466" s="209"/>
      <c r="F466" s="209"/>
      <c r="G466" s="209"/>
      <c r="H466" s="209"/>
      <c r="I466" s="264" t="str">
        <f t="shared" si="19"/>
        <v/>
      </c>
    </row>
    <row r="467" spans="3:9" x14ac:dyDescent="0.3">
      <c r="C467" s="209"/>
      <c r="D467" s="209"/>
      <c r="E467" s="209"/>
      <c r="F467" s="209"/>
      <c r="G467" s="209"/>
      <c r="H467" s="209"/>
      <c r="I467" s="264" t="str">
        <f t="shared" si="19"/>
        <v/>
      </c>
    </row>
    <row r="468" spans="3:9" x14ac:dyDescent="0.3">
      <c r="C468" s="209"/>
      <c r="D468" s="209"/>
      <c r="E468" s="209"/>
      <c r="F468" s="209"/>
      <c r="G468" s="209"/>
      <c r="H468" s="209"/>
      <c r="I468" s="264" t="str">
        <f t="shared" si="19"/>
        <v/>
      </c>
    </row>
    <row r="469" spans="3:9" x14ac:dyDescent="0.3">
      <c r="C469" s="209"/>
      <c r="D469" s="209"/>
      <c r="E469" s="209"/>
      <c r="F469" s="209"/>
      <c r="G469" s="209"/>
      <c r="H469" s="209"/>
      <c r="I469" s="264" t="str">
        <f t="shared" si="19"/>
        <v/>
      </c>
    </row>
    <row r="470" spans="3:9" x14ac:dyDescent="0.3">
      <c r="C470" s="209"/>
      <c r="D470" s="209"/>
      <c r="E470" s="209"/>
      <c r="F470" s="209"/>
      <c r="G470" s="209"/>
      <c r="H470" s="209"/>
      <c r="I470" s="264" t="str">
        <f t="shared" si="19"/>
        <v/>
      </c>
    </row>
    <row r="471" spans="3:9" x14ac:dyDescent="0.3">
      <c r="C471" s="209"/>
      <c r="D471" s="209"/>
      <c r="E471" s="209"/>
      <c r="F471" s="209"/>
      <c r="G471" s="209"/>
      <c r="H471" s="209"/>
      <c r="I471" s="264" t="str">
        <f t="shared" si="19"/>
        <v/>
      </c>
    </row>
    <row r="472" spans="3:9" x14ac:dyDescent="0.3">
      <c r="C472" s="209"/>
      <c r="D472" s="209"/>
      <c r="E472" s="209"/>
      <c r="F472" s="209"/>
      <c r="G472" s="209"/>
      <c r="H472" s="209"/>
      <c r="I472" s="264" t="str">
        <f t="shared" si="19"/>
        <v/>
      </c>
    </row>
    <row r="473" spans="3:9" x14ac:dyDescent="0.3">
      <c r="C473" s="209"/>
      <c r="D473" s="209"/>
      <c r="E473" s="209"/>
      <c r="F473" s="209"/>
      <c r="G473" s="209"/>
      <c r="H473" s="209"/>
      <c r="I473" s="264" t="str">
        <f t="shared" si="19"/>
        <v/>
      </c>
    </row>
    <row r="474" spans="3:9" x14ac:dyDescent="0.3">
      <c r="C474" s="209"/>
      <c r="D474" s="209"/>
      <c r="E474" s="209"/>
      <c r="F474" s="209"/>
      <c r="G474" s="209"/>
      <c r="H474" s="209"/>
      <c r="I474" s="264" t="str">
        <f t="shared" si="19"/>
        <v/>
      </c>
    </row>
    <row r="475" spans="3:9" x14ac:dyDescent="0.3">
      <c r="C475" s="209"/>
      <c r="D475" s="209"/>
      <c r="E475" s="209"/>
      <c r="F475" s="209"/>
      <c r="G475" s="209"/>
      <c r="H475" s="209"/>
      <c r="I475" s="264" t="str">
        <f t="shared" si="19"/>
        <v/>
      </c>
    </row>
    <row r="476" spans="3:9" x14ac:dyDescent="0.3">
      <c r="C476" s="209"/>
      <c r="D476" s="209"/>
      <c r="E476" s="209"/>
      <c r="F476" s="209"/>
      <c r="G476" s="209"/>
      <c r="H476" s="209"/>
      <c r="I476" s="264" t="str">
        <f t="shared" si="19"/>
        <v/>
      </c>
    </row>
    <row r="477" spans="3:9" x14ac:dyDescent="0.3">
      <c r="C477" s="209"/>
      <c r="D477" s="209"/>
      <c r="E477" s="209"/>
      <c r="F477" s="209"/>
      <c r="G477" s="209"/>
      <c r="H477" s="209"/>
      <c r="I477" s="264" t="str">
        <f t="shared" si="19"/>
        <v/>
      </c>
    </row>
    <row r="478" spans="3:9" x14ac:dyDescent="0.3">
      <c r="C478" s="209"/>
      <c r="D478" s="209"/>
      <c r="E478" s="209"/>
      <c r="F478" s="209"/>
      <c r="G478" s="209"/>
      <c r="H478" s="209"/>
      <c r="I478" s="264" t="str">
        <f t="shared" si="19"/>
        <v/>
      </c>
    </row>
    <row r="479" spans="3:9" x14ac:dyDescent="0.3">
      <c r="C479" s="209"/>
      <c r="D479" s="209"/>
      <c r="E479" s="209"/>
      <c r="F479" s="209"/>
      <c r="G479" s="209"/>
      <c r="H479" s="209"/>
      <c r="I479" s="264" t="str">
        <f t="shared" si="19"/>
        <v/>
      </c>
    </row>
    <row r="480" spans="3:9" x14ac:dyDescent="0.3">
      <c r="C480" s="209"/>
      <c r="D480" s="209"/>
      <c r="E480" s="209"/>
      <c r="F480" s="209"/>
      <c r="G480" s="209"/>
      <c r="H480" s="209"/>
      <c r="I480" s="264" t="str">
        <f t="shared" si="19"/>
        <v/>
      </c>
    </row>
    <row r="481" spans="3:9" x14ac:dyDescent="0.3">
      <c r="C481" s="209"/>
      <c r="D481" s="209"/>
      <c r="E481" s="209"/>
      <c r="F481" s="209"/>
      <c r="G481" s="209"/>
      <c r="H481" s="209"/>
      <c r="I481" s="264" t="str">
        <f t="shared" si="19"/>
        <v/>
      </c>
    </row>
    <row r="482" spans="3:9" x14ac:dyDescent="0.3">
      <c r="C482" s="209"/>
      <c r="D482" s="209"/>
      <c r="E482" s="209"/>
      <c r="F482" s="209"/>
      <c r="G482" s="209"/>
      <c r="H482" s="209"/>
      <c r="I482" s="264" t="str">
        <f t="shared" si="19"/>
        <v/>
      </c>
    </row>
    <row r="483" spans="3:9" x14ac:dyDescent="0.3">
      <c r="C483" s="209"/>
      <c r="D483" s="209"/>
      <c r="E483" s="209"/>
      <c r="F483" s="209"/>
      <c r="G483" s="209"/>
      <c r="H483" s="209"/>
      <c r="I483" s="264" t="str">
        <f t="shared" si="19"/>
        <v/>
      </c>
    </row>
    <row r="484" spans="3:9" x14ac:dyDescent="0.3">
      <c r="C484" s="209"/>
      <c r="D484" s="209"/>
      <c r="E484" s="209"/>
      <c r="F484" s="209"/>
      <c r="G484" s="209"/>
      <c r="H484" s="209"/>
      <c r="I484" s="264" t="str">
        <f t="shared" si="19"/>
        <v/>
      </c>
    </row>
    <row r="485" spans="3:9" x14ac:dyDescent="0.3">
      <c r="C485" s="209"/>
      <c r="D485" s="209"/>
      <c r="E485" s="209"/>
      <c r="F485" s="209"/>
      <c r="G485" s="209"/>
      <c r="H485" s="209"/>
      <c r="I485" s="264" t="str">
        <f t="shared" si="19"/>
        <v/>
      </c>
    </row>
    <row r="486" spans="3:9" x14ac:dyDescent="0.3">
      <c r="C486" s="209"/>
      <c r="D486" s="209"/>
      <c r="E486" s="209"/>
      <c r="F486" s="209"/>
      <c r="G486" s="209"/>
      <c r="H486" s="209"/>
      <c r="I486" s="264" t="str">
        <f t="shared" si="19"/>
        <v/>
      </c>
    </row>
    <row r="487" spans="3:9" x14ac:dyDescent="0.3">
      <c r="C487" s="209"/>
      <c r="D487" s="209"/>
      <c r="E487" s="209"/>
      <c r="F487" s="209"/>
      <c r="G487" s="209"/>
      <c r="H487" s="209"/>
      <c r="I487" s="264" t="str">
        <f t="shared" si="19"/>
        <v/>
      </c>
    </row>
    <row r="488" spans="3:9" x14ac:dyDescent="0.3">
      <c r="C488" s="209"/>
      <c r="D488" s="209"/>
      <c r="E488" s="209"/>
      <c r="F488" s="209"/>
      <c r="G488" s="209"/>
      <c r="H488" s="209"/>
      <c r="I488" s="264" t="str">
        <f t="shared" si="19"/>
        <v/>
      </c>
    </row>
    <row r="489" spans="3:9" x14ac:dyDescent="0.3">
      <c r="C489" s="209"/>
      <c r="D489" s="209"/>
      <c r="E489" s="209"/>
      <c r="F489" s="209"/>
      <c r="G489" s="209"/>
      <c r="H489" s="209"/>
      <c r="I489" s="264" t="str">
        <f t="shared" si="19"/>
        <v/>
      </c>
    </row>
    <row r="490" spans="3:9" x14ac:dyDescent="0.3">
      <c r="C490" s="209"/>
      <c r="D490" s="209"/>
      <c r="E490" s="209"/>
      <c r="F490" s="209"/>
      <c r="G490" s="209"/>
      <c r="H490" s="209"/>
      <c r="I490" s="264" t="str">
        <f t="shared" si="19"/>
        <v/>
      </c>
    </row>
    <row r="491" spans="3:9" x14ac:dyDescent="0.3">
      <c r="C491" s="209"/>
      <c r="D491" s="209"/>
      <c r="E491" s="209"/>
      <c r="F491" s="209"/>
      <c r="G491" s="209"/>
      <c r="H491" s="209"/>
      <c r="I491" s="264" t="str">
        <f t="shared" si="19"/>
        <v/>
      </c>
    </row>
    <row r="492" spans="3:9" x14ac:dyDescent="0.3">
      <c r="C492" s="209"/>
      <c r="D492" s="209"/>
      <c r="E492" s="209"/>
      <c r="F492" s="209"/>
      <c r="G492" s="209"/>
      <c r="H492" s="209"/>
      <c r="I492" s="264" t="str">
        <f t="shared" si="19"/>
        <v/>
      </c>
    </row>
    <row r="493" spans="3:9" x14ac:dyDescent="0.3">
      <c r="C493" s="209"/>
      <c r="D493" s="209"/>
      <c r="E493" s="209"/>
      <c r="F493" s="209"/>
      <c r="G493" s="209"/>
      <c r="H493" s="209"/>
      <c r="I493" s="264" t="str">
        <f t="shared" si="19"/>
        <v/>
      </c>
    </row>
    <row r="494" spans="3:9" x14ac:dyDescent="0.3">
      <c r="C494" s="209"/>
      <c r="D494" s="209"/>
      <c r="E494" s="209"/>
      <c r="F494" s="209"/>
      <c r="G494" s="209"/>
      <c r="H494" s="209"/>
      <c r="I494" s="264" t="str">
        <f t="shared" si="19"/>
        <v/>
      </c>
    </row>
    <row r="495" spans="3:9" x14ac:dyDescent="0.3">
      <c r="C495" s="209"/>
      <c r="D495" s="209"/>
      <c r="E495" s="209"/>
      <c r="F495" s="209"/>
      <c r="G495" s="209"/>
      <c r="H495" s="209"/>
      <c r="I495" s="264" t="str">
        <f t="shared" si="19"/>
        <v/>
      </c>
    </row>
    <row r="496" spans="3:9" x14ac:dyDescent="0.3">
      <c r="C496" s="209"/>
      <c r="D496" s="209"/>
      <c r="E496" s="209"/>
      <c r="F496" s="209"/>
      <c r="G496" s="209"/>
      <c r="H496" s="209"/>
      <c r="I496" s="264" t="str">
        <f t="shared" si="19"/>
        <v/>
      </c>
    </row>
    <row r="497" spans="3:9" x14ac:dyDescent="0.3">
      <c r="C497" s="209"/>
      <c r="D497" s="209"/>
      <c r="E497" s="209"/>
      <c r="F497" s="209"/>
      <c r="G497" s="209"/>
      <c r="H497" s="209"/>
      <c r="I497" s="264" t="str">
        <f t="shared" si="19"/>
        <v/>
      </c>
    </row>
    <row r="498" spans="3:9" x14ac:dyDescent="0.3">
      <c r="C498" s="209"/>
      <c r="D498" s="209"/>
      <c r="E498" s="209"/>
      <c r="F498" s="209"/>
      <c r="G498" s="209"/>
      <c r="H498" s="209"/>
      <c r="I498" s="264" t="str">
        <f t="shared" si="19"/>
        <v/>
      </c>
    </row>
    <row r="499" spans="3:9" x14ac:dyDescent="0.3">
      <c r="C499" s="209"/>
      <c r="D499" s="209"/>
      <c r="E499" s="209"/>
      <c r="F499" s="209"/>
      <c r="G499" s="209"/>
      <c r="H499" s="209"/>
      <c r="I499" s="264" t="str">
        <f t="shared" si="19"/>
        <v/>
      </c>
    </row>
    <row r="500" spans="3:9" x14ac:dyDescent="0.3">
      <c r="C500" s="209"/>
      <c r="D500" s="209"/>
      <c r="E500" s="209"/>
      <c r="F500" s="209"/>
      <c r="G500" s="209"/>
      <c r="H500" s="209"/>
      <c r="I500" s="264" t="str">
        <f t="shared" si="19"/>
        <v/>
      </c>
    </row>
    <row r="501" spans="3:9" x14ac:dyDescent="0.3">
      <c r="C501" s="209"/>
      <c r="D501" s="209"/>
      <c r="E501" s="209"/>
      <c r="F501" s="209"/>
      <c r="G501" s="209"/>
      <c r="H501" s="209"/>
      <c r="I501" s="264" t="str">
        <f t="shared" si="19"/>
        <v/>
      </c>
    </row>
    <row r="502" spans="3:9" x14ac:dyDescent="0.3">
      <c r="C502" s="209"/>
      <c r="D502" s="209"/>
      <c r="E502" s="209"/>
      <c r="F502" s="209"/>
      <c r="G502" s="209"/>
      <c r="H502" s="209"/>
      <c r="I502" s="264" t="str">
        <f t="shared" si="19"/>
        <v/>
      </c>
    </row>
    <row r="503" spans="3:9" x14ac:dyDescent="0.3">
      <c r="C503" s="209"/>
      <c r="D503" s="209"/>
      <c r="E503" s="209"/>
      <c r="F503" s="209"/>
      <c r="G503" s="209"/>
      <c r="H503" s="209"/>
      <c r="I503" s="264" t="str">
        <f t="shared" si="19"/>
        <v/>
      </c>
    </row>
    <row r="504" spans="3:9" x14ac:dyDescent="0.3">
      <c r="C504" s="209"/>
      <c r="D504" s="209"/>
      <c r="E504" s="209"/>
      <c r="F504" s="209"/>
      <c r="G504" s="209"/>
      <c r="H504" s="209"/>
      <c r="I504" s="264" t="str">
        <f t="shared" si="19"/>
        <v/>
      </c>
    </row>
    <row r="505" spans="3:9" x14ac:dyDescent="0.3">
      <c r="C505" s="209"/>
      <c r="D505" s="209"/>
      <c r="E505" s="209"/>
      <c r="F505" s="209"/>
      <c r="G505" s="209"/>
      <c r="H505" s="209"/>
      <c r="I505" s="264" t="str">
        <f t="shared" si="19"/>
        <v/>
      </c>
    </row>
    <row r="506" spans="3:9" x14ac:dyDescent="0.3">
      <c r="C506" s="209"/>
      <c r="D506" s="209"/>
      <c r="E506" s="209"/>
      <c r="F506" s="209"/>
      <c r="G506" s="209"/>
      <c r="H506" s="209"/>
      <c r="I506" s="264" t="str">
        <f t="shared" si="19"/>
        <v/>
      </c>
    </row>
    <row r="507" spans="3:9" x14ac:dyDescent="0.3">
      <c r="C507" s="209"/>
      <c r="D507" s="209"/>
      <c r="E507" s="209"/>
      <c r="F507" s="209"/>
      <c r="G507" s="209"/>
      <c r="H507" s="209"/>
      <c r="I507" s="264" t="str">
        <f t="shared" si="19"/>
        <v/>
      </c>
    </row>
    <row r="508" spans="3:9" x14ac:dyDescent="0.3">
      <c r="C508" s="209"/>
      <c r="D508" s="209"/>
      <c r="E508" s="209"/>
      <c r="F508" s="209"/>
      <c r="G508" s="209"/>
      <c r="H508" s="209"/>
      <c r="I508" s="264" t="str">
        <f t="shared" si="19"/>
        <v/>
      </c>
    </row>
    <row r="509" spans="3:9" x14ac:dyDescent="0.3">
      <c r="C509" s="209"/>
      <c r="D509" s="209"/>
      <c r="E509" s="209"/>
      <c r="F509" s="209"/>
      <c r="G509" s="209"/>
      <c r="H509" s="209"/>
      <c r="I509" s="264" t="str">
        <f t="shared" si="19"/>
        <v/>
      </c>
    </row>
    <row r="510" spans="3:9" x14ac:dyDescent="0.3">
      <c r="C510" s="209"/>
      <c r="D510" s="209"/>
      <c r="E510" s="209"/>
      <c r="F510" s="209"/>
      <c r="G510" s="209"/>
      <c r="H510" s="209"/>
      <c r="I510" s="264" t="str">
        <f t="shared" ref="I510:I573" si="20">IF(H510=0,"",D510)</f>
        <v/>
      </c>
    </row>
    <row r="511" spans="3:9" x14ac:dyDescent="0.3">
      <c r="C511" s="209"/>
      <c r="D511" s="209"/>
      <c r="E511" s="209"/>
      <c r="F511" s="209"/>
      <c r="G511" s="209"/>
      <c r="H511" s="209"/>
      <c r="I511" s="264" t="str">
        <f t="shared" si="20"/>
        <v/>
      </c>
    </row>
    <row r="512" spans="3:9" x14ac:dyDescent="0.3">
      <c r="C512" s="209"/>
      <c r="D512" s="209"/>
      <c r="E512" s="209"/>
      <c r="F512" s="209"/>
      <c r="G512" s="209"/>
      <c r="H512" s="209"/>
      <c r="I512" s="264" t="str">
        <f t="shared" si="20"/>
        <v/>
      </c>
    </row>
    <row r="513" spans="3:9" x14ac:dyDescent="0.3">
      <c r="C513" s="209"/>
      <c r="D513" s="209"/>
      <c r="E513" s="209"/>
      <c r="F513" s="209"/>
      <c r="G513" s="209"/>
      <c r="H513" s="209"/>
      <c r="I513" s="264" t="str">
        <f t="shared" si="20"/>
        <v/>
      </c>
    </row>
    <row r="514" spans="3:9" x14ac:dyDescent="0.3">
      <c r="C514" s="209"/>
      <c r="D514" s="209"/>
      <c r="E514" s="209"/>
      <c r="F514" s="209"/>
      <c r="G514" s="209"/>
      <c r="H514" s="209"/>
      <c r="I514" s="264" t="str">
        <f t="shared" si="20"/>
        <v/>
      </c>
    </row>
    <row r="515" spans="3:9" x14ac:dyDescent="0.3">
      <c r="C515" s="209"/>
      <c r="D515" s="209"/>
      <c r="E515" s="209"/>
      <c r="F515" s="209"/>
      <c r="G515" s="209"/>
      <c r="H515" s="209"/>
      <c r="I515" s="264" t="str">
        <f t="shared" si="20"/>
        <v/>
      </c>
    </row>
    <row r="516" spans="3:9" x14ac:dyDescent="0.3">
      <c r="C516" s="209"/>
      <c r="D516" s="209"/>
      <c r="E516" s="209"/>
      <c r="F516" s="209"/>
      <c r="G516" s="209"/>
      <c r="H516" s="209"/>
      <c r="I516" s="264" t="str">
        <f t="shared" si="20"/>
        <v/>
      </c>
    </row>
    <row r="517" spans="3:9" x14ac:dyDescent="0.3">
      <c r="C517" s="209"/>
      <c r="D517" s="209"/>
      <c r="E517" s="209"/>
      <c r="F517" s="209"/>
      <c r="G517" s="209"/>
      <c r="H517" s="209"/>
      <c r="I517" s="264" t="str">
        <f t="shared" si="20"/>
        <v/>
      </c>
    </row>
    <row r="518" spans="3:9" x14ac:dyDescent="0.3">
      <c r="C518" s="209"/>
      <c r="D518" s="209"/>
      <c r="E518" s="209"/>
      <c r="F518" s="209"/>
      <c r="G518" s="209"/>
      <c r="H518" s="209"/>
      <c r="I518" s="264" t="str">
        <f t="shared" si="20"/>
        <v/>
      </c>
    </row>
    <row r="519" spans="3:9" x14ac:dyDescent="0.3">
      <c r="C519" s="209"/>
      <c r="D519" s="209"/>
      <c r="E519" s="209"/>
      <c r="F519" s="209"/>
      <c r="G519" s="209"/>
      <c r="H519" s="209"/>
      <c r="I519" s="264" t="str">
        <f t="shared" si="20"/>
        <v/>
      </c>
    </row>
    <row r="520" spans="3:9" x14ac:dyDescent="0.3">
      <c r="C520" s="209"/>
      <c r="D520" s="209"/>
      <c r="E520" s="209"/>
      <c r="F520" s="209"/>
      <c r="G520" s="209"/>
      <c r="H520" s="209"/>
      <c r="I520" s="264" t="str">
        <f t="shared" si="20"/>
        <v/>
      </c>
    </row>
    <row r="521" spans="3:9" x14ac:dyDescent="0.3">
      <c r="C521" s="209"/>
      <c r="D521" s="209"/>
      <c r="E521" s="209"/>
      <c r="F521" s="209"/>
      <c r="G521" s="209"/>
      <c r="H521" s="209"/>
      <c r="I521" s="264" t="str">
        <f t="shared" si="20"/>
        <v/>
      </c>
    </row>
    <row r="522" spans="3:9" x14ac:dyDescent="0.3">
      <c r="C522" s="209"/>
      <c r="D522" s="209"/>
      <c r="E522" s="209"/>
      <c r="F522" s="209"/>
      <c r="G522" s="209"/>
      <c r="H522" s="209"/>
      <c r="I522" s="264" t="str">
        <f t="shared" si="20"/>
        <v/>
      </c>
    </row>
    <row r="523" spans="3:9" x14ac:dyDescent="0.3">
      <c r="C523" s="209"/>
      <c r="D523" s="209"/>
      <c r="E523" s="209"/>
      <c r="F523" s="209"/>
      <c r="G523" s="209"/>
      <c r="H523" s="209"/>
      <c r="I523" s="264" t="str">
        <f t="shared" si="20"/>
        <v/>
      </c>
    </row>
    <row r="524" spans="3:9" x14ac:dyDescent="0.3">
      <c r="C524" s="209"/>
      <c r="D524" s="209"/>
      <c r="E524" s="209"/>
      <c r="F524" s="209"/>
      <c r="G524" s="209"/>
      <c r="H524" s="209"/>
      <c r="I524" s="264" t="str">
        <f t="shared" si="20"/>
        <v/>
      </c>
    </row>
    <row r="525" spans="3:9" x14ac:dyDescent="0.3">
      <c r="C525" s="209"/>
      <c r="D525" s="209"/>
      <c r="E525" s="209"/>
      <c r="F525" s="209"/>
      <c r="G525" s="209"/>
      <c r="H525" s="209"/>
      <c r="I525" s="264" t="str">
        <f t="shared" si="20"/>
        <v/>
      </c>
    </row>
    <row r="526" spans="3:9" x14ac:dyDescent="0.3">
      <c r="C526" s="209"/>
      <c r="D526" s="209"/>
      <c r="E526" s="209"/>
      <c r="F526" s="209"/>
      <c r="G526" s="209"/>
      <c r="H526" s="209"/>
      <c r="I526" s="264" t="str">
        <f t="shared" si="20"/>
        <v/>
      </c>
    </row>
    <row r="527" spans="3:9" x14ac:dyDescent="0.3">
      <c r="C527" s="209"/>
      <c r="D527" s="209"/>
      <c r="E527" s="209"/>
      <c r="F527" s="209"/>
      <c r="G527" s="209"/>
      <c r="H527" s="209"/>
      <c r="I527" s="264" t="str">
        <f t="shared" si="20"/>
        <v/>
      </c>
    </row>
    <row r="528" spans="3:9" x14ac:dyDescent="0.3">
      <c r="C528" s="209"/>
      <c r="D528" s="209"/>
      <c r="E528" s="209"/>
      <c r="F528" s="209"/>
      <c r="G528" s="209"/>
      <c r="H528" s="209"/>
      <c r="I528" s="264" t="str">
        <f t="shared" si="20"/>
        <v/>
      </c>
    </row>
    <row r="529" spans="3:9" x14ac:dyDescent="0.3">
      <c r="C529" s="209"/>
      <c r="D529" s="209"/>
      <c r="E529" s="209"/>
      <c r="F529" s="209"/>
      <c r="G529" s="209"/>
      <c r="H529" s="209"/>
      <c r="I529" s="264" t="str">
        <f t="shared" si="20"/>
        <v/>
      </c>
    </row>
    <row r="530" spans="3:9" x14ac:dyDescent="0.3">
      <c r="C530" s="209"/>
      <c r="D530" s="209"/>
      <c r="E530" s="209"/>
      <c r="F530" s="209"/>
      <c r="G530" s="209"/>
      <c r="H530" s="209"/>
      <c r="I530" s="264" t="str">
        <f t="shared" si="20"/>
        <v/>
      </c>
    </row>
    <row r="531" spans="3:9" x14ac:dyDescent="0.3">
      <c r="C531" s="209"/>
      <c r="D531" s="209"/>
      <c r="E531" s="209"/>
      <c r="F531" s="209"/>
      <c r="G531" s="209"/>
      <c r="H531" s="209"/>
      <c r="I531" s="264" t="str">
        <f t="shared" si="20"/>
        <v/>
      </c>
    </row>
    <row r="532" spans="3:9" x14ac:dyDescent="0.3">
      <c r="C532" s="209"/>
      <c r="D532" s="209"/>
      <c r="E532" s="209"/>
      <c r="F532" s="209"/>
      <c r="G532" s="209"/>
      <c r="H532" s="209"/>
      <c r="I532" s="264" t="str">
        <f t="shared" si="20"/>
        <v/>
      </c>
    </row>
    <row r="533" spans="3:9" x14ac:dyDescent="0.3">
      <c r="C533" s="209"/>
      <c r="D533" s="209"/>
      <c r="E533" s="209"/>
      <c r="F533" s="209"/>
      <c r="G533" s="209"/>
      <c r="H533" s="209"/>
      <c r="I533" s="264" t="str">
        <f t="shared" si="20"/>
        <v/>
      </c>
    </row>
    <row r="534" spans="3:9" x14ac:dyDescent="0.3">
      <c r="C534" s="209"/>
      <c r="D534" s="209"/>
      <c r="E534" s="209"/>
      <c r="F534" s="209"/>
      <c r="G534" s="209"/>
      <c r="H534" s="209"/>
      <c r="I534" s="264" t="str">
        <f t="shared" si="20"/>
        <v/>
      </c>
    </row>
    <row r="535" spans="3:9" x14ac:dyDescent="0.3">
      <c r="C535" s="209"/>
      <c r="D535" s="209"/>
      <c r="E535" s="209"/>
      <c r="F535" s="209"/>
      <c r="G535" s="209"/>
      <c r="H535" s="209"/>
      <c r="I535" s="264" t="str">
        <f t="shared" si="20"/>
        <v/>
      </c>
    </row>
    <row r="536" spans="3:9" x14ac:dyDescent="0.3">
      <c r="C536" s="209"/>
      <c r="D536" s="209"/>
      <c r="E536" s="209"/>
      <c r="F536" s="209"/>
      <c r="G536" s="209"/>
      <c r="H536" s="209"/>
      <c r="I536" s="264" t="str">
        <f t="shared" si="20"/>
        <v/>
      </c>
    </row>
    <row r="537" spans="3:9" x14ac:dyDescent="0.3">
      <c r="C537" s="209"/>
      <c r="D537" s="209"/>
      <c r="E537" s="209"/>
      <c r="F537" s="209"/>
      <c r="G537" s="209"/>
      <c r="H537" s="209"/>
      <c r="I537" s="264" t="str">
        <f t="shared" si="20"/>
        <v/>
      </c>
    </row>
    <row r="538" spans="3:9" x14ac:dyDescent="0.3">
      <c r="C538" s="209"/>
      <c r="D538" s="209"/>
      <c r="E538" s="209"/>
      <c r="F538" s="209"/>
      <c r="G538" s="209"/>
      <c r="H538" s="209"/>
      <c r="I538" s="264" t="str">
        <f t="shared" si="20"/>
        <v/>
      </c>
    </row>
    <row r="539" spans="3:9" x14ac:dyDescent="0.3">
      <c r="C539" s="209"/>
      <c r="D539" s="209"/>
      <c r="E539" s="209"/>
      <c r="F539" s="209"/>
      <c r="G539" s="209"/>
      <c r="H539" s="209"/>
      <c r="I539" s="264" t="str">
        <f t="shared" si="20"/>
        <v/>
      </c>
    </row>
    <row r="540" spans="3:9" x14ac:dyDescent="0.3">
      <c r="C540" s="209"/>
      <c r="D540" s="209"/>
      <c r="E540" s="209"/>
      <c r="F540" s="209"/>
      <c r="G540" s="209"/>
      <c r="H540" s="209"/>
      <c r="I540" s="264" t="str">
        <f t="shared" si="20"/>
        <v/>
      </c>
    </row>
    <row r="541" spans="3:9" x14ac:dyDescent="0.3">
      <c r="C541" s="209"/>
      <c r="D541" s="209"/>
      <c r="E541" s="209"/>
      <c r="F541" s="209"/>
      <c r="G541" s="209"/>
      <c r="H541" s="209"/>
      <c r="I541" s="264" t="str">
        <f t="shared" si="20"/>
        <v/>
      </c>
    </row>
    <row r="542" spans="3:9" x14ac:dyDescent="0.3">
      <c r="C542" s="209"/>
      <c r="D542" s="209"/>
      <c r="E542" s="209"/>
      <c r="F542" s="209"/>
      <c r="G542" s="209"/>
      <c r="H542" s="209"/>
      <c r="I542" s="264" t="str">
        <f t="shared" si="20"/>
        <v/>
      </c>
    </row>
    <row r="543" spans="3:9" x14ac:dyDescent="0.3">
      <c r="C543" s="209"/>
      <c r="D543" s="209"/>
      <c r="E543" s="209"/>
      <c r="F543" s="209"/>
      <c r="G543" s="209"/>
      <c r="H543" s="209"/>
      <c r="I543" s="264" t="str">
        <f t="shared" si="20"/>
        <v/>
      </c>
    </row>
    <row r="544" spans="3:9" x14ac:dyDescent="0.3">
      <c r="C544" s="209"/>
      <c r="D544" s="209"/>
      <c r="E544" s="209"/>
      <c r="F544" s="209"/>
      <c r="G544" s="209"/>
      <c r="H544" s="209"/>
      <c r="I544" s="264" t="str">
        <f t="shared" si="20"/>
        <v/>
      </c>
    </row>
    <row r="545" spans="3:9" x14ac:dyDescent="0.3">
      <c r="C545" s="209"/>
      <c r="D545" s="209"/>
      <c r="E545" s="209"/>
      <c r="F545" s="209"/>
      <c r="G545" s="209"/>
      <c r="H545" s="209"/>
      <c r="I545" s="264" t="str">
        <f t="shared" si="20"/>
        <v/>
      </c>
    </row>
    <row r="546" spans="3:9" x14ac:dyDescent="0.3">
      <c r="C546" s="209"/>
      <c r="D546" s="209"/>
      <c r="E546" s="209"/>
      <c r="F546" s="209"/>
      <c r="G546" s="209"/>
      <c r="H546" s="209"/>
      <c r="I546" s="264" t="str">
        <f t="shared" si="20"/>
        <v/>
      </c>
    </row>
    <row r="547" spans="3:9" x14ac:dyDescent="0.3">
      <c r="C547" s="209"/>
      <c r="D547" s="209"/>
      <c r="E547" s="209"/>
      <c r="F547" s="209"/>
      <c r="G547" s="209"/>
      <c r="H547" s="209"/>
      <c r="I547" s="264" t="str">
        <f t="shared" si="20"/>
        <v/>
      </c>
    </row>
    <row r="548" spans="3:9" x14ac:dyDescent="0.3">
      <c r="C548" s="209"/>
      <c r="D548" s="209"/>
      <c r="E548" s="209"/>
      <c r="F548" s="209"/>
      <c r="G548" s="209"/>
      <c r="H548" s="209"/>
      <c r="I548" s="264" t="str">
        <f t="shared" si="20"/>
        <v/>
      </c>
    </row>
    <row r="549" spans="3:9" x14ac:dyDescent="0.3">
      <c r="C549" s="209"/>
      <c r="D549" s="209"/>
      <c r="E549" s="209"/>
      <c r="F549" s="209"/>
      <c r="G549" s="209"/>
      <c r="H549" s="209"/>
      <c r="I549" s="264" t="str">
        <f t="shared" si="20"/>
        <v/>
      </c>
    </row>
    <row r="550" spans="3:9" x14ac:dyDescent="0.3">
      <c r="C550" s="209"/>
      <c r="D550" s="209"/>
      <c r="E550" s="209"/>
      <c r="F550" s="209"/>
      <c r="G550" s="209"/>
      <c r="H550" s="209"/>
      <c r="I550" s="264" t="str">
        <f t="shared" si="20"/>
        <v/>
      </c>
    </row>
    <row r="551" spans="3:9" x14ac:dyDescent="0.3">
      <c r="C551" s="209"/>
      <c r="D551" s="209"/>
      <c r="E551" s="209"/>
      <c r="F551" s="209"/>
      <c r="G551" s="209"/>
      <c r="H551" s="209"/>
      <c r="I551" s="264" t="str">
        <f t="shared" si="20"/>
        <v/>
      </c>
    </row>
    <row r="552" spans="3:9" x14ac:dyDescent="0.3">
      <c r="C552" s="209"/>
      <c r="D552" s="209"/>
      <c r="E552" s="209"/>
      <c r="F552" s="209"/>
      <c r="G552" s="209"/>
      <c r="H552" s="209"/>
      <c r="I552" s="264" t="str">
        <f t="shared" si="20"/>
        <v/>
      </c>
    </row>
    <row r="553" spans="3:9" x14ac:dyDescent="0.3">
      <c r="C553" s="209"/>
      <c r="D553" s="209"/>
      <c r="E553" s="209"/>
      <c r="F553" s="209"/>
      <c r="G553" s="209"/>
      <c r="H553" s="209"/>
      <c r="I553" s="264" t="str">
        <f t="shared" si="20"/>
        <v/>
      </c>
    </row>
    <row r="554" spans="3:9" x14ac:dyDescent="0.3">
      <c r="C554" s="209"/>
      <c r="D554" s="209"/>
      <c r="E554" s="209"/>
      <c r="F554" s="209"/>
      <c r="G554" s="209"/>
      <c r="H554" s="209"/>
      <c r="I554" s="264" t="str">
        <f t="shared" si="20"/>
        <v/>
      </c>
    </row>
    <row r="555" spans="3:9" x14ac:dyDescent="0.3">
      <c r="C555" s="209"/>
      <c r="D555" s="209"/>
      <c r="E555" s="209"/>
      <c r="F555" s="209"/>
      <c r="G555" s="209"/>
      <c r="H555" s="209"/>
      <c r="I555" s="264" t="str">
        <f t="shared" si="20"/>
        <v/>
      </c>
    </row>
    <row r="556" spans="3:9" x14ac:dyDescent="0.3">
      <c r="C556" s="209"/>
      <c r="D556" s="209"/>
      <c r="E556" s="209"/>
      <c r="F556" s="209"/>
      <c r="G556" s="209"/>
      <c r="H556" s="209"/>
      <c r="I556" s="264" t="str">
        <f t="shared" si="20"/>
        <v/>
      </c>
    </row>
    <row r="557" spans="3:9" x14ac:dyDescent="0.3">
      <c r="C557" s="209"/>
      <c r="D557" s="209"/>
      <c r="E557" s="209"/>
      <c r="F557" s="209"/>
      <c r="G557" s="209"/>
      <c r="H557" s="209"/>
      <c r="I557" s="264" t="str">
        <f t="shared" si="20"/>
        <v/>
      </c>
    </row>
    <row r="558" spans="3:9" x14ac:dyDescent="0.3">
      <c r="C558" s="209"/>
      <c r="D558" s="209"/>
      <c r="E558" s="209"/>
      <c r="F558" s="209"/>
      <c r="G558" s="209"/>
      <c r="H558" s="209"/>
      <c r="I558" s="264" t="str">
        <f t="shared" si="20"/>
        <v/>
      </c>
    </row>
    <row r="559" spans="3:9" x14ac:dyDescent="0.3">
      <c r="C559" s="209"/>
      <c r="D559" s="209"/>
      <c r="E559" s="209"/>
      <c r="F559" s="209"/>
      <c r="G559" s="209"/>
      <c r="H559" s="209"/>
      <c r="I559" s="264" t="str">
        <f t="shared" si="20"/>
        <v/>
      </c>
    </row>
    <row r="560" spans="3:9" x14ac:dyDescent="0.3">
      <c r="C560" s="209"/>
      <c r="D560" s="209"/>
      <c r="E560" s="209"/>
      <c r="F560" s="209"/>
      <c r="G560" s="209"/>
      <c r="H560" s="209"/>
      <c r="I560" s="264" t="str">
        <f t="shared" si="20"/>
        <v/>
      </c>
    </row>
    <row r="561" spans="3:9" x14ac:dyDescent="0.3">
      <c r="C561" s="209"/>
      <c r="D561" s="209"/>
      <c r="E561" s="209"/>
      <c r="F561" s="209"/>
      <c r="G561" s="209"/>
      <c r="H561" s="209"/>
      <c r="I561" s="264" t="str">
        <f t="shared" si="20"/>
        <v/>
      </c>
    </row>
    <row r="562" spans="3:9" x14ac:dyDescent="0.3">
      <c r="C562" s="209"/>
      <c r="D562" s="209"/>
      <c r="E562" s="209"/>
      <c r="F562" s="209"/>
      <c r="G562" s="209"/>
      <c r="H562" s="209"/>
      <c r="I562" s="264" t="str">
        <f t="shared" si="20"/>
        <v/>
      </c>
    </row>
    <row r="563" spans="3:9" x14ac:dyDescent="0.3">
      <c r="C563" s="209"/>
      <c r="D563" s="209"/>
      <c r="E563" s="209"/>
      <c r="F563" s="209"/>
      <c r="G563" s="209"/>
      <c r="H563" s="209"/>
      <c r="I563" s="264" t="str">
        <f t="shared" si="20"/>
        <v/>
      </c>
    </row>
    <row r="564" spans="3:9" x14ac:dyDescent="0.3">
      <c r="C564" s="209"/>
      <c r="D564" s="209"/>
      <c r="E564" s="209"/>
      <c r="F564" s="209"/>
      <c r="G564" s="209"/>
      <c r="H564" s="209"/>
      <c r="I564" s="264" t="str">
        <f t="shared" si="20"/>
        <v/>
      </c>
    </row>
    <row r="565" spans="3:9" x14ac:dyDescent="0.3">
      <c r="C565" s="209"/>
      <c r="D565" s="209"/>
      <c r="E565" s="209"/>
      <c r="F565" s="209"/>
      <c r="G565" s="209"/>
      <c r="H565" s="209"/>
      <c r="I565" s="264" t="str">
        <f t="shared" si="20"/>
        <v/>
      </c>
    </row>
    <row r="566" spans="3:9" x14ac:dyDescent="0.3">
      <c r="C566" s="209"/>
      <c r="D566" s="209"/>
      <c r="E566" s="209"/>
      <c r="F566" s="209"/>
      <c r="G566" s="209"/>
      <c r="H566" s="209"/>
      <c r="I566" s="264" t="str">
        <f t="shared" si="20"/>
        <v/>
      </c>
    </row>
    <row r="567" spans="3:9" x14ac:dyDescent="0.3">
      <c r="C567" s="209"/>
      <c r="D567" s="209"/>
      <c r="E567" s="209"/>
      <c r="F567" s="209"/>
      <c r="G567" s="209"/>
      <c r="H567" s="209"/>
      <c r="I567" s="264" t="str">
        <f t="shared" si="20"/>
        <v/>
      </c>
    </row>
    <row r="568" spans="3:9" x14ac:dyDescent="0.3">
      <c r="C568" s="209"/>
      <c r="D568" s="209"/>
      <c r="E568" s="209"/>
      <c r="F568" s="209"/>
      <c r="G568" s="209"/>
      <c r="H568" s="209"/>
      <c r="I568" s="264" t="str">
        <f t="shared" si="20"/>
        <v/>
      </c>
    </row>
    <row r="569" spans="3:9" x14ac:dyDescent="0.3">
      <c r="C569" s="209"/>
      <c r="D569" s="209"/>
      <c r="E569" s="209"/>
      <c r="F569" s="209"/>
      <c r="G569" s="209"/>
      <c r="H569" s="209"/>
      <c r="I569" s="264" t="str">
        <f t="shared" si="20"/>
        <v/>
      </c>
    </row>
    <row r="570" spans="3:9" x14ac:dyDescent="0.3">
      <c r="C570" s="209"/>
      <c r="D570" s="209"/>
      <c r="E570" s="209"/>
      <c r="F570" s="209"/>
      <c r="G570" s="209"/>
      <c r="H570" s="209"/>
      <c r="I570" s="264" t="str">
        <f t="shared" si="20"/>
        <v/>
      </c>
    </row>
    <row r="571" spans="3:9" x14ac:dyDescent="0.3">
      <c r="C571" s="209"/>
      <c r="D571" s="209"/>
      <c r="E571" s="209"/>
      <c r="F571" s="209"/>
      <c r="G571" s="209"/>
      <c r="H571" s="209"/>
      <c r="I571" s="264" t="str">
        <f t="shared" si="20"/>
        <v/>
      </c>
    </row>
    <row r="572" spans="3:9" x14ac:dyDescent="0.3">
      <c r="C572" s="209"/>
      <c r="D572" s="209"/>
      <c r="E572" s="209"/>
      <c r="F572" s="209"/>
      <c r="G572" s="209"/>
      <c r="H572" s="209"/>
      <c r="I572" s="264" t="str">
        <f t="shared" si="20"/>
        <v/>
      </c>
    </row>
    <row r="573" spans="3:9" x14ac:dyDescent="0.3">
      <c r="C573" s="209"/>
      <c r="D573" s="209"/>
      <c r="E573" s="209"/>
      <c r="F573" s="209"/>
      <c r="G573" s="209"/>
      <c r="H573" s="209"/>
      <c r="I573" s="264" t="str">
        <f t="shared" si="20"/>
        <v/>
      </c>
    </row>
    <row r="574" spans="3:9" x14ac:dyDescent="0.3">
      <c r="C574" s="209"/>
      <c r="D574" s="209"/>
      <c r="E574" s="209"/>
      <c r="F574" s="209"/>
      <c r="G574" s="209"/>
      <c r="H574" s="209"/>
      <c r="I574" s="264" t="str">
        <f t="shared" ref="I574:I637" si="21">IF(H574=0,"",D574)</f>
        <v/>
      </c>
    </row>
    <row r="575" spans="3:9" x14ac:dyDescent="0.3">
      <c r="C575" s="209"/>
      <c r="D575" s="209"/>
      <c r="E575" s="209"/>
      <c r="F575" s="209"/>
      <c r="G575" s="209"/>
      <c r="H575" s="209"/>
      <c r="I575" s="264" t="str">
        <f t="shared" si="21"/>
        <v/>
      </c>
    </row>
    <row r="576" spans="3:9" x14ac:dyDescent="0.3">
      <c r="C576" s="209"/>
      <c r="D576" s="209"/>
      <c r="E576" s="209"/>
      <c r="F576" s="209"/>
      <c r="G576" s="209"/>
      <c r="H576" s="209"/>
      <c r="I576" s="264" t="str">
        <f t="shared" si="21"/>
        <v/>
      </c>
    </row>
    <row r="577" spans="3:9" x14ac:dyDescent="0.3">
      <c r="C577" s="209"/>
      <c r="D577" s="209"/>
      <c r="E577" s="209"/>
      <c r="F577" s="209"/>
      <c r="G577" s="209"/>
      <c r="H577" s="209"/>
      <c r="I577" s="264" t="str">
        <f t="shared" si="21"/>
        <v/>
      </c>
    </row>
    <row r="578" spans="3:9" x14ac:dyDescent="0.3">
      <c r="C578" s="209"/>
      <c r="D578" s="209"/>
      <c r="E578" s="209"/>
      <c r="F578" s="209"/>
      <c r="G578" s="209"/>
      <c r="H578" s="209"/>
      <c r="I578" s="264" t="str">
        <f t="shared" si="21"/>
        <v/>
      </c>
    </row>
    <row r="579" spans="3:9" x14ac:dyDescent="0.3">
      <c r="C579" s="209"/>
      <c r="D579" s="209"/>
      <c r="E579" s="209"/>
      <c r="F579" s="209"/>
      <c r="G579" s="209"/>
      <c r="H579" s="209"/>
      <c r="I579" s="264" t="str">
        <f t="shared" si="21"/>
        <v/>
      </c>
    </row>
    <row r="580" spans="3:9" x14ac:dyDescent="0.3">
      <c r="C580" s="209"/>
      <c r="D580" s="209"/>
      <c r="E580" s="209"/>
      <c r="F580" s="209"/>
      <c r="G580" s="209"/>
      <c r="H580" s="209"/>
      <c r="I580" s="264" t="str">
        <f t="shared" si="21"/>
        <v/>
      </c>
    </row>
    <row r="581" spans="3:9" x14ac:dyDescent="0.3">
      <c r="C581" s="209"/>
      <c r="D581" s="209"/>
      <c r="E581" s="209"/>
      <c r="F581" s="209"/>
      <c r="G581" s="209"/>
      <c r="H581" s="209"/>
      <c r="I581" s="264" t="str">
        <f t="shared" si="21"/>
        <v/>
      </c>
    </row>
    <row r="582" spans="3:9" x14ac:dyDescent="0.3">
      <c r="C582" s="209"/>
      <c r="D582" s="209"/>
      <c r="E582" s="209"/>
      <c r="F582" s="209"/>
      <c r="G582" s="209"/>
      <c r="H582" s="209"/>
      <c r="I582" s="264" t="str">
        <f t="shared" si="21"/>
        <v/>
      </c>
    </row>
    <row r="583" spans="3:9" x14ac:dyDescent="0.3">
      <c r="C583" s="209"/>
      <c r="D583" s="209"/>
      <c r="E583" s="209"/>
      <c r="F583" s="209"/>
      <c r="G583" s="209"/>
      <c r="H583" s="209"/>
      <c r="I583" s="264" t="str">
        <f t="shared" si="21"/>
        <v/>
      </c>
    </row>
    <row r="584" spans="3:9" x14ac:dyDescent="0.3">
      <c r="C584" s="209"/>
      <c r="D584" s="209"/>
      <c r="E584" s="209"/>
      <c r="F584" s="209"/>
      <c r="G584" s="209"/>
      <c r="H584" s="209"/>
      <c r="I584" s="264" t="str">
        <f t="shared" si="21"/>
        <v/>
      </c>
    </row>
    <row r="585" spans="3:9" x14ac:dyDescent="0.3">
      <c r="C585" s="209"/>
      <c r="D585" s="209"/>
      <c r="E585" s="209"/>
      <c r="F585" s="209"/>
      <c r="G585" s="209"/>
      <c r="H585" s="209"/>
      <c r="I585" s="264" t="str">
        <f t="shared" si="21"/>
        <v/>
      </c>
    </row>
    <row r="586" spans="3:9" x14ac:dyDescent="0.3">
      <c r="C586" s="209"/>
      <c r="D586" s="209"/>
      <c r="E586" s="209"/>
      <c r="F586" s="209"/>
      <c r="G586" s="209"/>
      <c r="H586" s="209"/>
      <c r="I586" s="264" t="str">
        <f t="shared" si="21"/>
        <v/>
      </c>
    </row>
    <row r="587" spans="3:9" x14ac:dyDescent="0.3">
      <c r="C587" s="209"/>
      <c r="D587" s="209"/>
      <c r="E587" s="209"/>
      <c r="F587" s="209"/>
      <c r="G587" s="209"/>
      <c r="H587" s="209"/>
      <c r="I587" s="264" t="str">
        <f t="shared" si="21"/>
        <v/>
      </c>
    </row>
    <row r="588" spans="3:9" x14ac:dyDescent="0.3">
      <c r="C588" s="209"/>
      <c r="D588" s="209"/>
      <c r="E588" s="209"/>
      <c r="F588" s="209"/>
      <c r="G588" s="209"/>
      <c r="H588" s="209"/>
      <c r="I588" s="264" t="str">
        <f t="shared" si="21"/>
        <v/>
      </c>
    </row>
    <row r="589" spans="3:9" x14ac:dyDescent="0.3">
      <c r="C589" s="209"/>
      <c r="D589" s="209"/>
      <c r="E589" s="209"/>
      <c r="F589" s="209"/>
      <c r="G589" s="209"/>
      <c r="H589" s="209"/>
      <c r="I589" s="264" t="str">
        <f t="shared" si="21"/>
        <v/>
      </c>
    </row>
    <row r="590" spans="3:9" x14ac:dyDescent="0.3">
      <c r="C590" s="209"/>
      <c r="D590" s="209"/>
      <c r="E590" s="209"/>
      <c r="F590" s="209"/>
      <c r="G590" s="209"/>
      <c r="H590" s="209"/>
      <c r="I590" s="264" t="str">
        <f t="shared" si="21"/>
        <v/>
      </c>
    </row>
    <row r="591" spans="3:9" x14ac:dyDescent="0.3">
      <c r="C591" s="209"/>
      <c r="D591" s="209"/>
      <c r="E591" s="209"/>
      <c r="F591" s="209"/>
      <c r="G591" s="209"/>
      <c r="H591" s="209"/>
      <c r="I591" s="264" t="str">
        <f t="shared" si="21"/>
        <v/>
      </c>
    </row>
    <row r="592" spans="3:9" x14ac:dyDescent="0.3">
      <c r="C592" s="209"/>
      <c r="D592" s="209"/>
      <c r="E592" s="209"/>
      <c r="F592" s="209"/>
      <c r="G592" s="209"/>
      <c r="H592" s="209"/>
      <c r="I592" s="264" t="str">
        <f t="shared" si="21"/>
        <v/>
      </c>
    </row>
    <row r="593" spans="3:9" x14ac:dyDescent="0.3">
      <c r="C593" s="209"/>
      <c r="D593" s="209"/>
      <c r="E593" s="209"/>
      <c r="F593" s="209"/>
      <c r="G593" s="209"/>
      <c r="H593" s="209"/>
      <c r="I593" s="264" t="str">
        <f t="shared" si="21"/>
        <v/>
      </c>
    </row>
    <row r="594" spans="3:9" x14ac:dyDescent="0.3">
      <c r="C594" s="209"/>
      <c r="D594" s="209"/>
      <c r="E594" s="209"/>
      <c r="F594" s="209"/>
      <c r="G594" s="209"/>
      <c r="H594" s="209"/>
      <c r="I594" s="264" t="str">
        <f t="shared" si="21"/>
        <v/>
      </c>
    </row>
    <row r="595" spans="3:9" x14ac:dyDescent="0.3">
      <c r="C595" s="209"/>
      <c r="D595" s="209"/>
      <c r="E595" s="209"/>
      <c r="F595" s="209"/>
      <c r="G595" s="209"/>
      <c r="H595" s="209"/>
      <c r="I595" s="264" t="str">
        <f t="shared" si="21"/>
        <v/>
      </c>
    </row>
    <row r="596" spans="3:9" x14ac:dyDescent="0.3">
      <c r="C596" s="209"/>
      <c r="D596" s="209"/>
      <c r="E596" s="209"/>
      <c r="F596" s="209"/>
      <c r="G596" s="209"/>
      <c r="H596" s="209"/>
      <c r="I596" s="264" t="str">
        <f t="shared" si="21"/>
        <v/>
      </c>
    </row>
    <row r="597" spans="3:9" x14ac:dyDescent="0.3">
      <c r="C597" s="209"/>
      <c r="D597" s="209"/>
      <c r="E597" s="209"/>
      <c r="F597" s="209"/>
      <c r="G597" s="209"/>
      <c r="H597" s="209"/>
      <c r="I597" s="264" t="str">
        <f t="shared" si="21"/>
        <v/>
      </c>
    </row>
    <row r="598" spans="3:9" x14ac:dyDescent="0.3">
      <c r="C598" s="209"/>
      <c r="D598" s="209"/>
      <c r="E598" s="209"/>
      <c r="F598" s="209"/>
      <c r="G598" s="209"/>
      <c r="H598" s="209"/>
      <c r="I598" s="264" t="str">
        <f t="shared" si="21"/>
        <v/>
      </c>
    </row>
    <row r="599" spans="3:9" x14ac:dyDescent="0.3">
      <c r="C599" s="209"/>
      <c r="D599" s="209"/>
      <c r="E599" s="209"/>
      <c r="F599" s="209"/>
      <c r="G599" s="209"/>
      <c r="H599" s="209"/>
      <c r="I599" s="264" t="str">
        <f t="shared" si="21"/>
        <v/>
      </c>
    </row>
    <row r="600" spans="3:9" x14ac:dyDescent="0.3">
      <c r="C600" s="209"/>
      <c r="D600" s="209"/>
      <c r="E600" s="209"/>
      <c r="F600" s="209"/>
      <c r="G600" s="209"/>
      <c r="H600" s="209"/>
      <c r="I600" s="264" t="str">
        <f t="shared" si="21"/>
        <v/>
      </c>
    </row>
    <row r="601" spans="3:9" x14ac:dyDescent="0.3">
      <c r="C601" s="209"/>
      <c r="D601" s="209"/>
      <c r="E601" s="209"/>
      <c r="F601" s="209"/>
      <c r="G601" s="209"/>
      <c r="H601" s="209"/>
      <c r="I601" s="264" t="str">
        <f t="shared" si="21"/>
        <v/>
      </c>
    </row>
    <row r="602" spans="3:9" x14ac:dyDescent="0.3">
      <c r="C602" s="209"/>
      <c r="D602" s="209"/>
      <c r="E602" s="209"/>
      <c r="F602" s="209"/>
      <c r="G602" s="209"/>
      <c r="H602" s="209"/>
      <c r="I602" s="264" t="str">
        <f t="shared" si="21"/>
        <v/>
      </c>
    </row>
    <row r="603" spans="3:9" x14ac:dyDescent="0.3">
      <c r="C603" s="209"/>
      <c r="D603" s="209"/>
      <c r="E603" s="209"/>
      <c r="F603" s="209"/>
      <c r="G603" s="209"/>
      <c r="H603" s="209"/>
      <c r="I603" s="264" t="str">
        <f t="shared" si="21"/>
        <v/>
      </c>
    </row>
    <row r="604" spans="3:9" x14ac:dyDescent="0.3">
      <c r="C604" s="209"/>
      <c r="D604" s="209"/>
      <c r="E604" s="209"/>
      <c r="F604" s="209"/>
      <c r="G604" s="209"/>
      <c r="H604" s="209"/>
      <c r="I604" s="264" t="str">
        <f t="shared" si="21"/>
        <v/>
      </c>
    </row>
    <row r="605" spans="3:9" x14ac:dyDescent="0.3">
      <c r="C605" s="209"/>
      <c r="D605" s="209"/>
      <c r="E605" s="209"/>
      <c r="F605" s="209"/>
      <c r="G605" s="209"/>
      <c r="H605" s="209"/>
      <c r="I605" s="264" t="str">
        <f t="shared" si="21"/>
        <v/>
      </c>
    </row>
    <row r="606" spans="3:9" x14ac:dyDescent="0.3">
      <c r="C606" s="209"/>
      <c r="D606" s="209"/>
      <c r="E606" s="209"/>
      <c r="F606" s="209"/>
      <c r="G606" s="209"/>
      <c r="H606" s="209"/>
      <c r="I606" s="264" t="str">
        <f t="shared" si="21"/>
        <v/>
      </c>
    </row>
    <row r="607" spans="3:9" x14ac:dyDescent="0.3">
      <c r="C607" s="209"/>
      <c r="D607" s="209"/>
      <c r="E607" s="209"/>
      <c r="F607" s="209"/>
      <c r="G607" s="209"/>
      <c r="H607" s="209"/>
      <c r="I607" s="264" t="str">
        <f t="shared" si="21"/>
        <v/>
      </c>
    </row>
    <row r="608" spans="3:9" x14ac:dyDescent="0.3">
      <c r="C608" s="209"/>
      <c r="D608" s="209"/>
      <c r="E608" s="209"/>
      <c r="F608" s="209"/>
      <c r="G608" s="209"/>
      <c r="H608" s="209"/>
      <c r="I608" s="264" t="str">
        <f t="shared" si="21"/>
        <v/>
      </c>
    </row>
    <row r="609" spans="3:9" x14ac:dyDescent="0.3">
      <c r="C609" s="209"/>
      <c r="D609" s="209"/>
      <c r="E609" s="209"/>
      <c r="F609" s="209"/>
      <c r="G609" s="209"/>
      <c r="H609" s="209"/>
      <c r="I609" s="264" t="str">
        <f t="shared" si="21"/>
        <v/>
      </c>
    </row>
    <row r="610" spans="3:9" x14ac:dyDescent="0.3">
      <c r="C610" s="209"/>
      <c r="D610" s="209"/>
      <c r="E610" s="209"/>
      <c r="F610" s="209"/>
      <c r="G610" s="209"/>
      <c r="H610" s="209"/>
      <c r="I610" s="264" t="str">
        <f t="shared" si="21"/>
        <v/>
      </c>
    </row>
    <row r="611" spans="3:9" x14ac:dyDescent="0.3">
      <c r="C611" s="209"/>
      <c r="D611" s="209"/>
      <c r="E611" s="209"/>
      <c r="F611" s="209"/>
      <c r="G611" s="209"/>
      <c r="H611" s="209"/>
      <c r="I611" s="264" t="str">
        <f t="shared" si="21"/>
        <v/>
      </c>
    </row>
    <row r="612" spans="3:9" x14ac:dyDescent="0.3">
      <c r="C612" s="209"/>
      <c r="D612" s="209"/>
      <c r="E612" s="209"/>
      <c r="F612" s="209"/>
      <c r="G612" s="209"/>
      <c r="H612" s="209"/>
      <c r="I612" s="264" t="str">
        <f t="shared" si="21"/>
        <v/>
      </c>
    </row>
    <row r="613" spans="3:9" x14ac:dyDescent="0.3">
      <c r="C613" s="209"/>
      <c r="D613" s="209"/>
      <c r="E613" s="209"/>
      <c r="F613" s="209"/>
      <c r="G613" s="209"/>
      <c r="H613" s="209"/>
      <c r="I613" s="264" t="str">
        <f t="shared" si="21"/>
        <v/>
      </c>
    </row>
    <row r="614" spans="3:9" x14ac:dyDescent="0.3">
      <c r="C614" s="209"/>
      <c r="D614" s="209"/>
      <c r="E614" s="209"/>
      <c r="F614" s="209"/>
      <c r="G614" s="209"/>
      <c r="H614" s="209"/>
      <c r="I614" s="264" t="str">
        <f t="shared" si="21"/>
        <v/>
      </c>
    </row>
    <row r="615" spans="3:9" x14ac:dyDescent="0.3">
      <c r="C615" s="209"/>
      <c r="D615" s="209"/>
      <c r="E615" s="209"/>
      <c r="F615" s="209"/>
      <c r="G615" s="209"/>
      <c r="H615" s="209"/>
      <c r="I615" s="264" t="str">
        <f t="shared" si="21"/>
        <v/>
      </c>
    </row>
    <row r="616" spans="3:9" x14ac:dyDescent="0.3">
      <c r="C616" s="209"/>
      <c r="D616" s="209"/>
      <c r="E616" s="209"/>
      <c r="F616" s="209"/>
      <c r="G616" s="209"/>
      <c r="H616" s="209"/>
      <c r="I616" s="264" t="str">
        <f t="shared" si="21"/>
        <v/>
      </c>
    </row>
    <row r="617" spans="3:9" x14ac:dyDescent="0.3">
      <c r="C617" s="209"/>
      <c r="D617" s="209"/>
      <c r="E617" s="209"/>
      <c r="F617" s="209"/>
      <c r="G617" s="209"/>
      <c r="H617" s="209"/>
      <c r="I617" s="264" t="str">
        <f t="shared" si="21"/>
        <v/>
      </c>
    </row>
    <row r="618" spans="3:9" x14ac:dyDescent="0.3">
      <c r="C618" s="209"/>
      <c r="D618" s="209"/>
      <c r="E618" s="209"/>
      <c r="F618" s="209"/>
      <c r="G618" s="209"/>
      <c r="H618" s="209"/>
      <c r="I618" s="264" t="str">
        <f t="shared" si="21"/>
        <v/>
      </c>
    </row>
    <row r="619" spans="3:9" x14ac:dyDescent="0.3">
      <c r="C619" s="209"/>
      <c r="D619" s="209"/>
      <c r="E619" s="209"/>
      <c r="F619" s="209"/>
      <c r="G619" s="209"/>
      <c r="H619" s="209"/>
      <c r="I619" s="264" t="str">
        <f t="shared" si="21"/>
        <v/>
      </c>
    </row>
    <row r="620" spans="3:9" x14ac:dyDescent="0.3">
      <c r="C620" s="209"/>
      <c r="D620" s="209"/>
      <c r="E620" s="209"/>
      <c r="F620" s="209"/>
      <c r="G620" s="209"/>
      <c r="H620" s="209"/>
      <c r="I620" s="264" t="str">
        <f t="shared" si="21"/>
        <v/>
      </c>
    </row>
    <row r="621" spans="3:9" x14ac:dyDescent="0.3">
      <c r="C621" s="209"/>
      <c r="D621" s="209"/>
      <c r="E621" s="209"/>
      <c r="F621" s="209"/>
      <c r="G621" s="209"/>
      <c r="H621" s="209"/>
      <c r="I621" s="264" t="str">
        <f t="shared" si="21"/>
        <v/>
      </c>
    </row>
    <row r="622" spans="3:9" x14ac:dyDescent="0.3">
      <c r="C622" s="209"/>
      <c r="D622" s="209"/>
      <c r="E622" s="209"/>
      <c r="F622" s="209"/>
      <c r="G622" s="209"/>
      <c r="H622" s="209"/>
      <c r="I622" s="264" t="str">
        <f t="shared" si="21"/>
        <v/>
      </c>
    </row>
    <row r="623" spans="3:9" x14ac:dyDescent="0.3">
      <c r="C623" s="209"/>
      <c r="D623" s="209"/>
      <c r="E623" s="209"/>
      <c r="F623" s="209"/>
      <c r="G623" s="209"/>
      <c r="H623" s="209"/>
      <c r="I623" s="264" t="str">
        <f t="shared" si="21"/>
        <v/>
      </c>
    </row>
    <row r="624" spans="3:9" x14ac:dyDescent="0.3">
      <c r="C624" s="209"/>
      <c r="D624" s="209"/>
      <c r="E624" s="209"/>
      <c r="F624" s="209"/>
      <c r="G624" s="209"/>
      <c r="H624" s="209"/>
      <c r="I624" s="264" t="str">
        <f t="shared" si="21"/>
        <v/>
      </c>
    </row>
    <row r="625" spans="3:9" x14ac:dyDescent="0.3">
      <c r="C625" s="209"/>
      <c r="D625" s="209"/>
      <c r="E625" s="209"/>
      <c r="F625" s="209"/>
      <c r="G625" s="209"/>
      <c r="H625" s="209"/>
      <c r="I625" s="264" t="str">
        <f t="shared" si="21"/>
        <v/>
      </c>
    </row>
    <row r="626" spans="3:9" x14ac:dyDescent="0.3">
      <c r="C626" s="209"/>
      <c r="D626" s="209"/>
      <c r="E626" s="209"/>
      <c r="F626" s="209"/>
      <c r="G626" s="209"/>
      <c r="H626" s="209"/>
      <c r="I626" s="264" t="str">
        <f t="shared" si="21"/>
        <v/>
      </c>
    </row>
    <row r="627" spans="3:9" x14ac:dyDescent="0.3">
      <c r="C627" s="209"/>
      <c r="D627" s="209"/>
      <c r="E627" s="209"/>
      <c r="F627" s="209"/>
      <c r="G627" s="209"/>
      <c r="H627" s="209"/>
      <c r="I627" s="264" t="str">
        <f t="shared" si="21"/>
        <v/>
      </c>
    </row>
    <row r="628" spans="3:9" x14ac:dyDescent="0.3">
      <c r="C628" s="209"/>
      <c r="D628" s="209"/>
      <c r="E628" s="209"/>
      <c r="F628" s="209"/>
      <c r="G628" s="209"/>
      <c r="H628" s="209"/>
      <c r="I628" s="264" t="str">
        <f t="shared" si="21"/>
        <v/>
      </c>
    </row>
    <row r="629" spans="3:9" x14ac:dyDescent="0.3">
      <c r="C629" s="209"/>
      <c r="D629" s="209"/>
      <c r="E629" s="209"/>
      <c r="F629" s="209"/>
      <c r="G629" s="209"/>
      <c r="H629" s="209"/>
      <c r="I629" s="264" t="str">
        <f t="shared" si="21"/>
        <v/>
      </c>
    </row>
    <row r="630" spans="3:9" x14ac:dyDescent="0.3">
      <c r="C630" s="209"/>
      <c r="D630" s="209"/>
      <c r="E630" s="209"/>
      <c r="F630" s="209"/>
      <c r="G630" s="209"/>
      <c r="H630" s="209"/>
      <c r="I630" s="264" t="str">
        <f t="shared" si="21"/>
        <v/>
      </c>
    </row>
    <row r="631" spans="3:9" x14ac:dyDescent="0.3">
      <c r="C631" s="209"/>
      <c r="D631" s="209"/>
      <c r="E631" s="209"/>
      <c r="F631" s="209"/>
      <c r="G631" s="209"/>
      <c r="H631" s="209"/>
      <c r="I631" s="264" t="str">
        <f t="shared" si="21"/>
        <v/>
      </c>
    </row>
    <row r="632" spans="3:9" x14ac:dyDescent="0.3">
      <c r="C632" s="209"/>
      <c r="D632" s="209"/>
      <c r="E632" s="209"/>
      <c r="F632" s="209"/>
      <c r="G632" s="209"/>
      <c r="H632" s="209"/>
      <c r="I632" s="264" t="str">
        <f t="shared" si="21"/>
        <v/>
      </c>
    </row>
    <row r="633" spans="3:9" x14ac:dyDescent="0.3">
      <c r="C633" s="209"/>
      <c r="D633" s="209"/>
      <c r="E633" s="209"/>
      <c r="F633" s="209"/>
      <c r="G633" s="209"/>
      <c r="H633" s="209"/>
      <c r="I633" s="264" t="str">
        <f t="shared" si="21"/>
        <v/>
      </c>
    </row>
    <row r="634" spans="3:9" x14ac:dyDescent="0.3">
      <c r="C634" s="209"/>
      <c r="D634" s="209"/>
      <c r="E634" s="209"/>
      <c r="F634" s="209"/>
      <c r="G634" s="209"/>
      <c r="H634" s="209"/>
      <c r="I634" s="264" t="str">
        <f t="shared" si="21"/>
        <v/>
      </c>
    </row>
    <row r="635" spans="3:9" x14ac:dyDescent="0.3">
      <c r="C635" s="209"/>
      <c r="D635" s="209"/>
      <c r="E635" s="209"/>
      <c r="F635" s="209"/>
      <c r="G635" s="209"/>
      <c r="H635" s="209"/>
      <c r="I635" s="264" t="str">
        <f t="shared" si="21"/>
        <v/>
      </c>
    </row>
    <row r="636" spans="3:9" x14ac:dyDescent="0.3">
      <c r="C636" s="209"/>
      <c r="D636" s="209"/>
      <c r="E636" s="209"/>
      <c r="F636" s="209"/>
      <c r="G636" s="209"/>
      <c r="H636" s="209"/>
      <c r="I636" s="264" t="str">
        <f t="shared" si="21"/>
        <v/>
      </c>
    </row>
    <row r="637" spans="3:9" x14ac:dyDescent="0.3">
      <c r="C637" s="209"/>
      <c r="D637" s="209"/>
      <c r="E637" s="209"/>
      <c r="F637" s="209"/>
      <c r="G637" s="209"/>
      <c r="H637" s="209"/>
      <c r="I637" s="264" t="str">
        <f t="shared" si="21"/>
        <v/>
      </c>
    </row>
    <row r="638" spans="3:9" x14ac:dyDescent="0.3">
      <c r="C638" s="209"/>
      <c r="D638" s="209"/>
      <c r="E638" s="209"/>
      <c r="F638" s="209"/>
      <c r="G638" s="209"/>
      <c r="H638" s="209"/>
      <c r="I638" s="264" t="str">
        <f t="shared" ref="I638:I701" si="22">IF(H638=0,"",D638)</f>
        <v/>
      </c>
    </row>
    <row r="639" spans="3:9" x14ac:dyDescent="0.3">
      <c r="C639" s="209"/>
      <c r="D639" s="209"/>
      <c r="E639" s="209"/>
      <c r="F639" s="209"/>
      <c r="G639" s="209"/>
      <c r="H639" s="209"/>
      <c r="I639" s="264" t="str">
        <f t="shared" si="22"/>
        <v/>
      </c>
    </row>
    <row r="640" spans="3:9" x14ac:dyDescent="0.3">
      <c r="C640" s="209"/>
      <c r="D640" s="209"/>
      <c r="E640" s="209"/>
      <c r="F640" s="209"/>
      <c r="G640" s="209"/>
      <c r="H640" s="209"/>
      <c r="I640" s="264" t="str">
        <f t="shared" si="22"/>
        <v/>
      </c>
    </row>
    <row r="641" spans="3:9" x14ac:dyDescent="0.3">
      <c r="C641" s="209"/>
      <c r="D641" s="209"/>
      <c r="E641" s="209"/>
      <c r="F641" s="209"/>
      <c r="G641" s="209"/>
      <c r="H641" s="209"/>
      <c r="I641" s="264" t="str">
        <f t="shared" si="22"/>
        <v/>
      </c>
    </row>
    <row r="642" spans="3:9" x14ac:dyDescent="0.3">
      <c r="C642" s="209"/>
      <c r="D642" s="209"/>
      <c r="E642" s="209"/>
      <c r="F642" s="209"/>
      <c r="G642" s="209"/>
      <c r="H642" s="209"/>
      <c r="I642" s="264" t="str">
        <f t="shared" si="22"/>
        <v/>
      </c>
    </row>
    <row r="643" spans="3:9" x14ac:dyDescent="0.3">
      <c r="C643" s="209"/>
      <c r="D643" s="209"/>
      <c r="E643" s="209"/>
      <c r="F643" s="209"/>
      <c r="G643" s="209"/>
      <c r="H643" s="209"/>
      <c r="I643" s="264" t="str">
        <f t="shared" si="22"/>
        <v/>
      </c>
    </row>
    <row r="644" spans="3:9" x14ac:dyDescent="0.3">
      <c r="C644" s="209"/>
      <c r="D644" s="209"/>
      <c r="E644" s="209"/>
      <c r="F644" s="209"/>
      <c r="G644" s="209"/>
      <c r="H644" s="209"/>
      <c r="I644" s="264" t="str">
        <f t="shared" si="22"/>
        <v/>
      </c>
    </row>
    <row r="645" spans="3:9" x14ac:dyDescent="0.3">
      <c r="C645" s="209"/>
      <c r="D645" s="209"/>
      <c r="E645" s="209"/>
      <c r="F645" s="209"/>
      <c r="G645" s="209"/>
      <c r="H645" s="209"/>
      <c r="I645" s="264" t="str">
        <f t="shared" si="22"/>
        <v/>
      </c>
    </row>
    <row r="646" spans="3:9" x14ac:dyDescent="0.3">
      <c r="C646" s="209"/>
      <c r="D646" s="209"/>
      <c r="E646" s="209"/>
      <c r="F646" s="209"/>
      <c r="G646" s="209"/>
      <c r="H646" s="209"/>
      <c r="I646" s="264" t="str">
        <f t="shared" si="22"/>
        <v/>
      </c>
    </row>
    <row r="647" spans="3:9" x14ac:dyDescent="0.3">
      <c r="C647" s="209"/>
      <c r="D647" s="209"/>
      <c r="E647" s="209"/>
      <c r="F647" s="209"/>
      <c r="G647" s="209"/>
      <c r="H647" s="209"/>
      <c r="I647" s="264" t="str">
        <f t="shared" si="22"/>
        <v/>
      </c>
    </row>
    <row r="648" spans="3:9" x14ac:dyDescent="0.3">
      <c r="C648" s="209"/>
      <c r="D648" s="209"/>
      <c r="E648" s="209"/>
      <c r="F648" s="209"/>
      <c r="G648" s="209"/>
      <c r="H648" s="209"/>
      <c r="I648" s="264" t="str">
        <f t="shared" si="22"/>
        <v/>
      </c>
    </row>
    <row r="649" spans="3:9" x14ac:dyDescent="0.3">
      <c r="C649" s="209"/>
      <c r="D649" s="209"/>
      <c r="E649" s="209"/>
      <c r="F649" s="209"/>
      <c r="G649" s="209"/>
      <c r="H649" s="209"/>
      <c r="I649" s="264" t="str">
        <f t="shared" si="22"/>
        <v/>
      </c>
    </row>
    <row r="650" spans="3:9" x14ac:dyDescent="0.3">
      <c r="C650" s="209"/>
      <c r="D650" s="209"/>
      <c r="E650" s="209"/>
      <c r="F650" s="209"/>
      <c r="G650" s="209"/>
      <c r="H650" s="209"/>
      <c r="I650" s="264" t="str">
        <f t="shared" si="22"/>
        <v/>
      </c>
    </row>
    <row r="651" spans="3:9" x14ac:dyDescent="0.3">
      <c r="C651" s="209"/>
      <c r="D651" s="209"/>
      <c r="E651" s="209"/>
      <c r="F651" s="209"/>
      <c r="G651" s="209"/>
      <c r="H651" s="209"/>
      <c r="I651" s="264" t="str">
        <f t="shared" si="22"/>
        <v/>
      </c>
    </row>
    <row r="652" spans="3:9" x14ac:dyDescent="0.3">
      <c r="C652" s="209"/>
      <c r="D652" s="209"/>
      <c r="E652" s="209"/>
      <c r="F652" s="209"/>
      <c r="G652" s="209"/>
      <c r="H652" s="209"/>
      <c r="I652" s="264" t="str">
        <f t="shared" si="22"/>
        <v/>
      </c>
    </row>
    <row r="653" spans="3:9" x14ac:dyDescent="0.3">
      <c r="C653" s="209"/>
      <c r="D653" s="209"/>
      <c r="E653" s="209"/>
      <c r="F653" s="209"/>
      <c r="G653" s="209"/>
      <c r="H653" s="209"/>
      <c r="I653" s="264" t="str">
        <f t="shared" si="22"/>
        <v/>
      </c>
    </row>
    <row r="654" spans="3:9" x14ac:dyDescent="0.3">
      <c r="C654" s="209"/>
      <c r="D654" s="209"/>
      <c r="E654" s="209"/>
      <c r="F654" s="209"/>
      <c r="G654" s="209"/>
      <c r="H654" s="209"/>
      <c r="I654" s="264" t="str">
        <f t="shared" si="22"/>
        <v/>
      </c>
    </row>
    <row r="655" spans="3:9" x14ac:dyDescent="0.3">
      <c r="C655" s="209"/>
      <c r="D655" s="209"/>
      <c r="E655" s="209"/>
      <c r="F655" s="209"/>
      <c r="G655" s="209"/>
      <c r="H655" s="209"/>
      <c r="I655" s="264" t="str">
        <f t="shared" si="22"/>
        <v/>
      </c>
    </row>
    <row r="656" spans="3:9" x14ac:dyDescent="0.3">
      <c r="C656" s="209"/>
      <c r="D656" s="209"/>
      <c r="E656" s="209"/>
      <c r="F656" s="209"/>
      <c r="G656" s="209"/>
      <c r="H656" s="209"/>
      <c r="I656" s="264" t="str">
        <f t="shared" si="22"/>
        <v/>
      </c>
    </row>
    <row r="657" spans="3:9" x14ac:dyDescent="0.3">
      <c r="C657" s="209"/>
      <c r="D657" s="209"/>
      <c r="E657" s="209"/>
      <c r="F657" s="209"/>
      <c r="G657" s="209"/>
      <c r="H657" s="209"/>
      <c r="I657" s="264" t="str">
        <f t="shared" si="22"/>
        <v/>
      </c>
    </row>
    <row r="658" spans="3:9" x14ac:dyDescent="0.3">
      <c r="C658" s="209"/>
      <c r="D658" s="209"/>
      <c r="E658" s="209"/>
      <c r="F658" s="209"/>
      <c r="G658" s="209"/>
      <c r="H658" s="209"/>
      <c r="I658" s="264" t="str">
        <f t="shared" si="22"/>
        <v/>
      </c>
    </row>
    <row r="659" spans="3:9" x14ac:dyDescent="0.3">
      <c r="C659" s="209"/>
      <c r="D659" s="209"/>
      <c r="E659" s="209"/>
      <c r="F659" s="209"/>
      <c r="G659" s="209"/>
      <c r="H659" s="209"/>
      <c r="I659" s="264" t="str">
        <f t="shared" si="22"/>
        <v/>
      </c>
    </row>
    <row r="660" spans="3:9" x14ac:dyDescent="0.3">
      <c r="C660" s="209"/>
      <c r="D660" s="209"/>
      <c r="E660" s="209"/>
      <c r="F660" s="209"/>
      <c r="G660" s="209"/>
      <c r="H660" s="209"/>
      <c r="I660" s="264" t="str">
        <f t="shared" si="22"/>
        <v/>
      </c>
    </row>
    <row r="661" spans="3:9" x14ac:dyDescent="0.3">
      <c r="C661" s="209"/>
      <c r="D661" s="209"/>
      <c r="E661" s="209"/>
      <c r="F661" s="209"/>
      <c r="G661" s="209"/>
      <c r="H661" s="209"/>
      <c r="I661" s="264" t="str">
        <f t="shared" si="22"/>
        <v/>
      </c>
    </row>
    <row r="662" spans="3:9" x14ac:dyDescent="0.3">
      <c r="C662" s="209"/>
      <c r="D662" s="209"/>
      <c r="E662" s="209"/>
      <c r="F662" s="209"/>
      <c r="G662" s="209"/>
      <c r="H662" s="209"/>
      <c r="I662" s="264" t="str">
        <f t="shared" si="22"/>
        <v/>
      </c>
    </row>
    <row r="663" spans="3:9" x14ac:dyDescent="0.3">
      <c r="C663" s="209"/>
      <c r="D663" s="209"/>
      <c r="E663" s="209"/>
      <c r="F663" s="209"/>
      <c r="G663" s="209"/>
      <c r="H663" s="209"/>
      <c r="I663" s="264" t="str">
        <f t="shared" si="22"/>
        <v/>
      </c>
    </row>
    <row r="664" spans="3:9" x14ac:dyDescent="0.3">
      <c r="C664" s="209"/>
      <c r="D664" s="209"/>
      <c r="E664" s="209"/>
      <c r="F664" s="209"/>
      <c r="G664" s="209"/>
      <c r="H664" s="209"/>
      <c r="I664" s="264" t="str">
        <f t="shared" si="22"/>
        <v/>
      </c>
    </row>
    <row r="665" spans="3:9" x14ac:dyDescent="0.3">
      <c r="C665" s="209"/>
      <c r="D665" s="209"/>
      <c r="E665" s="209"/>
      <c r="F665" s="209"/>
      <c r="G665" s="209"/>
      <c r="H665" s="209"/>
      <c r="I665" s="264" t="str">
        <f t="shared" si="22"/>
        <v/>
      </c>
    </row>
    <row r="666" spans="3:9" x14ac:dyDescent="0.3">
      <c r="C666" s="209"/>
      <c r="D666" s="209"/>
      <c r="E666" s="209"/>
      <c r="F666" s="209"/>
      <c r="G666" s="209"/>
      <c r="H666" s="209"/>
      <c r="I666" s="264" t="str">
        <f t="shared" si="22"/>
        <v/>
      </c>
    </row>
    <row r="667" spans="3:9" x14ac:dyDescent="0.3">
      <c r="C667" s="209"/>
      <c r="D667" s="209"/>
      <c r="E667" s="209"/>
      <c r="F667" s="209"/>
      <c r="G667" s="209"/>
      <c r="H667" s="209"/>
      <c r="I667" s="264" t="str">
        <f t="shared" si="22"/>
        <v/>
      </c>
    </row>
    <row r="668" spans="3:9" x14ac:dyDescent="0.3">
      <c r="C668" s="209"/>
      <c r="D668" s="209"/>
      <c r="E668" s="209"/>
      <c r="F668" s="209"/>
      <c r="G668" s="209"/>
      <c r="H668" s="209"/>
      <c r="I668" s="264" t="str">
        <f t="shared" si="22"/>
        <v/>
      </c>
    </row>
    <row r="669" spans="3:9" x14ac:dyDescent="0.3">
      <c r="C669" s="209"/>
      <c r="D669" s="209"/>
      <c r="E669" s="209"/>
      <c r="F669" s="209"/>
      <c r="G669" s="209"/>
      <c r="H669" s="209"/>
      <c r="I669" s="264" t="str">
        <f t="shared" si="22"/>
        <v/>
      </c>
    </row>
    <row r="670" spans="3:9" x14ac:dyDescent="0.3">
      <c r="C670" s="209"/>
      <c r="D670" s="209"/>
      <c r="E670" s="209"/>
      <c r="F670" s="209"/>
      <c r="G670" s="209"/>
      <c r="H670" s="209"/>
      <c r="I670" s="264" t="str">
        <f t="shared" si="22"/>
        <v/>
      </c>
    </row>
    <row r="671" spans="3:9" x14ac:dyDescent="0.3">
      <c r="C671" s="209"/>
      <c r="D671" s="209"/>
      <c r="E671" s="209"/>
      <c r="F671" s="209"/>
      <c r="G671" s="209"/>
      <c r="H671" s="209"/>
      <c r="I671" s="264" t="str">
        <f t="shared" si="22"/>
        <v/>
      </c>
    </row>
    <row r="672" spans="3:9" x14ac:dyDescent="0.3">
      <c r="C672" s="209"/>
      <c r="D672" s="209"/>
      <c r="E672" s="209"/>
      <c r="F672" s="209"/>
      <c r="G672" s="209"/>
      <c r="H672" s="209"/>
      <c r="I672" s="264" t="str">
        <f t="shared" si="22"/>
        <v/>
      </c>
    </row>
    <row r="673" spans="3:9" x14ac:dyDescent="0.3">
      <c r="C673" s="209"/>
      <c r="D673" s="209"/>
      <c r="E673" s="209"/>
      <c r="F673" s="209"/>
      <c r="G673" s="209"/>
      <c r="H673" s="209"/>
      <c r="I673" s="264" t="str">
        <f t="shared" si="22"/>
        <v/>
      </c>
    </row>
    <row r="674" spans="3:9" x14ac:dyDescent="0.3">
      <c r="C674" s="209"/>
      <c r="D674" s="209"/>
      <c r="E674" s="209"/>
      <c r="F674" s="209"/>
      <c r="G674" s="209"/>
      <c r="H674" s="209"/>
      <c r="I674" s="264" t="str">
        <f t="shared" si="22"/>
        <v/>
      </c>
    </row>
    <row r="675" spans="3:9" x14ac:dyDescent="0.3">
      <c r="C675" s="209"/>
      <c r="D675" s="209"/>
      <c r="E675" s="209"/>
      <c r="F675" s="209"/>
      <c r="G675" s="209"/>
      <c r="H675" s="209"/>
      <c r="I675" s="264" t="str">
        <f t="shared" si="22"/>
        <v/>
      </c>
    </row>
    <row r="676" spans="3:9" x14ac:dyDescent="0.3">
      <c r="C676" s="209"/>
      <c r="D676" s="209"/>
      <c r="E676" s="209"/>
      <c r="F676" s="209"/>
      <c r="G676" s="209"/>
      <c r="H676" s="209"/>
      <c r="I676" s="264" t="str">
        <f t="shared" si="22"/>
        <v/>
      </c>
    </row>
    <row r="677" spans="3:9" x14ac:dyDescent="0.3">
      <c r="C677" s="209"/>
      <c r="D677" s="209"/>
      <c r="E677" s="209"/>
      <c r="F677" s="209"/>
      <c r="G677" s="209"/>
      <c r="H677" s="209"/>
      <c r="I677" s="264" t="str">
        <f t="shared" si="22"/>
        <v/>
      </c>
    </row>
    <row r="678" spans="3:9" x14ac:dyDescent="0.3">
      <c r="C678" s="209"/>
      <c r="D678" s="209"/>
      <c r="E678" s="209"/>
      <c r="F678" s="209"/>
      <c r="G678" s="209"/>
      <c r="H678" s="209"/>
      <c r="I678" s="264" t="str">
        <f t="shared" si="22"/>
        <v/>
      </c>
    </row>
    <row r="679" spans="3:9" x14ac:dyDescent="0.3">
      <c r="C679" s="209"/>
      <c r="D679" s="209"/>
      <c r="E679" s="209"/>
      <c r="F679" s="209"/>
      <c r="G679" s="209"/>
      <c r="H679" s="209"/>
      <c r="I679" s="264" t="str">
        <f t="shared" si="22"/>
        <v/>
      </c>
    </row>
    <row r="680" spans="3:9" x14ac:dyDescent="0.3">
      <c r="C680" s="209"/>
      <c r="D680" s="209"/>
      <c r="E680" s="209"/>
      <c r="F680" s="209"/>
      <c r="G680" s="209"/>
      <c r="H680" s="209"/>
      <c r="I680" s="264" t="str">
        <f t="shared" si="22"/>
        <v/>
      </c>
    </row>
    <row r="681" spans="3:9" x14ac:dyDescent="0.3">
      <c r="C681" s="209"/>
      <c r="D681" s="209"/>
      <c r="E681" s="209"/>
      <c r="F681" s="209"/>
      <c r="G681" s="209"/>
      <c r="H681" s="209"/>
      <c r="I681" s="264" t="str">
        <f t="shared" si="22"/>
        <v/>
      </c>
    </row>
    <row r="682" spans="3:9" x14ac:dyDescent="0.3">
      <c r="C682" s="209"/>
      <c r="D682" s="209"/>
      <c r="E682" s="209"/>
      <c r="F682" s="209"/>
      <c r="G682" s="209"/>
      <c r="H682" s="209"/>
      <c r="I682" s="264" t="str">
        <f t="shared" si="22"/>
        <v/>
      </c>
    </row>
    <row r="683" spans="3:9" x14ac:dyDescent="0.3">
      <c r="C683" s="209"/>
      <c r="D683" s="209"/>
      <c r="E683" s="209"/>
      <c r="F683" s="209"/>
      <c r="G683" s="209"/>
      <c r="H683" s="209"/>
      <c r="I683" s="264" t="str">
        <f t="shared" si="22"/>
        <v/>
      </c>
    </row>
    <row r="684" spans="3:9" x14ac:dyDescent="0.3">
      <c r="C684" s="209"/>
      <c r="D684" s="209"/>
      <c r="E684" s="209"/>
      <c r="F684" s="209"/>
      <c r="G684" s="209"/>
      <c r="H684" s="209"/>
      <c r="I684" s="264" t="str">
        <f t="shared" si="22"/>
        <v/>
      </c>
    </row>
    <row r="685" spans="3:9" x14ac:dyDescent="0.3">
      <c r="C685" s="209"/>
      <c r="D685" s="209"/>
      <c r="E685" s="209"/>
      <c r="F685" s="209"/>
      <c r="G685" s="209"/>
      <c r="H685" s="209"/>
      <c r="I685" s="264" t="str">
        <f t="shared" si="22"/>
        <v/>
      </c>
    </row>
    <row r="686" spans="3:9" x14ac:dyDescent="0.3">
      <c r="C686" s="209"/>
      <c r="D686" s="209"/>
      <c r="E686" s="209"/>
      <c r="F686" s="209"/>
      <c r="G686" s="209"/>
      <c r="H686" s="209"/>
      <c r="I686" s="264" t="str">
        <f t="shared" si="22"/>
        <v/>
      </c>
    </row>
    <row r="687" spans="3:9" x14ac:dyDescent="0.3">
      <c r="C687" s="209"/>
      <c r="D687" s="209"/>
      <c r="E687" s="209"/>
      <c r="F687" s="209"/>
      <c r="G687" s="209"/>
      <c r="H687" s="209"/>
      <c r="I687" s="264" t="str">
        <f t="shared" si="22"/>
        <v/>
      </c>
    </row>
    <row r="688" spans="3:9" x14ac:dyDescent="0.3">
      <c r="C688" s="209"/>
      <c r="D688" s="209"/>
      <c r="E688" s="209"/>
      <c r="F688" s="209"/>
      <c r="G688" s="209"/>
      <c r="H688" s="209"/>
      <c r="I688" s="264" t="str">
        <f t="shared" si="22"/>
        <v/>
      </c>
    </row>
    <row r="689" spans="3:9" x14ac:dyDescent="0.3">
      <c r="C689" s="209"/>
      <c r="D689" s="209"/>
      <c r="E689" s="209"/>
      <c r="F689" s="209"/>
      <c r="G689" s="209"/>
      <c r="H689" s="209"/>
      <c r="I689" s="264" t="str">
        <f t="shared" si="22"/>
        <v/>
      </c>
    </row>
    <row r="690" spans="3:9" x14ac:dyDescent="0.3">
      <c r="C690" s="209"/>
      <c r="D690" s="209"/>
      <c r="E690" s="209"/>
      <c r="F690" s="209"/>
      <c r="G690" s="209"/>
      <c r="H690" s="209"/>
      <c r="I690" s="264" t="str">
        <f t="shared" si="22"/>
        <v/>
      </c>
    </row>
    <row r="691" spans="3:9" x14ac:dyDescent="0.3">
      <c r="C691" s="209"/>
      <c r="D691" s="209"/>
      <c r="E691" s="209"/>
      <c r="F691" s="209"/>
      <c r="G691" s="209"/>
      <c r="H691" s="209"/>
      <c r="I691" s="264" t="str">
        <f t="shared" si="22"/>
        <v/>
      </c>
    </row>
    <row r="692" spans="3:9" x14ac:dyDescent="0.3">
      <c r="C692" s="209"/>
      <c r="D692" s="209"/>
      <c r="E692" s="209"/>
      <c r="F692" s="209"/>
      <c r="G692" s="209"/>
      <c r="H692" s="209"/>
      <c r="I692" s="264" t="str">
        <f t="shared" si="22"/>
        <v/>
      </c>
    </row>
    <row r="693" spans="3:9" x14ac:dyDescent="0.3">
      <c r="C693" s="209"/>
      <c r="D693" s="209"/>
      <c r="E693" s="209"/>
      <c r="F693" s="209"/>
      <c r="G693" s="209"/>
      <c r="H693" s="209"/>
      <c r="I693" s="264" t="str">
        <f t="shared" si="22"/>
        <v/>
      </c>
    </row>
    <row r="694" spans="3:9" x14ac:dyDescent="0.3">
      <c r="C694" s="209"/>
      <c r="D694" s="209"/>
      <c r="E694" s="209"/>
      <c r="F694" s="209"/>
      <c r="G694" s="209"/>
      <c r="H694" s="209"/>
      <c r="I694" s="264" t="str">
        <f t="shared" si="22"/>
        <v/>
      </c>
    </row>
    <row r="695" spans="3:9" x14ac:dyDescent="0.3">
      <c r="C695" s="209"/>
      <c r="D695" s="209"/>
      <c r="E695" s="209"/>
      <c r="F695" s="209"/>
      <c r="G695" s="209"/>
      <c r="H695" s="209"/>
      <c r="I695" s="264" t="str">
        <f t="shared" si="22"/>
        <v/>
      </c>
    </row>
    <row r="696" spans="3:9" x14ac:dyDescent="0.3">
      <c r="C696" s="209"/>
      <c r="D696" s="209"/>
      <c r="E696" s="209"/>
      <c r="F696" s="209"/>
      <c r="G696" s="209"/>
      <c r="H696" s="209"/>
      <c r="I696" s="264" t="str">
        <f t="shared" si="22"/>
        <v/>
      </c>
    </row>
    <row r="697" spans="3:9" x14ac:dyDescent="0.3">
      <c r="C697" s="209"/>
      <c r="D697" s="209"/>
      <c r="E697" s="209"/>
      <c r="F697" s="209"/>
      <c r="G697" s="209"/>
      <c r="H697" s="209"/>
      <c r="I697" s="264" t="str">
        <f t="shared" si="22"/>
        <v/>
      </c>
    </row>
    <row r="698" spans="3:9" x14ac:dyDescent="0.3">
      <c r="C698" s="209"/>
      <c r="D698" s="209"/>
      <c r="E698" s="209"/>
      <c r="F698" s="209"/>
      <c r="G698" s="209"/>
      <c r="H698" s="209"/>
      <c r="I698" s="264" t="str">
        <f t="shared" si="22"/>
        <v/>
      </c>
    </row>
    <row r="699" spans="3:9" x14ac:dyDescent="0.3">
      <c r="C699" s="209"/>
      <c r="D699" s="209"/>
      <c r="E699" s="209"/>
      <c r="F699" s="209"/>
      <c r="G699" s="209"/>
      <c r="H699" s="209"/>
      <c r="I699" s="264" t="str">
        <f t="shared" si="22"/>
        <v/>
      </c>
    </row>
    <row r="700" spans="3:9" x14ac:dyDescent="0.3">
      <c r="C700" s="209"/>
      <c r="D700" s="209"/>
      <c r="E700" s="209"/>
      <c r="F700" s="209"/>
      <c r="G700" s="209"/>
      <c r="H700" s="209"/>
      <c r="I700" s="264" t="str">
        <f t="shared" si="22"/>
        <v/>
      </c>
    </row>
    <row r="701" spans="3:9" x14ac:dyDescent="0.3">
      <c r="C701" s="209"/>
      <c r="D701" s="209"/>
      <c r="E701" s="209"/>
      <c r="F701" s="209"/>
      <c r="G701" s="209"/>
      <c r="H701" s="209"/>
      <c r="I701" s="264" t="str">
        <f t="shared" si="22"/>
        <v/>
      </c>
    </row>
    <row r="702" spans="3:9" x14ac:dyDescent="0.3">
      <c r="C702" s="209"/>
      <c r="D702" s="209"/>
      <c r="E702" s="209"/>
      <c r="F702" s="209"/>
      <c r="G702" s="209"/>
      <c r="H702" s="209"/>
      <c r="I702" s="264" t="str">
        <f t="shared" ref="I702:I765" si="23">IF(H702=0,"",D702)</f>
        <v/>
      </c>
    </row>
    <row r="703" spans="3:9" x14ac:dyDescent="0.3">
      <c r="C703" s="209"/>
      <c r="D703" s="209"/>
      <c r="E703" s="209"/>
      <c r="F703" s="209"/>
      <c r="G703" s="209"/>
      <c r="H703" s="209"/>
      <c r="I703" s="264" t="str">
        <f t="shared" si="23"/>
        <v/>
      </c>
    </row>
    <row r="704" spans="3:9" x14ac:dyDescent="0.3">
      <c r="C704" s="209"/>
      <c r="D704" s="209"/>
      <c r="E704" s="209"/>
      <c r="F704" s="209"/>
      <c r="G704" s="209"/>
      <c r="H704" s="209"/>
      <c r="I704" s="264" t="str">
        <f t="shared" si="23"/>
        <v/>
      </c>
    </row>
    <row r="705" spans="3:9" x14ac:dyDescent="0.3">
      <c r="C705" s="209"/>
      <c r="D705" s="209"/>
      <c r="E705" s="209"/>
      <c r="F705" s="209"/>
      <c r="G705" s="209"/>
      <c r="H705" s="209"/>
      <c r="I705" s="264" t="str">
        <f t="shared" si="23"/>
        <v/>
      </c>
    </row>
    <row r="706" spans="3:9" x14ac:dyDescent="0.3">
      <c r="C706" s="209"/>
      <c r="D706" s="209"/>
      <c r="E706" s="209"/>
      <c r="F706" s="209"/>
      <c r="G706" s="209"/>
      <c r="H706" s="209"/>
      <c r="I706" s="264" t="str">
        <f t="shared" si="23"/>
        <v/>
      </c>
    </row>
    <row r="707" spans="3:9" x14ac:dyDescent="0.3">
      <c r="C707" s="209"/>
      <c r="D707" s="209"/>
      <c r="E707" s="209"/>
      <c r="F707" s="209"/>
      <c r="G707" s="209"/>
      <c r="H707" s="209"/>
      <c r="I707" s="264" t="str">
        <f t="shared" si="23"/>
        <v/>
      </c>
    </row>
    <row r="708" spans="3:9" x14ac:dyDescent="0.3">
      <c r="C708" s="209"/>
      <c r="D708" s="209"/>
      <c r="E708" s="209"/>
      <c r="F708" s="209"/>
      <c r="G708" s="209"/>
      <c r="H708" s="209"/>
      <c r="I708" s="264" t="str">
        <f t="shared" si="23"/>
        <v/>
      </c>
    </row>
    <row r="709" spans="3:9" x14ac:dyDescent="0.3">
      <c r="C709" s="209"/>
      <c r="D709" s="209"/>
      <c r="E709" s="209"/>
      <c r="F709" s="209"/>
      <c r="G709" s="209"/>
      <c r="H709" s="209"/>
      <c r="I709" s="264" t="str">
        <f t="shared" si="23"/>
        <v/>
      </c>
    </row>
    <row r="710" spans="3:9" x14ac:dyDescent="0.3">
      <c r="C710" s="209"/>
      <c r="D710" s="209"/>
      <c r="E710" s="209"/>
      <c r="F710" s="209"/>
      <c r="G710" s="209"/>
      <c r="H710" s="209"/>
      <c r="I710" s="264" t="str">
        <f t="shared" si="23"/>
        <v/>
      </c>
    </row>
    <row r="711" spans="3:9" x14ac:dyDescent="0.3">
      <c r="C711" s="209"/>
      <c r="D711" s="209"/>
      <c r="E711" s="209"/>
      <c r="F711" s="209"/>
      <c r="G711" s="209"/>
      <c r="H711" s="209"/>
      <c r="I711" s="264" t="str">
        <f t="shared" si="23"/>
        <v/>
      </c>
    </row>
    <row r="712" spans="3:9" x14ac:dyDescent="0.3">
      <c r="C712" s="209"/>
      <c r="D712" s="209"/>
      <c r="E712" s="209"/>
      <c r="F712" s="209"/>
      <c r="G712" s="209"/>
      <c r="H712" s="209"/>
      <c r="I712" s="264" t="str">
        <f t="shared" si="23"/>
        <v/>
      </c>
    </row>
    <row r="713" spans="3:9" x14ac:dyDescent="0.3">
      <c r="C713" s="209"/>
      <c r="D713" s="209"/>
      <c r="E713" s="209"/>
      <c r="F713" s="209"/>
      <c r="G713" s="209"/>
      <c r="H713" s="209"/>
      <c r="I713" s="264" t="str">
        <f t="shared" si="23"/>
        <v/>
      </c>
    </row>
    <row r="714" spans="3:9" x14ac:dyDescent="0.3">
      <c r="C714" s="209"/>
      <c r="D714" s="209"/>
      <c r="E714" s="209"/>
      <c r="F714" s="209"/>
      <c r="G714" s="209"/>
      <c r="H714" s="209"/>
      <c r="I714" s="264" t="str">
        <f t="shared" si="23"/>
        <v/>
      </c>
    </row>
    <row r="715" spans="3:9" x14ac:dyDescent="0.3">
      <c r="C715" s="209"/>
      <c r="D715" s="209"/>
      <c r="E715" s="209"/>
      <c r="F715" s="209"/>
      <c r="G715" s="209"/>
      <c r="H715" s="209"/>
      <c r="I715" s="264" t="str">
        <f t="shared" si="23"/>
        <v/>
      </c>
    </row>
    <row r="716" spans="3:9" x14ac:dyDescent="0.3">
      <c r="C716" s="209"/>
      <c r="D716" s="209"/>
      <c r="E716" s="209"/>
      <c r="F716" s="209"/>
      <c r="G716" s="209"/>
      <c r="H716" s="209"/>
      <c r="I716" s="264" t="str">
        <f t="shared" si="23"/>
        <v/>
      </c>
    </row>
    <row r="717" spans="3:9" x14ac:dyDescent="0.3">
      <c r="C717" s="209"/>
      <c r="D717" s="209"/>
      <c r="E717" s="209"/>
      <c r="F717" s="209"/>
      <c r="G717" s="209"/>
      <c r="H717" s="209"/>
      <c r="I717" s="264" t="str">
        <f t="shared" si="23"/>
        <v/>
      </c>
    </row>
    <row r="718" spans="3:9" x14ac:dyDescent="0.3">
      <c r="C718" s="209"/>
      <c r="D718" s="209"/>
      <c r="E718" s="209"/>
      <c r="F718" s="209"/>
      <c r="G718" s="209"/>
      <c r="H718" s="209"/>
      <c r="I718" s="264" t="str">
        <f t="shared" si="23"/>
        <v/>
      </c>
    </row>
    <row r="719" spans="3:9" x14ac:dyDescent="0.3">
      <c r="C719" s="209"/>
      <c r="D719" s="209"/>
      <c r="E719" s="209"/>
      <c r="F719" s="209"/>
      <c r="G719" s="209"/>
      <c r="H719" s="209"/>
      <c r="I719" s="264" t="str">
        <f t="shared" si="23"/>
        <v/>
      </c>
    </row>
    <row r="720" spans="3:9" x14ac:dyDescent="0.3">
      <c r="C720" s="209"/>
      <c r="D720" s="209"/>
      <c r="E720" s="209"/>
      <c r="F720" s="209"/>
      <c r="G720" s="209"/>
      <c r="H720" s="209"/>
      <c r="I720" s="264" t="str">
        <f t="shared" si="23"/>
        <v/>
      </c>
    </row>
    <row r="721" spans="3:9" x14ac:dyDescent="0.3">
      <c r="C721" s="209"/>
      <c r="D721" s="209"/>
      <c r="E721" s="209"/>
      <c r="F721" s="209"/>
      <c r="G721" s="209"/>
      <c r="H721" s="209"/>
      <c r="I721" s="264" t="str">
        <f t="shared" si="23"/>
        <v/>
      </c>
    </row>
    <row r="722" spans="3:9" x14ac:dyDescent="0.3">
      <c r="C722" s="209"/>
      <c r="D722" s="209"/>
      <c r="E722" s="209"/>
      <c r="F722" s="209"/>
      <c r="G722" s="209"/>
      <c r="H722" s="209"/>
      <c r="I722" s="264" t="str">
        <f t="shared" si="23"/>
        <v/>
      </c>
    </row>
    <row r="723" spans="3:9" x14ac:dyDescent="0.3">
      <c r="C723" s="209"/>
      <c r="D723" s="209"/>
      <c r="E723" s="209"/>
      <c r="F723" s="209"/>
      <c r="G723" s="209"/>
      <c r="H723" s="209"/>
      <c r="I723" s="264" t="str">
        <f t="shared" si="23"/>
        <v/>
      </c>
    </row>
    <row r="724" spans="3:9" x14ac:dyDescent="0.3">
      <c r="C724" s="209"/>
      <c r="D724" s="209"/>
      <c r="E724" s="209"/>
      <c r="F724" s="209"/>
      <c r="G724" s="209"/>
      <c r="H724" s="209"/>
      <c r="I724" s="264" t="str">
        <f t="shared" si="23"/>
        <v/>
      </c>
    </row>
    <row r="725" spans="3:9" x14ac:dyDescent="0.3">
      <c r="C725" s="209"/>
      <c r="D725" s="209"/>
      <c r="E725" s="209"/>
      <c r="F725" s="209"/>
      <c r="G725" s="209"/>
      <c r="H725" s="209"/>
      <c r="I725" s="264" t="str">
        <f t="shared" si="23"/>
        <v/>
      </c>
    </row>
    <row r="726" spans="3:9" x14ac:dyDescent="0.3">
      <c r="C726" s="209"/>
      <c r="D726" s="209"/>
      <c r="E726" s="209"/>
      <c r="F726" s="209"/>
      <c r="G726" s="209"/>
      <c r="H726" s="209"/>
      <c r="I726" s="264" t="str">
        <f t="shared" si="23"/>
        <v/>
      </c>
    </row>
    <row r="727" spans="3:9" x14ac:dyDescent="0.3">
      <c r="C727" s="209"/>
      <c r="D727" s="209"/>
      <c r="E727" s="209"/>
      <c r="F727" s="209"/>
      <c r="G727" s="209"/>
      <c r="H727" s="209"/>
      <c r="I727" s="264" t="str">
        <f t="shared" si="23"/>
        <v/>
      </c>
    </row>
    <row r="728" spans="3:9" x14ac:dyDescent="0.3">
      <c r="C728" s="209"/>
      <c r="D728" s="209"/>
      <c r="E728" s="209"/>
      <c r="F728" s="209"/>
      <c r="G728" s="209"/>
      <c r="H728" s="209"/>
      <c r="I728" s="264" t="str">
        <f t="shared" si="23"/>
        <v/>
      </c>
    </row>
    <row r="729" spans="3:9" x14ac:dyDescent="0.3">
      <c r="C729" s="209"/>
      <c r="D729" s="209"/>
      <c r="E729" s="209"/>
      <c r="F729" s="209"/>
      <c r="G729" s="209"/>
      <c r="H729" s="209"/>
      <c r="I729" s="264" t="str">
        <f t="shared" si="23"/>
        <v/>
      </c>
    </row>
    <row r="730" spans="3:9" x14ac:dyDescent="0.3">
      <c r="C730" s="209"/>
      <c r="D730" s="209"/>
      <c r="E730" s="209"/>
      <c r="F730" s="209"/>
      <c r="G730" s="209"/>
      <c r="H730" s="209"/>
      <c r="I730" s="264" t="str">
        <f t="shared" si="23"/>
        <v/>
      </c>
    </row>
    <row r="731" spans="3:9" x14ac:dyDescent="0.3">
      <c r="C731" s="209"/>
      <c r="D731" s="209"/>
      <c r="E731" s="209"/>
      <c r="F731" s="209"/>
      <c r="G731" s="209"/>
      <c r="H731" s="209"/>
      <c r="I731" s="264" t="str">
        <f t="shared" si="23"/>
        <v/>
      </c>
    </row>
    <row r="732" spans="3:9" x14ac:dyDescent="0.3">
      <c r="C732" s="209"/>
      <c r="D732" s="209"/>
      <c r="E732" s="209"/>
      <c r="F732" s="209"/>
      <c r="G732" s="209"/>
      <c r="H732" s="209"/>
      <c r="I732" s="264" t="str">
        <f t="shared" si="23"/>
        <v/>
      </c>
    </row>
    <row r="733" spans="3:9" x14ac:dyDescent="0.3">
      <c r="C733" s="209"/>
      <c r="D733" s="209"/>
      <c r="E733" s="209"/>
      <c r="F733" s="209"/>
      <c r="G733" s="209"/>
      <c r="H733" s="209"/>
      <c r="I733" s="264" t="str">
        <f t="shared" si="23"/>
        <v/>
      </c>
    </row>
    <row r="734" spans="3:9" x14ac:dyDescent="0.3">
      <c r="C734" s="209"/>
      <c r="D734" s="209"/>
      <c r="E734" s="209"/>
      <c r="F734" s="209"/>
      <c r="G734" s="209"/>
      <c r="H734" s="209"/>
      <c r="I734" s="264" t="str">
        <f t="shared" si="23"/>
        <v/>
      </c>
    </row>
    <row r="735" spans="3:9" x14ac:dyDescent="0.3">
      <c r="C735" s="209"/>
      <c r="D735" s="209"/>
      <c r="E735" s="209"/>
      <c r="F735" s="209"/>
      <c r="G735" s="209"/>
      <c r="H735" s="209"/>
      <c r="I735" s="264" t="str">
        <f t="shared" si="23"/>
        <v/>
      </c>
    </row>
    <row r="736" spans="3:9" x14ac:dyDescent="0.3">
      <c r="C736" s="209"/>
      <c r="D736" s="209"/>
      <c r="E736" s="209"/>
      <c r="F736" s="209"/>
      <c r="G736" s="209"/>
      <c r="H736" s="209"/>
      <c r="I736" s="264" t="str">
        <f t="shared" si="23"/>
        <v/>
      </c>
    </row>
    <row r="737" spans="3:9" x14ac:dyDescent="0.3">
      <c r="C737" s="209"/>
      <c r="D737" s="209"/>
      <c r="E737" s="209"/>
      <c r="F737" s="209"/>
      <c r="G737" s="209"/>
      <c r="H737" s="209"/>
      <c r="I737" s="264" t="str">
        <f t="shared" si="23"/>
        <v/>
      </c>
    </row>
    <row r="738" spans="3:9" x14ac:dyDescent="0.3">
      <c r="C738" s="209"/>
      <c r="D738" s="209"/>
      <c r="E738" s="209"/>
      <c r="F738" s="209"/>
      <c r="G738" s="209"/>
      <c r="H738" s="209"/>
      <c r="I738" s="264" t="str">
        <f t="shared" si="23"/>
        <v/>
      </c>
    </row>
    <row r="739" spans="3:9" x14ac:dyDescent="0.3">
      <c r="C739" s="209"/>
      <c r="D739" s="209"/>
      <c r="E739" s="209"/>
      <c r="F739" s="209"/>
      <c r="G739" s="209"/>
      <c r="H739" s="209"/>
      <c r="I739" s="264" t="str">
        <f t="shared" si="23"/>
        <v/>
      </c>
    </row>
    <row r="740" spans="3:9" x14ac:dyDescent="0.3">
      <c r="C740" s="209"/>
      <c r="D740" s="209"/>
      <c r="E740" s="209"/>
      <c r="F740" s="209"/>
      <c r="G740" s="209"/>
      <c r="H740" s="209"/>
      <c r="I740" s="264" t="str">
        <f t="shared" si="23"/>
        <v/>
      </c>
    </row>
    <row r="741" spans="3:9" x14ac:dyDescent="0.3">
      <c r="C741" s="209"/>
      <c r="D741" s="209"/>
      <c r="E741" s="209"/>
      <c r="F741" s="209"/>
      <c r="G741" s="209"/>
      <c r="H741" s="209"/>
      <c r="I741" s="264" t="str">
        <f t="shared" si="23"/>
        <v/>
      </c>
    </row>
    <row r="742" spans="3:9" x14ac:dyDescent="0.3">
      <c r="C742" s="209"/>
      <c r="D742" s="209"/>
      <c r="E742" s="209"/>
      <c r="F742" s="209"/>
      <c r="G742" s="209"/>
      <c r="H742" s="209"/>
      <c r="I742" s="264" t="str">
        <f t="shared" si="23"/>
        <v/>
      </c>
    </row>
    <row r="743" spans="3:9" x14ac:dyDescent="0.3">
      <c r="C743" s="209"/>
      <c r="D743" s="209"/>
      <c r="E743" s="209"/>
      <c r="F743" s="209"/>
      <c r="G743" s="209"/>
      <c r="H743" s="209"/>
      <c r="I743" s="264" t="str">
        <f t="shared" si="23"/>
        <v/>
      </c>
    </row>
    <row r="744" spans="3:9" x14ac:dyDescent="0.3">
      <c r="C744" s="209"/>
      <c r="D744" s="209"/>
      <c r="E744" s="209"/>
      <c r="F744" s="209"/>
      <c r="G744" s="209"/>
      <c r="H744" s="209"/>
      <c r="I744" s="264" t="str">
        <f t="shared" si="23"/>
        <v/>
      </c>
    </row>
    <row r="745" spans="3:9" x14ac:dyDescent="0.3">
      <c r="C745" s="209"/>
      <c r="D745" s="209"/>
      <c r="E745" s="209"/>
      <c r="F745" s="209"/>
      <c r="G745" s="209"/>
      <c r="H745" s="209"/>
      <c r="I745" s="264" t="str">
        <f t="shared" si="23"/>
        <v/>
      </c>
    </row>
    <row r="746" spans="3:9" x14ac:dyDescent="0.3">
      <c r="C746" s="209"/>
      <c r="D746" s="209"/>
      <c r="E746" s="209"/>
      <c r="F746" s="209"/>
      <c r="G746" s="209"/>
      <c r="H746" s="209"/>
      <c r="I746" s="264" t="str">
        <f t="shared" si="23"/>
        <v/>
      </c>
    </row>
    <row r="747" spans="3:9" x14ac:dyDescent="0.3">
      <c r="C747" s="209"/>
      <c r="D747" s="209"/>
      <c r="E747" s="209"/>
      <c r="F747" s="209"/>
      <c r="G747" s="209"/>
      <c r="H747" s="209"/>
      <c r="I747" s="264" t="str">
        <f t="shared" si="23"/>
        <v/>
      </c>
    </row>
    <row r="748" spans="3:9" x14ac:dyDescent="0.3">
      <c r="C748" s="209"/>
      <c r="D748" s="209"/>
      <c r="E748" s="209"/>
      <c r="F748" s="209"/>
      <c r="G748" s="209"/>
      <c r="H748" s="209"/>
      <c r="I748" s="264" t="str">
        <f t="shared" si="23"/>
        <v/>
      </c>
    </row>
    <row r="749" spans="3:9" x14ac:dyDescent="0.3">
      <c r="C749" s="209"/>
      <c r="D749" s="209"/>
      <c r="E749" s="209"/>
      <c r="F749" s="209"/>
      <c r="G749" s="209"/>
      <c r="H749" s="209"/>
      <c r="I749" s="264" t="str">
        <f t="shared" si="23"/>
        <v/>
      </c>
    </row>
    <row r="750" spans="3:9" x14ac:dyDescent="0.3">
      <c r="C750" s="209"/>
      <c r="D750" s="209"/>
      <c r="E750" s="209"/>
      <c r="F750" s="209"/>
      <c r="G750" s="209"/>
      <c r="H750" s="209"/>
      <c r="I750" s="264" t="str">
        <f t="shared" si="23"/>
        <v/>
      </c>
    </row>
    <row r="751" spans="3:9" x14ac:dyDescent="0.3">
      <c r="C751" s="209"/>
      <c r="D751" s="209"/>
      <c r="E751" s="209"/>
      <c r="F751" s="209"/>
      <c r="G751" s="209"/>
      <c r="H751" s="209"/>
      <c r="I751" s="264" t="str">
        <f t="shared" si="23"/>
        <v/>
      </c>
    </row>
    <row r="752" spans="3:9" x14ac:dyDescent="0.3">
      <c r="C752" s="209"/>
      <c r="D752" s="209"/>
      <c r="E752" s="209"/>
      <c r="F752" s="209"/>
      <c r="G752" s="209"/>
      <c r="H752" s="209"/>
      <c r="I752" s="264" t="str">
        <f t="shared" si="23"/>
        <v/>
      </c>
    </row>
    <row r="753" spans="3:9" x14ac:dyDescent="0.3">
      <c r="C753" s="209"/>
      <c r="D753" s="209"/>
      <c r="E753" s="209"/>
      <c r="F753" s="209"/>
      <c r="G753" s="209"/>
      <c r="H753" s="209"/>
      <c r="I753" s="264" t="str">
        <f t="shared" si="23"/>
        <v/>
      </c>
    </row>
    <row r="754" spans="3:9" x14ac:dyDescent="0.3">
      <c r="C754" s="209"/>
      <c r="D754" s="209"/>
      <c r="E754" s="209"/>
      <c r="F754" s="209"/>
      <c r="G754" s="209"/>
      <c r="H754" s="209"/>
      <c r="I754" s="264" t="str">
        <f t="shared" si="23"/>
        <v/>
      </c>
    </row>
    <row r="755" spans="3:9" x14ac:dyDescent="0.3">
      <c r="C755" s="209"/>
      <c r="D755" s="209"/>
      <c r="E755" s="209"/>
      <c r="F755" s="209"/>
      <c r="G755" s="209"/>
      <c r="H755" s="209"/>
      <c r="I755" s="264" t="str">
        <f t="shared" si="23"/>
        <v/>
      </c>
    </row>
    <row r="756" spans="3:9" x14ac:dyDescent="0.3">
      <c r="C756" s="209"/>
      <c r="D756" s="209"/>
      <c r="E756" s="209"/>
      <c r="F756" s="209"/>
      <c r="G756" s="209"/>
      <c r="H756" s="209"/>
      <c r="I756" s="264" t="str">
        <f t="shared" si="23"/>
        <v/>
      </c>
    </row>
    <row r="757" spans="3:9" x14ac:dyDescent="0.3">
      <c r="C757" s="209"/>
      <c r="D757" s="209"/>
      <c r="E757" s="209"/>
      <c r="F757" s="209"/>
      <c r="G757" s="209"/>
      <c r="H757" s="209"/>
      <c r="I757" s="264" t="str">
        <f t="shared" si="23"/>
        <v/>
      </c>
    </row>
    <row r="758" spans="3:9" x14ac:dyDescent="0.3">
      <c r="C758" s="209"/>
      <c r="D758" s="209"/>
      <c r="E758" s="209"/>
      <c r="F758" s="209"/>
      <c r="G758" s="209"/>
      <c r="H758" s="209"/>
      <c r="I758" s="264" t="str">
        <f t="shared" si="23"/>
        <v/>
      </c>
    </row>
    <row r="759" spans="3:9" x14ac:dyDescent="0.3">
      <c r="C759" s="209"/>
      <c r="D759" s="209"/>
      <c r="E759" s="209"/>
      <c r="F759" s="209"/>
      <c r="G759" s="209"/>
      <c r="H759" s="209"/>
      <c r="I759" s="264" t="str">
        <f t="shared" si="23"/>
        <v/>
      </c>
    </row>
    <row r="760" spans="3:9" x14ac:dyDescent="0.3">
      <c r="C760" s="209"/>
      <c r="D760" s="209"/>
      <c r="E760" s="209"/>
      <c r="F760" s="209"/>
      <c r="G760" s="209"/>
      <c r="H760" s="209"/>
      <c r="I760" s="264" t="str">
        <f t="shared" si="23"/>
        <v/>
      </c>
    </row>
    <row r="761" spans="3:9" x14ac:dyDescent="0.3">
      <c r="C761" s="209"/>
      <c r="D761" s="209"/>
      <c r="E761" s="209"/>
      <c r="F761" s="209"/>
      <c r="G761" s="209"/>
      <c r="H761" s="209"/>
      <c r="I761" s="264" t="str">
        <f t="shared" si="23"/>
        <v/>
      </c>
    </row>
    <row r="762" spans="3:9" x14ac:dyDescent="0.3">
      <c r="C762" s="209"/>
      <c r="D762" s="209"/>
      <c r="E762" s="209"/>
      <c r="F762" s="209"/>
      <c r="G762" s="209"/>
      <c r="H762" s="209"/>
      <c r="I762" s="264" t="str">
        <f t="shared" si="23"/>
        <v/>
      </c>
    </row>
    <row r="763" spans="3:9" x14ac:dyDescent="0.3">
      <c r="C763" s="209"/>
      <c r="D763" s="209"/>
      <c r="E763" s="209"/>
      <c r="F763" s="209"/>
      <c r="G763" s="209"/>
      <c r="H763" s="209"/>
      <c r="I763" s="264" t="str">
        <f t="shared" si="23"/>
        <v/>
      </c>
    </row>
    <row r="764" spans="3:9" x14ac:dyDescent="0.3">
      <c r="C764" s="209"/>
      <c r="D764" s="209"/>
      <c r="E764" s="209"/>
      <c r="F764" s="209"/>
      <c r="G764" s="209"/>
      <c r="H764" s="209"/>
      <c r="I764" s="264" t="str">
        <f t="shared" si="23"/>
        <v/>
      </c>
    </row>
    <row r="765" spans="3:9" x14ac:dyDescent="0.3">
      <c r="C765" s="209"/>
      <c r="D765" s="209"/>
      <c r="E765" s="209"/>
      <c r="F765" s="209"/>
      <c r="G765" s="209"/>
      <c r="H765" s="209"/>
      <c r="I765" s="264" t="str">
        <f t="shared" si="23"/>
        <v/>
      </c>
    </row>
    <row r="766" spans="3:9" x14ac:dyDescent="0.3">
      <c r="C766" s="209"/>
      <c r="D766" s="209"/>
      <c r="E766" s="209"/>
      <c r="F766" s="209"/>
      <c r="G766" s="209"/>
      <c r="H766" s="209"/>
      <c r="I766" s="264" t="str">
        <f t="shared" ref="I766:I829" si="24">IF(H766=0,"",D766)</f>
        <v/>
      </c>
    </row>
    <row r="767" spans="3:9" x14ac:dyDescent="0.3">
      <c r="C767" s="209"/>
      <c r="D767" s="209"/>
      <c r="E767" s="209"/>
      <c r="F767" s="209"/>
      <c r="G767" s="209"/>
      <c r="H767" s="209"/>
      <c r="I767" s="264" t="str">
        <f t="shared" si="24"/>
        <v/>
      </c>
    </row>
    <row r="768" spans="3:9" x14ac:dyDescent="0.3">
      <c r="C768" s="209"/>
      <c r="D768" s="209"/>
      <c r="E768" s="209"/>
      <c r="F768" s="209"/>
      <c r="G768" s="209"/>
      <c r="H768" s="209"/>
      <c r="I768" s="264" t="str">
        <f t="shared" si="24"/>
        <v/>
      </c>
    </row>
    <row r="769" spans="3:9" x14ac:dyDescent="0.3">
      <c r="C769" s="209"/>
      <c r="D769" s="209"/>
      <c r="E769" s="209"/>
      <c r="F769" s="209"/>
      <c r="G769" s="209"/>
      <c r="H769" s="209"/>
      <c r="I769" s="264" t="str">
        <f t="shared" si="24"/>
        <v/>
      </c>
    </row>
    <row r="770" spans="3:9" x14ac:dyDescent="0.3">
      <c r="C770" s="209"/>
      <c r="D770" s="209"/>
      <c r="E770" s="209"/>
      <c r="F770" s="209"/>
      <c r="G770" s="209"/>
      <c r="H770" s="209"/>
      <c r="I770" s="264" t="str">
        <f t="shared" si="24"/>
        <v/>
      </c>
    </row>
    <row r="771" spans="3:9" x14ac:dyDescent="0.3">
      <c r="C771" s="209"/>
      <c r="D771" s="209"/>
      <c r="E771" s="209"/>
      <c r="F771" s="209"/>
      <c r="G771" s="209"/>
      <c r="H771" s="209"/>
      <c r="I771" s="264" t="str">
        <f t="shared" si="24"/>
        <v/>
      </c>
    </row>
    <row r="772" spans="3:9" x14ac:dyDescent="0.3">
      <c r="C772" s="209"/>
      <c r="D772" s="209"/>
      <c r="E772" s="209"/>
      <c r="F772" s="209"/>
      <c r="G772" s="209"/>
      <c r="H772" s="209"/>
      <c r="I772" s="264" t="str">
        <f t="shared" si="24"/>
        <v/>
      </c>
    </row>
    <row r="773" spans="3:9" x14ac:dyDescent="0.3">
      <c r="C773" s="209"/>
      <c r="D773" s="209"/>
      <c r="E773" s="209"/>
      <c r="F773" s="209"/>
      <c r="G773" s="209"/>
      <c r="H773" s="209"/>
      <c r="I773" s="264" t="str">
        <f t="shared" si="24"/>
        <v/>
      </c>
    </row>
    <row r="774" spans="3:9" x14ac:dyDescent="0.3">
      <c r="C774" s="209"/>
      <c r="D774" s="209"/>
      <c r="E774" s="209"/>
      <c r="F774" s="209"/>
      <c r="G774" s="209"/>
      <c r="H774" s="209"/>
      <c r="I774" s="264" t="str">
        <f t="shared" si="24"/>
        <v/>
      </c>
    </row>
    <row r="775" spans="3:9" x14ac:dyDescent="0.3">
      <c r="C775" s="209"/>
      <c r="D775" s="209"/>
      <c r="E775" s="209"/>
      <c r="F775" s="209"/>
      <c r="G775" s="209"/>
      <c r="H775" s="209"/>
      <c r="I775" s="264" t="str">
        <f t="shared" si="24"/>
        <v/>
      </c>
    </row>
    <row r="776" spans="3:9" x14ac:dyDescent="0.3">
      <c r="C776" s="209"/>
      <c r="D776" s="209"/>
      <c r="E776" s="209"/>
      <c r="F776" s="209"/>
      <c r="G776" s="209"/>
      <c r="H776" s="209"/>
      <c r="I776" s="264" t="str">
        <f t="shared" si="24"/>
        <v/>
      </c>
    </row>
    <row r="777" spans="3:9" x14ac:dyDescent="0.3">
      <c r="C777" s="209"/>
      <c r="D777" s="209"/>
      <c r="E777" s="209"/>
      <c r="F777" s="209"/>
      <c r="G777" s="209"/>
      <c r="H777" s="209"/>
      <c r="I777" s="264" t="str">
        <f t="shared" si="24"/>
        <v/>
      </c>
    </row>
    <row r="778" spans="3:9" x14ac:dyDescent="0.3">
      <c r="C778" s="209"/>
      <c r="D778" s="209"/>
      <c r="E778" s="209"/>
      <c r="F778" s="209"/>
      <c r="G778" s="209"/>
      <c r="H778" s="209"/>
      <c r="I778" s="264" t="str">
        <f t="shared" si="24"/>
        <v/>
      </c>
    </row>
    <row r="779" spans="3:9" x14ac:dyDescent="0.3">
      <c r="C779" s="209"/>
      <c r="D779" s="209"/>
      <c r="E779" s="209"/>
      <c r="F779" s="209"/>
      <c r="G779" s="209"/>
      <c r="H779" s="209"/>
      <c r="I779" s="264" t="str">
        <f t="shared" si="24"/>
        <v/>
      </c>
    </row>
    <row r="780" spans="3:9" x14ac:dyDescent="0.3">
      <c r="C780" s="209"/>
      <c r="D780" s="209"/>
      <c r="E780" s="209"/>
      <c r="F780" s="209"/>
      <c r="G780" s="209"/>
      <c r="H780" s="209"/>
      <c r="I780" s="264" t="str">
        <f t="shared" si="24"/>
        <v/>
      </c>
    </row>
    <row r="781" spans="3:9" x14ac:dyDescent="0.3">
      <c r="C781" s="209"/>
      <c r="D781" s="209"/>
      <c r="E781" s="209"/>
      <c r="F781" s="209"/>
      <c r="G781" s="209"/>
      <c r="H781" s="209"/>
      <c r="I781" s="264" t="str">
        <f t="shared" si="24"/>
        <v/>
      </c>
    </row>
    <row r="782" spans="3:9" x14ac:dyDescent="0.3">
      <c r="C782" s="209"/>
      <c r="D782" s="209"/>
      <c r="E782" s="209"/>
      <c r="F782" s="209"/>
      <c r="G782" s="209"/>
      <c r="H782" s="209"/>
      <c r="I782" s="264" t="str">
        <f t="shared" si="24"/>
        <v/>
      </c>
    </row>
    <row r="783" spans="3:9" x14ac:dyDescent="0.3">
      <c r="C783" s="209"/>
      <c r="D783" s="209"/>
      <c r="E783" s="209"/>
      <c r="F783" s="209"/>
      <c r="G783" s="209"/>
      <c r="H783" s="209"/>
      <c r="I783" s="264" t="str">
        <f t="shared" si="24"/>
        <v/>
      </c>
    </row>
    <row r="784" spans="3:9" x14ac:dyDescent="0.3">
      <c r="C784" s="209"/>
      <c r="D784" s="209"/>
      <c r="E784" s="209"/>
      <c r="F784" s="209"/>
      <c r="G784" s="209"/>
      <c r="H784" s="209"/>
      <c r="I784" s="264" t="str">
        <f t="shared" si="24"/>
        <v/>
      </c>
    </row>
    <row r="785" spans="3:9" x14ac:dyDescent="0.3">
      <c r="C785" s="209"/>
      <c r="D785" s="209"/>
      <c r="E785" s="209"/>
      <c r="F785" s="209"/>
      <c r="G785" s="209"/>
      <c r="H785" s="209"/>
      <c r="I785" s="264" t="str">
        <f t="shared" si="24"/>
        <v/>
      </c>
    </row>
    <row r="786" spans="3:9" x14ac:dyDescent="0.3">
      <c r="C786" s="209"/>
      <c r="D786" s="209"/>
      <c r="E786" s="209"/>
      <c r="F786" s="209"/>
      <c r="G786" s="209"/>
      <c r="H786" s="209"/>
      <c r="I786" s="264" t="str">
        <f t="shared" si="24"/>
        <v/>
      </c>
    </row>
    <row r="787" spans="3:9" x14ac:dyDescent="0.3">
      <c r="C787" s="209"/>
      <c r="D787" s="209"/>
      <c r="E787" s="209"/>
      <c r="F787" s="209"/>
      <c r="G787" s="209"/>
      <c r="H787" s="209"/>
      <c r="I787" s="264" t="str">
        <f t="shared" si="24"/>
        <v/>
      </c>
    </row>
    <row r="788" spans="3:9" x14ac:dyDescent="0.3">
      <c r="C788" s="209"/>
      <c r="D788" s="209"/>
      <c r="E788" s="209"/>
      <c r="F788" s="209"/>
      <c r="G788" s="209"/>
      <c r="H788" s="209"/>
      <c r="I788" s="264" t="str">
        <f t="shared" si="24"/>
        <v/>
      </c>
    </row>
    <row r="789" spans="3:9" x14ac:dyDescent="0.3">
      <c r="C789" s="209"/>
      <c r="D789" s="209"/>
      <c r="E789" s="209"/>
      <c r="F789" s="209"/>
      <c r="G789" s="209"/>
      <c r="H789" s="209"/>
      <c r="I789" s="264" t="str">
        <f t="shared" si="24"/>
        <v/>
      </c>
    </row>
    <row r="790" spans="3:9" x14ac:dyDescent="0.3">
      <c r="C790" s="209"/>
      <c r="D790" s="209"/>
      <c r="E790" s="209"/>
      <c r="F790" s="209"/>
      <c r="G790" s="209"/>
      <c r="H790" s="209"/>
      <c r="I790" s="264" t="str">
        <f t="shared" si="24"/>
        <v/>
      </c>
    </row>
    <row r="791" spans="3:9" x14ac:dyDescent="0.3">
      <c r="C791" s="209"/>
      <c r="D791" s="209"/>
      <c r="E791" s="209"/>
      <c r="F791" s="209"/>
      <c r="G791" s="209"/>
      <c r="H791" s="209"/>
      <c r="I791" s="264" t="str">
        <f t="shared" si="24"/>
        <v/>
      </c>
    </row>
    <row r="792" spans="3:9" x14ac:dyDescent="0.3">
      <c r="C792" s="209"/>
      <c r="D792" s="209"/>
      <c r="E792" s="209"/>
      <c r="F792" s="209"/>
      <c r="G792" s="209"/>
      <c r="H792" s="209"/>
      <c r="I792" s="264" t="str">
        <f t="shared" si="24"/>
        <v/>
      </c>
    </row>
    <row r="793" spans="3:9" x14ac:dyDescent="0.3">
      <c r="C793" s="209"/>
      <c r="D793" s="209"/>
      <c r="E793" s="209"/>
      <c r="F793" s="209"/>
      <c r="G793" s="209"/>
      <c r="H793" s="209"/>
      <c r="I793" s="264" t="str">
        <f t="shared" si="24"/>
        <v/>
      </c>
    </row>
    <row r="794" spans="3:9" x14ac:dyDescent="0.3">
      <c r="C794" s="209"/>
      <c r="D794" s="209"/>
      <c r="E794" s="209"/>
      <c r="F794" s="209"/>
      <c r="G794" s="209"/>
      <c r="H794" s="209"/>
      <c r="I794" s="264" t="str">
        <f t="shared" si="24"/>
        <v/>
      </c>
    </row>
    <row r="795" spans="3:9" x14ac:dyDescent="0.3">
      <c r="C795" s="209"/>
      <c r="D795" s="209"/>
      <c r="E795" s="209"/>
      <c r="F795" s="209"/>
      <c r="G795" s="209"/>
      <c r="H795" s="209"/>
      <c r="I795" s="264" t="str">
        <f t="shared" si="24"/>
        <v/>
      </c>
    </row>
    <row r="796" spans="3:9" x14ac:dyDescent="0.3">
      <c r="C796" s="209"/>
      <c r="D796" s="209"/>
      <c r="E796" s="209"/>
      <c r="F796" s="209"/>
      <c r="G796" s="209"/>
      <c r="H796" s="209"/>
      <c r="I796" s="264" t="str">
        <f t="shared" si="24"/>
        <v/>
      </c>
    </row>
    <row r="797" spans="3:9" x14ac:dyDescent="0.3">
      <c r="C797" s="209"/>
      <c r="D797" s="209"/>
      <c r="E797" s="209"/>
      <c r="F797" s="209"/>
      <c r="G797" s="209"/>
      <c r="H797" s="209"/>
      <c r="I797" s="264" t="str">
        <f t="shared" si="24"/>
        <v/>
      </c>
    </row>
    <row r="798" spans="3:9" x14ac:dyDescent="0.3">
      <c r="C798" s="209"/>
      <c r="D798" s="209"/>
      <c r="E798" s="209"/>
      <c r="F798" s="209"/>
      <c r="G798" s="209"/>
      <c r="H798" s="209"/>
      <c r="I798" s="264" t="str">
        <f t="shared" si="24"/>
        <v/>
      </c>
    </row>
    <row r="799" spans="3:9" x14ac:dyDescent="0.3">
      <c r="C799" s="209"/>
      <c r="D799" s="209"/>
      <c r="E799" s="209"/>
      <c r="F799" s="209"/>
      <c r="G799" s="209"/>
      <c r="H799" s="209"/>
      <c r="I799" s="264" t="str">
        <f t="shared" si="24"/>
        <v/>
      </c>
    </row>
    <row r="800" spans="3:9" x14ac:dyDescent="0.3">
      <c r="C800" s="209"/>
      <c r="D800" s="209"/>
      <c r="E800" s="209"/>
      <c r="F800" s="209"/>
      <c r="G800" s="209"/>
      <c r="H800" s="209"/>
      <c r="I800" s="264" t="str">
        <f t="shared" si="24"/>
        <v/>
      </c>
    </row>
    <row r="801" spans="3:9" x14ac:dyDescent="0.3">
      <c r="C801" s="209"/>
      <c r="D801" s="209"/>
      <c r="E801" s="209"/>
      <c r="F801" s="209"/>
      <c r="G801" s="209"/>
      <c r="H801" s="209"/>
      <c r="I801" s="264" t="str">
        <f t="shared" si="24"/>
        <v/>
      </c>
    </row>
    <row r="802" spans="3:9" x14ac:dyDescent="0.3">
      <c r="C802" s="209"/>
      <c r="D802" s="209"/>
      <c r="E802" s="209"/>
      <c r="F802" s="209"/>
      <c r="G802" s="209"/>
      <c r="H802" s="209"/>
      <c r="I802" s="264" t="str">
        <f t="shared" si="24"/>
        <v/>
      </c>
    </row>
    <row r="803" spans="3:9" x14ac:dyDescent="0.3">
      <c r="C803" s="209"/>
      <c r="D803" s="209"/>
      <c r="E803" s="209"/>
      <c r="F803" s="209"/>
      <c r="G803" s="209"/>
      <c r="H803" s="209"/>
      <c r="I803" s="264" t="str">
        <f t="shared" si="24"/>
        <v/>
      </c>
    </row>
    <row r="804" spans="3:9" x14ac:dyDescent="0.3">
      <c r="C804" s="209"/>
      <c r="D804" s="209"/>
      <c r="E804" s="209"/>
      <c r="F804" s="209"/>
      <c r="G804" s="209"/>
      <c r="H804" s="209"/>
      <c r="I804" s="264" t="str">
        <f t="shared" si="24"/>
        <v/>
      </c>
    </row>
    <row r="805" spans="3:9" x14ac:dyDescent="0.3">
      <c r="C805" s="209"/>
      <c r="D805" s="209"/>
      <c r="E805" s="209"/>
      <c r="F805" s="209"/>
      <c r="G805" s="209"/>
      <c r="H805" s="209"/>
      <c r="I805" s="264" t="str">
        <f t="shared" si="24"/>
        <v/>
      </c>
    </row>
    <row r="806" spans="3:9" x14ac:dyDescent="0.3">
      <c r="C806" s="209"/>
      <c r="D806" s="209"/>
      <c r="E806" s="209"/>
      <c r="F806" s="209"/>
      <c r="G806" s="209"/>
      <c r="H806" s="209"/>
      <c r="I806" s="264" t="str">
        <f t="shared" si="24"/>
        <v/>
      </c>
    </row>
    <row r="807" spans="3:9" x14ac:dyDescent="0.3">
      <c r="C807" s="209"/>
      <c r="D807" s="209"/>
      <c r="E807" s="209"/>
      <c r="F807" s="209"/>
      <c r="G807" s="209"/>
      <c r="H807" s="209"/>
      <c r="I807" s="264" t="str">
        <f t="shared" si="24"/>
        <v/>
      </c>
    </row>
    <row r="808" spans="3:9" x14ac:dyDescent="0.3">
      <c r="C808" s="209"/>
      <c r="D808" s="209"/>
      <c r="E808" s="209"/>
      <c r="F808" s="209"/>
      <c r="G808" s="209"/>
      <c r="H808" s="209"/>
      <c r="I808" s="264" t="str">
        <f t="shared" si="24"/>
        <v/>
      </c>
    </row>
    <row r="809" spans="3:9" x14ac:dyDescent="0.3">
      <c r="C809" s="209"/>
      <c r="D809" s="209"/>
      <c r="E809" s="209"/>
      <c r="F809" s="209"/>
      <c r="G809" s="209"/>
      <c r="H809" s="209"/>
      <c r="I809" s="264" t="str">
        <f t="shared" si="24"/>
        <v/>
      </c>
    </row>
    <row r="810" spans="3:9" x14ac:dyDescent="0.3">
      <c r="C810" s="209"/>
      <c r="D810" s="209"/>
      <c r="E810" s="209"/>
      <c r="F810" s="209"/>
      <c r="G810" s="209"/>
      <c r="H810" s="209"/>
      <c r="I810" s="264" t="str">
        <f t="shared" si="24"/>
        <v/>
      </c>
    </row>
    <row r="811" spans="3:9" x14ac:dyDescent="0.3">
      <c r="C811" s="209"/>
      <c r="D811" s="209"/>
      <c r="E811" s="209"/>
      <c r="F811" s="209"/>
      <c r="G811" s="209"/>
      <c r="H811" s="209"/>
      <c r="I811" s="264" t="str">
        <f t="shared" si="24"/>
        <v/>
      </c>
    </row>
    <row r="812" spans="3:9" x14ac:dyDescent="0.3">
      <c r="C812" s="209"/>
      <c r="D812" s="209"/>
      <c r="E812" s="209"/>
      <c r="F812" s="209"/>
      <c r="G812" s="209"/>
      <c r="H812" s="209"/>
      <c r="I812" s="264" t="str">
        <f t="shared" si="24"/>
        <v/>
      </c>
    </row>
    <row r="813" spans="3:9" x14ac:dyDescent="0.3">
      <c r="C813" s="209"/>
      <c r="D813" s="209"/>
      <c r="E813" s="209"/>
      <c r="F813" s="209"/>
      <c r="G813" s="209"/>
      <c r="H813" s="209"/>
      <c r="I813" s="264" t="str">
        <f t="shared" si="24"/>
        <v/>
      </c>
    </row>
    <row r="814" spans="3:9" x14ac:dyDescent="0.3">
      <c r="C814" s="209"/>
      <c r="D814" s="209"/>
      <c r="E814" s="209"/>
      <c r="F814" s="209"/>
      <c r="G814" s="209"/>
      <c r="H814" s="209"/>
      <c r="I814" s="264" t="str">
        <f t="shared" si="24"/>
        <v/>
      </c>
    </row>
    <row r="815" spans="3:9" x14ac:dyDescent="0.3">
      <c r="C815" s="209"/>
      <c r="D815" s="209"/>
      <c r="E815" s="209"/>
      <c r="F815" s="209"/>
      <c r="G815" s="209"/>
      <c r="H815" s="209"/>
      <c r="I815" s="264" t="str">
        <f t="shared" si="24"/>
        <v/>
      </c>
    </row>
    <row r="816" spans="3:9" x14ac:dyDescent="0.3">
      <c r="C816" s="209"/>
      <c r="D816" s="209"/>
      <c r="E816" s="209"/>
      <c r="F816" s="209"/>
      <c r="G816" s="209"/>
      <c r="H816" s="209"/>
      <c r="I816" s="264" t="str">
        <f t="shared" si="24"/>
        <v/>
      </c>
    </row>
    <row r="817" spans="3:9" x14ac:dyDescent="0.3">
      <c r="C817" s="209"/>
      <c r="D817" s="209"/>
      <c r="E817" s="209"/>
      <c r="F817" s="209"/>
      <c r="G817" s="209"/>
      <c r="H817" s="209"/>
      <c r="I817" s="264" t="str">
        <f t="shared" si="24"/>
        <v/>
      </c>
    </row>
    <row r="818" spans="3:9" x14ac:dyDescent="0.3">
      <c r="C818" s="209"/>
      <c r="D818" s="209"/>
      <c r="E818" s="209"/>
      <c r="F818" s="209"/>
      <c r="G818" s="209"/>
      <c r="H818" s="209"/>
      <c r="I818" s="264" t="str">
        <f t="shared" si="24"/>
        <v/>
      </c>
    </row>
    <row r="819" spans="3:9" x14ac:dyDescent="0.3">
      <c r="C819" s="209"/>
      <c r="D819" s="209"/>
      <c r="E819" s="209"/>
      <c r="F819" s="209"/>
      <c r="G819" s="209"/>
      <c r="H819" s="209"/>
      <c r="I819" s="264" t="str">
        <f t="shared" si="24"/>
        <v/>
      </c>
    </row>
    <row r="820" spans="3:9" x14ac:dyDescent="0.3">
      <c r="C820" s="209"/>
      <c r="D820" s="209"/>
      <c r="E820" s="209"/>
      <c r="F820" s="209"/>
      <c r="G820" s="209"/>
      <c r="H820" s="209"/>
      <c r="I820" s="264" t="str">
        <f t="shared" si="24"/>
        <v/>
      </c>
    </row>
    <row r="821" spans="3:9" x14ac:dyDescent="0.3">
      <c r="C821" s="209"/>
      <c r="D821" s="209"/>
      <c r="E821" s="209"/>
      <c r="F821" s="209"/>
      <c r="G821" s="209"/>
      <c r="H821" s="209"/>
      <c r="I821" s="264" t="str">
        <f t="shared" si="24"/>
        <v/>
      </c>
    </row>
    <row r="822" spans="3:9" x14ac:dyDescent="0.3">
      <c r="C822" s="209"/>
      <c r="D822" s="209"/>
      <c r="E822" s="209"/>
      <c r="F822" s="209"/>
      <c r="G822" s="209"/>
      <c r="H822" s="209"/>
      <c r="I822" s="264" t="str">
        <f t="shared" si="24"/>
        <v/>
      </c>
    </row>
    <row r="823" spans="3:9" x14ac:dyDescent="0.3">
      <c r="C823" s="209"/>
      <c r="D823" s="209"/>
      <c r="E823" s="209"/>
      <c r="F823" s="209"/>
      <c r="G823" s="209"/>
      <c r="H823" s="209"/>
      <c r="I823" s="264" t="str">
        <f t="shared" si="24"/>
        <v/>
      </c>
    </row>
    <row r="824" spans="3:9" x14ac:dyDescent="0.3">
      <c r="C824" s="209"/>
      <c r="D824" s="209"/>
      <c r="E824" s="209"/>
      <c r="F824" s="209"/>
      <c r="G824" s="209"/>
      <c r="H824" s="209"/>
      <c r="I824" s="264" t="str">
        <f t="shared" si="24"/>
        <v/>
      </c>
    </row>
    <row r="825" spans="3:9" x14ac:dyDescent="0.3">
      <c r="C825" s="209"/>
      <c r="D825" s="209"/>
      <c r="E825" s="209"/>
      <c r="F825" s="209"/>
      <c r="G825" s="209"/>
      <c r="H825" s="209"/>
      <c r="I825" s="264" t="str">
        <f t="shared" si="24"/>
        <v/>
      </c>
    </row>
    <row r="826" spans="3:9" x14ac:dyDescent="0.3">
      <c r="C826" s="209"/>
      <c r="D826" s="209"/>
      <c r="E826" s="209"/>
      <c r="F826" s="209"/>
      <c r="G826" s="209"/>
      <c r="H826" s="209"/>
      <c r="I826" s="264" t="str">
        <f t="shared" si="24"/>
        <v/>
      </c>
    </row>
    <row r="827" spans="3:9" x14ac:dyDescent="0.3">
      <c r="C827" s="209"/>
      <c r="D827" s="209"/>
      <c r="E827" s="209"/>
      <c r="F827" s="209"/>
      <c r="G827" s="209"/>
      <c r="H827" s="209"/>
      <c r="I827" s="264" t="str">
        <f t="shared" si="24"/>
        <v/>
      </c>
    </row>
    <row r="828" spans="3:9" x14ac:dyDescent="0.3">
      <c r="C828" s="209"/>
      <c r="D828" s="209"/>
      <c r="E828" s="209"/>
      <c r="F828" s="209"/>
      <c r="G828" s="209"/>
      <c r="H828" s="209"/>
      <c r="I828" s="264" t="str">
        <f t="shared" si="24"/>
        <v/>
      </c>
    </row>
    <row r="829" spans="3:9" x14ac:dyDescent="0.3">
      <c r="C829" s="209"/>
      <c r="D829" s="209"/>
      <c r="E829" s="209"/>
      <c r="F829" s="209"/>
      <c r="G829" s="209"/>
      <c r="H829" s="209"/>
      <c r="I829" s="264" t="str">
        <f t="shared" si="24"/>
        <v/>
      </c>
    </row>
    <row r="830" spans="3:9" x14ac:dyDescent="0.3">
      <c r="C830" s="209"/>
      <c r="D830" s="209"/>
      <c r="E830" s="209"/>
      <c r="F830" s="209"/>
      <c r="G830" s="209"/>
      <c r="H830" s="209"/>
      <c r="I830" s="264" t="str">
        <f t="shared" ref="I830:I893" si="25">IF(H830=0,"",D830)</f>
        <v/>
      </c>
    </row>
    <row r="831" spans="3:9" x14ac:dyDescent="0.3">
      <c r="C831" s="209"/>
      <c r="D831" s="209"/>
      <c r="E831" s="209"/>
      <c r="F831" s="209"/>
      <c r="G831" s="209"/>
      <c r="H831" s="209"/>
      <c r="I831" s="264" t="str">
        <f t="shared" si="25"/>
        <v/>
      </c>
    </row>
    <row r="832" spans="3:9" x14ac:dyDescent="0.3">
      <c r="C832" s="209"/>
      <c r="D832" s="209"/>
      <c r="E832" s="209"/>
      <c r="F832" s="209"/>
      <c r="G832" s="209"/>
      <c r="H832" s="209"/>
      <c r="I832" s="264" t="str">
        <f t="shared" si="25"/>
        <v/>
      </c>
    </row>
    <row r="833" spans="3:9" x14ac:dyDescent="0.3">
      <c r="C833" s="209"/>
      <c r="D833" s="209"/>
      <c r="E833" s="209"/>
      <c r="F833" s="209"/>
      <c r="G833" s="209"/>
      <c r="H833" s="209"/>
      <c r="I833" s="264" t="str">
        <f t="shared" si="25"/>
        <v/>
      </c>
    </row>
    <row r="834" spans="3:9" x14ac:dyDescent="0.3">
      <c r="C834" s="209"/>
      <c r="D834" s="209"/>
      <c r="E834" s="209"/>
      <c r="F834" s="209"/>
      <c r="G834" s="209"/>
      <c r="H834" s="209"/>
      <c r="I834" s="264" t="str">
        <f t="shared" si="25"/>
        <v/>
      </c>
    </row>
    <row r="835" spans="3:9" x14ac:dyDescent="0.3">
      <c r="C835" s="209"/>
      <c r="D835" s="209"/>
      <c r="E835" s="209"/>
      <c r="F835" s="209"/>
      <c r="G835" s="209"/>
      <c r="H835" s="209"/>
      <c r="I835" s="264" t="str">
        <f t="shared" si="25"/>
        <v/>
      </c>
    </row>
    <row r="836" spans="3:9" x14ac:dyDescent="0.3">
      <c r="C836" s="209"/>
      <c r="D836" s="209"/>
      <c r="E836" s="209"/>
      <c r="F836" s="209"/>
      <c r="G836" s="209"/>
      <c r="H836" s="209"/>
      <c r="I836" s="264" t="str">
        <f t="shared" si="25"/>
        <v/>
      </c>
    </row>
    <row r="837" spans="3:9" x14ac:dyDescent="0.3">
      <c r="C837" s="209"/>
      <c r="D837" s="209"/>
      <c r="E837" s="209"/>
      <c r="F837" s="209"/>
      <c r="G837" s="209"/>
      <c r="H837" s="209"/>
      <c r="I837" s="264" t="str">
        <f t="shared" si="25"/>
        <v/>
      </c>
    </row>
    <row r="838" spans="3:9" x14ac:dyDescent="0.3">
      <c r="C838" s="209"/>
      <c r="D838" s="209"/>
      <c r="E838" s="209"/>
      <c r="F838" s="209"/>
      <c r="G838" s="209"/>
      <c r="H838" s="209"/>
      <c r="I838" s="264" t="str">
        <f t="shared" si="25"/>
        <v/>
      </c>
    </row>
    <row r="839" spans="3:9" x14ac:dyDescent="0.3">
      <c r="C839" s="209"/>
      <c r="D839" s="209"/>
      <c r="E839" s="209"/>
      <c r="F839" s="209"/>
      <c r="G839" s="209"/>
      <c r="H839" s="209"/>
      <c r="I839" s="264" t="str">
        <f t="shared" si="25"/>
        <v/>
      </c>
    </row>
    <row r="840" spans="3:9" x14ac:dyDescent="0.3">
      <c r="C840" s="209"/>
      <c r="D840" s="209"/>
      <c r="E840" s="209"/>
      <c r="F840" s="209"/>
      <c r="G840" s="209"/>
      <c r="H840" s="209"/>
      <c r="I840" s="264" t="str">
        <f t="shared" si="25"/>
        <v/>
      </c>
    </row>
    <row r="841" spans="3:9" x14ac:dyDescent="0.3">
      <c r="C841" s="209"/>
      <c r="D841" s="209"/>
      <c r="E841" s="209"/>
      <c r="F841" s="209"/>
      <c r="G841" s="209"/>
      <c r="H841" s="209"/>
      <c r="I841" s="264" t="str">
        <f t="shared" si="25"/>
        <v/>
      </c>
    </row>
    <row r="842" spans="3:9" x14ac:dyDescent="0.3">
      <c r="C842" s="209"/>
      <c r="D842" s="209"/>
      <c r="E842" s="209"/>
      <c r="F842" s="209"/>
      <c r="G842" s="209"/>
      <c r="H842" s="209"/>
      <c r="I842" s="264" t="str">
        <f t="shared" si="25"/>
        <v/>
      </c>
    </row>
    <row r="843" spans="3:9" x14ac:dyDescent="0.3">
      <c r="C843" s="209"/>
      <c r="D843" s="209"/>
      <c r="E843" s="209"/>
      <c r="F843" s="209"/>
      <c r="G843" s="209"/>
      <c r="H843" s="209"/>
      <c r="I843" s="264" t="str">
        <f t="shared" si="25"/>
        <v/>
      </c>
    </row>
    <row r="844" spans="3:9" x14ac:dyDescent="0.3">
      <c r="C844" s="209"/>
      <c r="D844" s="209"/>
      <c r="E844" s="209"/>
      <c r="F844" s="209"/>
      <c r="G844" s="209"/>
      <c r="H844" s="209"/>
      <c r="I844" s="264" t="str">
        <f t="shared" si="25"/>
        <v/>
      </c>
    </row>
    <row r="845" spans="3:9" x14ac:dyDescent="0.3">
      <c r="C845" s="209"/>
      <c r="D845" s="209"/>
      <c r="E845" s="209"/>
      <c r="F845" s="209"/>
      <c r="G845" s="209"/>
      <c r="H845" s="209"/>
      <c r="I845" s="264" t="str">
        <f t="shared" si="25"/>
        <v/>
      </c>
    </row>
    <row r="846" spans="3:9" x14ac:dyDescent="0.3">
      <c r="C846" s="209"/>
      <c r="D846" s="209"/>
      <c r="E846" s="209"/>
      <c r="F846" s="209"/>
      <c r="G846" s="209"/>
      <c r="H846" s="209"/>
      <c r="I846" s="264" t="str">
        <f t="shared" si="25"/>
        <v/>
      </c>
    </row>
    <row r="847" spans="3:9" x14ac:dyDescent="0.3">
      <c r="C847" s="209"/>
      <c r="D847" s="209"/>
      <c r="E847" s="209"/>
      <c r="F847" s="209"/>
      <c r="G847" s="209"/>
      <c r="H847" s="209"/>
      <c r="I847" s="264" t="str">
        <f t="shared" si="25"/>
        <v/>
      </c>
    </row>
    <row r="848" spans="3:9" x14ac:dyDescent="0.3">
      <c r="C848" s="209"/>
      <c r="D848" s="209"/>
      <c r="E848" s="209"/>
      <c r="F848" s="209"/>
      <c r="G848" s="209"/>
      <c r="H848" s="209"/>
      <c r="I848" s="264" t="str">
        <f t="shared" si="25"/>
        <v/>
      </c>
    </row>
    <row r="849" spans="3:9" x14ac:dyDescent="0.3">
      <c r="C849" s="209"/>
      <c r="D849" s="209"/>
      <c r="E849" s="209"/>
      <c r="F849" s="209"/>
      <c r="G849" s="209"/>
      <c r="H849" s="209"/>
      <c r="I849" s="264" t="str">
        <f t="shared" si="25"/>
        <v/>
      </c>
    </row>
    <row r="850" spans="3:9" x14ac:dyDescent="0.3">
      <c r="C850" s="209"/>
      <c r="D850" s="209"/>
      <c r="E850" s="209"/>
      <c r="F850" s="209"/>
      <c r="G850" s="209"/>
      <c r="H850" s="209"/>
      <c r="I850" s="264" t="str">
        <f t="shared" si="25"/>
        <v/>
      </c>
    </row>
    <row r="851" spans="3:9" x14ac:dyDescent="0.3">
      <c r="C851" s="209"/>
      <c r="D851" s="209"/>
      <c r="E851" s="209"/>
      <c r="F851" s="209"/>
      <c r="G851" s="209"/>
      <c r="H851" s="209"/>
      <c r="I851" s="264" t="str">
        <f t="shared" si="25"/>
        <v/>
      </c>
    </row>
    <row r="852" spans="3:9" x14ac:dyDescent="0.3">
      <c r="C852" s="209"/>
      <c r="D852" s="209"/>
      <c r="E852" s="209"/>
      <c r="F852" s="209"/>
      <c r="G852" s="209"/>
      <c r="H852" s="209"/>
      <c r="I852" s="264" t="str">
        <f t="shared" si="25"/>
        <v/>
      </c>
    </row>
    <row r="853" spans="3:9" x14ac:dyDescent="0.3">
      <c r="C853" s="210"/>
      <c r="D853" s="210"/>
      <c r="E853" s="210"/>
      <c r="F853" s="210"/>
      <c r="G853" s="210"/>
      <c r="H853" s="210"/>
      <c r="I853" s="264" t="str">
        <f t="shared" si="25"/>
        <v/>
      </c>
    </row>
    <row r="854" spans="3:9" x14ac:dyDescent="0.3">
      <c r="C854" s="210"/>
      <c r="D854" s="210"/>
      <c r="E854" s="210"/>
      <c r="F854" s="210"/>
      <c r="G854" s="210"/>
      <c r="H854" s="210"/>
      <c r="I854" s="264" t="str">
        <f t="shared" si="25"/>
        <v/>
      </c>
    </row>
    <row r="855" spans="3:9" x14ac:dyDescent="0.3">
      <c r="C855" s="210"/>
      <c r="D855" s="210"/>
      <c r="E855" s="210"/>
      <c r="F855" s="210"/>
      <c r="G855" s="210"/>
      <c r="H855" s="210"/>
      <c r="I855" s="264" t="str">
        <f t="shared" si="25"/>
        <v/>
      </c>
    </row>
    <row r="856" spans="3:9" x14ac:dyDescent="0.3">
      <c r="C856" s="210"/>
      <c r="D856" s="210"/>
      <c r="E856" s="210"/>
      <c r="F856" s="210"/>
      <c r="G856" s="210"/>
      <c r="H856" s="210"/>
      <c r="I856" s="264" t="str">
        <f t="shared" si="25"/>
        <v/>
      </c>
    </row>
    <row r="857" spans="3:9" x14ac:dyDescent="0.3">
      <c r="C857" s="210"/>
      <c r="D857" s="210"/>
      <c r="E857" s="210"/>
      <c r="F857" s="210"/>
      <c r="G857" s="210"/>
      <c r="H857" s="210"/>
      <c r="I857" s="264" t="str">
        <f t="shared" si="25"/>
        <v/>
      </c>
    </row>
    <row r="858" spans="3:9" x14ac:dyDescent="0.3">
      <c r="C858" s="210"/>
      <c r="D858" s="210"/>
      <c r="E858" s="210"/>
      <c r="F858" s="210"/>
      <c r="G858" s="210"/>
      <c r="H858" s="210"/>
      <c r="I858" s="264" t="str">
        <f t="shared" si="25"/>
        <v/>
      </c>
    </row>
    <row r="859" spans="3:9" x14ac:dyDescent="0.3">
      <c r="C859" s="210"/>
      <c r="D859" s="210"/>
      <c r="E859" s="210"/>
      <c r="F859" s="210"/>
      <c r="G859" s="210"/>
      <c r="H859" s="210"/>
      <c r="I859" s="264" t="str">
        <f t="shared" si="25"/>
        <v/>
      </c>
    </row>
    <row r="860" spans="3:9" x14ac:dyDescent="0.3">
      <c r="C860" s="210"/>
      <c r="D860" s="210"/>
      <c r="E860" s="210"/>
      <c r="F860" s="210"/>
      <c r="G860" s="210"/>
      <c r="H860" s="210"/>
      <c r="I860" s="264" t="str">
        <f t="shared" si="25"/>
        <v/>
      </c>
    </row>
    <row r="861" spans="3:9" x14ac:dyDescent="0.3">
      <c r="C861" s="210"/>
      <c r="D861" s="210"/>
      <c r="E861" s="210"/>
      <c r="F861" s="210"/>
      <c r="G861" s="210"/>
      <c r="H861" s="210"/>
      <c r="I861" s="264" t="str">
        <f t="shared" si="25"/>
        <v/>
      </c>
    </row>
    <row r="862" spans="3:9" x14ac:dyDescent="0.3">
      <c r="C862" s="210"/>
      <c r="D862" s="210"/>
      <c r="E862" s="210"/>
      <c r="F862" s="210"/>
      <c r="G862" s="210"/>
      <c r="H862" s="210"/>
      <c r="I862" s="264" t="str">
        <f t="shared" si="25"/>
        <v/>
      </c>
    </row>
    <row r="863" spans="3:9" x14ac:dyDescent="0.3">
      <c r="C863" s="210"/>
      <c r="D863" s="210"/>
      <c r="E863" s="210"/>
      <c r="F863" s="210"/>
      <c r="G863" s="210"/>
      <c r="H863" s="210"/>
      <c r="I863" s="264" t="str">
        <f t="shared" si="25"/>
        <v/>
      </c>
    </row>
    <row r="864" spans="3:9" x14ac:dyDescent="0.3">
      <c r="C864" s="210"/>
      <c r="D864" s="210"/>
      <c r="E864" s="210"/>
      <c r="F864" s="210"/>
      <c r="G864" s="210"/>
      <c r="H864" s="210"/>
      <c r="I864" s="264" t="str">
        <f t="shared" si="25"/>
        <v/>
      </c>
    </row>
    <row r="865" spans="3:9" x14ac:dyDescent="0.3">
      <c r="C865" s="210"/>
      <c r="D865" s="210"/>
      <c r="E865" s="210"/>
      <c r="F865" s="210"/>
      <c r="G865" s="210"/>
      <c r="H865" s="210"/>
      <c r="I865" s="264" t="str">
        <f t="shared" si="25"/>
        <v/>
      </c>
    </row>
    <row r="866" spans="3:9" x14ac:dyDescent="0.3">
      <c r="C866" s="210"/>
      <c r="D866" s="210"/>
      <c r="E866" s="210"/>
      <c r="F866" s="210"/>
      <c r="G866" s="210"/>
      <c r="H866" s="210"/>
      <c r="I866" s="264" t="str">
        <f t="shared" si="25"/>
        <v/>
      </c>
    </row>
    <row r="867" spans="3:9" x14ac:dyDescent="0.3">
      <c r="C867" s="210"/>
      <c r="D867" s="210"/>
      <c r="E867" s="210"/>
      <c r="F867" s="210"/>
      <c r="G867" s="210"/>
      <c r="H867" s="210"/>
      <c r="I867" s="264" t="str">
        <f t="shared" si="25"/>
        <v/>
      </c>
    </row>
    <row r="868" spans="3:9" x14ac:dyDescent="0.3">
      <c r="C868" s="210"/>
      <c r="D868" s="210"/>
      <c r="E868" s="210"/>
      <c r="F868" s="210"/>
      <c r="G868" s="210"/>
      <c r="H868" s="210"/>
      <c r="I868" s="264" t="str">
        <f t="shared" si="25"/>
        <v/>
      </c>
    </row>
    <row r="869" spans="3:9" x14ac:dyDescent="0.3">
      <c r="C869" s="210"/>
      <c r="D869" s="210"/>
      <c r="E869" s="210"/>
      <c r="F869" s="210"/>
      <c r="G869" s="210"/>
      <c r="H869" s="210"/>
      <c r="I869" s="264" t="str">
        <f t="shared" si="25"/>
        <v/>
      </c>
    </row>
    <row r="870" spans="3:9" x14ac:dyDescent="0.3">
      <c r="C870" s="210"/>
      <c r="D870" s="210"/>
      <c r="E870" s="210"/>
      <c r="F870" s="210"/>
      <c r="G870" s="210"/>
      <c r="H870" s="210"/>
      <c r="I870" s="264" t="str">
        <f t="shared" si="25"/>
        <v/>
      </c>
    </row>
    <row r="871" spans="3:9" x14ac:dyDescent="0.3">
      <c r="C871" s="210"/>
      <c r="D871" s="210"/>
      <c r="E871" s="210"/>
      <c r="F871" s="210"/>
      <c r="G871" s="210"/>
      <c r="H871" s="210"/>
      <c r="I871" s="264" t="str">
        <f t="shared" si="25"/>
        <v/>
      </c>
    </row>
    <row r="872" spans="3:9" x14ac:dyDescent="0.3">
      <c r="C872" s="210"/>
      <c r="D872" s="210"/>
      <c r="E872" s="210"/>
      <c r="F872" s="210"/>
      <c r="G872" s="210"/>
      <c r="H872" s="210"/>
      <c r="I872" s="264" t="str">
        <f t="shared" si="25"/>
        <v/>
      </c>
    </row>
    <row r="873" spans="3:9" x14ac:dyDescent="0.3">
      <c r="C873" s="210"/>
      <c r="D873" s="210"/>
      <c r="E873" s="210"/>
      <c r="F873" s="210"/>
      <c r="G873" s="210"/>
      <c r="H873" s="210"/>
      <c r="I873" s="264" t="str">
        <f t="shared" si="25"/>
        <v/>
      </c>
    </row>
    <row r="874" spans="3:9" x14ac:dyDescent="0.3">
      <c r="C874" s="210"/>
      <c r="D874" s="210"/>
      <c r="E874" s="210"/>
      <c r="F874" s="210"/>
      <c r="G874" s="210"/>
      <c r="H874" s="210"/>
      <c r="I874" s="264" t="str">
        <f t="shared" si="25"/>
        <v/>
      </c>
    </row>
    <row r="875" spans="3:9" x14ac:dyDescent="0.3">
      <c r="C875" s="210"/>
      <c r="D875" s="210"/>
      <c r="E875" s="210"/>
      <c r="F875" s="210"/>
      <c r="G875" s="210"/>
      <c r="H875" s="210"/>
      <c r="I875" s="264" t="str">
        <f t="shared" si="25"/>
        <v/>
      </c>
    </row>
    <row r="876" spans="3:9" x14ac:dyDescent="0.3">
      <c r="C876" s="210"/>
      <c r="D876" s="210"/>
      <c r="E876" s="210"/>
      <c r="F876" s="210"/>
      <c r="G876" s="210"/>
      <c r="H876" s="210"/>
      <c r="I876" s="264" t="str">
        <f t="shared" si="25"/>
        <v/>
      </c>
    </row>
    <row r="877" spans="3:9" x14ac:dyDescent="0.3">
      <c r="C877" s="210"/>
      <c r="D877" s="210"/>
      <c r="E877" s="210"/>
      <c r="F877" s="210"/>
      <c r="G877" s="210"/>
      <c r="H877" s="210"/>
      <c r="I877" s="264" t="str">
        <f t="shared" si="25"/>
        <v/>
      </c>
    </row>
    <row r="878" spans="3:9" x14ac:dyDescent="0.3">
      <c r="C878" s="210"/>
      <c r="D878" s="210"/>
      <c r="E878" s="210"/>
      <c r="F878" s="210"/>
      <c r="G878" s="210"/>
      <c r="H878" s="210"/>
      <c r="I878" s="264" t="str">
        <f t="shared" si="25"/>
        <v/>
      </c>
    </row>
    <row r="879" spans="3:9" x14ac:dyDescent="0.3">
      <c r="C879" s="210"/>
      <c r="D879" s="210"/>
      <c r="E879" s="210"/>
      <c r="F879" s="210"/>
      <c r="G879" s="210"/>
      <c r="H879" s="210"/>
      <c r="I879" s="264" t="str">
        <f t="shared" si="25"/>
        <v/>
      </c>
    </row>
    <row r="880" spans="3:9" x14ac:dyDescent="0.3">
      <c r="C880" s="210"/>
      <c r="D880" s="210"/>
      <c r="E880" s="210"/>
      <c r="F880" s="210"/>
      <c r="G880" s="210"/>
      <c r="H880" s="210"/>
      <c r="I880" s="264" t="str">
        <f t="shared" si="25"/>
        <v/>
      </c>
    </row>
    <row r="881" spans="3:9" x14ac:dyDescent="0.3">
      <c r="C881" s="210"/>
      <c r="D881" s="210"/>
      <c r="E881" s="210"/>
      <c r="F881" s="210"/>
      <c r="G881" s="210"/>
      <c r="H881" s="210"/>
      <c r="I881" s="264" t="str">
        <f t="shared" si="25"/>
        <v/>
      </c>
    </row>
    <row r="882" spans="3:9" x14ac:dyDescent="0.3">
      <c r="C882" s="210"/>
      <c r="D882" s="210"/>
      <c r="E882" s="210"/>
      <c r="F882" s="210"/>
      <c r="G882" s="210"/>
      <c r="H882" s="210"/>
      <c r="I882" s="264" t="str">
        <f t="shared" si="25"/>
        <v/>
      </c>
    </row>
    <row r="883" spans="3:9" x14ac:dyDescent="0.3">
      <c r="C883" s="210"/>
      <c r="D883" s="210"/>
      <c r="E883" s="210"/>
      <c r="F883" s="210"/>
      <c r="G883" s="210"/>
      <c r="H883" s="210"/>
      <c r="I883" s="264" t="str">
        <f t="shared" si="25"/>
        <v/>
      </c>
    </row>
    <row r="884" spans="3:9" x14ac:dyDescent="0.3">
      <c r="C884" s="210"/>
      <c r="D884" s="210"/>
      <c r="E884" s="210"/>
      <c r="F884" s="210"/>
      <c r="G884" s="210"/>
      <c r="H884" s="210"/>
      <c r="I884" s="264" t="str">
        <f t="shared" si="25"/>
        <v/>
      </c>
    </row>
    <row r="885" spans="3:9" x14ac:dyDescent="0.3">
      <c r="C885" s="210"/>
      <c r="D885" s="210"/>
      <c r="E885" s="210"/>
      <c r="F885" s="210"/>
      <c r="G885" s="210"/>
      <c r="H885" s="210"/>
      <c r="I885" s="264" t="str">
        <f t="shared" si="25"/>
        <v/>
      </c>
    </row>
    <row r="886" spans="3:9" x14ac:dyDescent="0.3">
      <c r="C886" s="210"/>
      <c r="D886" s="210"/>
      <c r="E886" s="210"/>
      <c r="F886" s="210"/>
      <c r="G886" s="210"/>
      <c r="H886" s="210"/>
      <c r="I886" s="264" t="str">
        <f t="shared" si="25"/>
        <v/>
      </c>
    </row>
    <row r="887" spans="3:9" x14ac:dyDescent="0.3">
      <c r="C887" s="210"/>
      <c r="D887" s="210"/>
      <c r="E887" s="210"/>
      <c r="F887" s="210"/>
      <c r="G887" s="210"/>
      <c r="H887" s="210"/>
      <c r="I887" s="264" t="str">
        <f t="shared" si="25"/>
        <v/>
      </c>
    </row>
    <row r="888" spans="3:9" x14ac:dyDescent="0.3">
      <c r="C888" s="210"/>
      <c r="D888" s="210"/>
      <c r="E888" s="210"/>
      <c r="F888" s="210"/>
      <c r="G888" s="210"/>
      <c r="H888" s="210"/>
      <c r="I888" s="264" t="str">
        <f t="shared" si="25"/>
        <v/>
      </c>
    </row>
    <row r="889" spans="3:9" x14ac:dyDescent="0.3">
      <c r="C889" s="210"/>
      <c r="D889" s="210"/>
      <c r="E889" s="210"/>
      <c r="F889" s="210"/>
      <c r="G889" s="210"/>
      <c r="H889" s="210"/>
      <c r="I889" s="264" t="str">
        <f t="shared" si="25"/>
        <v/>
      </c>
    </row>
    <row r="890" spans="3:9" x14ac:dyDescent="0.3">
      <c r="C890" s="210"/>
      <c r="D890" s="210"/>
      <c r="E890" s="210"/>
      <c r="F890" s="210"/>
      <c r="G890" s="210"/>
      <c r="H890" s="210"/>
      <c r="I890" s="264" t="str">
        <f t="shared" si="25"/>
        <v/>
      </c>
    </row>
    <row r="891" spans="3:9" x14ac:dyDescent="0.3">
      <c r="C891" s="210"/>
      <c r="D891" s="210"/>
      <c r="E891" s="210"/>
      <c r="F891" s="210"/>
      <c r="G891" s="210"/>
      <c r="H891" s="210"/>
      <c r="I891" s="264" t="str">
        <f t="shared" si="25"/>
        <v/>
      </c>
    </row>
    <row r="892" spans="3:9" x14ac:dyDescent="0.3">
      <c r="C892" s="210"/>
      <c r="D892" s="210"/>
      <c r="E892" s="210"/>
      <c r="F892" s="210"/>
      <c r="G892" s="210"/>
      <c r="H892" s="210"/>
      <c r="I892" s="264" t="str">
        <f t="shared" si="25"/>
        <v/>
      </c>
    </row>
    <row r="893" spans="3:9" x14ac:dyDescent="0.3">
      <c r="C893" s="210"/>
      <c r="D893" s="210"/>
      <c r="E893" s="210"/>
      <c r="F893" s="210"/>
      <c r="G893" s="210"/>
      <c r="H893" s="210"/>
      <c r="I893" s="264" t="str">
        <f t="shared" si="25"/>
        <v/>
      </c>
    </row>
    <row r="894" spans="3:9" x14ac:dyDescent="0.3">
      <c r="C894" s="210"/>
      <c r="D894" s="210"/>
      <c r="E894" s="210"/>
      <c r="F894" s="210"/>
      <c r="G894" s="210"/>
      <c r="H894" s="210"/>
      <c r="I894" s="264" t="str">
        <f t="shared" ref="I894:I957" si="26">IF(H894=0,"",D894)</f>
        <v/>
      </c>
    </row>
    <row r="895" spans="3:9" x14ac:dyDescent="0.3">
      <c r="C895" s="210"/>
      <c r="D895" s="210"/>
      <c r="E895" s="210"/>
      <c r="F895" s="210"/>
      <c r="G895" s="210"/>
      <c r="H895" s="210"/>
      <c r="I895" s="264" t="str">
        <f t="shared" si="26"/>
        <v/>
      </c>
    </row>
    <row r="896" spans="3:9" x14ac:dyDescent="0.3">
      <c r="C896" s="210"/>
      <c r="D896" s="210"/>
      <c r="E896" s="210"/>
      <c r="F896" s="210"/>
      <c r="G896" s="210"/>
      <c r="H896" s="210"/>
      <c r="I896" s="264" t="str">
        <f t="shared" si="26"/>
        <v/>
      </c>
    </row>
    <row r="897" spans="3:9" x14ac:dyDescent="0.3">
      <c r="C897" s="210"/>
      <c r="D897" s="210"/>
      <c r="E897" s="210"/>
      <c r="F897" s="210"/>
      <c r="G897" s="210"/>
      <c r="H897" s="210"/>
      <c r="I897" s="264" t="str">
        <f t="shared" si="26"/>
        <v/>
      </c>
    </row>
    <row r="898" spans="3:9" x14ac:dyDescent="0.3">
      <c r="C898" s="210"/>
      <c r="D898" s="210"/>
      <c r="E898" s="210"/>
      <c r="F898" s="210"/>
      <c r="G898" s="210"/>
      <c r="H898" s="210"/>
      <c r="I898" s="264" t="str">
        <f t="shared" si="26"/>
        <v/>
      </c>
    </row>
    <row r="899" spans="3:9" x14ac:dyDescent="0.3">
      <c r="C899" s="210"/>
      <c r="D899" s="210"/>
      <c r="E899" s="210"/>
      <c r="F899" s="210"/>
      <c r="G899" s="210"/>
      <c r="H899" s="210"/>
      <c r="I899" s="264" t="str">
        <f t="shared" si="26"/>
        <v/>
      </c>
    </row>
    <row r="900" spans="3:9" x14ac:dyDescent="0.3">
      <c r="C900" s="210"/>
      <c r="D900" s="210"/>
      <c r="E900" s="210"/>
      <c r="F900" s="210"/>
      <c r="G900" s="210"/>
      <c r="H900" s="210"/>
      <c r="I900" s="264" t="str">
        <f t="shared" si="26"/>
        <v/>
      </c>
    </row>
    <row r="901" spans="3:9" x14ac:dyDescent="0.3">
      <c r="C901" s="210"/>
      <c r="D901" s="210"/>
      <c r="E901" s="210"/>
      <c r="F901" s="210"/>
      <c r="G901" s="210"/>
      <c r="H901" s="210"/>
      <c r="I901" s="264" t="str">
        <f t="shared" si="26"/>
        <v/>
      </c>
    </row>
    <row r="902" spans="3:9" x14ac:dyDescent="0.3">
      <c r="C902" s="210"/>
      <c r="D902" s="210"/>
      <c r="E902" s="210"/>
      <c r="F902" s="210"/>
      <c r="G902" s="210"/>
      <c r="H902" s="210"/>
      <c r="I902" s="264" t="str">
        <f t="shared" si="26"/>
        <v/>
      </c>
    </row>
    <row r="903" spans="3:9" x14ac:dyDescent="0.3">
      <c r="C903" s="210"/>
      <c r="D903" s="210"/>
      <c r="E903" s="210"/>
      <c r="F903" s="210"/>
      <c r="G903" s="210"/>
      <c r="H903" s="210"/>
      <c r="I903" s="264" t="str">
        <f t="shared" si="26"/>
        <v/>
      </c>
    </row>
    <row r="904" spans="3:9" x14ac:dyDescent="0.3">
      <c r="C904" s="210"/>
      <c r="D904" s="210"/>
      <c r="E904" s="210"/>
      <c r="F904" s="210"/>
      <c r="G904" s="210"/>
      <c r="H904" s="210"/>
      <c r="I904" s="264" t="str">
        <f t="shared" si="26"/>
        <v/>
      </c>
    </row>
    <row r="905" spans="3:9" x14ac:dyDescent="0.3">
      <c r="C905" s="210"/>
      <c r="D905" s="210"/>
      <c r="E905" s="210"/>
      <c r="F905" s="210"/>
      <c r="G905" s="210"/>
      <c r="H905" s="210"/>
      <c r="I905" s="264" t="str">
        <f t="shared" si="26"/>
        <v/>
      </c>
    </row>
    <row r="906" spans="3:9" x14ac:dyDescent="0.3">
      <c r="C906" s="210"/>
      <c r="D906" s="210"/>
      <c r="E906" s="210"/>
      <c r="F906" s="210"/>
      <c r="G906" s="210"/>
      <c r="H906" s="210"/>
      <c r="I906" s="264" t="str">
        <f t="shared" si="26"/>
        <v/>
      </c>
    </row>
    <row r="907" spans="3:9" x14ac:dyDescent="0.3">
      <c r="C907" s="210"/>
      <c r="D907" s="210"/>
      <c r="E907" s="210"/>
      <c r="F907" s="210"/>
      <c r="G907" s="210"/>
      <c r="H907" s="210"/>
      <c r="I907" s="264" t="str">
        <f t="shared" si="26"/>
        <v/>
      </c>
    </row>
    <row r="908" spans="3:9" x14ac:dyDescent="0.3">
      <c r="C908" s="210"/>
      <c r="D908" s="210"/>
      <c r="E908" s="210"/>
      <c r="F908" s="210"/>
      <c r="G908" s="210"/>
      <c r="H908" s="210"/>
      <c r="I908" s="264" t="str">
        <f t="shared" si="26"/>
        <v/>
      </c>
    </row>
    <row r="909" spans="3:9" x14ac:dyDescent="0.3">
      <c r="C909" s="210"/>
      <c r="D909" s="210"/>
      <c r="E909" s="210"/>
      <c r="F909" s="210"/>
      <c r="G909" s="210"/>
      <c r="H909" s="210"/>
      <c r="I909" s="264" t="str">
        <f t="shared" si="26"/>
        <v/>
      </c>
    </row>
    <row r="910" spans="3:9" x14ac:dyDescent="0.3">
      <c r="C910" s="210"/>
      <c r="D910" s="210"/>
      <c r="E910" s="210"/>
      <c r="F910" s="210"/>
      <c r="G910" s="210"/>
      <c r="H910" s="210"/>
      <c r="I910" s="264" t="str">
        <f t="shared" si="26"/>
        <v/>
      </c>
    </row>
    <row r="911" spans="3:9" x14ac:dyDescent="0.3">
      <c r="C911" s="210"/>
      <c r="D911" s="210"/>
      <c r="E911" s="210"/>
      <c r="F911" s="210"/>
      <c r="G911" s="210"/>
      <c r="H911" s="210"/>
      <c r="I911" s="264" t="str">
        <f t="shared" si="26"/>
        <v/>
      </c>
    </row>
    <row r="912" spans="3:9" x14ac:dyDescent="0.3">
      <c r="C912" s="210"/>
      <c r="D912" s="210"/>
      <c r="E912" s="210"/>
      <c r="F912" s="210"/>
      <c r="G912" s="210"/>
      <c r="H912" s="210"/>
      <c r="I912" s="264" t="str">
        <f t="shared" si="26"/>
        <v/>
      </c>
    </row>
    <row r="913" spans="3:9" x14ac:dyDescent="0.3">
      <c r="C913" s="210"/>
      <c r="D913" s="210"/>
      <c r="E913" s="210"/>
      <c r="F913" s="210"/>
      <c r="G913" s="210"/>
      <c r="H913" s="210"/>
      <c r="I913" s="264" t="str">
        <f t="shared" si="26"/>
        <v/>
      </c>
    </row>
    <row r="914" spans="3:9" x14ac:dyDescent="0.3">
      <c r="C914" s="210"/>
      <c r="D914" s="210"/>
      <c r="E914" s="210"/>
      <c r="F914" s="210"/>
      <c r="G914" s="210"/>
      <c r="H914" s="210"/>
      <c r="I914" s="264" t="str">
        <f t="shared" si="26"/>
        <v/>
      </c>
    </row>
    <row r="915" spans="3:9" x14ac:dyDescent="0.3">
      <c r="C915" s="210"/>
      <c r="D915" s="210"/>
      <c r="E915" s="210"/>
      <c r="F915" s="210"/>
      <c r="G915" s="210"/>
      <c r="H915" s="210"/>
      <c r="I915" s="264" t="str">
        <f t="shared" si="26"/>
        <v/>
      </c>
    </row>
    <row r="916" spans="3:9" x14ac:dyDescent="0.3">
      <c r="C916" s="210"/>
      <c r="D916" s="210"/>
      <c r="E916" s="210"/>
      <c r="F916" s="210"/>
      <c r="G916" s="210"/>
      <c r="H916" s="210"/>
      <c r="I916" s="264" t="str">
        <f t="shared" si="26"/>
        <v/>
      </c>
    </row>
    <row r="917" spans="3:9" x14ac:dyDescent="0.3">
      <c r="C917" s="210"/>
      <c r="D917" s="210"/>
      <c r="E917" s="210"/>
      <c r="F917" s="210"/>
      <c r="G917" s="210"/>
      <c r="H917" s="210"/>
      <c r="I917" s="264" t="str">
        <f t="shared" si="26"/>
        <v/>
      </c>
    </row>
    <row r="918" spans="3:9" x14ac:dyDescent="0.3">
      <c r="C918" s="210"/>
      <c r="D918" s="210"/>
      <c r="E918" s="210"/>
      <c r="F918" s="210"/>
      <c r="G918" s="210"/>
      <c r="H918" s="210"/>
      <c r="I918" s="264" t="str">
        <f t="shared" si="26"/>
        <v/>
      </c>
    </row>
    <row r="919" spans="3:9" x14ac:dyDescent="0.3">
      <c r="C919" s="210"/>
      <c r="D919" s="210"/>
      <c r="E919" s="210"/>
      <c r="F919" s="210"/>
      <c r="G919" s="210"/>
      <c r="H919" s="210"/>
      <c r="I919" s="264" t="str">
        <f t="shared" si="26"/>
        <v/>
      </c>
    </row>
    <row r="920" spans="3:9" x14ac:dyDescent="0.3">
      <c r="C920" s="210"/>
      <c r="D920" s="210"/>
      <c r="E920" s="210"/>
      <c r="F920" s="210"/>
      <c r="G920" s="210"/>
      <c r="H920" s="210"/>
      <c r="I920" s="264" t="str">
        <f t="shared" si="26"/>
        <v/>
      </c>
    </row>
    <row r="921" spans="3:9" x14ac:dyDescent="0.3">
      <c r="C921" s="210"/>
      <c r="D921" s="210"/>
      <c r="E921" s="210"/>
      <c r="F921" s="210"/>
      <c r="G921" s="210"/>
      <c r="H921" s="210"/>
      <c r="I921" s="264" t="str">
        <f t="shared" si="26"/>
        <v/>
      </c>
    </row>
    <row r="922" spans="3:9" x14ac:dyDescent="0.3">
      <c r="C922" s="210"/>
      <c r="D922" s="210"/>
      <c r="E922" s="210"/>
      <c r="F922" s="210"/>
      <c r="G922" s="210"/>
      <c r="H922" s="210"/>
      <c r="I922" s="264" t="str">
        <f t="shared" si="26"/>
        <v/>
      </c>
    </row>
    <row r="923" spans="3:9" x14ac:dyDescent="0.3">
      <c r="C923" s="210"/>
      <c r="D923" s="210"/>
      <c r="E923" s="210"/>
      <c r="F923" s="210"/>
      <c r="G923" s="210"/>
      <c r="H923" s="210"/>
      <c r="I923" s="264" t="str">
        <f t="shared" si="26"/>
        <v/>
      </c>
    </row>
    <row r="924" spans="3:9" x14ac:dyDescent="0.3">
      <c r="C924" s="210"/>
      <c r="D924" s="210"/>
      <c r="E924" s="210"/>
      <c r="F924" s="210"/>
      <c r="G924" s="210"/>
      <c r="H924" s="210"/>
      <c r="I924" s="264" t="str">
        <f t="shared" si="26"/>
        <v/>
      </c>
    </row>
    <row r="925" spans="3:9" x14ac:dyDescent="0.3">
      <c r="C925" s="210"/>
      <c r="D925" s="210"/>
      <c r="E925" s="210"/>
      <c r="F925" s="210"/>
      <c r="G925" s="210"/>
      <c r="H925" s="210"/>
      <c r="I925" s="264" t="str">
        <f t="shared" si="26"/>
        <v/>
      </c>
    </row>
    <row r="926" spans="3:9" x14ac:dyDescent="0.3">
      <c r="C926" s="210"/>
      <c r="D926" s="210"/>
      <c r="E926" s="210"/>
      <c r="F926" s="210"/>
      <c r="G926" s="210"/>
      <c r="H926" s="210"/>
      <c r="I926" s="264" t="str">
        <f t="shared" si="26"/>
        <v/>
      </c>
    </row>
    <row r="927" spans="3:9" x14ac:dyDescent="0.3">
      <c r="C927" s="210"/>
      <c r="D927" s="210"/>
      <c r="E927" s="210"/>
      <c r="F927" s="210"/>
      <c r="G927" s="210"/>
      <c r="H927" s="210"/>
      <c r="I927" s="264" t="str">
        <f t="shared" si="26"/>
        <v/>
      </c>
    </row>
    <row r="928" spans="3:9" x14ac:dyDescent="0.3">
      <c r="C928" s="210"/>
      <c r="D928" s="210"/>
      <c r="E928" s="210"/>
      <c r="F928" s="210"/>
      <c r="G928" s="210"/>
      <c r="H928" s="210"/>
      <c r="I928" s="264" t="str">
        <f t="shared" si="26"/>
        <v/>
      </c>
    </row>
    <row r="929" spans="3:9" x14ac:dyDescent="0.3">
      <c r="C929" s="210"/>
      <c r="D929" s="210"/>
      <c r="E929" s="210"/>
      <c r="F929" s="210"/>
      <c r="G929" s="210"/>
      <c r="H929" s="210"/>
      <c r="I929" s="264" t="str">
        <f t="shared" si="26"/>
        <v/>
      </c>
    </row>
    <row r="930" spans="3:9" x14ac:dyDescent="0.3">
      <c r="C930" s="210"/>
      <c r="D930" s="210"/>
      <c r="E930" s="210"/>
      <c r="F930" s="210"/>
      <c r="G930" s="210"/>
      <c r="H930" s="210"/>
      <c r="I930" s="264" t="str">
        <f t="shared" si="26"/>
        <v/>
      </c>
    </row>
    <row r="931" spans="3:9" x14ac:dyDescent="0.3">
      <c r="C931" s="210"/>
      <c r="D931" s="210"/>
      <c r="E931" s="210"/>
      <c r="F931" s="210"/>
      <c r="G931" s="210"/>
      <c r="H931" s="210"/>
      <c r="I931" s="264" t="str">
        <f t="shared" si="26"/>
        <v/>
      </c>
    </row>
    <row r="932" spans="3:9" x14ac:dyDescent="0.3">
      <c r="C932" s="210"/>
      <c r="D932" s="210"/>
      <c r="E932" s="210"/>
      <c r="F932" s="210"/>
      <c r="G932" s="210"/>
      <c r="H932" s="210"/>
      <c r="I932" s="264" t="str">
        <f t="shared" si="26"/>
        <v/>
      </c>
    </row>
    <row r="933" spans="3:9" x14ac:dyDescent="0.3">
      <c r="C933" s="210"/>
      <c r="D933" s="210"/>
      <c r="E933" s="210"/>
      <c r="F933" s="210"/>
      <c r="G933" s="210"/>
      <c r="H933" s="210"/>
      <c r="I933" s="264" t="str">
        <f t="shared" si="26"/>
        <v/>
      </c>
    </row>
    <row r="934" spans="3:9" x14ac:dyDescent="0.3">
      <c r="C934" s="210"/>
      <c r="D934" s="210"/>
      <c r="E934" s="210"/>
      <c r="F934" s="210"/>
      <c r="G934" s="210"/>
      <c r="H934" s="210"/>
      <c r="I934" s="264" t="str">
        <f t="shared" si="26"/>
        <v/>
      </c>
    </row>
    <row r="935" spans="3:9" x14ac:dyDescent="0.3">
      <c r="C935" s="210"/>
      <c r="D935" s="210"/>
      <c r="E935" s="210"/>
      <c r="F935" s="210"/>
      <c r="G935" s="210"/>
      <c r="H935" s="210"/>
      <c r="I935" s="264" t="str">
        <f t="shared" si="26"/>
        <v/>
      </c>
    </row>
    <row r="936" spans="3:9" x14ac:dyDescent="0.3">
      <c r="C936" s="210"/>
      <c r="D936" s="210"/>
      <c r="E936" s="210"/>
      <c r="F936" s="210"/>
      <c r="G936" s="210"/>
      <c r="H936" s="210"/>
      <c r="I936" s="264" t="str">
        <f t="shared" si="26"/>
        <v/>
      </c>
    </row>
    <row r="937" spans="3:9" x14ac:dyDescent="0.3">
      <c r="C937" s="210"/>
      <c r="D937" s="210"/>
      <c r="E937" s="210"/>
      <c r="F937" s="210"/>
      <c r="G937" s="210"/>
      <c r="H937" s="210"/>
      <c r="I937" s="264" t="str">
        <f t="shared" si="26"/>
        <v/>
      </c>
    </row>
    <row r="938" spans="3:9" x14ac:dyDescent="0.3">
      <c r="C938" s="210"/>
      <c r="D938" s="210"/>
      <c r="E938" s="210"/>
      <c r="F938" s="210"/>
      <c r="G938" s="210"/>
      <c r="H938" s="210"/>
      <c r="I938" s="264" t="str">
        <f t="shared" si="26"/>
        <v/>
      </c>
    </row>
    <row r="939" spans="3:9" x14ac:dyDescent="0.3">
      <c r="C939" s="210"/>
      <c r="D939" s="210"/>
      <c r="E939" s="210"/>
      <c r="F939" s="210"/>
      <c r="G939" s="210"/>
      <c r="H939" s="210"/>
      <c r="I939" s="264" t="str">
        <f t="shared" si="26"/>
        <v/>
      </c>
    </row>
    <row r="940" spans="3:9" x14ac:dyDescent="0.3">
      <c r="C940" s="210"/>
      <c r="D940" s="210"/>
      <c r="E940" s="210"/>
      <c r="F940" s="210"/>
      <c r="G940" s="210"/>
      <c r="H940" s="210"/>
      <c r="I940" s="264" t="str">
        <f t="shared" si="26"/>
        <v/>
      </c>
    </row>
    <row r="941" spans="3:9" x14ac:dyDescent="0.3">
      <c r="C941" s="210"/>
      <c r="D941" s="210"/>
      <c r="E941" s="210"/>
      <c r="F941" s="210"/>
      <c r="G941" s="210"/>
      <c r="H941" s="210"/>
      <c r="I941" s="264" t="str">
        <f t="shared" si="26"/>
        <v/>
      </c>
    </row>
    <row r="942" spans="3:9" x14ac:dyDescent="0.3">
      <c r="C942" s="210"/>
      <c r="D942" s="210"/>
      <c r="E942" s="210"/>
      <c r="F942" s="210"/>
      <c r="G942" s="210"/>
      <c r="H942" s="210"/>
      <c r="I942" s="264" t="str">
        <f t="shared" si="26"/>
        <v/>
      </c>
    </row>
    <row r="943" spans="3:9" x14ac:dyDescent="0.3">
      <c r="C943" s="210"/>
      <c r="D943" s="210"/>
      <c r="E943" s="210"/>
      <c r="F943" s="210"/>
      <c r="G943" s="210"/>
      <c r="H943" s="210"/>
      <c r="I943" s="264" t="str">
        <f t="shared" si="26"/>
        <v/>
      </c>
    </row>
    <row r="944" spans="3:9" x14ac:dyDescent="0.3">
      <c r="C944" s="210"/>
      <c r="D944" s="210"/>
      <c r="E944" s="210"/>
      <c r="F944" s="210"/>
      <c r="G944" s="210"/>
      <c r="H944" s="210"/>
      <c r="I944" s="264" t="str">
        <f t="shared" si="26"/>
        <v/>
      </c>
    </row>
    <row r="945" spans="3:9" x14ac:dyDescent="0.3">
      <c r="C945" s="210"/>
      <c r="D945" s="210"/>
      <c r="E945" s="210"/>
      <c r="F945" s="210"/>
      <c r="G945" s="210"/>
      <c r="H945" s="210"/>
      <c r="I945" s="264" t="str">
        <f t="shared" si="26"/>
        <v/>
      </c>
    </row>
    <row r="946" spans="3:9" x14ac:dyDescent="0.3">
      <c r="C946" s="210"/>
      <c r="D946" s="210"/>
      <c r="E946" s="210"/>
      <c r="F946" s="210"/>
      <c r="G946" s="210"/>
      <c r="H946" s="210"/>
      <c r="I946" s="264" t="str">
        <f t="shared" si="26"/>
        <v/>
      </c>
    </row>
    <row r="947" spans="3:9" x14ac:dyDescent="0.3">
      <c r="C947" s="210"/>
      <c r="D947" s="210"/>
      <c r="E947" s="210"/>
      <c r="F947" s="210"/>
      <c r="G947" s="210"/>
      <c r="H947" s="210"/>
      <c r="I947" s="264" t="str">
        <f t="shared" si="26"/>
        <v/>
      </c>
    </row>
    <row r="948" spans="3:9" x14ac:dyDescent="0.3">
      <c r="C948" s="210"/>
      <c r="D948" s="210"/>
      <c r="E948" s="210"/>
      <c r="F948" s="210"/>
      <c r="G948" s="210"/>
      <c r="H948" s="210"/>
      <c r="I948" s="264" t="str">
        <f t="shared" si="26"/>
        <v/>
      </c>
    </row>
    <row r="949" spans="3:9" x14ac:dyDescent="0.3">
      <c r="C949" s="210"/>
      <c r="D949" s="210"/>
      <c r="E949" s="210"/>
      <c r="F949" s="210"/>
      <c r="G949" s="210"/>
      <c r="H949" s="210"/>
      <c r="I949" s="264" t="str">
        <f t="shared" si="26"/>
        <v/>
      </c>
    </row>
    <row r="950" spans="3:9" x14ac:dyDescent="0.3">
      <c r="C950" s="210"/>
      <c r="D950" s="210"/>
      <c r="E950" s="210"/>
      <c r="F950" s="210"/>
      <c r="G950" s="210"/>
      <c r="H950" s="210"/>
      <c r="I950" s="264" t="str">
        <f t="shared" si="26"/>
        <v/>
      </c>
    </row>
    <row r="951" spans="3:9" x14ac:dyDescent="0.3">
      <c r="C951" s="210"/>
      <c r="D951" s="210"/>
      <c r="E951" s="210"/>
      <c r="F951" s="210"/>
      <c r="G951" s="210"/>
      <c r="H951" s="210"/>
      <c r="I951" s="264" t="str">
        <f t="shared" si="26"/>
        <v/>
      </c>
    </row>
    <row r="952" spans="3:9" x14ac:dyDescent="0.3">
      <c r="C952" s="210"/>
      <c r="D952" s="210"/>
      <c r="E952" s="210"/>
      <c r="F952" s="210"/>
      <c r="G952" s="210"/>
      <c r="H952" s="210"/>
      <c r="I952" s="264" t="str">
        <f t="shared" si="26"/>
        <v/>
      </c>
    </row>
    <row r="953" spans="3:9" x14ac:dyDescent="0.3">
      <c r="C953" s="210"/>
      <c r="D953" s="210"/>
      <c r="E953" s="210"/>
      <c r="F953" s="210"/>
      <c r="G953" s="210"/>
      <c r="H953" s="210"/>
      <c r="I953" s="264" t="str">
        <f t="shared" si="26"/>
        <v/>
      </c>
    </row>
    <row r="954" spans="3:9" x14ac:dyDescent="0.3">
      <c r="C954" s="210"/>
      <c r="D954" s="210"/>
      <c r="E954" s="210"/>
      <c r="F954" s="210"/>
      <c r="G954" s="210"/>
      <c r="H954" s="210"/>
      <c r="I954" s="264" t="str">
        <f t="shared" si="26"/>
        <v/>
      </c>
    </row>
    <row r="955" spans="3:9" x14ac:dyDescent="0.3">
      <c r="C955" s="210"/>
      <c r="D955" s="210"/>
      <c r="E955" s="210"/>
      <c r="F955" s="210"/>
      <c r="G955" s="210"/>
      <c r="H955" s="210"/>
      <c r="I955" s="264" t="str">
        <f t="shared" si="26"/>
        <v/>
      </c>
    </row>
    <row r="956" spans="3:9" x14ac:dyDescent="0.3">
      <c r="C956" s="210"/>
      <c r="D956" s="210"/>
      <c r="E956" s="210"/>
      <c r="F956" s="210"/>
      <c r="G956" s="210"/>
      <c r="H956" s="210"/>
      <c r="I956" s="264" t="str">
        <f t="shared" si="26"/>
        <v/>
      </c>
    </row>
    <row r="957" spans="3:9" x14ac:dyDescent="0.3">
      <c r="C957" s="210"/>
      <c r="D957" s="210"/>
      <c r="E957" s="210"/>
      <c r="F957" s="210"/>
      <c r="G957" s="210"/>
      <c r="H957" s="210"/>
      <c r="I957" s="264" t="str">
        <f t="shared" si="26"/>
        <v/>
      </c>
    </row>
    <row r="958" spans="3:9" x14ac:dyDescent="0.3">
      <c r="C958" s="210"/>
      <c r="D958" s="210"/>
      <c r="E958" s="210"/>
      <c r="F958" s="210"/>
      <c r="G958" s="210"/>
      <c r="H958" s="210"/>
      <c r="I958" s="264" t="str">
        <f t="shared" ref="I958:I1021" si="27">IF(H958=0,"",D958)</f>
        <v/>
      </c>
    </row>
    <row r="959" spans="3:9" x14ac:dyDescent="0.3">
      <c r="C959" s="210"/>
      <c r="D959" s="210"/>
      <c r="E959" s="210"/>
      <c r="F959" s="210"/>
      <c r="G959" s="210"/>
      <c r="H959" s="210"/>
      <c r="I959" s="264" t="str">
        <f t="shared" si="27"/>
        <v/>
      </c>
    </row>
    <row r="960" spans="3:9" x14ac:dyDescent="0.3">
      <c r="C960" s="210"/>
      <c r="D960" s="210"/>
      <c r="E960" s="210"/>
      <c r="F960" s="210"/>
      <c r="G960" s="210"/>
      <c r="H960" s="210"/>
      <c r="I960" s="264" t="str">
        <f t="shared" si="27"/>
        <v/>
      </c>
    </row>
    <row r="961" spans="3:9" x14ac:dyDescent="0.3">
      <c r="C961" s="210"/>
      <c r="D961" s="210"/>
      <c r="E961" s="210"/>
      <c r="F961" s="210"/>
      <c r="G961" s="210"/>
      <c r="H961" s="210"/>
      <c r="I961" s="264" t="str">
        <f t="shared" si="27"/>
        <v/>
      </c>
    </row>
    <row r="962" spans="3:9" x14ac:dyDescent="0.3">
      <c r="C962" s="210"/>
      <c r="D962" s="210"/>
      <c r="E962" s="210"/>
      <c r="F962" s="210"/>
      <c r="G962" s="210"/>
      <c r="H962" s="210"/>
      <c r="I962" s="264" t="str">
        <f t="shared" si="27"/>
        <v/>
      </c>
    </row>
    <row r="963" spans="3:9" x14ac:dyDescent="0.3">
      <c r="C963" s="210"/>
      <c r="D963" s="210"/>
      <c r="E963" s="210"/>
      <c r="F963" s="210"/>
      <c r="G963" s="210"/>
      <c r="H963" s="210"/>
      <c r="I963" s="264" t="str">
        <f t="shared" si="27"/>
        <v/>
      </c>
    </row>
    <row r="964" spans="3:9" x14ac:dyDescent="0.3">
      <c r="C964" s="210"/>
      <c r="D964" s="210"/>
      <c r="E964" s="210"/>
      <c r="F964" s="210"/>
      <c r="G964" s="210"/>
      <c r="H964" s="210"/>
      <c r="I964" s="264" t="str">
        <f t="shared" si="27"/>
        <v/>
      </c>
    </row>
    <row r="965" spans="3:9" x14ac:dyDescent="0.3">
      <c r="C965" s="210"/>
      <c r="D965" s="210"/>
      <c r="E965" s="210"/>
      <c r="F965" s="210"/>
      <c r="G965" s="210"/>
      <c r="H965" s="210"/>
      <c r="I965" s="264" t="str">
        <f t="shared" si="27"/>
        <v/>
      </c>
    </row>
    <row r="966" spans="3:9" x14ac:dyDescent="0.3">
      <c r="C966" s="210"/>
      <c r="D966" s="210"/>
      <c r="E966" s="210"/>
      <c r="F966" s="210"/>
      <c r="G966" s="210"/>
      <c r="H966" s="210"/>
      <c r="I966" s="264" t="str">
        <f t="shared" si="27"/>
        <v/>
      </c>
    </row>
    <row r="967" spans="3:9" x14ac:dyDescent="0.3">
      <c r="C967" s="210"/>
      <c r="D967" s="210"/>
      <c r="E967" s="210"/>
      <c r="F967" s="210"/>
      <c r="G967" s="210"/>
      <c r="H967" s="210"/>
      <c r="I967" s="264" t="str">
        <f t="shared" si="27"/>
        <v/>
      </c>
    </row>
    <row r="968" spans="3:9" x14ac:dyDescent="0.3">
      <c r="C968" s="210"/>
      <c r="D968" s="210"/>
      <c r="E968" s="210"/>
      <c r="F968" s="210"/>
      <c r="G968" s="210"/>
      <c r="H968" s="210"/>
      <c r="I968" s="264" t="str">
        <f t="shared" si="27"/>
        <v/>
      </c>
    </row>
    <row r="969" spans="3:9" x14ac:dyDescent="0.3">
      <c r="C969" s="210"/>
      <c r="D969" s="210"/>
      <c r="E969" s="210"/>
      <c r="F969" s="210"/>
      <c r="G969" s="210"/>
      <c r="H969" s="210"/>
      <c r="I969" s="264" t="str">
        <f t="shared" si="27"/>
        <v/>
      </c>
    </row>
    <row r="970" spans="3:9" x14ac:dyDescent="0.3">
      <c r="C970" s="210"/>
      <c r="D970" s="210"/>
      <c r="E970" s="210"/>
      <c r="F970" s="210"/>
      <c r="G970" s="210"/>
      <c r="H970" s="210"/>
      <c r="I970" s="264" t="str">
        <f t="shared" si="27"/>
        <v/>
      </c>
    </row>
    <row r="971" spans="3:9" x14ac:dyDescent="0.3">
      <c r="C971" s="210"/>
      <c r="D971" s="210"/>
      <c r="E971" s="210"/>
      <c r="F971" s="210"/>
      <c r="G971" s="210"/>
      <c r="H971" s="210"/>
      <c r="I971" s="264" t="str">
        <f t="shared" si="27"/>
        <v/>
      </c>
    </row>
    <row r="972" spans="3:9" x14ac:dyDescent="0.3">
      <c r="C972" s="210"/>
      <c r="D972" s="210"/>
      <c r="E972" s="210"/>
      <c r="F972" s="210"/>
      <c r="G972" s="210"/>
      <c r="H972" s="210"/>
      <c r="I972" s="264" t="str">
        <f t="shared" si="27"/>
        <v/>
      </c>
    </row>
    <row r="973" spans="3:9" x14ac:dyDescent="0.3">
      <c r="C973" s="210"/>
      <c r="D973" s="210"/>
      <c r="E973" s="210"/>
      <c r="F973" s="210"/>
      <c r="G973" s="210"/>
      <c r="H973" s="210"/>
      <c r="I973" s="264" t="str">
        <f t="shared" si="27"/>
        <v/>
      </c>
    </row>
    <row r="974" spans="3:9" x14ac:dyDescent="0.3">
      <c r="C974" s="210"/>
      <c r="D974" s="210"/>
      <c r="E974" s="210"/>
      <c r="F974" s="210"/>
      <c r="G974" s="210"/>
      <c r="H974" s="210"/>
      <c r="I974" s="264" t="str">
        <f t="shared" si="27"/>
        <v/>
      </c>
    </row>
    <row r="975" spans="3:9" x14ac:dyDescent="0.3">
      <c r="C975" s="210"/>
      <c r="D975" s="210"/>
      <c r="E975" s="210"/>
      <c r="F975" s="210"/>
      <c r="G975" s="210"/>
      <c r="H975" s="210"/>
      <c r="I975" s="264" t="str">
        <f t="shared" si="27"/>
        <v/>
      </c>
    </row>
    <row r="976" spans="3:9" x14ac:dyDescent="0.3">
      <c r="C976" s="210"/>
      <c r="D976" s="210"/>
      <c r="E976" s="210"/>
      <c r="F976" s="210"/>
      <c r="G976" s="210"/>
      <c r="H976" s="210"/>
      <c r="I976" s="264" t="str">
        <f t="shared" si="27"/>
        <v/>
      </c>
    </row>
    <row r="977" spans="3:9" x14ac:dyDescent="0.3">
      <c r="C977" s="210"/>
      <c r="D977" s="210"/>
      <c r="E977" s="210"/>
      <c r="F977" s="210"/>
      <c r="G977" s="210"/>
      <c r="H977" s="210"/>
      <c r="I977" s="264" t="str">
        <f t="shared" si="27"/>
        <v/>
      </c>
    </row>
    <row r="978" spans="3:9" x14ac:dyDescent="0.3">
      <c r="C978" s="210"/>
      <c r="D978" s="210"/>
      <c r="E978" s="210"/>
      <c r="F978" s="210"/>
      <c r="G978" s="210"/>
      <c r="H978" s="210"/>
      <c r="I978" s="264" t="str">
        <f t="shared" si="27"/>
        <v/>
      </c>
    </row>
    <row r="979" spans="3:9" x14ac:dyDescent="0.3">
      <c r="C979" s="210"/>
      <c r="D979" s="210"/>
      <c r="E979" s="210"/>
      <c r="F979" s="210"/>
      <c r="G979" s="210"/>
      <c r="H979" s="210"/>
      <c r="I979" s="264" t="str">
        <f t="shared" si="27"/>
        <v/>
      </c>
    </row>
    <row r="980" spans="3:9" x14ac:dyDescent="0.3">
      <c r="C980" s="210"/>
      <c r="D980" s="210"/>
      <c r="E980" s="210"/>
      <c r="F980" s="210"/>
      <c r="G980" s="210"/>
      <c r="H980" s="210"/>
      <c r="I980" s="264" t="str">
        <f t="shared" si="27"/>
        <v/>
      </c>
    </row>
    <row r="981" spans="3:9" x14ac:dyDescent="0.3">
      <c r="C981" s="210"/>
      <c r="D981" s="210"/>
      <c r="E981" s="210"/>
      <c r="F981" s="210"/>
      <c r="G981" s="210"/>
      <c r="H981" s="210"/>
      <c r="I981" s="264" t="str">
        <f t="shared" si="27"/>
        <v/>
      </c>
    </row>
    <row r="982" spans="3:9" x14ac:dyDescent="0.3">
      <c r="C982" s="210"/>
      <c r="D982" s="210"/>
      <c r="E982" s="210"/>
      <c r="F982" s="210"/>
      <c r="G982" s="210"/>
      <c r="H982" s="210"/>
      <c r="I982" s="264" t="str">
        <f t="shared" si="27"/>
        <v/>
      </c>
    </row>
    <row r="983" spans="3:9" x14ac:dyDescent="0.3">
      <c r="C983" s="210"/>
      <c r="D983" s="210"/>
      <c r="E983" s="210"/>
      <c r="F983" s="210"/>
      <c r="G983" s="210"/>
      <c r="H983" s="210"/>
      <c r="I983" s="264" t="str">
        <f t="shared" si="27"/>
        <v/>
      </c>
    </row>
    <row r="984" spans="3:9" x14ac:dyDescent="0.3">
      <c r="C984" s="210"/>
      <c r="D984" s="210"/>
      <c r="E984" s="210"/>
      <c r="F984" s="210"/>
      <c r="G984" s="210"/>
      <c r="H984" s="210"/>
      <c r="I984" s="264" t="str">
        <f t="shared" si="27"/>
        <v/>
      </c>
    </row>
    <row r="985" spans="3:9" x14ac:dyDescent="0.3">
      <c r="C985" s="210"/>
      <c r="D985" s="210"/>
      <c r="E985" s="210"/>
      <c r="F985" s="210"/>
      <c r="G985" s="210"/>
      <c r="H985" s="210"/>
      <c r="I985" s="264" t="str">
        <f t="shared" si="27"/>
        <v/>
      </c>
    </row>
    <row r="986" spans="3:9" x14ac:dyDescent="0.3">
      <c r="C986" s="210"/>
      <c r="D986" s="210"/>
      <c r="E986" s="210"/>
      <c r="F986" s="210"/>
      <c r="G986" s="210"/>
      <c r="H986" s="210"/>
      <c r="I986" s="264" t="str">
        <f t="shared" si="27"/>
        <v/>
      </c>
    </row>
    <row r="987" spans="3:9" x14ac:dyDescent="0.3">
      <c r="C987" s="210"/>
      <c r="D987" s="210"/>
      <c r="E987" s="210"/>
      <c r="F987" s="210"/>
      <c r="G987" s="210"/>
      <c r="H987" s="210"/>
      <c r="I987" s="264" t="str">
        <f t="shared" si="27"/>
        <v/>
      </c>
    </row>
    <row r="988" spans="3:9" x14ac:dyDescent="0.3">
      <c r="C988" s="210"/>
      <c r="D988" s="210"/>
      <c r="E988" s="210"/>
      <c r="F988" s="210"/>
      <c r="G988" s="210"/>
      <c r="H988" s="210"/>
      <c r="I988" s="264" t="str">
        <f t="shared" si="27"/>
        <v/>
      </c>
    </row>
    <row r="989" spans="3:9" x14ac:dyDescent="0.3">
      <c r="C989" s="210"/>
      <c r="D989" s="210"/>
      <c r="E989" s="210"/>
      <c r="F989" s="210"/>
      <c r="G989" s="210"/>
      <c r="H989" s="210"/>
      <c r="I989" s="264" t="str">
        <f t="shared" si="27"/>
        <v/>
      </c>
    </row>
    <row r="990" spans="3:9" x14ac:dyDescent="0.3">
      <c r="C990" s="210"/>
      <c r="D990" s="210"/>
      <c r="E990" s="210"/>
      <c r="F990" s="210"/>
      <c r="G990" s="210"/>
      <c r="H990" s="210"/>
      <c r="I990" s="264" t="str">
        <f t="shared" si="27"/>
        <v/>
      </c>
    </row>
    <row r="991" spans="3:9" x14ac:dyDescent="0.3">
      <c r="C991" s="210"/>
      <c r="D991" s="210"/>
      <c r="E991" s="210"/>
      <c r="F991" s="210"/>
      <c r="G991" s="210"/>
      <c r="H991" s="210"/>
      <c r="I991" s="264" t="str">
        <f t="shared" si="27"/>
        <v/>
      </c>
    </row>
    <row r="992" spans="3:9" x14ac:dyDescent="0.3">
      <c r="C992" s="210"/>
      <c r="D992" s="210"/>
      <c r="E992" s="210"/>
      <c r="F992" s="210"/>
      <c r="G992" s="210"/>
      <c r="H992" s="210"/>
      <c r="I992" s="264" t="str">
        <f t="shared" si="27"/>
        <v/>
      </c>
    </row>
    <row r="993" spans="3:9" x14ac:dyDescent="0.3">
      <c r="C993" s="210"/>
      <c r="D993" s="210"/>
      <c r="E993" s="210"/>
      <c r="F993" s="210"/>
      <c r="G993" s="210"/>
      <c r="H993" s="210"/>
      <c r="I993" s="264" t="str">
        <f t="shared" si="27"/>
        <v/>
      </c>
    </row>
    <row r="994" spans="3:9" x14ac:dyDescent="0.3">
      <c r="C994" s="210"/>
      <c r="D994" s="210"/>
      <c r="E994" s="210"/>
      <c r="F994" s="210"/>
      <c r="G994" s="210"/>
      <c r="H994" s="210"/>
      <c r="I994" s="264" t="str">
        <f t="shared" si="27"/>
        <v/>
      </c>
    </row>
    <row r="995" spans="3:9" x14ac:dyDescent="0.3">
      <c r="C995" s="210"/>
      <c r="D995" s="210"/>
      <c r="E995" s="210"/>
      <c r="F995" s="210"/>
      <c r="G995" s="210"/>
      <c r="H995" s="210"/>
      <c r="I995" s="264" t="str">
        <f t="shared" si="27"/>
        <v/>
      </c>
    </row>
    <row r="996" spans="3:9" x14ac:dyDescent="0.3">
      <c r="C996" s="210"/>
      <c r="D996" s="210"/>
      <c r="E996" s="210"/>
      <c r="F996" s="210"/>
      <c r="G996" s="210"/>
      <c r="H996" s="210"/>
      <c r="I996" s="264" t="str">
        <f t="shared" si="27"/>
        <v/>
      </c>
    </row>
    <row r="997" spans="3:9" x14ac:dyDescent="0.3">
      <c r="C997" s="210"/>
      <c r="D997" s="210"/>
      <c r="E997" s="210"/>
      <c r="F997" s="210"/>
      <c r="G997" s="210"/>
      <c r="H997" s="210"/>
      <c r="I997" s="264" t="str">
        <f t="shared" si="27"/>
        <v/>
      </c>
    </row>
    <row r="998" spans="3:9" x14ac:dyDescent="0.3">
      <c r="C998" s="210"/>
      <c r="D998" s="210"/>
      <c r="E998" s="210"/>
      <c r="F998" s="210"/>
      <c r="G998" s="210"/>
      <c r="H998" s="210"/>
      <c r="I998" s="264" t="str">
        <f t="shared" si="27"/>
        <v/>
      </c>
    </row>
    <row r="999" spans="3:9" x14ac:dyDescent="0.3">
      <c r="C999" s="210"/>
      <c r="D999" s="210"/>
      <c r="E999" s="210"/>
      <c r="F999" s="210"/>
      <c r="G999" s="210"/>
      <c r="H999" s="210"/>
      <c r="I999" s="264" t="str">
        <f t="shared" si="27"/>
        <v/>
      </c>
    </row>
    <row r="1000" spans="3:9" x14ac:dyDescent="0.3">
      <c r="C1000" s="210"/>
      <c r="D1000" s="210"/>
      <c r="E1000" s="210"/>
      <c r="F1000" s="210"/>
      <c r="G1000" s="210"/>
      <c r="H1000" s="210"/>
      <c r="I1000" s="264" t="str">
        <f t="shared" si="27"/>
        <v/>
      </c>
    </row>
    <row r="1001" spans="3:9" x14ac:dyDescent="0.3">
      <c r="C1001" s="210"/>
      <c r="D1001" s="210"/>
      <c r="E1001" s="210"/>
      <c r="F1001" s="210"/>
      <c r="G1001" s="210"/>
      <c r="H1001" s="210"/>
      <c r="I1001" s="264" t="str">
        <f t="shared" si="27"/>
        <v/>
      </c>
    </row>
    <row r="1002" spans="3:9" x14ac:dyDescent="0.3">
      <c r="C1002" s="210"/>
      <c r="D1002" s="210"/>
      <c r="E1002" s="210"/>
      <c r="F1002" s="210"/>
      <c r="G1002" s="210"/>
      <c r="H1002" s="210"/>
      <c r="I1002" s="264" t="str">
        <f t="shared" si="27"/>
        <v/>
      </c>
    </row>
    <row r="1003" spans="3:9" x14ac:dyDescent="0.3">
      <c r="C1003" s="210"/>
      <c r="D1003" s="210"/>
      <c r="E1003" s="210"/>
      <c r="F1003" s="210"/>
      <c r="G1003" s="210"/>
      <c r="H1003" s="210"/>
      <c r="I1003" s="264" t="str">
        <f t="shared" si="27"/>
        <v/>
      </c>
    </row>
    <row r="1004" spans="3:9" x14ac:dyDescent="0.3">
      <c r="C1004" s="210"/>
      <c r="D1004" s="210"/>
      <c r="E1004" s="210"/>
      <c r="F1004" s="210"/>
      <c r="G1004" s="210"/>
      <c r="H1004" s="210"/>
      <c r="I1004" s="264" t="str">
        <f t="shared" si="27"/>
        <v/>
      </c>
    </row>
    <row r="1005" spans="3:9" x14ac:dyDescent="0.3">
      <c r="C1005" s="210"/>
      <c r="D1005" s="210"/>
      <c r="E1005" s="210"/>
      <c r="F1005" s="210"/>
      <c r="G1005" s="210"/>
      <c r="H1005" s="210"/>
      <c r="I1005" s="264" t="str">
        <f t="shared" si="27"/>
        <v/>
      </c>
    </row>
    <row r="1006" spans="3:9" x14ac:dyDescent="0.3">
      <c r="C1006" s="210"/>
      <c r="D1006" s="210"/>
      <c r="E1006" s="210"/>
      <c r="F1006" s="210"/>
      <c r="G1006" s="210"/>
      <c r="H1006" s="210"/>
      <c r="I1006" s="264" t="str">
        <f t="shared" si="27"/>
        <v/>
      </c>
    </row>
    <row r="1007" spans="3:9" x14ac:dyDescent="0.3">
      <c r="C1007" s="210"/>
      <c r="D1007" s="210"/>
      <c r="E1007" s="210"/>
      <c r="F1007" s="210"/>
      <c r="G1007" s="210"/>
      <c r="H1007" s="210"/>
      <c r="I1007" s="264" t="str">
        <f t="shared" si="27"/>
        <v/>
      </c>
    </row>
    <row r="1008" spans="3:9" x14ac:dyDescent="0.3">
      <c r="C1008" s="210"/>
      <c r="D1008" s="210"/>
      <c r="E1008" s="210"/>
      <c r="F1008" s="210"/>
      <c r="G1008" s="210"/>
      <c r="H1008" s="210"/>
      <c r="I1008" s="264" t="str">
        <f t="shared" si="27"/>
        <v/>
      </c>
    </row>
    <row r="1009" spans="3:9" x14ac:dyDescent="0.3">
      <c r="C1009" s="210"/>
      <c r="D1009" s="210"/>
      <c r="E1009" s="210"/>
      <c r="F1009" s="210"/>
      <c r="G1009" s="210"/>
      <c r="H1009" s="210"/>
      <c r="I1009" s="264" t="str">
        <f t="shared" si="27"/>
        <v/>
      </c>
    </row>
    <row r="1010" spans="3:9" x14ac:dyDescent="0.3">
      <c r="C1010" s="210"/>
      <c r="D1010" s="210"/>
      <c r="E1010" s="210"/>
      <c r="F1010" s="210"/>
      <c r="G1010" s="210"/>
      <c r="H1010" s="210"/>
      <c r="I1010" s="264" t="str">
        <f t="shared" si="27"/>
        <v/>
      </c>
    </row>
    <row r="1011" spans="3:9" x14ac:dyDescent="0.3">
      <c r="C1011" s="210"/>
      <c r="D1011" s="210"/>
      <c r="E1011" s="210"/>
      <c r="F1011" s="210"/>
      <c r="G1011" s="210"/>
      <c r="H1011" s="210"/>
      <c r="I1011" s="264" t="str">
        <f t="shared" si="27"/>
        <v/>
      </c>
    </row>
    <row r="1012" spans="3:9" x14ac:dyDescent="0.3">
      <c r="C1012" s="210"/>
      <c r="D1012" s="210"/>
      <c r="E1012" s="210"/>
      <c r="F1012" s="210"/>
      <c r="G1012" s="210"/>
      <c r="H1012" s="210"/>
      <c r="I1012" s="264" t="str">
        <f t="shared" si="27"/>
        <v/>
      </c>
    </row>
    <row r="1013" spans="3:9" x14ac:dyDescent="0.3">
      <c r="C1013" s="210"/>
      <c r="D1013" s="210"/>
      <c r="E1013" s="210"/>
      <c r="F1013" s="210"/>
      <c r="G1013" s="210"/>
      <c r="H1013" s="210"/>
      <c r="I1013" s="264" t="str">
        <f t="shared" si="27"/>
        <v/>
      </c>
    </row>
    <row r="1014" spans="3:9" x14ac:dyDescent="0.3">
      <c r="C1014" s="210"/>
      <c r="D1014" s="210"/>
      <c r="E1014" s="210"/>
      <c r="F1014" s="210"/>
      <c r="G1014" s="210"/>
      <c r="H1014" s="210"/>
      <c r="I1014" s="264" t="str">
        <f t="shared" si="27"/>
        <v/>
      </c>
    </row>
    <row r="1015" spans="3:9" x14ac:dyDescent="0.3">
      <c r="C1015" s="210"/>
      <c r="D1015" s="210"/>
      <c r="E1015" s="210"/>
      <c r="F1015" s="210"/>
      <c r="G1015" s="210"/>
      <c r="H1015" s="210"/>
      <c r="I1015" s="264" t="str">
        <f t="shared" si="27"/>
        <v/>
      </c>
    </row>
    <row r="1016" spans="3:9" x14ac:dyDescent="0.3">
      <c r="C1016" s="210"/>
      <c r="D1016" s="210"/>
      <c r="E1016" s="210"/>
      <c r="F1016" s="210"/>
      <c r="G1016" s="210"/>
      <c r="H1016" s="210"/>
      <c r="I1016" s="264" t="str">
        <f t="shared" si="27"/>
        <v/>
      </c>
    </row>
    <row r="1017" spans="3:9" x14ac:dyDescent="0.3">
      <c r="C1017" s="210"/>
      <c r="D1017" s="210"/>
      <c r="E1017" s="210"/>
      <c r="F1017" s="210"/>
      <c r="G1017" s="210"/>
      <c r="H1017" s="210"/>
      <c r="I1017" s="264" t="str">
        <f t="shared" si="27"/>
        <v/>
      </c>
    </row>
    <row r="1018" spans="3:9" x14ac:dyDescent="0.3">
      <c r="C1018" s="210"/>
      <c r="D1018" s="210"/>
      <c r="E1018" s="210"/>
      <c r="F1018" s="210"/>
      <c r="G1018" s="210"/>
      <c r="H1018" s="210"/>
      <c r="I1018" s="264" t="str">
        <f t="shared" si="27"/>
        <v/>
      </c>
    </row>
    <row r="1019" spans="3:9" x14ac:dyDescent="0.3">
      <c r="C1019" s="210"/>
      <c r="D1019" s="210"/>
      <c r="E1019" s="210"/>
      <c r="F1019" s="210"/>
      <c r="G1019" s="210"/>
      <c r="H1019" s="210"/>
      <c r="I1019" s="264" t="str">
        <f t="shared" si="27"/>
        <v/>
      </c>
    </row>
    <row r="1020" spans="3:9" x14ac:dyDescent="0.3">
      <c r="C1020" s="210"/>
      <c r="D1020" s="210"/>
      <c r="E1020" s="210"/>
      <c r="F1020" s="210"/>
      <c r="G1020" s="210"/>
      <c r="H1020" s="210"/>
      <c r="I1020" s="264" t="str">
        <f t="shared" si="27"/>
        <v/>
      </c>
    </row>
    <row r="1021" spans="3:9" x14ac:dyDescent="0.3">
      <c r="C1021" s="210"/>
      <c r="D1021" s="210"/>
      <c r="E1021" s="210"/>
      <c r="F1021" s="210"/>
      <c r="G1021" s="210"/>
      <c r="H1021" s="210"/>
      <c r="I1021" s="264" t="str">
        <f t="shared" si="27"/>
        <v/>
      </c>
    </row>
    <row r="1022" spans="3:9" x14ac:dyDescent="0.3">
      <c r="C1022" s="210"/>
      <c r="D1022" s="210"/>
      <c r="E1022" s="210"/>
      <c r="F1022" s="210"/>
      <c r="G1022" s="210"/>
      <c r="H1022" s="210"/>
      <c r="I1022" s="264" t="str">
        <f t="shared" ref="I1022:I1061" si="28">IF(H1022=0,"",D1022)</f>
        <v/>
      </c>
    </row>
    <row r="1023" spans="3:9" x14ac:dyDescent="0.3">
      <c r="C1023" s="210"/>
      <c r="D1023" s="210"/>
      <c r="E1023" s="210"/>
      <c r="F1023" s="210"/>
      <c r="G1023" s="210"/>
      <c r="H1023" s="210"/>
      <c r="I1023" s="264" t="str">
        <f t="shared" si="28"/>
        <v/>
      </c>
    </row>
    <row r="1024" spans="3:9" x14ac:dyDescent="0.3">
      <c r="C1024" s="210"/>
      <c r="D1024" s="210"/>
      <c r="E1024" s="210"/>
      <c r="F1024" s="210"/>
      <c r="G1024" s="210"/>
      <c r="H1024" s="210"/>
      <c r="I1024" s="264" t="str">
        <f t="shared" si="28"/>
        <v/>
      </c>
    </row>
    <row r="1025" spans="3:9" x14ac:dyDescent="0.3">
      <c r="C1025" s="210"/>
      <c r="D1025" s="210"/>
      <c r="E1025" s="210"/>
      <c r="F1025" s="210"/>
      <c r="G1025" s="210"/>
      <c r="H1025" s="210"/>
      <c r="I1025" s="264" t="str">
        <f t="shared" si="28"/>
        <v/>
      </c>
    </row>
    <row r="1026" spans="3:9" x14ac:dyDescent="0.3">
      <c r="C1026" s="210"/>
      <c r="D1026" s="210"/>
      <c r="E1026" s="210"/>
      <c r="F1026" s="210"/>
      <c r="G1026" s="210"/>
      <c r="H1026" s="210"/>
      <c r="I1026" s="264" t="str">
        <f t="shared" si="28"/>
        <v/>
      </c>
    </row>
    <row r="1027" spans="3:9" x14ac:dyDescent="0.3">
      <c r="C1027" s="210"/>
      <c r="D1027" s="210"/>
      <c r="E1027" s="210"/>
      <c r="F1027" s="210"/>
      <c r="G1027" s="210"/>
      <c r="H1027" s="210"/>
      <c r="I1027" s="264" t="str">
        <f t="shared" si="28"/>
        <v/>
      </c>
    </row>
    <row r="1028" spans="3:9" x14ac:dyDescent="0.3">
      <c r="C1028" s="210"/>
      <c r="D1028" s="210"/>
      <c r="E1028" s="210"/>
      <c r="F1028" s="210"/>
      <c r="G1028" s="210"/>
      <c r="H1028" s="210"/>
      <c r="I1028" s="264" t="str">
        <f t="shared" si="28"/>
        <v/>
      </c>
    </row>
    <row r="1029" spans="3:9" x14ac:dyDescent="0.3">
      <c r="C1029" s="210"/>
      <c r="D1029" s="210"/>
      <c r="E1029" s="210"/>
      <c r="F1029" s="210"/>
      <c r="G1029" s="210"/>
      <c r="H1029" s="210"/>
      <c r="I1029" s="264" t="str">
        <f t="shared" si="28"/>
        <v/>
      </c>
    </row>
    <row r="1030" spans="3:9" x14ac:dyDescent="0.3">
      <c r="C1030" s="210"/>
      <c r="D1030" s="210"/>
      <c r="E1030" s="210"/>
      <c r="F1030" s="210"/>
      <c r="G1030" s="210"/>
      <c r="H1030" s="210"/>
      <c r="I1030" s="264" t="str">
        <f t="shared" si="28"/>
        <v/>
      </c>
    </row>
    <row r="1031" spans="3:9" x14ac:dyDescent="0.3">
      <c r="C1031" s="210"/>
      <c r="D1031" s="210"/>
      <c r="E1031" s="210"/>
      <c r="F1031" s="210"/>
      <c r="G1031" s="210"/>
      <c r="H1031" s="210"/>
      <c r="I1031" s="264" t="str">
        <f t="shared" si="28"/>
        <v/>
      </c>
    </row>
    <row r="1032" spans="3:9" x14ac:dyDescent="0.3">
      <c r="C1032" s="210"/>
      <c r="D1032" s="210"/>
      <c r="E1032" s="210"/>
      <c r="F1032" s="210"/>
      <c r="G1032" s="210"/>
      <c r="H1032" s="210"/>
      <c r="I1032" s="264" t="str">
        <f t="shared" si="28"/>
        <v/>
      </c>
    </row>
    <row r="1033" spans="3:9" x14ac:dyDescent="0.3">
      <c r="C1033" s="210"/>
      <c r="D1033" s="210"/>
      <c r="E1033" s="210"/>
      <c r="F1033" s="210"/>
      <c r="G1033" s="210"/>
      <c r="H1033" s="210"/>
      <c r="I1033" s="264" t="str">
        <f t="shared" si="28"/>
        <v/>
      </c>
    </row>
    <row r="1034" spans="3:9" x14ac:dyDescent="0.3">
      <c r="C1034" s="210"/>
      <c r="D1034" s="210"/>
      <c r="E1034" s="210"/>
      <c r="F1034" s="210"/>
      <c r="G1034" s="210"/>
      <c r="H1034" s="210"/>
      <c r="I1034" s="264" t="str">
        <f t="shared" si="28"/>
        <v/>
      </c>
    </row>
    <row r="1035" spans="3:9" x14ac:dyDescent="0.3">
      <c r="C1035" s="210"/>
      <c r="D1035" s="210"/>
      <c r="E1035" s="210"/>
      <c r="F1035" s="210"/>
      <c r="G1035" s="210"/>
      <c r="H1035" s="210"/>
      <c r="I1035" s="264" t="str">
        <f t="shared" si="28"/>
        <v/>
      </c>
    </row>
    <row r="1036" spans="3:9" x14ac:dyDescent="0.3">
      <c r="C1036" s="210"/>
      <c r="D1036" s="210"/>
      <c r="E1036" s="210"/>
      <c r="F1036" s="210"/>
      <c r="G1036" s="210"/>
      <c r="H1036" s="210"/>
      <c r="I1036" s="264" t="str">
        <f t="shared" si="28"/>
        <v/>
      </c>
    </row>
    <row r="1037" spans="3:9" x14ac:dyDescent="0.3">
      <c r="C1037" s="210"/>
      <c r="D1037" s="210"/>
      <c r="E1037" s="210"/>
      <c r="F1037" s="210"/>
      <c r="G1037" s="210"/>
      <c r="H1037" s="210"/>
      <c r="I1037" s="264" t="str">
        <f t="shared" si="28"/>
        <v/>
      </c>
    </row>
    <row r="1038" spans="3:9" x14ac:dyDescent="0.3">
      <c r="C1038" s="210"/>
      <c r="D1038" s="210"/>
      <c r="E1038" s="210"/>
      <c r="F1038" s="210"/>
      <c r="G1038" s="210"/>
      <c r="H1038" s="210"/>
      <c r="I1038" s="264" t="str">
        <f t="shared" si="28"/>
        <v/>
      </c>
    </row>
    <row r="1039" spans="3:9" x14ac:dyDescent="0.3">
      <c r="C1039" s="210"/>
      <c r="D1039" s="210"/>
      <c r="E1039" s="210"/>
      <c r="F1039" s="210"/>
      <c r="G1039" s="210"/>
      <c r="H1039" s="210"/>
      <c r="I1039" s="264" t="str">
        <f t="shared" si="28"/>
        <v/>
      </c>
    </row>
    <row r="1040" spans="3:9" x14ac:dyDescent="0.3">
      <c r="C1040" s="210"/>
      <c r="D1040" s="210"/>
      <c r="E1040" s="210"/>
      <c r="F1040" s="210"/>
      <c r="G1040" s="210"/>
      <c r="H1040" s="210"/>
      <c r="I1040" s="264" t="str">
        <f t="shared" si="28"/>
        <v/>
      </c>
    </row>
    <row r="1041" spans="3:9" x14ac:dyDescent="0.3">
      <c r="C1041" s="210"/>
      <c r="D1041" s="210"/>
      <c r="E1041" s="210"/>
      <c r="F1041" s="210"/>
      <c r="G1041" s="210"/>
      <c r="H1041" s="210"/>
      <c r="I1041" s="264" t="str">
        <f t="shared" si="28"/>
        <v/>
      </c>
    </row>
    <row r="1042" spans="3:9" x14ac:dyDescent="0.3">
      <c r="C1042" s="210"/>
      <c r="D1042" s="210"/>
      <c r="E1042" s="210"/>
      <c r="F1042" s="210"/>
      <c r="G1042" s="210"/>
      <c r="H1042" s="210"/>
      <c r="I1042" s="264" t="str">
        <f t="shared" si="28"/>
        <v/>
      </c>
    </row>
    <row r="1043" spans="3:9" x14ac:dyDescent="0.3">
      <c r="C1043" s="210"/>
      <c r="D1043" s="210"/>
      <c r="E1043" s="210"/>
      <c r="F1043" s="210"/>
      <c r="G1043" s="210"/>
      <c r="H1043" s="210"/>
      <c r="I1043" s="264" t="str">
        <f t="shared" si="28"/>
        <v/>
      </c>
    </row>
    <row r="1044" spans="3:9" x14ac:dyDescent="0.3">
      <c r="C1044" s="210"/>
      <c r="D1044" s="210"/>
      <c r="E1044" s="210"/>
      <c r="F1044" s="210"/>
      <c r="G1044" s="210"/>
      <c r="H1044" s="210"/>
      <c r="I1044" s="264" t="str">
        <f t="shared" si="28"/>
        <v/>
      </c>
    </row>
    <row r="1045" spans="3:9" x14ac:dyDescent="0.3">
      <c r="C1045" s="210"/>
      <c r="D1045" s="210"/>
      <c r="E1045" s="210"/>
      <c r="F1045" s="210"/>
      <c r="G1045" s="210"/>
      <c r="H1045" s="210"/>
      <c r="I1045" s="264" t="str">
        <f t="shared" si="28"/>
        <v/>
      </c>
    </row>
    <row r="1046" spans="3:9" x14ac:dyDescent="0.3">
      <c r="C1046" s="210"/>
      <c r="D1046" s="210"/>
      <c r="E1046" s="210"/>
      <c r="F1046" s="210"/>
      <c r="G1046" s="210"/>
      <c r="H1046" s="210"/>
      <c r="I1046" s="264" t="str">
        <f t="shared" si="28"/>
        <v/>
      </c>
    </row>
    <row r="1047" spans="3:9" x14ac:dyDescent="0.3">
      <c r="C1047" s="210"/>
      <c r="D1047" s="210"/>
      <c r="E1047" s="210"/>
      <c r="F1047" s="210"/>
      <c r="G1047" s="210"/>
      <c r="H1047" s="210"/>
      <c r="I1047" s="264" t="str">
        <f t="shared" si="28"/>
        <v/>
      </c>
    </row>
    <row r="1048" spans="3:9" x14ac:dyDescent="0.3">
      <c r="C1048" s="210"/>
      <c r="D1048" s="210"/>
      <c r="E1048" s="210"/>
      <c r="F1048" s="210"/>
      <c r="G1048" s="210"/>
      <c r="H1048" s="210"/>
      <c r="I1048" s="264" t="str">
        <f t="shared" si="28"/>
        <v/>
      </c>
    </row>
    <row r="1049" spans="3:9" x14ac:dyDescent="0.3">
      <c r="C1049" s="210"/>
      <c r="D1049" s="210"/>
      <c r="E1049" s="210"/>
      <c r="F1049" s="210"/>
      <c r="G1049" s="210"/>
      <c r="H1049" s="210"/>
      <c r="I1049" s="264" t="str">
        <f t="shared" si="28"/>
        <v/>
      </c>
    </row>
    <row r="1050" spans="3:9" x14ac:dyDescent="0.3">
      <c r="C1050" s="210"/>
      <c r="D1050" s="210"/>
      <c r="E1050" s="210"/>
      <c r="F1050" s="210"/>
      <c r="G1050" s="210"/>
      <c r="H1050" s="210"/>
      <c r="I1050" s="264" t="str">
        <f t="shared" si="28"/>
        <v/>
      </c>
    </row>
    <row r="1051" spans="3:9" x14ac:dyDescent="0.3">
      <c r="C1051" s="210"/>
      <c r="D1051" s="210"/>
      <c r="E1051" s="210"/>
      <c r="F1051" s="210"/>
      <c r="G1051" s="210"/>
      <c r="H1051" s="210"/>
      <c r="I1051" s="264" t="str">
        <f t="shared" si="28"/>
        <v/>
      </c>
    </row>
    <row r="1052" spans="3:9" x14ac:dyDescent="0.3">
      <c r="C1052" s="210"/>
      <c r="D1052" s="210"/>
      <c r="E1052" s="210"/>
      <c r="F1052" s="210"/>
      <c r="G1052" s="210"/>
      <c r="H1052" s="210"/>
      <c r="I1052" s="264" t="str">
        <f t="shared" si="28"/>
        <v/>
      </c>
    </row>
    <row r="1053" spans="3:9" x14ac:dyDescent="0.3">
      <c r="C1053" s="210"/>
      <c r="D1053" s="210"/>
      <c r="E1053" s="210"/>
      <c r="F1053" s="210"/>
      <c r="G1053" s="210"/>
      <c r="H1053" s="210"/>
      <c r="I1053" s="264" t="str">
        <f t="shared" si="28"/>
        <v/>
      </c>
    </row>
    <row r="1054" spans="3:9" x14ac:dyDescent="0.3">
      <c r="C1054" s="210"/>
      <c r="D1054" s="210"/>
      <c r="E1054" s="210"/>
      <c r="F1054" s="210"/>
      <c r="G1054" s="210"/>
      <c r="H1054" s="210"/>
      <c r="I1054" s="264" t="str">
        <f t="shared" si="28"/>
        <v/>
      </c>
    </row>
    <row r="1055" spans="3:9" x14ac:dyDescent="0.3">
      <c r="C1055" s="210"/>
      <c r="D1055" s="210"/>
      <c r="E1055" s="210"/>
      <c r="F1055" s="210"/>
      <c r="G1055" s="210"/>
      <c r="H1055" s="210"/>
      <c r="I1055" s="264" t="str">
        <f t="shared" si="28"/>
        <v/>
      </c>
    </row>
    <row r="1056" spans="3:9" x14ac:dyDescent="0.3">
      <c r="C1056" s="210"/>
      <c r="D1056" s="210"/>
      <c r="E1056" s="210"/>
      <c r="F1056" s="210"/>
      <c r="G1056" s="210"/>
      <c r="H1056" s="210"/>
      <c r="I1056" s="264" t="str">
        <f t="shared" si="28"/>
        <v/>
      </c>
    </row>
    <row r="1057" spans="3:9" x14ac:dyDescent="0.3">
      <c r="C1057" s="210"/>
      <c r="D1057" s="210"/>
      <c r="E1057" s="210"/>
      <c r="F1057" s="210"/>
      <c r="G1057" s="210"/>
      <c r="H1057" s="210"/>
      <c r="I1057" s="264" t="str">
        <f t="shared" si="28"/>
        <v/>
      </c>
    </row>
    <row r="1058" spans="3:9" x14ac:dyDescent="0.3">
      <c r="C1058" s="210"/>
      <c r="D1058" s="210"/>
      <c r="E1058" s="210"/>
      <c r="F1058" s="210"/>
      <c r="G1058" s="210"/>
      <c r="H1058" s="210"/>
      <c r="I1058" s="264" t="str">
        <f t="shared" si="28"/>
        <v/>
      </c>
    </row>
    <row r="1059" spans="3:9" x14ac:dyDescent="0.3">
      <c r="C1059" s="210"/>
      <c r="D1059" s="210"/>
      <c r="E1059" s="210"/>
      <c r="F1059" s="210"/>
      <c r="G1059" s="210"/>
      <c r="H1059" s="210"/>
      <c r="I1059" s="264" t="str">
        <f t="shared" si="28"/>
        <v/>
      </c>
    </row>
    <row r="1060" spans="3:9" x14ac:dyDescent="0.3">
      <c r="C1060" s="210"/>
      <c r="D1060" s="210"/>
      <c r="E1060" s="210"/>
      <c r="F1060" s="210"/>
      <c r="G1060" s="210"/>
      <c r="H1060" s="210"/>
      <c r="I1060" s="264" t="str">
        <f t="shared" si="28"/>
        <v/>
      </c>
    </row>
    <row r="1061" spans="3:9" x14ac:dyDescent="0.3">
      <c r="C1061" s="210"/>
      <c r="D1061" s="210"/>
      <c r="E1061" s="210"/>
      <c r="F1061" s="210"/>
      <c r="G1061" s="210"/>
      <c r="H1061" s="210"/>
      <c r="I1061" s="264"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90" zoomScaleNormal="90" workbookViewId="0">
      <selection activeCell="C7" sqref="C7"/>
    </sheetView>
  </sheetViews>
  <sheetFormatPr defaultRowHeight="14.4" x14ac:dyDescent="0.3"/>
  <cols>
    <col min="1" max="1" width="1.33203125" customWidth="1"/>
    <col min="2" max="2" width="30.33203125" customWidth="1"/>
    <col min="3" max="3" width="17.6640625" customWidth="1"/>
    <col min="4" max="4" width="11.6640625" customWidth="1"/>
    <col min="5" max="5" width="11.5546875" customWidth="1"/>
    <col min="6" max="6" width="10.6640625" customWidth="1"/>
    <col min="7" max="7" width="34.6640625" customWidth="1"/>
    <col min="8" max="8" width="11.6640625" customWidth="1"/>
    <col min="12" max="12" width="25.33203125" bestFit="1" customWidth="1"/>
    <col min="13" max="13" width="10.5546875" customWidth="1"/>
    <col min="14" max="14" width="10.33203125" bestFit="1" customWidth="1"/>
    <col min="15" max="15" width="12" bestFit="1" customWidth="1"/>
  </cols>
  <sheetData>
    <row r="1" spans="1:14" s="112" customFormat="1" ht="5.25" customHeight="1" x14ac:dyDescent="0.3">
      <c r="A1" s="113"/>
      <c r="B1" s="175"/>
      <c r="C1" s="175"/>
      <c r="D1" s="175"/>
      <c r="E1" s="175"/>
      <c r="F1" s="175"/>
      <c r="G1" s="175"/>
      <c r="H1" s="175"/>
      <c r="I1" s="175"/>
      <c r="J1" s="175"/>
      <c r="K1" s="175"/>
      <c r="L1" s="175"/>
      <c r="M1" s="175"/>
      <c r="N1" s="176"/>
    </row>
    <row r="2" spans="1:14" s="112" customFormat="1" ht="15.6" x14ac:dyDescent="0.3">
      <c r="A2" s="177"/>
      <c r="B2" s="178" t="str">
        <f>Loan!B2</f>
        <v>The Grove on Southlake</v>
      </c>
      <c r="C2" s="159" t="str">
        <f>'CFS-Main Page'!C2</f>
        <v>Address:</v>
      </c>
      <c r="D2" s="159" t="str">
        <f>'CFS-Main Page'!D2</f>
        <v>7290 Southlake Parkway Morrow, GA, 30260</v>
      </c>
      <c r="E2" s="180"/>
      <c r="F2" s="180"/>
      <c r="G2" s="180"/>
      <c r="H2" s="180"/>
      <c r="I2" s="180"/>
      <c r="J2" s="180"/>
      <c r="K2" s="180"/>
      <c r="L2" s="180"/>
      <c r="M2" s="180"/>
      <c r="N2" s="181"/>
    </row>
    <row r="3" spans="1:14" s="112" customFormat="1" x14ac:dyDescent="0.3">
      <c r="A3" s="177"/>
      <c r="B3" s="180" t="s">
        <v>168</v>
      </c>
      <c r="C3" s="159" t="str">
        <f>'CFS-Main Page'!C3</f>
        <v>Units</v>
      </c>
      <c r="D3" s="159">
        <f>'CFS-Main Page'!D3</f>
        <v>260</v>
      </c>
      <c r="E3" s="180"/>
      <c r="F3" s="180"/>
      <c r="G3" s="180"/>
      <c r="H3" s="180"/>
      <c r="I3" s="180"/>
      <c r="J3" s="180"/>
      <c r="K3" s="180"/>
      <c r="L3" s="180"/>
      <c r="M3" s="180"/>
      <c r="N3" s="181"/>
    </row>
    <row r="4" spans="1:14" s="112" customFormat="1" ht="15" thickBot="1" x14ac:dyDescent="0.35">
      <c r="A4" s="182"/>
      <c r="B4" s="183">
        <f>Loan!B4</f>
        <v>0</v>
      </c>
      <c r="C4" s="186" t="str">
        <f>'CFS-Main Page'!C4</f>
        <v>Year Built/Reno</v>
      </c>
      <c r="D4" s="186">
        <f>'CFS-Main Page'!D4</f>
        <v>2001</v>
      </c>
      <c r="E4" s="183"/>
      <c r="F4" s="183"/>
      <c r="G4" s="183"/>
      <c r="H4" s="183"/>
      <c r="I4" s="183"/>
      <c r="J4" s="183"/>
      <c r="K4" s="183"/>
      <c r="L4" s="183"/>
      <c r="M4" s="183"/>
      <c r="N4" s="185"/>
    </row>
    <row r="5" spans="1:14" ht="15" thickBot="1" x14ac:dyDescent="0.35"/>
    <row r="6" spans="1:14" x14ac:dyDescent="0.3">
      <c r="B6" s="87" t="s">
        <v>169</v>
      </c>
      <c r="C6" s="137" t="s">
        <v>170</v>
      </c>
      <c r="D6" s="137" t="s">
        <v>12</v>
      </c>
      <c r="E6" s="188"/>
    </row>
    <row r="7" spans="1:14" x14ac:dyDescent="0.3">
      <c r="B7" s="224" t="s">
        <v>171</v>
      </c>
      <c r="C7" s="309">
        <f>IF(Loan!C9=0,Loan!C30,Loan!$C$9)</f>
        <v>29890000</v>
      </c>
      <c r="D7" s="309">
        <f>C7/Units</f>
        <v>114961.53846153847</v>
      </c>
      <c r="E7" s="254">
        <f>C7/$C$9</f>
        <v>0.68829891838741397</v>
      </c>
    </row>
    <row r="8" spans="1:14" x14ac:dyDescent="0.3">
      <c r="B8" s="139" t="s">
        <v>172</v>
      </c>
      <c r="C8" s="310">
        <f>C23-C7</f>
        <v>13535900</v>
      </c>
      <c r="D8" s="310">
        <f>C8/Units</f>
        <v>52061.153846153844</v>
      </c>
      <c r="E8" s="254">
        <f>C8/$C$9</f>
        <v>0.31170108161258603</v>
      </c>
    </row>
    <row r="9" spans="1:14" ht="15" thickBot="1" x14ac:dyDescent="0.35">
      <c r="B9" s="190" t="s">
        <v>112</v>
      </c>
      <c r="C9" s="191">
        <f>SUM(C7:C8)</f>
        <v>43425900</v>
      </c>
      <c r="D9" s="191">
        <f>SUM(D7:D8)</f>
        <v>167022.69230769231</v>
      </c>
      <c r="E9" s="194">
        <f>SUM(E7:E8)</f>
        <v>1</v>
      </c>
    </row>
    <row r="10" spans="1:14" ht="15" thickBot="1" x14ac:dyDescent="0.35"/>
    <row r="11" spans="1:14" x14ac:dyDescent="0.3">
      <c r="B11" s="87" t="s">
        <v>173</v>
      </c>
      <c r="C11" s="187" t="s">
        <v>170</v>
      </c>
      <c r="D11" s="137" t="s">
        <v>12</v>
      </c>
      <c r="E11" s="137"/>
      <c r="F11" s="188"/>
    </row>
    <row r="12" spans="1:14" x14ac:dyDescent="0.3">
      <c r="B12" s="224" t="s">
        <v>15</v>
      </c>
      <c r="C12" s="309">
        <f>'CFS-Main Page'!C7</f>
        <v>42700000</v>
      </c>
      <c r="D12" s="311">
        <f t="shared" ref="D12:D22" si="0">C12/Units</f>
        <v>164230.76923076922</v>
      </c>
      <c r="E12" s="189">
        <f>C12/$C$23</f>
        <v>0.98328416912487704</v>
      </c>
      <c r="F12" s="246"/>
    </row>
    <row r="13" spans="1:14" x14ac:dyDescent="0.3">
      <c r="B13" s="139" t="s">
        <v>174</v>
      </c>
      <c r="C13" s="310">
        <f>C7*F13</f>
        <v>298900</v>
      </c>
      <c r="D13" s="312">
        <f t="shared" si="0"/>
        <v>1149.6153846153845</v>
      </c>
      <c r="E13" s="189">
        <f t="shared" ref="E13:E14" si="1">C13/$C$23</f>
        <v>6.8829891838741398E-3</v>
      </c>
      <c r="F13" s="217">
        <v>0.01</v>
      </c>
    </row>
    <row r="14" spans="1:14" x14ac:dyDescent="0.3">
      <c r="B14" s="139" t="s">
        <v>175</v>
      </c>
      <c r="C14" s="310">
        <f>F14*C12</f>
        <v>427000</v>
      </c>
      <c r="D14" s="312">
        <f>C14/Units</f>
        <v>1642.3076923076924</v>
      </c>
      <c r="E14" s="189">
        <f t="shared" si="1"/>
        <v>9.8328416912487702E-3</v>
      </c>
      <c r="F14" s="217">
        <v>0.01</v>
      </c>
    </row>
    <row r="15" spans="1:14" x14ac:dyDescent="0.3">
      <c r="B15" s="139" t="s">
        <v>176</v>
      </c>
      <c r="C15" s="310">
        <f>Rent!H57</f>
        <v>0</v>
      </c>
      <c r="D15" s="312">
        <f>C15/Units</f>
        <v>0</v>
      </c>
      <c r="E15" s="189">
        <f t="shared" ref="E15:E22" si="2">C15/$C$23</f>
        <v>0</v>
      </c>
      <c r="F15" s="246"/>
    </row>
    <row r="16" spans="1:14" x14ac:dyDescent="0.3">
      <c r="B16" s="139" t="s">
        <v>177</v>
      </c>
      <c r="C16" s="218">
        <v>0</v>
      </c>
      <c r="D16" s="312">
        <f t="shared" si="0"/>
        <v>0</v>
      </c>
      <c r="E16" s="189">
        <f t="shared" si="2"/>
        <v>0</v>
      </c>
      <c r="F16" s="246"/>
    </row>
    <row r="17" spans="2:6" x14ac:dyDescent="0.3">
      <c r="B17" s="139" t="s">
        <v>178</v>
      </c>
      <c r="C17" s="218">
        <v>0</v>
      </c>
      <c r="D17" s="312">
        <f t="shared" si="0"/>
        <v>0</v>
      </c>
      <c r="E17" s="189">
        <f t="shared" si="2"/>
        <v>0</v>
      </c>
      <c r="F17" s="246"/>
    </row>
    <row r="18" spans="2:6" x14ac:dyDescent="0.3">
      <c r="B18" s="139" t="s">
        <v>179</v>
      </c>
      <c r="C18" s="218">
        <v>0</v>
      </c>
      <c r="D18" s="312">
        <f t="shared" si="0"/>
        <v>0</v>
      </c>
      <c r="E18" s="189">
        <f t="shared" si="2"/>
        <v>0</v>
      </c>
      <c r="F18" s="246"/>
    </row>
    <row r="19" spans="2:6" x14ac:dyDescent="0.3">
      <c r="B19" s="139" t="s">
        <v>180</v>
      </c>
      <c r="C19" s="218">
        <v>0</v>
      </c>
      <c r="D19" s="312">
        <f t="shared" si="0"/>
        <v>0</v>
      </c>
      <c r="E19" s="189">
        <f t="shared" si="2"/>
        <v>0</v>
      </c>
      <c r="F19" s="246"/>
    </row>
    <row r="20" spans="2:6" x14ac:dyDescent="0.3">
      <c r="B20" s="139" t="s">
        <v>180</v>
      </c>
      <c r="C20" s="218">
        <v>0</v>
      </c>
      <c r="D20" s="312">
        <f t="shared" ref="D20:D21" si="3">C20/Units</f>
        <v>0</v>
      </c>
      <c r="E20" s="189">
        <f t="shared" ref="E20:E21" si="4">C20/$C$23</f>
        <v>0</v>
      </c>
      <c r="F20" s="246"/>
    </row>
    <row r="21" spans="2:6" x14ac:dyDescent="0.3">
      <c r="B21" s="139" t="s">
        <v>180</v>
      </c>
      <c r="C21" s="218">
        <v>0</v>
      </c>
      <c r="D21" s="312">
        <f t="shared" si="3"/>
        <v>0</v>
      </c>
      <c r="E21" s="189">
        <f t="shared" si="4"/>
        <v>0</v>
      </c>
      <c r="F21" s="246"/>
    </row>
    <row r="22" spans="2:6" x14ac:dyDescent="0.3">
      <c r="B22" s="226" t="s">
        <v>180</v>
      </c>
      <c r="C22" s="310">
        <f>C12*F22</f>
        <v>0</v>
      </c>
      <c r="D22" s="313">
        <f t="shared" si="0"/>
        <v>0</v>
      </c>
      <c r="E22" s="189">
        <f t="shared" si="2"/>
        <v>0</v>
      </c>
      <c r="F22" s="217">
        <v>0</v>
      </c>
    </row>
    <row r="23" spans="2:6" ht="15" thickBot="1" x14ac:dyDescent="0.35">
      <c r="B23" s="190" t="s">
        <v>112</v>
      </c>
      <c r="C23" s="191">
        <f>SUM(C12:C22)</f>
        <v>43425900</v>
      </c>
      <c r="D23" s="192">
        <f>SUM(D12:D22)</f>
        <v>167022.69230769228</v>
      </c>
      <c r="E23" s="193">
        <v>1</v>
      </c>
      <c r="F23" s="258"/>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90" zoomScaleNormal="90" workbookViewId="0">
      <pane ySplit="4" topLeftCell="A5" activePane="bottomLeft" state="frozen"/>
      <selection activeCell="C7" sqref="C7"/>
      <selection pane="bottomLeft" activeCell="C7" sqref="C7"/>
    </sheetView>
  </sheetViews>
  <sheetFormatPr defaultColWidth="8.6640625" defaultRowHeight="14.4" x14ac:dyDescent="0.3"/>
  <cols>
    <col min="1" max="1" width="1.33203125" customWidth="1"/>
    <col min="2" max="2" width="30.33203125" customWidth="1"/>
    <col min="3" max="3" width="13.33203125" customWidth="1"/>
    <col min="4" max="4" width="11.6640625" customWidth="1"/>
    <col min="5" max="5" width="11" bestFit="1" customWidth="1"/>
    <col min="6" max="6" width="20" customWidth="1"/>
    <col min="7" max="7" width="16.44140625" customWidth="1"/>
    <col min="8" max="8" width="14.33203125" bestFit="1" customWidth="1"/>
    <col min="9" max="9" width="12.33203125" customWidth="1"/>
    <col min="10" max="10" width="12" customWidth="1"/>
    <col min="11" max="11" width="12.44140625" customWidth="1"/>
    <col min="12" max="12" width="12.6640625" customWidth="1"/>
    <col min="13" max="13" width="11.6640625" customWidth="1"/>
    <col min="14" max="14" width="13.6640625" bestFit="1" customWidth="1"/>
    <col min="15" max="15" width="8.6640625" customWidth="1"/>
  </cols>
  <sheetData>
    <row r="1" spans="1:14" s="112" customFormat="1" ht="5.25" customHeight="1" x14ac:dyDescent="0.3">
      <c r="A1" s="113"/>
      <c r="B1" s="175"/>
      <c r="C1" s="175"/>
      <c r="D1" s="175"/>
      <c r="E1" s="175"/>
      <c r="F1" s="175"/>
      <c r="G1" s="175"/>
      <c r="H1" s="175"/>
      <c r="I1" s="175"/>
      <c r="J1" s="175"/>
      <c r="K1" s="175"/>
      <c r="L1" s="175"/>
      <c r="M1" s="175"/>
      <c r="N1" s="176"/>
    </row>
    <row r="2" spans="1:14" s="112" customFormat="1" ht="15.6" x14ac:dyDescent="0.3">
      <c r="A2" s="177"/>
      <c r="B2" s="178" t="str">
        <f>Rent!B2</f>
        <v>The Grove on Southlake</v>
      </c>
      <c r="C2" s="159" t="str">
        <f>'CFS-Main Page'!C2</f>
        <v>Address:</v>
      </c>
      <c r="D2" s="159" t="str">
        <f>'CFS-Main Page'!D2</f>
        <v>7290 Southlake Parkway Morrow, GA, 30260</v>
      </c>
      <c r="E2" s="180"/>
      <c r="F2" s="180"/>
      <c r="G2" s="180"/>
      <c r="H2" s="180"/>
      <c r="I2" s="180"/>
      <c r="J2" s="180"/>
      <c r="K2" s="180"/>
      <c r="L2" s="180"/>
      <c r="M2" s="180"/>
      <c r="N2" s="181"/>
    </row>
    <row r="3" spans="1:14" s="112" customFormat="1" x14ac:dyDescent="0.3">
      <c r="A3" s="177"/>
      <c r="B3" s="180" t="s">
        <v>132</v>
      </c>
      <c r="C3" s="159" t="str">
        <f>'CFS-Main Page'!C3</f>
        <v>Units</v>
      </c>
      <c r="D3" s="159">
        <f>'CFS-Main Page'!D3</f>
        <v>260</v>
      </c>
      <c r="E3" s="180"/>
      <c r="F3" s="180"/>
      <c r="G3" s="180"/>
      <c r="H3" s="180"/>
      <c r="I3" s="180"/>
      <c r="J3" s="180"/>
      <c r="K3" s="180"/>
      <c r="L3" s="180"/>
      <c r="M3" s="180"/>
      <c r="N3" s="181"/>
    </row>
    <row r="4" spans="1:14" s="112" customFormat="1" ht="15" thickBot="1" x14ac:dyDescent="0.35">
      <c r="A4" s="182"/>
      <c r="B4" s="183">
        <f>Rent!B4</f>
        <v>0</v>
      </c>
      <c r="C4" s="186" t="str">
        <f>'CFS-Main Page'!C4</f>
        <v>Year Built/Reno</v>
      </c>
      <c r="D4" s="186">
        <f>'CFS-Main Page'!D4</f>
        <v>2001</v>
      </c>
      <c r="E4" s="183"/>
      <c r="F4" s="183"/>
      <c r="G4" s="183"/>
      <c r="H4" s="183"/>
      <c r="I4" s="183"/>
      <c r="J4" s="183"/>
      <c r="K4" s="183"/>
      <c r="L4" s="183"/>
      <c r="M4" s="183"/>
      <c r="N4" s="185"/>
    </row>
    <row r="5" spans="1:14" ht="15" thickBot="1" x14ac:dyDescent="0.35"/>
    <row r="6" spans="1:14" x14ac:dyDescent="0.3">
      <c r="B6" s="87" t="s">
        <v>133</v>
      </c>
      <c r="C6" s="281"/>
      <c r="D6" s="282"/>
      <c r="E6" s="282"/>
      <c r="F6" s="282"/>
      <c r="G6" s="282"/>
      <c r="H6" s="282"/>
      <c r="I6" s="282"/>
      <c r="J6" s="282"/>
      <c r="K6" s="282"/>
      <c r="L6" s="282"/>
      <c r="M6" s="282"/>
      <c r="N6" s="283"/>
    </row>
    <row r="7" spans="1:14" x14ac:dyDescent="0.3">
      <c r="B7" s="284" t="s">
        <v>134</v>
      </c>
      <c r="C7" s="84">
        <f>'Sources &amp; Usage'!C23</f>
        <v>43425900</v>
      </c>
      <c r="F7" s="285"/>
      <c r="H7" s="240"/>
      <c r="N7" s="246"/>
    </row>
    <row r="8" spans="1:14" x14ac:dyDescent="0.3">
      <c r="B8" s="138" t="s">
        <v>135</v>
      </c>
      <c r="C8" s="211">
        <v>0.7</v>
      </c>
      <c r="D8" s="377">
        <f>C9/C7</f>
        <v>0.68829891838741397</v>
      </c>
      <c r="F8" s="142"/>
      <c r="H8" s="286"/>
      <c r="I8" s="286"/>
      <c r="N8" s="246"/>
    </row>
    <row r="9" spans="1:14" x14ac:dyDescent="0.3">
      <c r="B9" s="138" t="s">
        <v>136</v>
      </c>
      <c r="C9" s="84">
        <f>IF(C12&gt;0,ROUND('CFS-Main Page'!C7*C8,-4),0)</f>
        <v>29890000</v>
      </c>
      <c r="F9" s="287"/>
      <c r="H9" s="288"/>
      <c r="I9" s="289"/>
      <c r="N9" s="246"/>
    </row>
    <row r="10" spans="1:14" x14ac:dyDescent="0.3">
      <c r="B10" s="138" t="s">
        <v>137</v>
      </c>
      <c r="C10" s="84">
        <f>C9*D10</f>
        <v>298900</v>
      </c>
      <c r="D10" s="356">
        <f>'Sources &amp; Usage'!F13</f>
        <v>0.01</v>
      </c>
      <c r="F10" s="287"/>
      <c r="H10" s="288"/>
      <c r="I10" s="289"/>
      <c r="N10" s="246"/>
    </row>
    <row r="11" spans="1:14" x14ac:dyDescent="0.3">
      <c r="B11" s="138" t="s">
        <v>138</v>
      </c>
      <c r="C11" s="213">
        <v>30</v>
      </c>
      <c r="H11" s="286"/>
      <c r="N11" s="246"/>
    </row>
    <row r="12" spans="1:14" x14ac:dyDescent="0.3">
      <c r="B12" s="138" t="s">
        <v>139</v>
      </c>
      <c r="C12" s="101">
        <f>'CFS-Main Page'!C13</f>
        <v>5</v>
      </c>
      <c r="D12" s="143" t="s">
        <v>140</v>
      </c>
      <c r="N12" s="246"/>
    </row>
    <row r="13" spans="1:14" x14ac:dyDescent="0.3">
      <c r="B13" s="138" t="s">
        <v>141</v>
      </c>
      <c r="C13" s="527">
        <f>4.007%+1.4%</f>
        <v>5.4069999999999993E-2</v>
      </c>
      <c r="N13" s="246"/>
    </row>
    <row r="14" spans="1:14" x14ac:dyDescent="0.3">
      <c r="B14" s="138" t="s">
        <v>142</v>
      </c>
      <c r="C14" s="528">
        <v>3</v>
      </c>
      <c r="N14" s="246"/>
    </row>
    <row r="15" spans="1:14" x14ac:dyDescent="0.3">
      <c r="B15" s="138" t="s">
        <v>143</v>
      </c>
      <c r="C15" s="290">
        <f>-PMT(C13/12,C11*12,1)*12</f>
        <v>6.7436139135329753E-2</v>
      </c>
      <c r="G15" s="291"/>
      <c r="N15" s="246"/>
    </row>
    <row r="16" spans="1:14" ht="15" thickBot="1" x14ac:dyDescent="0.35">
      <c r="B16" s="292" t="s">
        <v>144</v>
      </c>
      <c r="C16" s="141">
        <f>C15*C9</f>
        <v>2015666.1987550063</v>
      </c>
      <c r="N16" s="246"/>
    </row>
    <row r="17" spans="2:14" x14ac:dyDescent="0.3">
      <c r="B17" s="87" t="s">
        <v>145</v>
      </c>
      <c r="C17" s="281"/>
      <c r="D17" s="88">
        <v>0</v>
      </c>
      <c r="E17" s="89">
        <v>1</v>
      </c>
      <c r="F17" s="89">
        <v>2</v>
      </c>
      <c r="G17" s="89">
        <v>3</v>
      </c>
      <c r="H17" s="89">
        <v>4</v>
      </c>
      <c r="I17" s="89">
        <v>5</v>
      </c>
      <c r="J17" s="89">
        <v>6</v>
      </c>
      <c r="K17" s="89">
        <v>7</v>
      </c>
      <c r="L17" s="89">
        <v>8</v>
      </c>
      <c r="M17" s="89">
        <v>9</v>
      </c>
      <c r="N17" s="90">
        <v>10</v>
      </c>
    </row>
    <row r="18" spans="2:14" x14ac:dyDescent="0.3">
      <c r="B18" s="274" t="s">
        <v>146</v>
      </c>
      <c r="C18" s="231"/>
      <c r="D18" s="231"/>
      <c r="E18" s="91">
        <f>D23</f>
        <v>29890000</v>
      </c>
      <c r="F18" s="91">
        <f t="shared" ref="F18:N18" si="0">E23</f>
        <v>29890000</v>
      </c>
      <c r="G18" s="91">
        <f t="shared" si="0"/>
        <v>29890000</v>
      </c>
      <c r="H18" s="91">
        <f t="shared" si="0"/>
        <v>29890000</v>
      </c>
      <c r="I18" s="91">
        <f t="shared" si="0"/>
        <v>29490486.101244994</v>
      </c>
      <c r="J18" s="91">
        <f t="shared" si="0"/>
        <v>0</v>
      </c>
      <c r="K18" s="91">
        <f t="shared" si="0"/>
        <v>0</v>
      </c>
      <c r="L18" s="91">
        <f t="shared" si="0"/>
        <v>0</v>
      </c>
      <c r="M18" s="91">
        <f t="shared" si="0"/>
        <v>0</v>
      </c>
      <c r="N18" s="92">
        <f t="shared" si="0"/>
        <v>0</v>
      </c>
    </row>
    <row r="19" spans="2:14" x14ac:dyDescent="0.3">
      <c r="B19" s="274" t="s">
        <v>147</v>
      </c>
      <c r="C19" s="231"/>
      <c r="D19" s="231"/>
      <c r="E19" s="91">
        <f>IF(E17&gt;$C$12,0,E18*$C$13)</f>
        <v>1616152.2999999998</v>
      </c>
      <c r="F19" s="91">
        <f t="shared" ref="F19:N19" si="1">IF(F17&gt;$C$12,0,F18*$C$13)</f>
        <v>1616152.2999999998</v>
      </c>
      <c r="G19" s="91">
        <f t="shared" si="1"/>
        <v>1616152.2999999998</v>
      </c>
      <c r="H19" s="91">
        <f t="shared" si="1"/>
        <v>1616152.2999999998</v>
      </c>
      <c r="I19" s="91">
        <f t="shared" si="1"/>
        <v>1594550.5834943166</v>
      </c>
      <c r="J19" s="91">
        <f t="shared" si="1"/>
        <v>0</v>
      </c>
      <c r="K19" s="91">
        <f t="shared" si="1"/>
        <v>0</v>
      </c>
      <c r="L19" s="91">
        <f t="shared" si="1"/>
        <v>0</v>
      </c>
      <c r="M19" s="91">
        <f t="shared" si="1"/>
        <v>0</v>
      </c>
      <c r="N19" s="92">
        <f t="shared" si="1"/>
        <v>0</v>
      </c>
    </row>
    <row r="20" spans="2:14" x14ac:dyDescent="0.3">
      <c r="B20" s="274" t="s">
        <v>148</v>
      </c>
      <c r="C20" s="231"/>
      <c r="D20" s="231"/>
      <c r="E20" s="91">
        <f t="shared" ref="E20:N20" si="2">IF(OR(E17&lt;=$C$14,E17&gt;$C$12),0,$C$16-E19)</f>
        <v>0</v>
      </c>
      <c r="F20" s="91">
        <f t="shared" si="2"/>
        <v>0</v>
      </c>
      <c r="G20" s="91">
        <f t="shared" si="2"/>
        <v>0</v>
      </c>
      <c r="H20" s="91">
        <f t="shared" si="2"/>
        <v>399513.89875500649</v>
      </c>
      <c r="I20" s="91">
        <f t="shared" si="2"/>
        <v>421115.61526068975</v>
      </c>
      <c r="J20" s="91">
        <f t="shared" si="2"/>
        <v>0</v>
      </c>
      <c r="K20" s="91">
        <f t="shared" si="2"/>
        <v>0</v>
      </c>
      <c r="L20" s="91">
        <f t="shared" si="2"/>
        <v>0</v>
      </c>
      <c r="M20" s="91">
        <f t="shared" si="2"/>
        <v>0</v>
      </c>
      <c r="N20" s="92">
        <f t="shared" si="2"/>
        <v>0</v>
      </c>
    </row>
    <row r="21" spans="2:14" x14ac:dyDescent="0.3">
      <c r="B21" s="274" t="s">
        <v>84</v>
      </c>
      <c r="C21" s="231"/>
      <c r="D21" s="231"/>
      <c r="E21" s="91">
        <f>IF(E17=$C$12,E18-E20,0)</f>
        <v>0</v>
      </c>
      <c r="F21" s="91">
        <f t="shared" ref="F21:N21" si="3">IF(F17=$C$12,F18-F20,0)</f>
        <v>0</v>
      </c>
      <c r="G21" s="91">
        <f t="shared" si="3"/>
        <v>0</v>
      </c>
      <c r="H21" s="91">
        <f t="shared" si="3"/>
        <v>0</v>
      </c>
      <c r="I21" s="91">
        <f t="shared" si="3"/>
        <v>29069370.485984303</v>
      </c>
      <c r="J21" s="91">
        <f t="shared" si="3"/>
        <v>0</v>
      </c>
      <c r="K21" s="91">
        <f t="shared" si="3"/>
        <v>0</v>
      </c>
      <c r="L21" s="91">
        <f t="shared" si="3"/>
        <v>0</v>
      </c>
      <c r="M21" s="91">
        <f t="shared" si="3"/>
        <v>0</v>
      </c>
      <c r="N21" s="92">
        <f t="shared" si="3"/>
        <v>0</v>
      </c>
    </row>
    <row r="22" spans="2:14" x14ac:dyDescent="0.3">
      <c r="B22" s="293" t="s">
        <v>149</v>
      </c>
      <c r="C22" s="294"/>
      <c r="D22" s="294"/>
      <c r="E22" s="295">
        <f>SUM(E19:E20)</f>
        <v>1616152.2999999998</v>
      </c>
      <c r="F22" s="295">
        <f t="shared" ref="F22:N22" si="4">SUM(F19:F20)</f>
        <v>1616152.2999999998</v>
      </c>
      <c r="G22" s="295">
        <f t="shared" si="4"/>
        <v>1616152.2999999998</v>
      </c>
      <c r="H22" s="295">
        <f t="shared" si="4"/>
        <v>2015666.1987550063</v>
      </c>
      <c r="I22" s="295">
        <f t="shared" si="4"/>
        <v>2015666.1987550063</v>
      </c>
      <c r="J22" s="295">
        <f t="shared" si="4"/>
        <v>0</v>
      </c>
      <c r="K22" s="295">
        <f t="shared" si="4"/>
        <v>0</v>
      </c>
      <c r="L22" s="295">
        <f t="shared" si="4"/>
        <v>0</v>
      </c>
      <c r="M22" s="295">
        <f t="shared" si="4"/>
        <v>0</v>
      </c>
      <c r="N22" s="296">
        <f t="shared" si="4"/>
        <v>0</v>
      </c>
    </row>
    <row r="23" spans="2:14" ht="15" thickBot="1" x14ac:dyDescent="0.35">
      <c r="B23" s="297" t="s">
        <v>150</v>
      </c>
      <c r="C23" s="298"/>
      <c r="D23" s="144">
        <f>C9</f>
        <v>29890000</v>
      </c>
      <c r="E23" s="144">
        <f t="shared" ref="E23:N23" si="5">E18-E20-E21</f>
        <v>29890000</v>
      </c>
      <c r="F23" s="144">
        <f t="shared" si="5"/>
        <v>29890000</v>
      </c>
      <c r="G23" s="144">
        <f t="shared" si="5"/>
        <v>29890000</v>
      </c>
      <c r="H23" s="144">
        <f t="shared" si="5"/>
        <v>29490486.101244994</v>
      </c>
      <c r="I23" s="144">
        <f t="shared" si="5"/>
        <v>0</v>
      </c>
      <c r="J23" s="144">
        <f t="shared" si="5"/>
        <v>0</v>
      </c>
      <c r="K23" s="144">
        <f t="shared" si="5"/>
        <v>0</v>
      </c>
      <c r="L23" s="144">
        <f t="shared" si="5"/>
        <v>0</v>
      </c>
      <c r="M23" s="144">
        <f t="shared" si="5"/>
        <v>0</v>
      </c>
      <c r="N23" s="145">
        <f t="shared" si="5"/>
        <v>0</v>
      </c>
    </row>
    <row r="24" spans="2:14" ht="15" thickBot="1" x14ac:dyDescent="0.35"/>
    <row r="25" spans="2:14" x14ac:dyDescent="0.3">
      <c r="B25" s="87" t="s">
        <v>151</v>
      </c>
      <c r="C25" s="281"/>
      <c r="D25" s="282"/>
      <c r="E25" s="282"/>
      <c r="F25" s="282"/>
      <c r="G25" s="216" t="s">
        <v>152</v>
      </c>
      <c r="H25" s="299"/>
      <c r="I25" s="282"/>
      <c r="J25" s="282"/>
      <c r="K25" s="282"/>
      <c r="L25" s="282"/>
      <c r="M25" s="282"/>
      <c r="N25" s="283"/>
    </row>
    <row r="26" spans="2:14" x14ac:dyDescent="0.3">
      <c r="B26" s="284" t="s">
        <v>153</v>
      </c>
      <c r="C26" s="84">
        <f>'Sources &amp; Usage'!C23</f>
        <v>43425900</v>
      </c>
      <c r="G26" s="83" t="s">
        <v>154</v>
      </c>
      <c r="H26" s="215">
        <f>C12</f>
        <v>5</v>
      </c>
      <c r="N26" s="246"/>
    </row>
    <row r="27" spans="2:14" x14ac:dyDescent="0.3">
      <c r="B27" s="300"/>
      <c r="C27" s="108"/>
      <c r="G27" s="83" t="str">
        <f>CONCATENATE("Year ", H26," NOI")</f>
        <v>Year 5 NOI</v>
      </c>
      <c r="H27" s="84" cm="1">
        <f t="array" ref="H27">IF(H26&lt;1,0,INDEX('CFS-Main Page'!I63:S63,Loan!$H$26))</f>
        <v>2530775.9201353588</v>
      </c>
      <c r="N27" s="246"/>
    </row>
    <row r="28" spans="2:14" x14ac:dyDescent="0.3">
      <c r="B28" s="300" t="s">
        <v>135</v>
      </c>
      <c r="C28" s="211">
        <v>0.8</v>
      </c>
      <c r="G28" s="83" t="s">
        <v>155</v>
      </c>
      <c r="H28" s="214">
        <v>1.25</v>
      </c>
      <c r="N28" s="246"/>
    </row>
    <row r="29" spans="2:14" x14ac:dyDescent="0.3">
      <c r="B29" s="138" t="s">
        <v>156</v>
      </c>
      <c r="C29" s="86">
        <f>C30/C26</f>
        <v>0</v>
      </c>
      <c r="G29" s="83"/>
      <c r="H29" s="85"/>
      <c r="N29" s="246"/>
    </row>
    <row r="30" spans="2:14" x14ac:dyDescent="0.3">
      <c r="B30" s="138" t="s">
        <v>136</v>
      </c>
      <c r="C30" s="378">
        <v>0</v>
      </c>
      <c r="D30" s="663" t="s">
        <v>157</v>
      </c>
      <c r="E30" s="664"/>
      <c r="F30" s="665"/>
      <c r="G30" s="83" t="s">
        <v>158</v>
      </c>
      <c r="H30" s="290">
        <f>-PMT(C33/12,C31*12,1)*12</f>
        <v>7.5848162819155657E-2</v>
      </c>
      <c r="N30" s="246"/>
    </row>
    <row r="31" spans="2:14" x14ac:dyDescent="0.3">
      <c r="B31" s="138" t="s">
        <v>138</v>
      </c>
      <c r="C31" s="213">
        <v>30</v>
      </c>
      <c r="D31" s="663"/>
      <c r="E31" s="664"/>
      <c r="F31" s="665"/>
      <c r="G31" s="83" t="s">
        <v>159</v>
      </c>
      <c r="H31" s="84">
        <f>IF(H26=0,C30*H30,H27/H28)</f>
        <v>2024620.736108287</v>
      </c>
      <c r="N31" s="246"/>
    </row>
    <row r="32" spans="2:14" x14ac:dyDescent="0.3">
      <c r="B32" s="138" t="s">
        <v>160</v>
      </c>
      <c r="C32" s="101">
        <f>IF(H26&gt;0,MIN('CFS-Main Page'!C13+$H$26,N35),'CFS-Main Page'!C13)</f>
        <v>10</v>
      </c>
      <c r="G32" s="83" t="s">
        <v>161</v>
      </c>
      <c r="H32" s="84">
        <f>ROUND(H31/H30,-4)</f>
        <v>26690000</v>
      </c>
      <c r="N32" s="246"/>
    </row>
    <row r="33" spans="2:14" x14ac:dyDescent="0.3">
      <c r="B33" s="138" t="s">
        <v>141</v>
      </c>
      <c r="C33" s="211">
        <v>6.5000000000000002E-2</v>
      </c>
      <c r="G33" s="301" t="s">
        <v>162</v>
      </c>
      <c r="H33" s="84">
        <f>SUM(E21:N21)</f>
        <v>29069370.485984303</v>
      </c>
      <c r="N33" s="246"/>
    </row>
    <row r="34" spans="2:14" ht="15" thickBot="1" x14ac:dyDescent="0.35">
      <c r="B34" s="302" t="s">
        <v>142</v>
      </c>
      <c r="C34" s="212">
        <v>10</v>
      </c>
      <c r="G34" s="255"/>
      <c r="H34" s="303"/>
      <c r="N34" s="246"/>
    </row>
    <row r="35" spans="2:14" x14ac:dyDescent="0.3">
      <c r="B35" s="87" t="s">
        <v>163</v>
      </c>
      <c r="C35" s="281"/>
      <c r="D35" s="88">
        <v>0</v>
      </c>
      <c r="E35" s="89">
        <v>1</v>
      </c>
      <c r="F35" s="89">
        <v>2</v>
      </c>
      <c r="G35" s="89">
        <v>3</v>
      </c>
      <c r="H35" s="89">
        <v>4</v>
      </c>
      <c r="I35" s="89">
        <v>5</v>
      </c>
      <c r="J35" s="89">
        <v>6</v>
      </c>
      <c r="K35" s="89">
        <v>7</v>
      </c>
      <c r="L35" s="89">
        <v>8</v>
      </c>
      <c r="M35" s="89">
        <v>9</v>
      </c>
      <c r="N35" s="90">
        <v>10</v>
      </c>
    </row>
    <row r="36" spans="2:14" x14ac:dyDescent="0.3">
      <c r="B36" s="274" t="s">
        <v>146</v>
      </c>
      <c r="C36" s="231"/>
      <c r="D36" s="231"/>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x14ac:dyDescent="0.3">
      <c r="B37" s="274" t="s">
        <v>147</v>
      </c>
      <c r="C37" s="231"/>
      <c r="D37" s="231"/>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x14ac:dyDescent="0.3">
      <c r="B38" s="274" t="s">
        <v>164</v>
      </c>
      <c r="C38" s="231"/>
      <c r="D38" s="231"/>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x14ac:dyDescent="0.3">
      <c r="B39" s="274" t="s">
        <v>84</v>
      </c>
      <c r="C39" s="231"/>
      <c r="D39" s="231"/>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x14ac:dyDescent="0.3">
      <c r="B40" s="293" t="s">
        <v>149</v>
      </c>
      <c r="C40" s="294"/>
      <c r="D40" s="294"/>
      <c r="E40" s="295">
        <f>E37+E38</f>
        <v>0</v>
      </c>
      <c r="F40" s="295">
        <f t="shared" ref="F40:N40" si="10">F37+F38</f>
        <v>0</v>
      </c>
      <c r="G40" s="295">
        <f t="shared" si="10"/>
        <v>0</v>
      </c>
      <c r="H40" s="295">
        <f t="shared" si="10"/>
        <v>0</v>
      </c>
      <c r="I40" s="295">
        <f t="shared" si="10"/>
        <v>0</v>
      </c>
      <c r="J40" s="295">
        <f t="shared" si="10"/>
        <v>0</v>
      </c>
      <c r="K40" s="295">
        <f t="shared" si="10"/>
        <v>0</v>
      </c>
      <c r="L40" s="295">
        <f t="shared" si="10"/>
        <v>0</v>
      </c>
      <c r="M40" s="295">
        <f t="shared" si="10"/>
        <v>0</v>
      </c>
      <c r="N40" s="296">
        <f t="shared" si="10"/>
        <v>0</v>
      </c>
    </row>
    <row r="41" spans="2:14" ht="15" thickBot="1" x14ac:dyDescent="0.35">
      <c r="B41" s="304" t="s">
        <v>150</v>
      </c>
      <c r="C41" s="305"/>
      <c r="D41" s="120">
        <f>IF(H26&gt;0,0,C30)</f>
        <v>0</v>
      </c>
      <c r="E41" s="120">
        <f>E$36-E$38-E$39</f>
        <v>0</v>
      </c>
      <c r="F41" s="120">
        <f t="shared" ref="F41:N41" si="11">F$36-F$38-F$39</f>
        <v>0</v>
      </c>
      <c r="G41" s="120">
        <f t="shared" si="11"/>
        <v>0</v>
      </c>
      <c r="H41" s="120">
        <f t="shared" si="11"/>
        <v>0</v>
      </c>
      <c r="I41" s="120">
        <f t="shared" si="11"/>
        <v>0</v>
      </c>
      <c r="J41" s="120">
        <f t="shared" si="11"/>
        <v>0</v>
      </c>
      <c r="K41" s="120">
        <f t="shared" si="11"/>
        <v>0</v>
      </c>
      <c r="L41" s="120">
        <f t="shared" si="11"/>
        <v>0</v>
      </c>
      <c r="M41" s="120">
        <f t="shared" si="11"/>
        <v>0</v>
      </c>
      <c r="N41" s="121">
        <f t="shared" si="11"/>
        <v>0</v>
      </c>
    </row>
    <row r="42" spans="2:14" ht="15.6" thickTop="1" thickBot="1" x14ac:dyDescent="0.35">
      <c r="D42" s="80"/>
      <c r="E42" s="80"/>
      <c r="F42" s="80"/>
      <c r="G42" s="80"/>
      <c r="H42" s="80"/>
      <c r="I42" s="80"/>
      <c r="J42" s="80"/>
      <c r="K42" s="80"/>
      <c r="L42" s="80"/>
      <c r="M42" s="80"/>
      <c r="N42" s="80"/>
    </row>
    <row r="43" spans="2:14" x14ac:dyDescent="0.3">
      <c r="B43" s="306" t="s">
        <v>165</v>
      </c>
      <c r="C43" s="282"/>
      <c r="D43" s="114"/>
      <c r="E43" s="114">
        <f t="shared" ref="E43:N43" si="12">E20+E38</f>
        <v>0</v>
      </c>
      <c r="F43" s="114">
        <f t="shared" si="12"/>
        <v>0</v>
      </c>
      <c r="G43" s="114">
        <f t="shared" si="12"/>
        <v>0</v>
      </c>
      <c r="H43" s="114">
        <f t="shared" si="12"/>
        <v>399513.89875500649</v>
      </c>
      <c r="I43" s="114">
        <f t="shared" si="12"/>
        <v>421115.61526068975</v>
      </c>
      <c r="J43" s="114">
        <f t="shared" si="12"/>
        <v>0</v>
      </c>
      <c r="K43" s="114">
        <f t="shared" si="12"/>
        <v>0</v>
      </c>
      <c r="L43" s="114">
        <f t="shared" si="12"/>
        <v>0</v>
      </c>
      <c r="M43" s="114">
        <f t="shared" si="12"/>
        <v>0</v>
      </c>
      <c r="N43" s="115">
        <f t="shared" si="12"/>
        <v>0</v>
      </c>
    </row>
    <row r="44" spans="2:14" x14ac:dyDescent="0.3">
      <c r="B44" s="138" t="s">
        <v>166</v>
      </c>
      <c r="D44" s="116"/>
      <c r="E44" s="116">
        <f t="shared" ref="E44:N44" si="13">E21+E39-(IF(E21&gt;0,F36,0))</f>
        <v>0</v>
      </c>
      <c r="F44" s="116">
        <f t="shared" si="13"/>
        <v>0</v>
      </c>
      <c r="G44" s="116">
        <f t="shared" si="13"/>
        <v>0</v>
      </c>
      <c r="H44" s="116">
        <f t="shared" si="13"/>
        <v>0</v>
      </c>
      <c r="I44" s="116">
        <f t="shared" si="13"/>
        <v>29069370.485984303</v>
      </c>
      <c r="J44" s="116">
        <f t="shared" si="13"/>
        <v>0</v>
      </c>
      <c r="K44" s="116">
        <f t="shared" si="13"/>
        <v>0</v>
      </c>
      <c r="L44" s="116">
        <f t="shared" si="13"/>
        <v>0</v>
      </c>
      <c r="M44" s="116">
        <f t="shared" si="13"/>
        <v>0</v>
      </c>
      <c r="N44" s="117">
        <f t="shared" si="13"/>
        <v>0</v>
      </c>
    </row>
    <row r="45" spans="2:14" x14ac:dyDescent="0.3">
      <c r="B45" s="138" t="s">
        <v>167</v>
      </c>
      <c r="D45" s="116">
        <f t="shared" ref="D45:N45" si="14">D37+D19</f>
        <v>0</v>
      </c>
      <c r="E45" s="116">
        <f t="shared" si="14"/>
        <v>1616152.2999999998</v>
      </c>
      <c r="F45" s="116">
        <f t="shared" si="14"/>
        <v>1616152.2999999998</v>
      </c>
      <c r="G45" s="116">
        <f t="shared" si="14"/>
        <v>1616152.2999999998</v>
      </c>
      <c r="H45" s="116">
        <f t="shared" si="14"/>
        <v>1616152.2999999998</v>
      </c>
      <c r="I45" s="116">
        <f t="shared" si="14"/>
        <v>1594550.5834943166</v>
      </c>
      <c r="J45" s="116">
        <f t="shared" si="14"/>
        <v>0</v>
      </c>
      <c r="K45" s="116">
        <f t="shared" si="14"/>
        <v>0</v>
      </c>
      <c r="L45" s="116">
        <f t="shared" si="14"/>
        <v>0</v>
      </c>
      <c r="M45" s="116">
        <f t="shared" si="14"/>
        <v>0</v>
      </c>
      <c r="N45" s="117">
        <f t="shared" si="14"/>
        <v>0</v>
      </c>
    </row>
    <row r="46" spans="2:14" ht="15" thickBot="1" x14ac:dyDescent="0.35">
      <c r="B46" s="307" t="s">
        <v>159</v>
      </c>
      <c r="C46" s="308"/>
      <c r="D46" s="118">
        <f>D45</f>
        <v>0</v>
      </c>
      <c r="E46" s="118">
        <f>E45+E43</f>
        <v>1616152.2999999998</v>
      </c>
      <c r="F46" s="118">
        <f t="shared" ref="F46:N46" si="15">F45+F43</f>
        <v>1616152.2999999998</v>
      </c>
      <c r="G46" s="118">
        <f t="shared" si="15"/>
        <v>1616152.2999999998</v>
      </c>
      <c r="H46" s="118">
        <f t="shared" si="15"/>
        <v>2015666.1987550063</v>
      </c>
      <c r="I46" s="118">
        <f t="shared" si="15"/>
        <v>2015666.1987550063</v>
      </c>
      <c r="J46" s="118">
        <f t="shared" si="15"/>
        <v>0</v>
      </c>
      <c r="K46" s="118">
        <f t="shared" si="15"/>
        <v>0</v>
      </c>
      <c r="L46" s="118">
        <f t="shared" si="15"/>
        <v>0</v>
      </c>
      <c r="M46" s="118">
        <f t="shared" si="15"/>
        <v>0</v>
      </c>
      <c r="N46" s="119">
        <f t="shared" si="15"/>
        <v>0</v>
      </c>
    </row>
    <row r="47" spans="2:14" ht="15" thickTop="1" x14ac:dyDescent="0.3">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topLeftCell="A4" zoomScale="90" zoomScaleNormal="90" workbookViewId="0">
      <selection activeCell="C7" sqref="C7"/>
    </sheetView>
  </sheetViews>
  <sheetFormatPr defaultRowHeight="14.4" outlineLevelCol="1" x14ac:dyDescent="0.3"/>
  <cols>
    <col min="1" max="1" width="1.33203125" customWidth="1"/>
    <col min="2" max="2" width="5.33203125" style="264" customWidth="1"/>
    <col min="3" max="3" width="44" style="352" bestFit="1" customWidth="1"/>
    <col min="4" max="15" width="15.33203125" style="351" hidden="1" customWidth="1" outlineLevel="1"/>
    <col min="16" max="16" width="2.33203125" customWidth="1" collapsed="1"/>
    <col min="17" max="17" width="18.88671875" style="351" bestFit="1" customWidth="1"/>
    <col min="18" max="18" width="17.6640625" style="351" bestFit="1" customWidth="1"/>
    <col min="19" max="19" width="1.33203125" customWidth="1"/>
    <col min="20" max="20" width="38.44140625" bestFit="1" customWidth="1"/>
    <col min="21" max="21" width="5.109375" bestFit="1" customWidth="1"/>
    <col min="22" max="22" width="43.33203125" bestFit="1" customWidth="1"/>
    <col min="23" max="24" width="18.33203125" bestFit="1" customWidth="1"/>
    <col min="25" max="25" width="11.6640625" bestFit="1" customWidth="1"/>
    <col min="27" max="27" width="12.33203125" bestFit="1" customWidth="1"/>
  </cols>
  <sheetData>
    <row r="1" spans="1:26" s="112" customFormat="1" ht="5.25" customHeight="1" x14ac:dyDescent="0.3">
      <c r="A1" s="113"/>
      <c r="B1" s="173"/>
      <c r="C1" s="174"/>
      <c r="D1" s="175"/>
      <c r="E1" s="175"/>
      <c r="F1" s="175"/>
      <c r="G1" s="175"/>
      <c r="H1" s="175"/>
      <c r="I1" s="175"/>
      <c r="J1" s="175"/>
      <c r="K1" s="175"/>
      <c r="L1" s="175"/>
      <c r="M1" s="175"/>
      <c r="N1" s="175"/>
      <c r="O1" s="175"/>
      <c r="P1" s="175"/>
      <c r="Q1" s="175"/>
      <c r="R1" s="175"/>
      <c r="S1" s="175"/>
      <c r="T1" s="175"/>
      <c r="U1" s="175"/>
      <c r="V1" s="175"/>
      <c r="W1" s="175"/>
      <c r="X1" s="175"/>
      <c r="Y1" s="176"/>
    </row>
    <row r="2" spans="1:26" s="112" customFormat="1" ht="15.6" x14ac:dyDescent="0.3">
      <c r="A2" s="177"/>
      <c r="B2" s="178" t="str">
        <f>'Sources &amp; Usage'!B2</f>
        <v>The Grove on Southlake</v>
      </c>
      <c r="C2" s="179"/>
      <c r="D2" s="159"/>
      <c r="E2" s="159"/>
      <c r="F2" s="159"/>
      <c r="G2" s="159"/>
      <c r="H2" s="159"/>
      <c r="I2" s="159"/>
      <c r="J2" s="159"/>
      <c r="K2" s="159"/>
      <c r="L2" s="159"/>
      <c r="M2" s="159"/>
      <c r="N2" s="159"/>
      <c r="O2" s="159"/>
      <c r="P2" s="159"/>
      <c r="Q2" s="159"/>
      <c r="R2" s="159"/>
      <c r="S2" s="180"/>
      <c r="T2" s="180"/>
      <c r="U2" s="180"/>
      <c r="V2" s="180"/>
      <c r="W2" s="180"/>
      <c r="X2" s="180"/>
      <c r="Y2" s="181"/>
    </row>
    <row r="3" spans="1:26" s="112" customFormat="1" x14ac:dyDescent="0.3">
      <c r="A3" s="177"/>
      <c r="B3" s="180" t="s">
        <v>181</v>
      </c>
      <c r="C3" s="179"/>
      <c r="D3" s="180"/>
      <c r="E3" s="180"/>
      <c r="F3" s="180"/>
      <c r="G3" s="180"/>
      <c r="H3" s="180"/>
      <c r="I3" s="180"/>
      <c r="J3" s="180"/>
      <c r="K3" s="180"/>
      <c r="L3" s="180"/>
      <c r="M3" s="180"/>
      <c r="N3" s="180"/>
      <c r="O3" s="180"/>
      <c r="P3" s="180"/>
      <c r="Q3" s="180"/>
      <c r="R3" s="180"/>
      <c r="S3" s="180"/>
      <c r="T3" s="180"/>
      <c r="U3" s="180"/>
      <c r="V3" s="180"/>
      <c r="W3" s="180"/>
      <c r="X3" s="180"/>
      <c r="Y3" s="181"/>
    </row>
    <row r="4" spans="1:26" s="112" customFormat="1" ht="15" thickBot="1" x14ac:dyDescent="0.35">
      <c r="A4" s="182"/>
      <c r="B4" s="183">
        <f>'Sources &amp; Usage'!B4</f>
        <v>0</v>
      </c>
      <c r="C4" s="184"/>
      <c r="D4" s="183"/>
      <c r="E4" s="183"/>
      <c r="F4" s="183"/>
      <c r="G4" s="183"/>
      <c r="H4" s="183"/>
      <c r="I4" s="183"/>
      <c r="J4" s="183"/>
      <c r="K4" s="183"/>
      <c r="L4" s="183"/>
      <c r="M4" s="183"/>
      <c r="N4" s="183"/>
      <c r="O4" s="183"/>
      <c r="P4" s="183"/>
      <c r="Q4" s="183"/>
      <c r="R4" s="183"/>
      <c r="S4" s="183"/>
      <c r="T4" s="183"/>
      <c r="U4" s="183"/>
      <c r="V4" s="183"/>
      <c r="W4" s="183"/>
      <c r="X4" s="183"/>
      <c r="Y4" s="185"/>
    </row>
    <row r="5" spans="1:26" x14ac:dyDescent="0.3">
      <c r="C5" s="314"/>
      <c r="D5" s="315">
        <f>1</f>
        <v>1</v>
      </c>
      <c r="E5" s="315">
        <f>D5+1</f>
        <v>2</v>
      </c>
      <c r="F5" s="315">
        <f t="shared" ref="F5:O5" si="0">E5+1</f>
        <v>3</v>
      </c>
      <c r="G5" s="315">
        <f t="shared" si="0"/>
        <v>4</v>
      </c>
      <c r="H5" s="315">
        <f t="shared" si="0"/>
        <v>5</v>
      </c>
      <c r="I5" s="315">
        <f t="shared" si="0"/>
        <v>6</v>
      </c>
      <c r="J5" s="315">
        <f t="shared" si="0"/>
        <v>7</v>
      </c>
      <c r="K5" s="315">
        <f t="shared" si="0"/>
        <v>8</v>
      </c>
      <c r="L5" s="315">
        <f t="shared" si="0"/>
        <v>9</v>
      </c>
      <c r="M5" s="315">
        <f t="shared" si="0"/>
        <v>10</v>
      </c>
      <c r="N5" s="315">
        <f t="shared" si="0"/>
        <v>11</v>
      </c>
      <c r="O5" s="315">
        <f t="shared" si="0"/>
        <v>12</v>
      </c>
      <c r="Q5"/>
      <c r="R5"/>
      <c r="U5" s="112"/>
      <c r="V5" s="112"/>
      <c r="W5" s="112"/>
      <c r="X5" s="112"/>
      <c r="Y5" s="112"/>
      <c r="Z5" s="112"/>
    </row>
    <row r="6" spans="1:26" x14ac:dyDescent="0.3">
      <c r="B6" s="330"/>
      <c r="C6" s="331" t="str">
        <f>"T12 ending "&amp;TEXT(O6,"mmm-yy")</f>
        <v>T12 ending Feb-26</v>
      </c>
      <c r="D6" s="332">
        <v>45741</v>
      </c>
      <c r="E6" s="333">
        <f>EOMONTH(D6,1)</f>
        <v>45777</v>
      </c>
      <c r="F6" s="333">
        <f t="shared" ref="F6:O6" si="1">EOMONTH(E6,1)</f>
        <v>45808</v>
      </c>
      <c r="G6" s="333">
        <f t="shared" si="1"/>
        <v>45838</v>
      </c>
      <c r="H6" s="333">
        <f t="shared" si="1"/>
        <v>45869</v>
      </c>
      <c r="I6" s="333">
        <f t="shared" si="1"/>
        <v>45900</v>
      </c>
      <c r="J6" s="333">
        <f t="shared" si="1"/>
        <v>45930</v>
      </c>
      <c r="K6" s="333">
        <f t="shared" si="1"/>
        <v>45961</v>
      </c>
      <c r="L6" s="333">
        <f t="shared" si="1"/>
        <v>45991</v>
      </c>
      <c r="M6" s="333">
        <f t="shared" si="1"/>
        <v>46022</v>
      </c>
      <c r="N6" s="333">
        <f t="shared" si="1"/>
        <v>46053</v>
      </c>
      <c r="O6" s="333">
        <f t="shared" si="1"/>
        <v>46081</v>
      </c>
      <c r="P6" s="334"/>
      <c r="Q6" s="335" t="s">
        <v>38</v>
      </c>
      <c r="R6" s="335" t="s">
        <v>37</v>
      </c>
      <c r="S6" s="336"/>
      <c r="T6" s="337" t="s">
        <v>182</v>
      </c>
      <c r="U6" s="330"/>
      <c r="V6" s="338" t="s">
        <v>183</v>
      </c>
      <c r="W6" s="339"/>
      <c r="X6" s="339"/>
      <c r="Y6" s="340"/>
      <c r="Z6" s="112"/>
    </row>
    <row r="7" spans="1:26" ht="15" thickBot="1" x14ac:dyDescent="0.35">
      <c r="C7" s="341"/>
      <c r="D7" s="342"/>
      <c r="E7"/>
      <c r="F7"/>
      <c r="G7"/>
      <c r="H7"/>
      <c r="I7"/>
      <c r="J7"/>
      <c r="K7"/>
      <c r="L7"/>
      <c r="M7"/>
      <c r="N7"/>
      <c r="O7"/>
      <c r="P7" s="343"/>
      <c r="Q7" s="344"/>
      <c r="R7" s="344"/>
      <c r="T7" s="330"/>
    </row>
    <row r="8" spans="1:26" ht="16.2" customHeight="1" thickBot="1" x14ac:dyDescent="0.35">
      <c r="C8" s="208"/>
      <c r="D8"/>
      <c r="E8"/>
      <c r="F8"/>
      <c r="G8"/>
      <c r="H8"/>
      <c r="I8"/>
      <c r="J8"/>
      <c r="K8"/>
      <c r="L8"/>
      <c r="M8"/>
      <c r="N8"/>
      <c r="O8"/>
      <c r="P8" s="343"/>
      <c r="Q8" s="345">
        <f t="shared" ref="Q8:Q14" si="2">SUM(D8:O8)</f>
        <v>0</v>
      </c>
      <c r="R8" s="346">
        <f t="shared" ref="R8:R15" si="3">SUM(M8:O8)*4</f>
        <v>0</v>
      </c>
      <c r="T8" s="316" t="s">
        <v>184</v>
      </c>
      <c r="V8" s="169" t="s">
        <v>185</v>
      </c>
      <c r="W8" s="411" t="s">
        <v>38</v>
      </c>
      <c r="X8" s="411" t="s">
        <v>37</v>
      </c>
      <c r="Y8" s="413"/>
    </row>
    <row r="9" spans="1:26" x14ac:dyDescent="0.3">
      <c r="C9" s="526" t="s">
        <v>588</v>
      </c>
      <c r="D9" s="417"/>
      <c r="E9" s="417"/>
      <c r="F9" s="417"/>
      <c r="G9" s="417"/>
      <c r="H9" s="417"/>
      <c r="I9" s="417"/>
      <c r="J9" s="417"/>
      <c r="K9" s="417"/>
      <c r="L9" s="417"/>
      <c r="M9" s="417"/>
      <c r="N9" s="417"/>
      <c r="O9" s="417"/>
      <c r="P9" s="347"/>
      <c r="Q9" s="345">
        <f t="shared" si="2"/>
        <v>0</v>
      </c>
      <c r="R9" s="346">
        <f t="shared" si="3"/>
        <v>0</v>
      </c>
      <c r="T9" s="317" t="s">
        <v>186</v>
      </c>
      <c r="U9" s="107">
        <v>1</v>
      </c>
      <c r="V9" s="139" t="s">
        <v>50</v>
      </c>
      <c r="W9" s="318">
        <f>SUMIF($B$1:$B$495,U9,$Q$1:$Q$495)</f>
        <v>3987608</v>
      </c>
      <c r="X9" s="318">
        <f>SUMIF($B$1:$B$495,U9,$R$1:$R$495)</f>
        <v>4061152</v>
      </c>
      <c r="Y9" s="246"/>
    </row>
    <row r="10" spans="1:26" x14ac:dyDescent="0.3">
      <c r="C10" s="586" t="s">
        <v>589</v>
      </c>
      <c r="D10" s="417"/>
      <c r="E10" s="417"/>
      <c r="F10" s="417"/>
      <c r="G10" s="417"/>
      <c r="H10" s="417"/>
      <c r="I10" s="417"/>
      <c r="J10" s="417"/>
      <c r="K10" s="417"/>
      <c r="L10" s="417"/>
      <c r="M10" s="417"/>
      <c r="N10" s="417"/>
      <c r="O10" s="417"/>
      <c r="P10" s="539"/>
      <c r="Q10" s="345">
        <f t="shared" si="2"/>
        <v>0</v>
      </c>
      <c r="R10" s="346">
        <f t="shared" si="3"/>
        <v>0</v>
      </c>
      <c r="T10" s="317" t="s">
        <v>187</v>
      </c>
      <c r="U10" s="107">
        <v>2</v>
      </c>
      <c r="V10" s="139" t="s">
        <v>188</v>
      </c>
      <c r="W10" s="318">
        <f>SUMIF($B$1:$B$495,U10,$Q$1:$Q$495)</f>
        <v>428760</v>
      </c>
      <c r="X10" s="318">
        <f>SUMIF($B$1:$B$495,U10,$R$1:$R$495)</f>
        <v>428760</v>
      </c>
      <c r="Y10" s="246"/>
    </row>
    <row r="11" spans="1:26" x14ac:dyDescent="0.3">
      <c r="B11" s="264">
        <v>1</v>
      </c>
      <c r="C11" s="540" t="s">
        <v>596</v>
      </c>
      <c r="D11" s="417">
        <v>312251</v>
      </c>
      <c r="E11" s="417">
        <v>321492</v>
      </c>
      <c r="F11" s="417">
        <v>334334</v>
      </c>
      <c r="G11" s="417">
        <v>328058</v>
      </c>
      <c r="H11" s="417">
        <v>318037</v>
      </c>
      <c r="I11" s="417">
        <v>342488</v>
      </c>
      <c r="J11" s="417">
        <v>353457</v>
      </c>
      <c r="K11" s="417">
        <v>332518</v>
      </c>
      <c r="L11" s="417">
        <v>329685</v>
      </c>
      <c r="M11" s="417">
        <v>338583</v>
      </c>
      <c r="N11" s="417">
        <v>337971</v>
      </c>
      <c r="O11" s="417">
        <v>338734</v>
      </c>
      <c r="P11" s="417"/>
      <c r="Q11" s="345">
        <f t="shared" si="2"/>
        <v>3987608</v>
      </c>
      <c r="R11" s="346">
        <f t="shared" si="3"/>
        <v>4061152</v>
      </c>
      <c r="T11" s="317" t="s">
        <v>189</v>
      </c>
      <c r="U11" s="107"/>
      <c r="V11" s="97" t="s">
        <v>52</v>
      </c>
      <c r="W11" s="13">
        <f>SUM(W9:W10)</f>
        <v>4416368</v>
      </c>
      <c r="X11" s="13">
        <f>SUM(X9:X10)</f>
        <v>4489912</v>
      </c>
      <c r="Y11" s="98"/>
    </row>
    <row r="12" spans="1:26" x14ac:dyDescent="0.3">
      <c r="B12" s="264">
        <v>2</v>
      </c>
      <c r="C12" s="537" t="s">
        <v>597</v>
      </c>
      <c r="D12" s="417">
        <v>35730</v>
      </c>
      <c r="E12" s="417">
        <v>35730</v>
      </c>
      <c r="F12" s="417">
        <v>35730</v>
      </c>
      <c r="G12" s="417">
        <v>35730</v>
      </c>
      <c r="H12" s="417">
        <v>35730</v>
      </c>
      <c r="I12" s="417">
        <v>35730</v>
      </c>
      <c r="J12" s="417">
        <v>35730</v>
      </c>
      <c r="K12" s="417">
        <v>35730</v>
      </c>
      <c r="L12" s="417">
        <v>35730</v>
      </c>
      <c r="M12" s="417">
        <v>35730</v>
      </c>
      <c r="N12" s="417">
        <v>35730</v>
      </c>
      <c r="O12" s="417">
        <v>35730</v>
      </c>
      <c r="P12" s="417"/>
      <c r="Q12" s="345">
        <f t="shared" si="2"/>
        <v>428760</v>
      </c>
      <c r="R12" s="346">
        <f t="shared" si="3"/>
        <v>428760</v>
      </c>
      <c r="T12" s="317" t="s">
        <v>190</v>
      </c>
      <c r="U12" s="107">
        <v>3</v>
      </c>
      <c r="V12" s="139" t="s">
        <v>39</v>
      </c>
      <c r="W12" s="318">
        <f>SUMIF($B$1:$B$495,U12,$Q$1:$Q$495)</f>
        <v>-57758.51999999999</v>
      </c>
      <c r="X12" s="318">
        <f>SUMIF($B$1:$B$495,U12,$R$1:$R$495)</f>
        <v>-99854.84</v>
      </c>
      <c r="Y12" s="254">
        <f>W12/W11</f>
        <v>-1.3078285142904756E-2</v>
      </c>
    </row>
    <row r="13" spans="1:26" x14ac:dyDescent="0.3">
      <c r="B13" s="264">
        <v>3</v>
      </c>
      <c r="C13" s="536" t="s">
        <v>598</v>
      </c>
      <c r="D13" s="417">
        <v>10090.700000000001</v>
      </c>
      <c r="E13" s="417">
        <v>2003.51</v>
      </c>
      <c r="F13" s="417">
        <v>-7972.21</v>
      </c>
      <c r="G13" s="417">
        <v>-708.97</v>
      </c>
      <c r="H13" s="417">
        <v>6320.44</v>
      </c>
      <c r="I13" s="417">
        <v>-14318.55</v>
      </c>
      <c r="J13" s="417">
        <v>-23464.62</v>
      </c>
      <c r="K13" s="417">
        <v>-5737.09</v>
      </c>
      <c r="L13" s="417">
        <v>991.98</v>
      </c>
      <c r="M13" s="417">
        <v>-8705.69</v>
      </c>
      <c r="N13" s="417">
        <v>-6768.6</v>
      </c>
      <c r="O13" s="417">
        <v>-9489.42</v>
      </c>
      <c r="P13" s="417"/>
      <c r="Q13" s="345">
        <f t="shared" si="2"/>
        <v>-57758.51999999999</v>
      </c>
      <c r="R13" s="346">
        <f t="shared" si="3"/>
        <v>-99854.84</v>
      </c>
      <c r="T13" s="317" t="s">
        <v>191</v>
      </c>
      <c r="U13" s="107"/>
      <c r="V13" s="99" t="s">
        <v>192</v>
      </c>
      <c r="W13" s="82">
        <f>W11+W12</f>
        <v>4358609.4800000004</v>
      </c>
      <c r="X13" s="82">
        <f>X11+X12</f>
        <v>4390057.16</v>
      </c>
      <c r="Y13" s="319"/>
    </row>
    <row r="14" spans="1:26" x14ac:dyDescent="0.3">
      <c r="C14" s="597" t="s">
        <v>590</v>
      </c>
      <c r="D14" s="422">
        <v>358071.7</v>
      </c>
      <c r="E14" s="422">
        <v>359225.51</v>
      </c>
      <c r="F14" s="422">
        <v>362091.79</v>
      </c>
      <c r="G14" s="422">
        <v>363079.03</v>
      </c>
      <c r="H14" s="422">
        <v>360087.44</v>
      </c>
      <c r="I14" s="422">
        <v>363899.45</v>
      </c>
      <c r="J14" s="422">
        <v>365722.38</v>
      </c>
      <c r="K14" s="422">
        <v>362510.91</v>
      </c>
      <c r="L14" s="422">
        <v>366406.98</v>
      </c>
      <c r="M14" s="422">
        <v>365607.31</v>
      </c>
      <c r="N14" s="422">
        <v>366932.4</v>
      </c>
      <c r="O14" s="422">
        <v>364974.58</v>
      </c>
      <c r="P14" s="417"/>
      <c r="Q14" s="345">
        <f t="shared" si="2"/>
        <v>4358609.4799999995</v>
      </c>
      <c r="R14" s="346">
        <f t="shared" si="3"/>
        <v>4390057.16</v>
      </c>
      <c r="T14" s="317" t="s">
        <v>193</v>
      </c>
      <c r="U14" s="107">
        <v>4</v>
      </c>
      <c r="V14" s="139" t="s">
        <v>40</v>
      </c>
      <c r="W14" s="318">
        <f>SUMIF($B$1:$B$495,U14,$Q$1:$Q$495)</f>
        <v>-284691.74</v>
      </c>
      <c r="X14" s="318">
        <f>SUMIF($B$1:$B$495,U14,$R$1:$R$495)</f>
        <v>-332706.12</v>
      </c>
      <c r="Y14" s="246"/>
    </row>
    <row r="15" spans="1:26" x14ac:dyDescent="0.3">
      <c r="C15" s="581" t="s">
        <v>591</v>
      </c>
      <c r="D15" s="417"/>
      <c r="E15" s="417"/>
      <c r="F15" s="417"/>
      <c r="G15" s="417"/>
      <c r="H15" s="417"/>
      <c r="I15" s="417"/>
      <c r="J15" s="417"/>
      <c r="K15" s="417"/>
      <c r="L15" s="417"/>
      <c r="M15" s="417"/>
      <c r="N15" s="417"/>
      <c r="O15" s="417"/>
      <c r="P15" s="417"/>
      <c r="Q15" s="345">
        <f>SUM(D15:O15)</f>
        <v>0</v>
      </c>
      <c r="R15" s="346">
        <f t="shared" si="3"/>
        <v>0</v>
      </c>
      <c r="T15" s="317" t="s">
        <v>194</v>
      </c>
      <c r="U15" s="107">
        <v>5</v>
      </c>
      <c r="V15" s="139" t="s">
        <v>41</v>
      </c>
      <c r="W15" s="318">
        <f>SUMIF($B$1:$B$495,U15,$Q$1:$Q$495)</f>
        <v>-49856.93</v>
      </c>
      <c r="X15" s="318">
        <f>SUMIF($B$1:$B$495,U15,$R$1:$R$495)</f>
        <v>-80204.040000000008</v>
      </c>
      <c r="Y15" s="246"/>
    </row>
    <row r="16" spans="1:26" x14ac:dyDescent="0.3">
      <c r="B16" s="264">
        <v>6</v>
      </c>
      <c r="C16" s="540" t="s">
        <v>42</v>
      </c>
      <c r="D16" s="417">
        <v>-296.42</v>
      </c>
      <c r="E16" s="417">
        <v>6249.18</v>
      </c>
      <c r="F16" s="417">
        <v>-6877.02</v>
      </c>
      <c r="G16" s="417">
        <v>-11615.73</v>
      </c>
      <c r="H16" s="417">
        <v>-8123.55</v>
      </c>
      <c r="I16" s="417">
        <v>-18144.7</v>
      </c>
      <c r="J16" s="417">
        <v>-24348.84</v>
      </c>
      <c r="K16" s="417">
        <v>-34087.660000000003</v>
      </c>
      <c r="L16" s="417">
        <v>-6803.95</v>
      </c>
      <c r="M16" s="417">
        <v>-15375.68</v>
      </c>
      <c r="N16" s="417">
        <v>-18411.009999999998</v>
      </c>
      <c r="O16" s="417">
        <v>-13287.59</v>
      </c>
      <c r="P16" s="422"/>
      <c r="Q16" s="423">
        <f t="shared" ref="Q16:Q17" si="4">SUM(D16:O16)</f>
        <v>-151122.97</v>
      </c>
      <c r="R16" s="424">
        <f t="shared" ref="R16:R17" si="5">SUM(M16:O16)*4</f>
        <v>-188297.12</v>
      </c>
      <c r="T16" s="317" t="s">
        <v>195</v>
      </c>
      <c r="U16" s="107">
        <v>6</v>
      </c>
      <c r="V16" s="139" t="s">
        <v>54</v>
      </c>
      <c r="W16" s="318">
        <f>SUMIF($B$1:$B$495,U16,$Q$1:$Q$495)</f>
        <v>-152393.61000000002</v>
      </c>
      <c r="X16" s="318">
        <f>SUMIF($B$1:$B$495,U16,$R$1:$R$495)</f>
        <v>-178909.2</v>
      </c>
      <c r="Y16" s="246"/>
    </row>
    <row r="17" spans="2:27" x14ac:dyDescent="0.3">
      <c r="B17" s="264">
        <v>5</v>
      </c>
      <c r="C17" s="536" t="s">
        <v>599</v>
      </c>
      <c r="D17" s="417">
        <v>-51.79</v>
      </c>
      <c r="E17" s="417">
        <v>-3166.98</v>
      </c>
      <c r="F17" s="417">
        <v>-300</v>
      </c>
      <c r="G17" s="417">
        <v>0</v>
      </c>
      <c r="H17" s="417">
        <v>-150</v>
      </c>
      <c r="I17" s="417">
        <v>-280</v>
      </c>
      <c r="J17" s="417">
        <v>0</v>
      </c>
      <c r="K17" s="417">
        <v>0</v>
      </c>
      <c r="L17" s="417">
        <v>-624</v>
      </c>
      <c r="M17" s="417">
        <v>-0.17</v>
      </c>
      <c r="N17" s="417">
        <v>0</v>
      </c>
      <c r="O17" s="417">
        <v>-200</v>
      </c>
      <c r="P17" s="417"/>
      <c r="Q17" s="345">
        <f t="shared" si="4"/>
        <v>-4772.9400000000005</v>
      </c>
      <c r="R17" s="346">
        <f t="shared" si="5"/>
        <v>-800.68</v>
      </c>
      <c r="T17" s="317" t="s">
        <v>196</v>
      </c>
      <c r="U17" s="107">
        <v>7</v>
      </c>
      <c r="V17" s="139" t="s">
        <v>43</v>
      </c>
      <c r="W17" s="318">
        <f>SUMIF($B$1:$B$495,U17,$Q$1:$Q$495)</f>
        <v>-26888.73</v>
      </c>
      <c r="X17" s="318">
        <f>SUMIF($B$1:$B$495,U17,$R$1:$R$495)</f>
        <v>-23107.200000000001</v>
      </c>
      <c r="Y17" s="246"/>
    </row>
    <row r="18" spans="2:27" x14ac:dyDescent="0.3">
      <c r="B18" s="264">
        <v>5</v>
      </c>
      <c r="C18" s="536" t="s">
        <v>600</v>
      </c>
      <c r="D18" s="417">
        <v>0</v>
      </c>
      <c r="E18" s="417">
        <v>-4650</v>
      </c>
      <c r="F18" s="417">
        <v>-3500</v>
      </c>
      <c r="G18" s="417">
        <v>-3000</v>
      </c>
      <c r="H18" s="417">
        <v>-1150</v>
      </c>
      <c r="I18" s="417">
        <v>650.01</v>
      </c>
      <c r="J18" s="417">
        <v>-500</v>
      </c>
      <c r="K18" s="417">
        <v>-145.16</v>
      </c>
      <c r="L18" s="417">
        <v>-500</v>
      </c>
      <c r="M18" s="417">
        <v>-6704.84</v>
      </c>
      <c r="N18" s="417">
        <v>-3250</v>
      </c>
      <c r="O18" s="417">
        <v>-5750</v>
      </c>
      <c r="P18" s="417"/>
      <c r="Q18" s="345">
        <f t="shared" ref="Q18" si="6">SUM(D18:O18)</f>
        <v>-28499.989999999998</v>
      </c>
      <c r="R18" s="346">
        <f t="shared" ref="R18" si="7">SUM(M18:O18)*4</f>
        <v>-62819.360000000001</v>
      </c>
      <c r="T18" s="320" t="s">
        <v>197</v>
      </c>
      <c r="U18" s="107"/>
      <c r="V18" s="99" t="s">
        <v>55</v>
      </c>
      <c r="W18" s="82">
        <f>SUM(W13:W17)</f>
        <v>3844778.47</v>
      </c>
      <c r="X18" s="82">
        <f>SUM(X13:X17)</f>
        <v>3775130.5999999996</v>
      </c>
      <c r="Y18" s="319"/>
    </row>
    <row r="19" spans="2:27" x14ac:dyDescent="0.3">
      <c r="B19" s="264">
        <v>7</v>
      </c>
      <c r="C19" s="580" t="s">
        <v>601</v>
      </c>
      <c r="D19" s="417">
        <v>973.29</v>
      </c>
      <c r="E19" s="417">
        <v>-1394.02</v>
      </c>
      <c r="F19" s="417">
        <v>-1443</v>
      </c>
      <c r="G19" s="417">
        <v>-1408.35</v>
      </c>
      <c r="H19" s="417">
        <v>-8759</v>
      </c>
      <c r="I19" s="417">
        <v>7445.15</v>
      </c>
      <c r="J19" s="417">
        <v>0</v>
      </c>
      <c r="K19" s="417">
        <v>0</v>
      </c>
      <c r="L19" s="417">
        <v>0</v>
      </c>
      <c r="M19" s="417">
        <v>0</v>
      </c>
      <c r="N19" s="417">
        <v>0</v>
      </c>
      <c r="O19" s="417">
        <v>0</v>
      </c>
      <c r="P19" s="417"/>
      <c r="Q19" s="345">
        <f t="shared" ref="Q19:Q82" si="8">SUM(D19:O19)</f>
        <v>-4585.93</v>
      </c>
      <c r="R19" s="346">
        <f t="shared" ref="R19:R82" si="9">SUM(M19:O19)*4</f>
        <v>0</v>
      </c>
      <c r="T19" s="320" t="s">
        <v>198</v>
      </c>
      <c r="U19" s="107">
        <v>8</v>
      </c>
      <c r="V19" s="139" t="s">
        <v>56</v>
      </c>
      <c r="W19" s="318">
        <f>SUMIF($B$1:$B$495,U19,$Q$1:$Q$495)</f>
        <v>171918.41</v>
      </c>
      <c r="X19" s="318">
        <f>SUMIF($B$1:$B$495,U19,$R$1:$R$495)</f>
        <v>178771.76</v>
      </c>
      <c r="Y19" s="246"/>
    </row>
    <row r="20" spans="2:27" ht="16.5" customHeight="1" x14ac:dyDescent="0.3">
      <c r="B20" s="264">
        <v>7</v>
      </c>
      <c r="C20" s="536" t="s">
        <v>602</v>
      </c>
      <c r="D20" s="417">
        <v>-319.2</v>
      </c>
      <c r="E20" s="417">
        <v>-331.6</v>
      </c>
      <c r="F20" s="417">
        <v>-331.6</v>
      </c>
      <c r="G20" s="417">
        <v>-331.6</v>
      </c>
      <c r="H20" s="417">
        <v>-331.6</v>
      </c>
      <c r="I20" s="417">
        <v>-331.6</v>
      </c>
      <c r="J20" s="417">
        <v>-331.6</v>
      </c>
      <c r="K20" s="417">
        <v>-331.6</v>
      </c>
      <c r="L20" s="417">
        <v>-331.6</v>
      </c>
      <c r="M20" s="417">
        <v>-331.6</v>
      </c>
      <c r="N20" s="417">
        <v>-331.6</v>
      </c>
      <c r="O20" s="417">
        <v>-331.6</v>
      </c>
      <c r="P20" s="417"/>
      <c r="Q20" s="345">
        <f t="shared" si="8"/>
        <v>-3966.7999999999993</v>
      </c>
      <c r="R20" s="346">
        <f t="shared" si="9"/>
        <v>-3979.2000000000003</v>
      </c>
      <c r="T20" s="320" t="s">
        <v>199</v>
      </c>
      <c r="U20" s="107">
        <v>9</v>
      </c>
      <c r="V20" s="139" t="s">
        <v>57</v>
      </c>
      <c r="W20" s="318">
        <f>SUMIF($B$1:$B$495,U20,$Q$1:$Q$495)</f>
        <v>100364.46000000002</v>
      </c>
      <c r="X20" s="318">
        <f>SUMIF($B$1:$B$495,U20,$R$1:$R$495)</f>
        <v>106408.95999999999</v>
      </c>
      <c r="Y20" s="246"/>
    </row>
    <row r="21" spans="2:27" x14ac:dyDescent="0.3">
      <c r="B21" s="264">
        <v>5</v>
      </c>
      <c r="C21" s="535" t="s">
        <v>603</v>
      </c>
      <c r="D21" s="417">
        <v>-1382</v>
      </c>
      <c r="E21" s="417">
        <v>-1382</v>
      </c>
      <c r="F21" s="417">
        <v>-1382</v>
      </c>
      <c r="G21" s="417">
        <v>-1382</v>
      </c>
      <c r="H21" s="417">
        <v>-1382</v>
      </c>
      <c r="I21" s="417">
        <v>-1382</v>
      </c>
      <c r="J21" s="417">
        <v>-1382</v>
      </c>
      <c r="K21" s="417">
        <v>-1382</v>
      </c>
      <c r="L21" s="417">
        <v>-1382</v>
      </c>
      <c r="M21" s="417">
        <v>-1382</v>
      </c>
      <c r="N21" s="417">
        <v>-1382</v>
      </c>
      <c r="O21" s="417">
        <v>-1382</v>
      </c>
      <c r="P21" s="417"/>
      <c r="Q21" s="345">
        <f t="shared" si="8"/>
        <v>-16584</v>
      </c>
      <c r="R21" s="346">
        <f t="shared" si="9"/>
        <v>-16584</v>
      </c>
      <c r="T21" s="320" t="s">
        <v>200</v>
      </c>
      <c r="U21" s="107">
        <v>10</v>
      </c>
      <c r="V21" s="139" t="s">
        <v>58</v>
      </c>
      <c r="W21" s="318">
        <f>SUMIF($B$1:$B$495,U21,$Q$1:$Q$495)</f>
        <v>199077.53000000003</v>
      </c>
      <c r="X21" s="318">
        <f>SUMIF($B$1:$B$495,U21,$R$1:$R$495)</f>
        <v>240180.48000000004</v>
      </c>
      <c r="Y21" s="246"/>
      <c r="AA21" s="321"/>
    </row>
    <row r="22" spans="2:27" ht="15" thickBot="1" x14ac:dyDescent="0.35">
      <c r="B22" s="264">
        <v>7</v>
      </c>
      <c r="C22" s="536" t="s">
        <v>604</v>
      </c>
      <c r="D22" s="417">
        <v>-1439</v>
      </c>
      <c r="E22" s="417">
        <v>-1465</v>
      </c>
      <c r="F22" s="417">
        <v>-1486</v>
      </c>
      <c r="G22" s="417">
        <v>-1453</v>
      </c>
      <c r="H22" s="417">
        <v>-1363</v>
      </c>
      <c r="I22" s="417">
        <v>-1514</v>
      </c>
      <c r="J22" s="417">
        <v>-1663</v>
      </c>
      <c r="K22" s="417">
        <v>-1588</v>
      </c>
      <c r="L22" s="417">
        <v>-1583</v>
      </c>
      <c r="M22" s="417">
        <v>-1626</v>
      </c>
      <c r="N22" s="417">
        <v>-1594</v>
      </c>
      <c r="O22" s="417">
        <v>-1562</v>
      </c>
      <c r="P22" s="417"/>
      <c r="Q22" s="345">
        <f t="shared" si="8"/>
        <v>-18336</v>
      </c>
      <c r="R22" s="346">
        <f t="shared" si="9"/>
        <v>-19128</v>
      </c>
      <c r="T22" s="320" t="s">
        <v>201</v>
      </c>
      <c r="U22" s="107"/>
      <c r="V22" s="110" t="s">
        <v>59</v>
      </c>
      <c r="W22" s="111">
        <f>SUM(W18:W21)</f>
        <v>4316138.87</v>
      </c>
      <c r="X22" s="111">
        <f>SUM(X18:X21)</f>
        <v>4300491.8</v>
      </c>
      <c r="Y22" s="322"/>
    </row>
    <row r="23" spans="2:27" ht="15.6" thickTop="1" thickBot="1" x14ac:dyDescent="0.35">
      <c r="B23" s="264">
        <v>4</v>
      </c>
      <c r="C23" s="535" t="s">
        <v>605</v>
      </c>
      <c r="D23" s="417">
        <v>-32417.72</v>
      </c>
      <c r="E23" s="417">
        <v>-16143.49</v>
      </c>
      <c r="F23" s="417">
        <v>-15296.34</v>
      </c>
      <c r="G23" s="417">
        <v>-12228.07</v>
      </c>
      <c r="H23" s="417">
        <v>-12060.08</v>
      </c>
      <c r="I23" s="417">
        <v>-25726.27</v>
      </c>
      <c r="J23" s="417">
        <v>-25076.240000000002</v>
      </c>
      <c r="K23" s="417">
        <v>-31859.51</v>
      </c>
      <c r="L23" s="417">
        <v>-30707.49</v>
      </c>
      <c r="M23" s="417">
        <v>-29595.46</v>
      </c>
      <c r="N23" s="417">
        <v>-28208.17</v>
      </c>
      <c r="O23" s="417">
        <v>-25372.9</v>
      </c>
      <c r="P23" s="417"/>
      <c r="Q23" s="345">
        <f t="shared" si="8"/>
        <v>-284691.74</v>
      </c>
      <c r="R23" s="346">
        <f t="shared" si="9"/>
        <v>-332706.12</v>
      </c>
      <c r="T23" s="320" t="s">
        <v>202</v>
      </c>
      <c r="U23" s="107"/>
      <c r="V23" s="138"/>
      <c r="W23" s="349"/>
      <c r="X23" s="349"/>
      <c r="Y23" s="323"/>
    </row>
    <row r="24" spans="2:27" ht="15" thickBot="1" x14ac:dyDescent="0.35">
      <c r="C24" s="581" t="s">
        <v>592</v>
      </c>
      <c r="D24" s="422">
        <v>-34932.839999999997</v>
      </c>
      <c r="E24" s="422">
        <v>-22283.91</v>
      </c>
      <c r="F24" s="422">
        <v>-30615.96</v>
      </c>
      <c r="G24" s="422">
        <v>-31418.75</v>
      </c>
      <c r="H24" s="422">
        <v>-33319.230000000003</v>
      </c>
      <c r="I24" s="422">
        <v>-39283.410000000003</v>
      </c>
      <c r="J24" s="422">
        <v>-53301.68</v>
      </c>
      <c r="K24" s="422">
        <v>-69393.929999999993</v>
      </c>
      <c r="L24" s="422">
        <v>-41932.04</v>
      </c>
      <c r="M24" s="422">
        <v>-55015.75</v>
      </c>
      <c r="N24" s="422">
        <v>-53176.78</v>
      </c>
      <c r="O24" s="422">
        <v>-47886.09</v>
      </c>
      <c r="P24" s="417"/>
      <c r="Q24" s="345">
        <f t="shared" si="8"/>
        <v>-512560.36999999988</v>
      </c>
      <c r="R24" s="346">
        <f t="shared" si="9"/>
        <v>-624314.48</v>
      </c>
      <c r="T24" s="320" t="s">
        <v>203</v>
      </c>
      <c r="U24" s="107"/>
      <c r="V24" s="169" t="s">
        <v>60</v>
      </c>
      <c r="W24" s="411" t="s">
        <v>38</v>
      </c>
      <c r="X24" s="411" t="s">
        <v>37</v>
      </c>
      <c r="Y24" s="412"/>
    </row>
    <row r="25" spans="2:27" x14ac:dyDescent="0.3">
      <c r="C25" s="581" t="s">
        <v>588</v>
      </c>
      <c r="D25" s="422">
        <v>323138.86</v>
      </c>
      <c r="E25" s="422">
        <v>336941.6</v>
      </c>
      <c r="F25" s="422">
        <v>331475.83</v>
      </c>
      <c r="G25" s="422">
        <v>331660.28000000003</v>
      </c>
      <c r="H25" s="422">
        <v>326768.21000000002</v>
      </c>
      <c r="I25" s="422">
        <v>324616.03999999998</v>
      </c>
      <c r="J25" s="422">
        <v>312420.7</v>
      </c>
      <c r="K25" s="422">
        <v>293116.98</v>
      </c>
      <c r="L25" s="422">
        <v>324474.94</v>
      </c>
      <c r="M25" s="422">
        <v>310591.56</v>
      </c>
      <c r="N25" s="422">
        <v>313755.62</v>
      </c>
      <c r="O25" s="422">
        <v>317088.49</v>
      </c>
      <c r="P25" s="422"/>
      <c r="Q25" s="423">
        <f t="shared" si="8"/>
        <v>3846049.1100000003</v>
      </c>
      <c r="R25" s="424">
        <f t="shared" si="9"/>
        <v>3765742.6799999997</v>
      </c>
      <c r="T25" s="320" t="s">
        <v>204</v>
      </c>
      <c r="U25" s="107">
        <v>11</v>
      </c>
      <c r="V25" s="139" t="s">
        <v>62</v>
      </c>
      <c r="W25" s="318">
        <f t="shared" ref="W25:W37" si="10">SUMIF($B$1:$B$495,U25,$Q$1:$Q$495)</f>
        <v>106218.28999999998</v>
      </c>
      <c r="X25" s="318">
        <f t="shared" ref="X25:X37" si="11">SUMIF($B$1:$B$495,U25,$R$1:$R$495)</f>
        <v>121923.72</v>
      </c>
      <c r="Y25" s="246"/>
    </row>
    <row r="26" spans="2:27" x14ac:dyDescent="0.3">
      <c r="C26" s="582" t="s">
        <v>593</v>
      </c>
      <c r="D26" s="417"/>
      <c r="E26" s="417"/>
      <c r="F26" s="417"/>
      <c r="G26" s="417"/>
      <c r="H26" s="417"/>
      <c r="I26" s="417"/>
      <c r="J26" s="417"/>
      <c r="K26" s="417"/>
      <c r="L26" s="417"/>
      <c r="M26" s="417"/>
      <c r="N26" s="417"/>
      <c r="O26" s="417"/>
      <c r="P26" s="417"/>
      <c r="Q26" s="345">
        <f t="shared" si="8"/>
        <v>0</v>
      </c>
      <c r="R26" s="346">
        <f t="shared" si="9"/>
        <v>0</v>
      </c>
      <c r="T26" s="320" t="s">
        <v>205</v>
      </c>
      <c r="U26" s="107">
        <v>12</v>
      </c>
      <c r="V26" s="139" t="s">
        <v>63</v>
      </c>
      <c r="W26" s="318">
        <f t="shared" si="10"/>
        <v>68078.69</v>
      </c>
      <c r="X26" s="318">
        <f t="shared" si="11"/>
        <v>47325.279999999999</v>
      </c>
      <c r="Y26" s="246"/>
    </row>
    <row r="27" spans="2:27" x14ac:dyDescent="0.3">
      <c r="B27" s="264">
        <v>6</v>
      </c>
      <c r="C27" s="536" t="s">
        <v>606</v>
      </c>
      <c r="D27" s="417">
        <v>108.27</v>
      </c>
      <c r="E27" s="417">
        <v>1693.9</v>
      </c>
      <c r="F27" s="417">
        <v>-1050.23</v>
      </c>
      <c r="G27" s="417">
        <v>-1926.41</v>
      </c>
      <c r="H27" s="417">
        <v>-1168.72</v>
      </c>
      <c r="I27" s="417">
        <v>-3644.99</v>
      </c>
      <c r="J27" s="417">
        <v>-3686.14</v>
      </c>
      <c r="K27" s="417">
        <v>4637.34</v>
      </c>
      <c r="L27" s="417">
        <v>975.91</v>
      </c>
      <c r="M27" s="417">
        <v>-1101.99</v>
      </c>
      <c r="N27" s="417">
        <v>-2911.4</v>
      </c>
      <c r="O27" s="417">
        <v>6981.99</v>
      </c>
      <c r="P27" s="343"/>
      <c r="Q27" s="345">
        <f t="shared" si="8"/>
        <v>-1092.4699999999993</v>
      </c>
      <c r="R27" s="346">
        <f t="shared" si="9"/>
        <v>11874.399999999998</v>
      </c>
      <c r="T27" s="320" t="s">
        <v>206</v>
      </c>
      <c r="U27" s="107">
        <v>13</v>
      </c>
      <c r="V27" s="139" t="s">
        <v>64</v>
      </c>
      <c r="W27" s="318">
        <f t="shared" si="10"/>
        <v>324765.62</v>
      </c>
      <c r="X27" s="318">
        <f t="shared" si="11"/>
        <v>344526.68</v>
      </c>
      <c r="Y27" s="246"/>
    </row>
    <row r="28" spans="2:27" x14ac:dyDescent="0.3">
      <c r="B28" s="264">
        <v>10</v>
      </c>
      <c r="C28" s="536" t="s">
        <v>318</v>
      </c>
      <c r="D28" s="417">
        <v>1600</v>
      </c>
      <c r="E28" s="417">
        <v>1600</v>
      </c>
      <c r="F28" s="417">
        <v>1400</v>
      </c>
      <c r="G28" s="417">
        <v>600</v>
      </c>
      <c r="H28" s="417">
        <v>1000</v>
      </c>
      <c r="I28" s="417">
        <v>600</v>
      </c>
      <c r="J28" s="417">
        <v>400</v>
      </c>
      <c r="K28" s="417">
        <v>1200</v>
      </c>
      <c r="L28" s="417">
        <v>1800</v>
      </c>
      <c r="M28" s="417">
        <v>600</v>
      </c>
      <c r="N28" s="417">
        <v>1000</v>
      </c>
      <c r="O28" s="417">
        <v>1400</v>
      </c>
      <c r="P28" s="343"/>
      <c r="Q28" s="345">
        <f t="shared" si="8"/>
        <v>13200</v>
      </c>
      <c r="R28" s="346">
        <f t="shared" si="9"/>
        <v>12000</v>
      </c>
      <c r="T28" s="320" t="s">
        <v>207</v>
      </c>
      <c r="U28" s="107">
        <v>14</v>
      </c>
      <c r="V28" s="139" t="s">
        <v>65</v>
      </c>
      <c r="W28" s="318">
        <f t="shared" si="10"/>
        <v>55412.34</v>
      </c>
      <c r="X28" s="318">
        <f t="shared" si="11"/>
        <v>64601.520000000004</v>
      </c>
      <c r="Y28" s="246"/>
    </row>
    <row r="29" spans="2:27" x14ac:dyDescent="0.3">
      <c r="B29" s="264">
        <v>10</v>
      </c>
      <c r="C29" s="536" t="s">
        <v>607</v>
      </c>
      <c r="D29" s="417">
        <v>0</v>
      </c>
      <c r="E29" s="417">
        <v>0</v>
      </c>
      <c r="F29" s="417">
        <v>0</v>
      </c>
      <c r="G29" s="417">
        <v>0</v>
      </c>
      <c r="H29" s="417">
        <v>0</v>
      </c>
      <c r="I29" s="417">
        <v>30</v>
      </c>
      <c r="J29" s="417">
        <v>0</v>
      </c>
      <c r="K29" s="417">
        <v>0</v>
      </c>
      <c r="L29" s="417">
        <v>0</v>
      </c>
      <c r="M29" s="417">
        <v>0</v>
      </c>
      <c r="N29" s="417">
        <v>0</v>
      </c>
      <c r="O29" s="417">
        <v>0</v>
      </c>
      <c r="P29" s="343"/>
      <c r="Q29" s="345">
        <f t="shared" si="8"/>
        <v>30</v>
      </c>
      <c r="R29" s="346">
        <f t="shared" si="9"/>
        <v>0</v>
      </c>
      <c r="T29" s="320" t="s">
        <v>208</v>
      </c>
      <c r="U29" s="107">
        <v>15</v>
      </c>
      <c r="V29" s="139" t="s">
        <v>209</v>
      </c>
      <c r="W29" s="318">
        <f t="shared" si="10"/>
        <v>156412.9</v>
      </c>
      <c r="X29" s="318">
        <f t="shared" si="11"/>
        <v>177613.48</v>
      </c>
      <c r="Y29" s="246"/>
    </row>
    <row r="30" spans="2:27" x14ac:dyDescent="0.3">
      <c r="B30" s="264">
        <v>10</v>
      </c>
      <c r="C30" s="536" t="s">
        <v>319</v>
      </c>
      <c r="D30" s="417">
        <v>3700</v>
      </c>
      <c r="E30" s="417">
        <v>2200</v>
      </c>
      <c r="F30" s="417">
        <v>1100</v>
      </c>
      <c r="G30" s="417">
        <v>2100</v>
      </c>
      <c r="H30" s="417">
        <v>1900</v>
      </c>
      <c r="I30" s="417">
        <v>1400</v>
      </c>
      <c r="J30" s="417">
        <v>300</v>
      </c>
      <c r="K30" s="417">
        <v>1400</v>
      </c>
      <c r="L30" s="417">
        <v>1100</v>
      </c>
      <c r="M30" s="417">
        <v>1200</v>
      </c>
      <c r="N30" s="417">
        <v>900</v>
      </c>
      <c r="O30" s="417">
        <v>1200</v>
      </c>
      <c r="P30" s="350"/>
      <c r="Q30" s="345">
        <f t="shared" si="8"/>
        <v>18500</v>
      </c>
      <c r="R30" s="346">
        <f t="shared" si="9"/>
        <v>13200</v>
      </c>
      <c r="T30" s="320" t="s">
        <v>210</v>
      </c>
      <c r="U30" s="107">
        <v>16</v>
      </c>
      <c r="V30" s="139" t="s">
        <v>211</v>
      </c>
      <c r="W30" s="318">
        <f t="shared" si="10"/>
        <v>15004.139999999996</v>
      </c>
      <c r="X30" s="318">
        <f t="shared" si="11"/>
        <v>14451.039999999999</v>
      </c>
      <c r="Y30" s="246"/>
    </row>
    <row r="31" spans="2:27" ht="15" thickBot="1" x14ac:dyDescent="0.35">
      <c r="B31" s="264">
        <v>6</v>
      </c>
      <c r="C31" s="598" t="s">
        <v>608</v>
      </c>
      <c r="D31" s="408">
        <v>2086.62</v>
      </c>
      <c r="E31" s="408">
        <v>0</v>
      </c>
      <c r="F31" s="408">
        <v>978.74</v>
      </c>
      <c r="G31" s="408">
        <v>-379.17</v>
      </c>
      <c r="H31" s="408">
        <v>1047.5999999999999</v>
      </c>
      <c r="I31" s="408">
        <v>-315.02</v>
      </c>
      <c r="J31" s="408">
        <v>-1716.32</v>
      </c>
      <c r="K31" s="408">
        <v>-794.2</v>
      </c>
      <c r="L31" s="408">
        <v>-464.8</v>
      </c>
      <c r="M31" s="408">
        <v>0</v>
      </c>
      <c r="N31" s="408">
        <v>-567.86</v>
      </c>
      <c r="O31" s="408">
        <v>-53.76</v>
      </c>
      <c r="Q31" s="345">
        <f t="shared" si="8"/>
        <v>-178.17000000000047</v>
      </c>
      <c r="R31" s="346">
        <f t="shared" si="9"/>
        <v>-2486.48</v>
      </c>
      <c r="T31" s="324" t="s">
        <v>212</v>
      </c>
      <c r="U31" s="107">
        <v>17</v>
      </c>
      <c r="V31" s="139" t="s">
        <v>70</v>
      </c>
      <c r="W31" s="318">
        <f t="shared" si="10"/>
        <v>99450.99</v>
      </c>
      <c r="X31" s="318">
        <f t="shared" si="11"/>
        <v>110734.28</v>
      </c>
      <c r="Y31" s="246"/>
    </row>
    <row r="32" spans="2:27" x14ac:dyDescent="0.3">
      <c r="B32" s="264">
        <v>10</v>
      </c>
      <c r="C32" s="598" t="s">
        <v>609</v>
      </c>
      <c r="D32" s="417">
        <v>580</v>
      </c>
      <c r="E32" s="417">
        <v>580</v>
      </c>
      <c r="F32" s="417">
        <v>612.26</v>
      </c>
      <c r="G32" s="417">
        <v>683.22</v>
      </c>
      <c r="H32" s="417">
        <v>680</v>
      </c>
      <c r="I32" s="417">
        <v>847.74</v>
      </c>
      <c r="J32" s="417">
        <v>920</v>
      </c>
      <c r="K32" s="417">
        <v>980</v>
      </c>
      <c r="L32" s="417">
        <v>931.67</v>
      </c>
      <c r="M32" s="417">
        <v>1000.97</v>
      </c>
      <c r="N32" s="417">
        <v>910.64</v>
      </c>
      <c r="O32" s="417">
        <v>1030</v>
      </c>
      <c r="P32" s="343"/>
      <c r="Q32" s="345">
        <f t="shared" si="8"/>
        <v>9756.5</v>
      </c>
      <c r="R32" s="346">
        <f t="shared" si="9"/>
        <v>11766.44</v>
      </c>
      <c r="T32" s="316" t="s">
        <v>184</v>
      </c>
      <c r="U32" s="107">
        <v>18</v>
      </c>
      <c r="V32" s="139" t="s">
        <v>71</v>
      </c>
      <c r="W32" s="318">
        <f t="shared" si="10"/>
        <v>452335.06000000006</v>
      </c>
      <c r="X32" s="318">
        <f t="shared" si="11"/>
        <v>478699.88</v>
      </c>
      <c r="Y32" s="246"/>
    </row>
    <row r="33" spans="2:25" x14ac:dyDescent="0.3">
      <c r="B33" s="264">
        <v>10</v>
      </c>
      <c r="C33" s="598" t="s">
        <v>610</v>
      </c>
      <c r="D33" s="417">
        <v>556.83000000000004</v>
      </c>
      <c r="E33" s="417">
        <v>80</v>
      </c>
      <c r="F33" s="417">
        <v>65</v>
      </c>
      <c r="G33" s="417">
        <v>1296</v>
      </c>
      <c r="H33" s="417">
        <v>2646.24</v>
      </c>
      <c r="I33" s="417">
        <v>937.38</v>
      </c>
      <c r="J33" s="417">
        <v>64.209999999999994</v>
      </c>
      <c r="K33" s="417">
        <v>3050.93</v>
      </c>
      <c r="L33" s="417">
        <v>2.93</v>
      </c>
      <c r="M33" s="417">
        <v>1260</v>
      </c>
      <c r="N33" s="417">
        <v>781.59</v>
      </c>
      <c r="O33" s="417">
        <v>640</v>
      </c>
      <c r="P33" s="343"/>
      <c r="Q33" s="345">
        <f t="shared" si="8"/>
        <v>11381.11</v>
      </c>
      <c r="R33" s="346">
        <f t="shared" si="9"/>
        <v>10726.36</v>
      </c>
      <c r="T33" s="317" t="s">
        <v>186</v>
      </c>
      <c r="U33" s="107">
        <v>19</v>
      </c>
      <c r="V33" s="139" t="s">
        <v>68</v>
      </c>
      <c r="W33" s="318">
        <f t="shared" si="10"/>
        <v>517420.94000000006</v>
      </c>
      <c r="X33" s="318">
        <f t="shared" si="11"/>
        <v>515612.55999999994</v>
      </c>
      <c r="Y33" s="246"/>
    </row>
    <row r="34" spans="2:25" x14ac:dyDescent="0.3">
      <c r="B34" s="264">
        <v>10</v>
      </c>
      <c r="C34" s="598" t="s">
        <v>611</v>
      </c>
      <c r="D34" s="417">
        <v>2.88</v>
      </c>
      <c r="E34" s="417">
        <v>4.13</v>
      </c>
      <c r="F34" s="417">
        <v>3.45</v>
      </c>
      <c r="G34" s="417">
        <v>6.18</v>
      </c>
      <c r="H34" s="417">
        <v>8.75</v>
      </c>
      <c r="I34" s="417">
        <v>5.67</v>
      </c>
      <c r="J34" s="417">
        <v>4.1399999999999997</v>
      </c>
      <c r="K34" s="417">
        <v>4.97</v>
      </c>
      <c r="L34" s="417">
        <v>7.75</v>
      </c>
      <c r="M34" s="417">
        <v>8.44</v>
      </c>
      <c r="N34" s="417">
        <v>3.63</v>
      </c>
      <c r="O34" s="417">
        <v>2.69</v>
      </c>
      <c r="P34" s="343"/>
      <c r="Q34" s="345">
        <f t="shared" si="8"/>
        <v>62.68</v>
      </c>
      <c r="R34" s="346">
        <f t="shared" si="9"/>
        <v>59.04</v>
      </c>
      <c r="T34" s="317" t="s">
        <v>187</v>
      </c>
      <c r="U34" s="107">
        <v>20</v>
      </c>
      <c r="V34" s="139" t="s">
        <v>72</v>
      </c>
      <c r="W34" s="318">
        <f t="shared" si="10"/>
        <v>287361.82</v>
      </c>
      <c r="X34" s="318">
        <f t="shared" si="11"/>
        <v>285043.88</v>
      </c>
      <c r="Y34" s="246"/>
    </row>
    <row r="35" spans="2:25" x14ac:dyDescent="0.3">
      <c r="B35" s="264">
        <v>10</v>
      </c>
      <c r="C35" s="598" t="s">
        <v>612</v>
      </c>
      <c r="D35" s="417">
        <v>385</v>
      </c>
      <c r="E35" s="417">
        <v>300</v>
      </c>
      <c r="F35" s="417">
        <v>150</v>
      </c>
      <c r="G35" s="417">
        <v>150</v>
      </c>
      <c r="H35" s="417">
        <v>30</v>
      </c>
      <c r="I35" s="417">
        <v>0</v>
      </c>
      <c r="J35" s="417">
        <v>60</v>
      </c>
      <c r="K35" s="417">
        <v>0</v>
      </c>
      <c r="L35" s="417">
        <v>30</v>
      </c>
      <c r="M35" s="417">
        <v>0</v>
      </c>
      <c r="N35" s="417">
        <v>60</v>
      </c>
      <c r="O35" s="417">
        <v>0</v>
      </c>
      <c r="P35" s="343"/>
      <c r="Q35" s="345">
        <f t="shared" si="8"/>
        <v>1165</v>
      </c>
      <c r="R35" s="346">
        <f t="shared" si="9"/>
        <v>240</v>
      </c>
      <c r="T35" s="317" t="s">
        <v>189</v>
      </c>
      <c r="U35" s="107">
        <v>21</v>
      </c>
      <c r="V35" s="139" t="s">
        <v>69</v>
      </c>
      <c r="W35" s="318">
        <f t="shared" si="10"/>
        <v>108042.23</v>
      </c>
      <c r="X35" s="318">
        <f t="shared" si="11"/>
        <v>107512.80000000002</v>
      </c>
      <c r="Y35" s="254">
        <f>W35/W18</f>
        <v>2.8101028666028705E-2</v>
      </c>
    </row>
    <row r="36" spans="2:25" x14ac:dyDescent="0.3">
      <c r="B36" s="264">
        <v>10</v>
      </c>
      <c r="C36" s="598" t="s">
        <v>613</v>
      </c>
      <c r="D36" s="417">
        <v>3581.7</v>
      </c>
      <c r="E36" s="417">
        <v>4964.95</v>
      </c>
      <c r="F36" s="417">
        <v>5837.64</v>
      </c>
      <c r="G36" s="417">
        <v>6769.3</v>
      </c>
      <c r="H36" s="417">
        <v>5249.24</v>
      </c>
      <c r="I36" s="417">
        <v>6326.63</v>
      </c>
      <c r="J36" s="417">
        <v>7986.49</v>
      </c>
      <c r="K36" s="417">
        <v>5945.33</v>
      </c>
      <c r="L36" s="417">
        <v>6359.74</v>
      </c>
      <c r="M36" s="417">
        <v>6228.59</v>
      </c>
      <c r="N36" s="417">
        <v>5930.84</v>
      </c>
      <c r="O36" s="417">
        <v>6711.39</v>
      </c>
      <c r="P36" s="343"/>
      <c r="Q36" s="345">
        <f t="shared" si="8"/>
        <v>71891.839999999997</v>
      </c>
      <c r="R36" s="346">
        <f t="shared" si="9"/>
        <v>75483.28</v>
      </c>
      <c r="T36" s="317" t="s">
        <v>190</v>
      </c>
      <c r="U36" s="107">
        <v>22</v>
      </c>
      <c r="V36" s="139" t="s">
        <v>213</v>
      </c>
      <c r="W36" s="318">
        <f t="shared" si="10"/>
        <v>95425.62</v>
      </c>
      <c r="X36" s="318">
        <f t="shared" si="11"/>
        <v>120435.84</v>
      </c>
      <c r="Y36" s="246"/>
    </row>
    <row r="37" spans="2:25" x14ac:dyDescent="0.3">
      <c r="B37" s="264">
        <v>10</v>
      </c>
      <c r="C37" s="598" t="s">
        <v>614</v>
      </c>
      <c r="D37" s="417">
        <v>2804.02</v>
      </c>
      <c r="E37" s="417">
        <v>150</v>
      </c>
      <c r="F37" s="417">
        <v>25.01</v>
      </c>
      <c r="G37" s="417">
        <v>0</v>
      </c>
      <c r="H37" s="417">
        <v>194.52</v>
      </c>
      <c r="I37" s="417">
        <v>3382</v>
      </c>
      <c r="J37" s="417">
        <v>0</v>
      </c>
      <c r="K37" s="417">
        <v>5234.8999999999996</v>
      </c>
      <c r="L37" s="417">
        <v>-626</v>
      </c>
      <c r="M37" s="417">
        <v>4867.38</v>
      </c>
      <c r="N37" s="417">
        <v>2754</v>
      </c>
      <c r="O37" s="417">
        <v>3277</v>
      </c>
      <c r="P37" s="343"/>
      <c r="Q37" s="345">
        <f t="shared" si="8"/>
        <v>22062.83</v>
      </c>
      <c r="R37" s="346">
        <f t="shared" si="9"/>
        <v>43593.520000000004</v>
      </c>
      <c r="T37" s="317" t="s">
        <v>191</v>
      </c>
      <c r="U37" s="107">
        <v>23</v>
      </c>
      <c r="V37" s="139" t="s">
        <v>214</v>
      </c>
      <c r="W37" s="318">
        <f t="shared" si="10"/>
        <v>20020.2</v>
      </c>
      <c r="X37" s="318">
        <f t="shared" si="11"/>
        <v>36049.119999999995</v>
      </c>
      <c r="Y37" s="246"/>
    </row>
    <row r="38" spans="2:25" ht="15" thickBot="1" x14ac:dyDescent="0.35">
      <c r="B38" s="264">
        <v>10</v>
      </c>
      <c r="C38" s="598" t="s">
        <v>615</v>
      </c>
      <c r="D38" s="417">
        <v>60</v>
      </c>
      <c r="E38" s="417">
        <v>367.81</v>
      </c>
      <c r="F38" s="417">
        <v>700</v>
      </c>
      <c r="G38" s="417">
        <v>400</v>
      </c>
      <c r="H38" s="417">
        <v>525</v>
      </c>
      <c r="I38" s="417">
        <v>935</v>
      </c>
      <c r="J38" s="417">
        <v>672.87</v>
      </c>
      <c r="K38" s="417">
        <v>1137.1300000000001</v>
      </c>
      <c r="L38" s="417">
        <v>2345</v>
      </c>
      <c r="M38" s="417">
        <v>2470</v>
      </c>
      <c r="N38" s="417">
        <v>2910</v>
      </c>
      <c r="O38" s="417">
        <v>3180.63</v>
      </c>
      <c r="P38" s="343"/>
      <c r="Q38" s="345">
        <f t="shared" si="8"/>
        <v>15703.439999999999</v>
      </c>
      <c r="R38" s="346">
        <f t="shared" si="9"/>
        <v>34242.520000000004</v>
      </c>
      <c r="T38" s="317" t="s">
        <v>193</v>
      </c>
      <c r="U38" s="107"/>
      <c r="V38" s="307" t="s">
        <v>60</v>
      </c>
      <c r="W38" s="325">
        <f>SUM(W25:W37)</f>
        <v>2305948.8400000008</v>
      </c>
      <c r="X38" s="325">
        <f>SUM(X25:X37)</f>
        <v>2424530.0799999996</v>
      </c>
      <c r="Y38" s="322"/>
    </row>
    <row r="39" spans="2:25" ht="15" thickTop="1" x14ac:dyDescent="0.3">
      <c r="B39" s="264">
        <v>10</v>
      </c>
      <c r="C39" s="598" t="s">
        <v>321</v>
      </c>
      <c r="D39" s="417">
        <v>297.58</v>
      </c>
      <c r="E39" s="417">
        <v>-325.33</v>
      </c>
      <c r="F39" s="417">
        <v>200</v>
      </c>
      <c r="G39" s="417">
        <v>0</v>
      </c>
      <c r="H39" s="417">
        <v>878.02</v>
      </c>
      <c r="I39" s="417">
        <v>0</v>
      </c>
      <c r="J39" s="417">
        <v>0</v>
      </c>
      <c r="K39" s="417">
        <v>0</v>
      </c>
      <c r="L39" s="417">
        <v>0</v>
      </c>
      <c r="M39" s="417">
        <v>0</v>
      </c>
      <c r="N39" s="417">
        <v>0</v>
      </c>
      <c r="O39" s="417">
        <v>0</v>
      </c>
      <c r="P39" s="343"/>
      <c r="Q39" s="345">
        <f t="shared" si="8"/>
        <v>1050.27</v>
      </c>
      <c r="R39" s="346">
        <f t="shared" si="9"/>
        <v>0</v>
      </c>
      <c r="T39" s="317" t="s">
        <v>194</v>
      </c>
      <c r="U39" s="107"/>
      <c r="V39" s="138"/>
      <c r="X39" s="237"/>
      <c r="Y39" s="326"/>
    </row>
    <row r="40" spans="2:25" ht="15" thickBot="1" x14ac:dyDescent="0.35">
      <c r="B40" s="264">
        <v>10</v>
      </c>
      <c r="C40" s="598" t="s">
        <v>616</v>
      </c>
      <c r="D40" s="417">
        <v>-50</v>
      </c>
      <c r="E40" s="417">
        <v>0</v>
      </c>
      <c r="F40" s="417">
        <v>50</v>
      </c>
      <c r="G40" s="417">
        <v>100</v>
      </c>
      <c r="H40" s="417">
        <v>50</v>
      </c>
      <c r="I40" s="417">
        <v>100</v>
      </c>
      <c r="J40" s="417">
        <v>50</v>
      </c>
      <c r="K40" s="417">
        <v>0</v>
      </c>
      <c r="L40" s="417">
        <v>300</v>
      </c>
      <c r="M40" s="417">
        <v>250</v>
      </c>
      <c r="N40" s="417">
        <v>200</v>
      </c>
      <c r="O40" s="417">
        <v>0</v>
      </c>
      <c r="P40" s="350"/>
      <c r="Q40" s="345">
        <f t="shared" si="8"/>
        <v>1050</v>
      </c>
      <c r="R40" s="346">
        <f t="shared" si="9"/>
        <v>1800</v>
      </c>
      <c r="T40" s="317" t="s">
        <v>195</v>
      </c>
      <c r="U40" s="107"/>
      <c r="V40" s="100" t="s">
        <v>77</v>
      </c>
      <c r="W40" s="327">
        <f>W22-W38</f>
        <v>2010190.0299999993</v>
      </c>
      <c r="X40" s="327">
        <f>X22-X38</f>
        <v>1875961.7200000002</v>
      </c>
      <c r="Y40" s="328"/>
    </row>
    <row r="41" spans="2:25" ht="15" thickBot="1" x14ac:dyDescent="0.35">
      <c r="B41" s="264">
        <v>10</v>
      </c>
      <c r="C41" s="598" t="s">
        <v>617</v>
      </c>
      <c r="D41" s="417">
        <v>400</v>
      </c>
      <c r="E41" s="417">
        <v>400</v>
      </c>
      <c r="F41" s="417">
        <v>0</v>
      </c>
      <c r="G41" s="417">
        <v>0</v>
      </c>
      <c r="H41" s="417">
        <v>400</v>
      </c>
      <c r="I41" s="417">
        <v>400</v>
      </c>
      <c r="J41" s="417">
        <v>0</v>
      </c>
      <c r="K41" s="417">
        <v>0</v>
      </c>
      <c r="L41" s="417">
        <v>400</v>
      </c>
      <c r="M41" s="417">
        <v>800</v>
      </c>
      <c r="N41" s="417">
        <v>0</v>
      </c>
      <c r="O41" s="417">
        <v>0</v>
      </c>
      <c r="P41" s="343"/>
      <c r="Q41" s="345">
        <f t="shared" si="8"/>
        <v>2800</v>
      </c>
      <c r="R41" s="346">
        <f t="shared" si="9"/>
        <v>3200</v>
      </c>
      <c r="T41" s="317" t="s">
        <v>196</v>
      </c>
      <c r="U41" s="107">
        <v>25</v>
      </c>
      <c r="V41" t="s">
        <v>215</v>
      </c>
      <c r="W41" s="318">
        <f t="shared" ref="W41" si="12">SUMIF($B$1:$B$495,U41,$Q$1:$Q$495)</f>
        <v>0</v>
      </c>
      <c r="X41" s="318">
        <f t="shared" ref="X41" si="13">SUMIF($B$1:$B$495,U41,$R$1:$R$495)</f>
        <v>0</v>
      </c>
    </row>
    <row r="42" spans="2:25" ht="15" thickBot="1" x14ac:dyDescent="0.35">
      <c r="B42" s="264">
        <v>10</v>
      </c>
      <c r="C42" s="598" t="s">
        <v>320</v>
      </c>
      <c r="D42" s="417">
        <v>405.18</v>
      </c>
      <c r="E42" s="417">
        <v>405</v>
      </c>
      <c r="F42" s="417">
        <v>420.33</v>
      </c>
      <c r="G42" s="417">
        <v>439.17</v>
      </c>
      <c r="H42" s="417">
        <v>463.06</v>
      </c>
      <c r="I42" s="417">
        <v>483.23</v>
      </c>
      <c r="J42" s="417">
        <v>499.17</v>
      </c>
      <c r="K42" s="417">
        <v>457.42</v>
      </c>
      <c r="L42" s="417">
        <v>355.81</v>
      </c>
      <c r="M42" s="417">
        <v>482.5</v>
      </c>
      <c r="N42" s="417">
        <v>492.9</v>
      </c>
      <c r="O42" s="417">
        <v>541.61</v>
      </c>
      <c r="P42" s="343"/>
      <c r="Q42" s="345">
        <f t="shared" si="8"/>
        <v>5445.38</v>
      </c>
      <c r="R42" s="346">
        <f t="shared" si="9"/>
        <v>6068.04</v>
      </c>
      <c r="T42" s="320" t="s">
        <v>197</v>
      </c>
      <c r="U42" s="107">
        <v>24</v>
      </c>
      <c r="V42" s="267" t="s">
        <v>216</v>
      </c>
      <c r="W42" s="329">
        <f>SUMIF($B$1:$B$495,U42,$Q$1:$Q$495)</f>
        <v>2010190.03</v>
      </c>
      <c r="X42" s="329">
        <f>SUMIF($B$1:$B$495,U42,$R$1:$R$495)</f>
        <v>1875961.72</v>
      </c>
      <c r="Y42" s="222"/>
    </row>
    <row r="43" spans="2:25" x14ac:dyDescent="0.3">
      <c r="B43" s="264">
        <v>10</v>
      </c>
      <c r="C43" s="598" t="s">
        <v>618</v>
      </c>
      <c r="D43" s="417">
        <v>800</v>
      </c>
      <c r="E43" s="417">
        <v>1650</v>
      </c>
      <c r="F43" s="417">
        <v>1550</v>
      </c>
      <c r="G43" s="417">
        <v>1900</v>
      </c>
      <c r="H43" s="417">
        <v>2050</v>
      </c>
      <c r="I43" s="417">
        <v>2050</v>
      </c>
      <c r="J43" s="417">
        <v>1878.16</v>
      </c>
      <c r="K43" s="417">
        <v>1850</v>
      </c>
      <c r="L43" s="417">
        <v>2050</v>
      </c>
      <c r="M43" s="417">
        <v>1850</v>
      </c>
      <c r="N43" s="417">
        <v>1729.35</v>
      </c>
      <c r="O43" s="417">
        <v>2550</v>
      </c>
      <c r="P43" s="343"/>
      <c r="Q43" s="345">
        <f t="shared" si="8"/>
        <v>21907.51</v>
      </c>
      <c r="R43" s="346">
        <f t="shared" si="9"/>
        <v>24517.4</v>
      </c>
      <c r="T43" s="320" t="s">
        <v>198</v>
      </c>
      <c r="W43" s="318"/>
      <c r="X43" s="318"/>
    </row>
    <row r="44" spans="2:25" x14ac:dyDescent="0.3">
      <c r="B44" s="264">
        <v>8</v>
      </c>
      <c r="C44" s="598" t="s">
        <v>619</v>
      </c>
      <c r="D44" s="417">
        <v>1761.77</v>
      </c>
      <c r="E44" s="417">
        <v>2116.34</v>
      </c>
      <c r="F44" s="417">
        <v>2264.0500000000002</v>
      </c>
      <c r="G44" s="417">
        <v>2234.37</v>
      </c>
      <c r="H44" s="417">
        <v>2542.25</v>
      </c>
      <c r="I44" s="417">
        <v>2671.2</v>
      </c>
      <c r="J44" s="417">
        <v>2883.65</v>
      </c>
      <c r="K44" s="417">
        <v>2878.46</v>
      </c>
      <c r="L44" s="417">
        <v>2739.78</v>
      </c>
      <c r="M44" s="417">
        <v>3141.98</v>
      </c>
      <c r="N44" s="417">
        <v>2756.26</v>
      </c>
      <c r="O44" s="417">
        <v>3188.31</v>
      </c>
      <c r="P44" s="343"/>
      <c r="Q44" s="345">
        <f t="shared" si="8"/>
        <v>31178.420000000002</v>
      </c>
      <c r="R44" s="346">
        <f t="shared" si="9"/>
        <v>36346.199999999997</v>
      </c>
      <c r="T44" s="320" t="s">
        <v>199</v>
      </c>
      <c r="W44" s="318"/>
      <c r="X44" s="318"/>
    </row>
    <row r="45" spans="2:25" x14ac:dyDescent="0.3">
      <c r="B45" s="264">
        <v>8</v>
      </c>
      <c r="C45" s="598" t="s">
        <v>620</v>
      </c>
      <c r="D45" s="417">
        <v>9808</v>
      </c>
      <c r="E45" s="417">
        <v>13755.24</v>
      </c>
      <c r="F45" s="417">
        <v>10460.16</v>
      </c>
      <c r="G45" s="417">
        <v>10561.72</v>
      </c>
      <c r="H45" s="417">
        <v>10893.75</v>
      </c>
      <c r="I45" s="417">
        <v>12039.25</v>
      </c>
      <c r="J45" s="417">
        <v>12405.43</v>
      </c>
      <c r="K45" s="417">
        <v>13191.56</v>
      </c>
      <c r="L45" s="417">
        <v>12018.49</v>
      </c>
      <c r="M45" s="417">
        <v>12264.57</v>
      </c>
      <c r="N45" s="417">
        <v>10461.52</v>
      </c>
      <c r="O45" s="417">
        <v>12880.3</v>
      </c>
      <c r="P45" s="343"/>
      <c r="Q45" s="345">
        <f t="shared" si="8"/>
        <v>140739.99</v>
      </c>
      <c r="R45" s="346">
        <f t="shared" si="9"/>
        <v>142425.56</v>
      </c>
      <c r="T45" s="320" t="s">
        <v>200</v>
      </c>
    </row>
    <row r="46" spans="2:25" x14ac:dyDescent="0.3">
      <c r="B46" s="264">
        <v>9</v>
      </c>
      <c r="C46" s="598" t="s">
        <v>621</v>
      </c>
      <c r="D46" s="417">
        <v>3853.6</v>
      </c>
      <c r="E46" s="417">
        <v>4030.46</v>
      </c>
      <c r="F46" s="417">
        <v>4156.01</v>
      </c>
      <c r="G46" s="417">
        <v>4372.8999999999996</v>
      </c>
      <c r="H46" s="417">
        <v>5020.71</v>
      </c>
      <c r="I46" s="417">
        <v>4615.66</v>
      </c>
      <c r="J46" s="417">
        <v>4710.0600000000004</v>
      </c>
      <c r="K46" s="417">
        <v>5399.55</v>
      </c>
      <c r="L46" s="417">
        <v>4655.8</v>
      </c>
      <c r="M46" s="417">
        <v>4759.46</v>
      </c>
      <c r="N46" s="417">
        <v>5217.4399999999996</v>
      </c>
      <c r="O46" s="417">
        <v>4847.41</v>
      </c>
      <c r="P46" s="347"/>
      <c r="Q46" s="345">
        <f t="shared" si="8"/>
        <v>55639.060000000012</v>
      </c>
      <c r="R46" s="346">
        <f t="shared" si="9"/>
        <v>59297.24</v>
      </c>
      <c r="T46" s="320" t="s">
        <v>201</v>
      </c>
    </row>
    <row r="47" spans="2:25" x14ac:dyDescent="0.3">
      <c r="B47" s="264">
        <v>9</v>
      </c>
      <c r="C47" s="543" t="s">
        <v>622</v>
      </c>
      <c r="D47" s="417">
        <v>1480.22</v>
      </c>
      <c r="E47" s="417">
        <v>1497.33</v>
      </c>
      <c r="F47" s="417">
        <v>1472.14</v>
      </c>
      <c r="G47" s="417">
        <v>1582.45</v>
      </c>
      <c r="H47" s="417">
        <v>1690.66</v>
      </c>
      <c r="I47" s="417">
        <v>1732.26</v>
      </c>
      <c r="J47" s="417">
        <v>1646.93</v>
      </c>
      <c r="K47" s="417">
        <v>1619.23</v>
      </c>
      <c r="L47" s="417">
        <v>1659.56</v>
      </c>
      <c r="M47" s="417">
        <v>1665.73</v>
      </c>
      <c r="N47" s="417">
        <v>1679.88</v>
      </c>
      <c r="O47" s="417">
        <v>1715.74</v>
      </c>
      <c r="P47" s="348"/>
      <c r="Q47" s="345">
        <f t="shared" si="8"/>
        <v>19442.13</v>
      </c>
      <c r="R47" s="346">
        <f t="shared" si="9"/>
        <v>20245.400000000001</v>
      </c>
      <c r="T47" s="320" t="s">
        <v>202</v>
      </c>
    </row>
    <row r="48" spans="2:25" x14ac:dyDescent="0.3">
      <c r="B48" s="264">
        <v>9</v>
      </c>
      <c r="C48" s="598" t="s">
        <v>623</v>
      </c>
      <c r="D48" s="417">
        <v>0</v>
      </c>
      <c r="E48" s="417">
        <v>60</v>
      </c>
      <c r="F48" s="417">
        <v>0</v>
      </c>
      <c r="G48" s="417">
        <v>110</v>
      </c>
      <c r="H48" s="417">
        <v>110</v>
      </c>
      <c r="I48" s="417">
        <v>0</v>
      </c>
      <c r="J48" s="417">
        <v>0</v>
      </c>
      <c r="K48" s="417">
        <v>220</v>
      </c>
      <c r="L48" s="417">
        <v>170</v>
      </c>
      <c r="M48" s="417">
        <v>440</v>
      </c>
      <c r="N48" s="417">
        <v>220</v>
      </c>
      <c r="O48" s="417">
        <v>110</v>
      </c>
      <c r="P48" s="348"/>
      <c r="Q48" s="345">
        <f t="shared" si="8"/>
        <v>1440</v>
      </c>
      <c r="R48" s="346">
        <f t="shared" si="9"/>
        <v>3080</v>
      </c>
      <c r="T48" s="320" t="s">
        <v>203</v>
      </c>
    </row>
    <row r="49" spans="2:20" x14ac:dyDescent="0.3">
      <c r="B49" s="264">
        <v>9</v>
      </c>
      <c r="C49" s="543" t="s">
        <v>624</v>
      </c>
      <c r="D49" s="417">
        <v>125</v>
      </c>
      <c r="E49" s="417">
        <v>175</v>
      </c>
      <c r="F49" s="417">
        <v>50</v>
      </c>
      <c r="G49" s="417">
        <v>270</v>
      </c>
      <c r="H49" s="417">
        <v>180</v>
      </c>
      <c r="I49" s="417">
        <v>240</v>
      </c>
      <c r="J49" s="417">
        <v>90</v>
      </c>
      <c r="K49" s="417">
        <v>90</v>
      </c>
      <c r="L49" s="417">
        <v>120</v>
      </c>
      <c r="M49" s="417">
        <v>120</v>
      </c>
      <c r="N49" s="417">
        <v>150</v>
      </c>
      <c r="O49" s="417">
        <v>360</v>
      </c>
      <c r="P49" s="350"/>
      <c r="Q49" s="345">
        <f t="shared" si="8"/>
        <v>1970</v>
      </c>
      <c r="R49" s="346">
        <f t="shared" si="9"/>
        <v>2520</v>
      </c>
      <c r="T49" s="320" t="s">
        <v>204</v>
      </c>
    </row>
    <row r="50" spans="2:20" x14ac:dyDescent="0.3">
      <c r="B50" s="264">
        <v>9</v>
      </c>
      <c r="C50" s="543" t="s">
        <v>625</v>
      </c>
      <c r="D50" s="417">
        <v>1717.05</v>
      </c>
      <c r="E50" s="417">
        <v>1835.1</v>
      </c>
      <c r="F50" s="417">
        <v>1834.29</v>
      </c>
      <c r="G50" s="417">
        <v>1839.28</v>
      </c>
      <c r="H50" s="417">
        <v>1857.66</v>
      </c>
      <c r="I50" s="417">
        <v>1895.93</v>
      </c>
      <c r="J50" s="417">
        <v>1826.24</v>
      </c>
      <c r="K50" s="417">
        <v>1898.21</v>
      </c>
      <c r="L50" s="417">
        <v>1852.93</v>
      </c>
      <c r="M50" s="417">
        <v>1837.09</v>
      </c>
      <c r="N50" s="417">
        <v>1684.68</v>
      </c>
      <c r="O50" s="417">
        <v>1794.81</v>
      </c>
      <c r="P50" s="343"/>
      <c r="Q50" s="345">
        <f t="shared" si="8"/>
        <v>21873.27</v>
      </c>
      <c r="R50" s="346">
        <f t="shared" si="9"/>
        <v>21266.32</v>
      </c>
      <c r="T50" s="320" t="s">
        <v>205</v>
      </c>
    </row>
    <row r="51" spans="2:20" x14ac:dyDescent="0.3">
      <c r="B51" s="264">
        <v>10</v>
      </c>
      <c r="C51" s="598" t="s">
        <v>626</v>
      </c>
      <c r="D51" s="417">
        <v>0</v>
      </c>
      <c r="E51" s="417">
        <v>600</v>
      </c>
      <c r="F51" s="417">
        <v>0</v>
      </c>
      <c r="G51" s="417">
        <v>200</v>
      </c>
      <c r="H51" s="417">
        <v>250</v>
      </c>
      <c r="I51" s="417">
        <v>300</v>
      </c>
      <c r="J51" s="417">
        <v>300</v>
      </c>
      <c r="K51" s="417">
        <v>300</v>
      </c>
      <c r="L51" s="417">
        <v>300</v>
      </c>
      <c r="M51" s="417">
        <v>300</v>
      </c>
      <c r="N51" s="417">
        <v>270.97000000000003</v>
      </c>
      <c r="O51" s="417">
        <v>250</v>
      </c>
      <c r="P51" s="347"/>
      <c r="Q51" s="345">
        <f t="shared" si="8"/>
        <v>3070.9700000000003</v>
      </c>
      <c r="R51" s="346">
        <f t="shared" si="9"/>
        <v>3283.88</v>
      </c>
      <c r="T51" s="320" t="s">
        <v>206</v>
      </c>
    </row>
    <row r="52" spans="2:20" x14ac:dyDescent="0.3">
      <c r="C52" s="542" t="s">
        <v>594</v>
      </c>
      <c r="D52" s="422">
        <v>36063.72</v>
      </c>
      <c r="E52" s="422">
        <v>38139.93</v>
      </c>
      <c r="F52" s="422">
        <v>32278.85</v>
      </c>
      <c r="G52" s="422">
        <v>33309.01</v>
      </c>
      <c r="H52" s="422">
        <v>38498.74</v>
      </c>
      <c r="I52" s="422">
        <v>37031.94</v>
      </c>
      <c r="J52" s="422">
        <v>31294.89</v>
      </c>
      <c r="K52" s="422">
        <v>50700.83</v>
      </c>
      <c r="L52" s="422">
        <v>39084.57</v>
      </c>
      <c r="M52" s="422">
        <v>44444.72</v>
      </c>
      <c r="N52" s="422">
        <v>36634.44</v>
      </c>
      <c r="O52" s="422">
        <v>52608.12</v>
      </c>
      <c r="P52" s="348"/>
      <c r="Q52" s="345">
        <f t="shared" si="8"/>
        <v>470089.76000000007</v>
      </c>
      <c r="R52" s="346">
        <f t="shared" si="9"/>
        <v>534749.12</v>
      </c>
      <c r="T52" s="320" t="s">
        <v>207</v>
      </c>
    </row>
    <row r="53" spans="2:20" x14ac:dyDescent="0.3">
      <c r="C53" s="542" t="s">
        <v>595</v>
      </c>
      <c r="D53" s="422">
        <v>359202.58</v>
      </c>
      <c r="E53" s="422">
        <v>375081.53</v>
      </c>
      <c r="F53" s="422">
        <v>363754.68</v>
      </c>
      <c r="G53" s="422">
        <v>364969.29</v>
      </c>
      <c r="H53" s="422">
        <v>365266.95</v>
      </c>
      <c r="I53" s="422">
        <v>361647.98</v>
      </c>
      <c r="J53" s="422">
        <v>343715.59</v>
      </c>
      <c r="K53" s="422">
        <v>343817.81</v>
      </c>
      <c r="L53" s="422">
        <v>363559.51</v>
      </c>
      <c r="M53" s="422">
        <v>355036.28</v>
      </c>
      <c r="N53" s="422">
        <v>350390.06</v>
      </c>
      <c r="O53" s="422">
        <v>369696.61</v>
      </c>
      <c r="P53" s="347"/>
      <c r="Q53" s="345">
        <f t="shared" si="8"/>
        <v>4316138.87</v>
      </c>
      <c r="R53" s="346">
        <f t="shared" si="9"/>
        <v>4300491.8000000007</v>
      </c>
      <c r="T53" s="320" t="s">
        <v>208</v>
      </c>
    </row>
    <row r="54" spans="2:20" x14ac:dyDescent="0.3">
      <c r="C54" s="598"/>
      <c r="D54" s="417"/>
      <c r="E54" s="417"/>
      <c r="F54" s="417"/>
      <c r="G54" s="417"/>
      <c r="H54" s="417"/>
      <c r="I54" s="417"/>
      <c r="J54" s="417"/>
      <c r="K54" s="417"/>
      <c r="L54" s="417"/>
      <c r="M54" s="417"/>
      <c r="N54" s="417"/>
      <c r="O54" s="417"/>
      <c r="P54" s="348"/>
      <c r="Q54" s="345">
        <f t="shared" si="8"/>
        <v>0</v>
      </c>
      <c r="R54" s="346">
        <f t="shared" si="9"/>
        <v>0</v>
      </c>
      <c r="T54" s="320" t="s">
        <v>210</v>
      </c>
    </row>
    <row r="55" spans="2:20" ht="15" thickBot="1" x14ac:dyDescent="0.35">
      <c r="C55" s="542" t="s">
        <v>627</v>
      </c>
      <c r="D55" s="417"/>
      <c r="E55" s="417"/>
      <c r="F55" s="417"/>
      <c r="G55" s="417"/>
      <c r="H55" s="417"/>
      <c r="I55" s="417"/>
      <c r="J55" s="417"/>
      <c r="K55" s="417"/>
      <c r="L55" s="417"/>
      <c r="M55" s="417"/>
      <c r="N55" s="417"/>
      <c r="O55" s="417"/>
      <c r="P55" s="348"/>
      <c r="Q55" s="345">
        <f t="shared" si="8"/>
        <v>0</v>
      </c>
      <c r="R55" s="346">
        <f t="shared" si="9"/>
        <v>0</v>
      </c>
      <c r="T55" s="324" t="s">
        <v>212</v>
      </c>
    </row>
    <row r="56" spans="2:20" x14ac:dyDescent="0.3">
      <c r="C56" s="542" t="s">
        <v>628</v>
      </c>
      <c r="D56" s="417"/>
      <c r="E56" s="417"/>
      <c r="F56" s="417"/>
      <c r="G56" s="417"/>
      <c r="H56" s="417"/>
      <c r="I56" s="417"/>
      <c r="J56" s="417"/>
      <c r="K56" s="417"/>
      <c r="L56" s="417"/>
      <c r="M56" s="417"/>
      <c r="N56" s="417"/>
      <c r="O56" s="417"/>
      <c r="P56" s="348"/>
      <c r="Q56" s="345">
        <f t="shared" si="8"/>
        <v>0</v>
      </c>
      <c r="R56" s="346">
        <f t="shared" si="9"/>
        <v>0</v>
      </c>
      <c r="T56" s="316" t="s">
        <v>184</v>
      </c>
    </row>
    <row r="57" spans="2:20" x14ac:dyDescent="0.3">
      <c r="C57" s="542" t="s">
        <v>629</v>
      </c>
      <c r="D57" s="417"/>
      <c r="E57" s="417"/>
      <c r="F57" s="417"/>
      <c r="G57" s="417"/>
      <c r="H57" s="417"/>
      <c r="I57" s="417"/>
      <c r="J57" s="417"/>
      <c r="K57" s="417"/>
      <c r="L57" s="417"/>
      <c r="M57" s="417"/>
      <c r="N57" s="417"/>
      <c r="O57" s="417"/>
      <c r="P57" s="343"/>
      <c r="Q57" s="345">
        <f t="shared" si="8"/>
        <v>0</v>
      </c>
      <c r="R57" s="346">
        <f t="shared" si="9"/>
        <v>0</v>
      </c>
      <c r="T57" s="317" t="s">
        <v>186</v>
      </c>
    </row>
    <row r="58" spans="2:20" x14ac:dyDescent="0.3">
      <c r="B58" s="264">
        <v>21</v>
      </c>
      <c r="C58" s="543" t="s">
        <v>630</v>
      </c>
      <c r="D58" s="417">
        <v>9023.02</v>
      </c>
      <c r="E58" s="417">
        <v>9083.4500000000007</v>
      </c>
      <c r="F58" s="417">
        <v>8764.81</v>
      </c>
      <c r="G58" s="417">
        <v>8920.5300000000007</v>
      </c>
      <c r="H58" s="417">
        <v>9097.93</v>
      </c>
      <c r="I58" s="417">
        <v>8714.92</v>
      </c>
      <c r="J58" s="417">
        <v>8301.42</v>
      </c>
      <c r="K58" s="417">
        <v>8595.32</v>
      </c>
      <c r="L58" s="417">
        <v>10662.63</v>
      </c>
      <c r="M58" s="417">
        <v>8875.89</v>
      </c>
      <c r="N58" s="417">
        <v>8759.8700000000008</v>
      </c>
      <c r="O58" s="417">
        <v>9242.44</v>
      </c>
      <c r="P58" s="343"/>
      <c r="Q58" s="345">
        <f t="shared" si="8"/>
        <v>108042.23</v>
      </c>
      <c r="R58" s="346">
        <f t="shared" si="9"/>
        <v>107512.80000000002</v>
      </c>
      <c r="T58" s="317" t="s">
        <v>187</v>
      </c>
    </row>
    <row r="59" spans="2:20" x14ac:dyDescent="0.3">
      <c r="C59" s="542" t="s">
        <v>631</v>
      </c>
      <c r="D59" s="422">
        <v>9023.02</v>
      </c>
      <c r="E59" s="422">
        <v>9083.4500000000007</v>
      </c>
      <c r="F59" s="422">
        <v>8764.81</v>
      </c>
      <c r="G59" s="422">
        <v>8920.5300000000007</v>
      </c>
      <c r="H59" s="422">
        <v>9097.93</v>
      </c>
      <c r="I59" s="422">
        <v>8714.92</v>
      </c>
      <c r="J59" s="422">
        <v>8301.42</v>
      </c>
      <c r="K59" s="422">
        <v>8595.32</v>
      </c>
      <c r="L59" s="422">
        <v>10662.63</v>
      </c>
      <c r="M59" s="422">
        <v>8875.89</v>
      </c>
      <c r="N59" s="422">
        <v>8759.8700000000008</v>
      </c>
      <c r="O59" s="422">
        <v>9242.44</v>
      </c>
      <c r="P59" s="343"/>
      <c r="Q59" s="345">
        <f t="shared" si="8"/>
        <v>108042.23</v>
      </c>
      <c r="R59" s="346">
        <f t="shared" si="9"/>
        <v>107512.80000000002</v>
      </c>
      <c r="T59" s="317" t="s">
        <v>189</v>
      </c>
    </row>
    <row r="60" spans="2:20" x14ac:dyDescent="0.3">
      <c r="C60" s="542" t="s">
        <v>632</v>
      </c>
      <c r="D60" s="417"/>
      <c r="E60" s="417"/>
      <c r="F60" s="417"/>
      <c r="G60" s="417"/>
      <c r="H60" s="417"/>
      <c r="I60" s="417"/>
      <c r="J60" s="417"/>
      <c r="K60" s="417"/>
      <c r="L60" s="417"/>
      <c r="M60" s="417"/>
      <c r="N60" s="417"/>
      <c r="O60" s="417"/>
      <c r="P60" s="343"/>
      <c r="Q60" s="345">
        <f t="shared" si="8"/>
        <v>0</v>
      </c>
      <c r="R60" s="346">
        <f t="shared" si="9"/>
        <v>0</v>
      </c>
      <c r="T60" s="317" t="s">
        <v>190</v>
      </c>
    </row>
    <row r="61" spans="2:20" x14ac:dyDescent="0.3">
      <c r="B61" s="264">
        <v>22</v>
      </c>
      <c r="C61" s="598" t="s">
        <v>633</v>
      </c>
      <c r="D61" s="417">
        <v>0</v>
      </c>
      <c r="E61" s="417">
        <v>0</v>
      </c>
      <c r="F61" s="417">
        <v>0</v>
      </c>
      <c r="G61" s="417">
        <v>0</v>
      </c>
      <c r="H61" s="417">
        <v>0</v>
      </c>
      <c r="I61" s="417">
        <v>0</v>
      </c>
      <c r="J61" s="417">
        <v>0</v>
      </c>
      <c r="K61" s="417">
        <v>0</v>
      </c>
      <c r="L61" s="417">
        <v>0</v>
      </c>
      <c r="M61" s="417">
        <v>0</v>
      </c>
      <c r="N61" s="417">
        <v>0</v>
      </c>
      <c r="O61" s="417">
        <v>640</v>
      </c>
      <c r="P61" s="343"/>
      <c r="Q61" s="345">
        <f t="shared" si="8"/>
        <v>640</v>
      </c>
      <c r="R61" s="346">
        <f t="shared" si="9"/>
        <v>2560</v>
      </c>
      <c r="T61" s="317" t="s">
        <v>191</v>
      </c>
    </row>
    <row r="62" spans="2:20" x14ac:dyDescent="0.3">
      <c r="B62" s="264">
        <v>22</v>
      </c>
      <c r="C62" s="598" t="s">
        <v>634</v>
      </c>
      <c r="D62" s="417">
        <v>1253.8499999999999</v>
      </c>
      <c r="E62" s="417">
        <v>374.84</v>
      </c>
      <c r="F62" s="417">
        <v>106.81</v>
      </c>
      <c r="G62" s="417">
        <v>410.47</v>
      </c>
      <c r="H62" s="417">
        <v>444.24</v>
      </c>
      <c r="I62" s="417">
        <v>403.9</v>
      </c>
      <c r="J62" s="417">
        <v>379.69</v>
      </c>
      <c r="K62" s="417">
        <v>287.18</v>
      </c>
      <c r="L62" s="417">
        <v>461.23</v>
      </c>
      <c r="M62" s="417">
        <v>501.19</v>
      </c>
      <c r="N62" s="417">
        <v>677.84</v>
      </c>
      <c r="O62" s="417">
        <v>689.93</v>
      </c>
      <c r="P62" s="347"/>
      <c r="Q62" s="345">
        <f t="shared" si="8"/>
        <v>5991.17</v>
      </c>
      <c r="R62" s="346">
        <f t="shared" si="9"/>
        <v>7475.84</v>
      </c>
      <c r="T62" s="317" t="s">
        <v>193</v>
      </c>
    </row>
    <row r="63" spans="2:20" x14ac:dyDescent="0.3">
      <c r="B63" s="264">
        <v>22</v>
      </c>
      <c r="C63" s="598" t="s">
        <v>635</v>
      </c>
      <c r="D63" s="417">
        <v>2226.94</v>
      </c>
      <c r="E63" s="417">
        <v>2845.6</v>
      </c>
      <c r="F63" s="417">
        <v>2054.1</v>
      </c>
      <c r="G63" s="417">
        <v>2367.42</v>
      </c>
      <c r="H63" s="417">
        <v>2315.83</v>
      </c>
      <c r="I63" s="417">
        <v>2563.29</v>
      </c>
      <c r="J63" s="417">
        <v>1458.03</v>
      </c>
      <c r="K63" s="417">
        <v>3178.95</v>
      </c>
      <c r="L63" s="417">
        <v>2647.38</v>
      </c>
      <c r="M63" s="417">
        <v>2139.6</v>
      </c>
      <c r="N63" s="417">
        <v>2687.02</v>
      </c>
      <c r="O63" s="417">
        <v>2247.67</v>
      </c>
      <c r="P63" s="348"/>
      <c r="Q63" s="345">
        <f t="shared" si="8"/>
        <v>28731.83</v>
      </c>
      <c r="R63" s="346">
        <f t="shared" si="9"/>
        <v>28297.16</v>
      </c>
      <c r="T63" s="317" t="s">
        <v>194</v>
      </c>
    </row>
    <row r="64" spans="2:20" x14ac:dyDescent="0.3">
      <c r="B64" s="264">
        <v>22</v>
      </c>
      <c r="C64" s="598" t="s">
        <v>636</v>
      </c>
      <c r="D64" s="417">
        <v>364.18</v>
      </c>
      <c r="E64" s="417">
        <v>364.34</v>
      </c>
      <c r="F64" s="417">
        <v>364.34</v>
      </c>
      <c r="G64" s="417">
        <v>364.34</v>
      </c>
      <c r="H64" s="417">
        <v>448.11</v>
      </c>
      <c r="I64" s="417">
        <v>396.62</v>
      </c>
      <c r="J64" s="417">
        <v>395.85</v>
      </c>
      <c r="K64" s="417">
        <v>350</v>
      </c>
      <c r="L64" s="417">
        <v>14.86</v>
      </c>
      <c r="M64" s="417">
        <v>758.47</v>
      </c>
      <c r="N64" s="417">
        <v>364.21</v>
      </c>
      <c r="O64" s="417">
        <v>324.24</v>
      </c>
      <c r="P64" s="348"/>
      <c r="Q64" s="345">
        <f t="shared" si="8"/>
        <v>4509.5599999999995</v>
      </c>
      <c r="R64" s="346">
        <f t="shared" si="9"/>
        <v>5787.68</v>
      </c>
      <c r="T64" s="317" t="s">
        <v>195</v>
      </c>
    </row>
    <row r="65" spans="2:20" x14ac:dyDescent="0.3">
      <c r="B65" s="264">
        <v>22</v>
      </c>
      <c r="C65" s="598" t="s">
        <v>637</v>
      </c>
      <c r="D65" s="417">
        <v>0</v>
      </c>
      <c r="E65" s="417">
        <v>376.92</v>
      </c>
      <c r="F65" s="417">
        <v>0</v>
      </c>
      <c r="G65" s="417">
        <v>0</v>
      </c>
      <c r="H65" s="417">
        <v>0</v>
      </c>
      <c r="I65" s="417">
        <v>0</v>
      </c>
      <c r="J65" s="417">
        <v>0</v>
      </c>
      <c r="K65" s="417">
        <v>0</v>
      </c>
      <c r="L65" s="417">
        <v>0</v>
      </c>
      <c r="M65" s="417">
        <v>0</v>
      </c>
      <c r="N65" s="417">
        <v>0</v>
      </c>
      <c r="O65" s="417">
        <v>0</v>
      </c>
      <c r="P65" s="343"/>
      <c r="Q65" s="345">
        <f t="shared" si="8"/>
        <v>376.92</v>
      </c>
      <c r="R65" s="346">
        <f t="shared" si="9"/>
        <v>0</v>
      </c>
      <c r="T65" s="317" t="s">
        <v>196</v>
      </c>
    </row>
    <row r="66" spans="2:20" x14ac:dyDescent="0.3">
      <c r="B66" s="264">
        <v>22</v>
      </c>
      <c r="C66" s="598" t="s">
        <v>638</v>
      </c>
      <c r="D66" s="417">
        <v>0</v>
      </c>
      <c r="E66" s="417">
        <v>0</v>
      </c>
      <c r="F66" s="417">
        <v>0</v>
      </c>
      <c r="G66" s="417">
        <v>0</v>
      </c>
      <c r="H66" s="417">
        <v>0</v>
      </c>
      <c r="I66" s="417">
        <v>0</v>
      </c>
      <c r="J66" s="417">
        <v>0</v>
      </c>
      <c r="K66" s="417">
        <v>0</v>
      </c>
      <c r="L66" s="417">
        <v>481</v>
      </c>
      <c r="M66" s="417">
        <v>0</v>
      </c>
      <c r="N66" s="417">
        <v>0</v>
      </c>
      <c r="O66" s="417">
        <v>0</v>
      </c>
      <c r="P66" s="343"/>
      <c r="Q66" s="345">
        <f t="shared" si="8"/>
        <v>481</v>
      </c>
      <c r="R66" s="346">
        <f t="shared" si="9"/>
        <v>0</v>
      </c>
      <c r="T66" s="320" t="s">
        <v>197</v>
      </c>
    </row>
    <row r="67" spans="2:20" x14ac:dyDescent="0.3">
      <c r="B67" s="264">
        <v>23</v>
      </c>
      <c r="C67" s="598" t="s">
        <v>639</v>
      </c>
      <c r="D67" s="417">
        <v>10161.92</v>
      </c>
      <c r="E67" s="417">
        <v>481</v>
      </c>
      <c r="F67" s="417">
        <v>365</v>
      </c>
      <c r="G67" s="417">
        <v>0</v>
      </c>
      <c r="H67" s="417">
        <v>0</v>
      </c>
      <c r="I67" s="417">
        <v>149</v>
      </c>
      <c r="J67" s="417">
        <v>149</v>
      </c>
      <c r="K67" s="417">
        <v>-298</v>
      </c>
      <c r="L67" s="417">
        <v>0</v>
      </c>
      <c r="M67" s="417">
        <v>991</v>
      </c>
      <c r="N67" s="417">
        <v>3808.14</v>
      </c>
      <c r="O67" s="417">
        <v>4213.1400000000003</v>
      </c>
      <c r="P67" s="343"/>
      <c r="Q67" s="345">
        <f t="shared" si="8"/>
        <v>20020.2</v>
      </c>
      <c r="R67" s="346">
        <f t="shared" si="9"/>
        <v>36049.119999999995</v>
      </c>
      <c r="T67" s="320" t="s">
        <v>198</v>
      </c>
    </row>
    <row r="68" spans="2:20" x14ac:dyDescent="0.3">
      <c r="B68" s="264">
        <v>22</v>
      </c>
      <c r="C68" s="598" t="s">
        <v>324</v>
      </c>
      <c r="D68" s="417">
        <v>200.54</v>
      </c>
      <c r="E68" s="417">
        <v>200.8</v>
      </c>
      <c r="F68" s="417">
        <v>72.459999999999994</v>
      </c>
      <c r="G68" s="417">
        <v>0</v>
      </c>
      <c r="H68" s="417">
        <v>795.73</v>
      </c>
      <c r="I68" s="417">
        <v>500</v>
      </c>
      <c r="J68" s="417">
        <v>-500</v>
      </c>
      <c r="K68" s="417">
        <v>528.12</v>
      </c>
      <c r="L68" s="417">
        <v>-500</v>
      </c>
      <c r="M68" s="417">
        <v>0</v>
      </c>
      <c r="N68" s="417">
        <v>8.64</v>
      </c>
      <c r="O68" s="417">
        <v>72</v>
      </c>
      <c r="P68" s="343"/>
      <c r="Q68" s="345">
        <f t="shared" si="8"/>
        <v>1378.2900000000002</v>
      </c>
      <c r="R68" s="346">
        <f t="shared" si="9"/>
        <v>322.56</v>
      </c>
      <c r="T68" s="320" t="s">
        <v>199</v>
      </c>
    </row>
    <row r="69" spans="2:20" x14ac:dyDescent="0.3">
      <c r="B69" s="264">
        <v>22</v>
      </c>
      <c r="C69" s="598" t="s">
        <v>325</v>
      </c>
      <c r="D69" s="417">
        <v>0</v>
      </c>
      <c r="E69" s="417">
        <v>1.4</v>
      </c>
      <c r="F69" s="417">
        <v>8.2799999999999994</v>
      </c>
      <c r="G69" s="417">
        <v>68.55</v>
      </c>
      <c r="H69" s="417">
        <v>17.45</v>
      </c>
      <c r="I69" s="417">
        <v>7.9</v>
      </c>
      <c r="J69" s="417">
        <v>10.32</v>
      </c>
      <c r="K69" s="417">
        <v>0</v>
      </c>
      <c r="L69" s="417">
        <v>2.0499999999999998</v>
      </c>
      <c r="M69" s="417">
        <v>2.0499999999999998</v>
      </c>
      <c r="N69" s="417">
        <v>49.14</v>
      </c>
      <c r="O69" s="417">
        <v>47.27</v>
      </c>
      <c r="P69" s="343"/>
      <c r="Q69" s="345">
        <f t="shared" si="8"/>
        <v>214.41</v>
      </c>
      <c r="R69" s="346">
        <f t="shared" si="9"/>
        <v>393.84000000000003</v>
      </c>
      <c r="T69" s="320" t="s">
        <v>200</v>
      </c>
    </row>
    <row r="70" spans="2:20" x14ac:dyDescent="0.3">
      <c r="B70" s="264">
        <v>22</v>
      </c>
      <c r="C70" s="598" t="s">
        <v>640</v>
      </c>
      <c r="D70" s="417">
        <v>40.76</v>
      </c>
      <c r="E70" s="417">
        <v>25</v>
      </c>
      <c r="F70" s="417">
        <v>0</v>
      </c>
      <c r="G70" s="417">
        <v>-13.79</v>
      </c>
      <c r="H70" s="417">
        <v>0</v>
      </c>
      <c r="I70" s="417">
        <v>-25</v>
      </c>
      <c r="J70" s="417">
        <v>0</v>
      </c>
      <c r="K70" s="417">
        <v>0</v>
      </c>
      <c r="L70" s="417">
        <v>0</v>
      </c>
      <c r="M70" s="417">
        <v>0</v>
      </c>
      <c r="N70" s="417">
        <v>25</v>
      </c>
      <c r="O70" s="417">
        <v>-25</v>
      </c>
      <c r="P70" s="343"/>
      <c r="Q70" s="345">
        <f t="shared" si="8"/>
        <v>26.969999999999992</v>
      </c>
      <c r="R70" s="346">
        <f t="shared" si="9"/>
        <v>0</v>
      </c>
      <c r="T70" s="320" t="s">
        <v>201</v>
      </c>
    </row>
    <row r="71" spans="2:20" x14ac:dyDescent="0.3">
      <c r="B71" s="264">
        <v>22</v>
      </c>
      <c r="C71" s="598" t="s">
        <v>641</v>
      </c>
      <c r="D71" s="422">
        <v>1090.3399999999999</v>
      </c>
      <c r="E71" s="422">
        <v>761.92</v>
      </c>
      <c r="F71" s="422">
        <v>246.18</v>
      </c>
      <c r="G71" s="422">
        <v>776.26</v>
      </c>
      <c r="H71" s="422">
        <v>500</v>
      </c>
      <c r="I71" s="422">
        <v>1573.54</v>
      </c>
      <c r="J71" s="422">
        <v>-328.16</v>
      </c>
      <c r="K71" s="422">
        <v>983.83</v>
      </c>
      <c r="L71" s="422">
        <v>974.34</v>
      </c>
      <c r="M71" s="422">
        <v>1257.3800000000001</v>
      </c>
      <c r="N71" s="422">
        <v>2039.79</v>
      </c>
      <c r="O71" s="422">
        <v>974.29</v>
      </c>
      <c r="P71" s="343"/>
      <c r="Q71" s="345">
        <f t="shared" si="8"/>
        <v>10849.71</v>
      </c>
      <c r="R71" s="346">
        <f t="shared" si="9"/>
        <v>17085.84</v>
      </c>
      <c r="T71" s="320" t="s">
        <v>202</v>
      </c>
    </row>
    <row r="72" spans="2:20" x14ac:dyDescent="0.3">
      <c r="B72" s="264">
        <v>22</v>
      </c>
      <c r="C72" s="598" t="s">
        <v>642</v>
      </c>
      <c r="D72" s="417">
        <v>250</v>
      </c>
      <c r="E72" s="417">
        <v>250</v>
      </c>
      <c r="F72" s="417">
        <v>200</v>
      </c>
      <c r="G72" s="417">
        <v>250</v>
      </c>
      <c r="H72" s="417">
        <v>309.29000000000002</v>
      </c>
      <c r="I72" s="417">
        <v>660.83</v>
      </c>
      <c r="J72" s="417">
        <v>685.83</v>
      </c>
      <c r="K72" s="417">
        <v>302.63</v>
      </c>
      <c r="L72" s="417">
        <v>252.19</v>
      </c>
      <c r="M72" s="417">
        <v>252.19</v>
      </c>
      <c r="N72" s="417">
        <v>385.59</v>
      </c>
      <c r="O72" s="417">
        <v>252.29</v>
      </c>
      <c r="P72" s="343"/>
      <c r="Q72" s="345">
        <f t="shared" si="8"/>
        <v>4050.84</v>
      </c>
      <c r="R72" s="346">
        <f t="shared" si="9"/>
        <v>3560.2799999999997</v>
      </c>
      <c r="T72" s="320" t="s">
        <v>203</v>
      </c>
    </row>
    <row r="73" spans="2:20" x14ac:dyDescent="0.3">
      <c r="B73" s="264">
        <v>22</v>
      </c>
      <c r="C73" s="598" t="s">
        <v>643</v>
      </c>
      <c r="D73" s="417">
        <v>549.57000000000005</v>
      </c>
      <c r="E73" s="417">
        <v>479.57</v>
      </c>
      <c r="F73" s="417">
        <v>548.20000000000005</v>
      </c>
      <c r="G73" s="417">
        <v>548.20000000000005</v>
      </c>
      <c r="H73" s="417">
        <v>550.64</v>
      </c>
      <c r="I73" s="417">
        <v>550.94000000000005</v>
      </c>
      <c r="J73" s="417">
        <v>140</v>
      </c>
      <c r="K73" s="417">
        <v>548.20000000000005</v>
      </c>
      <c r="L73" s="417">
        <v>75.45</v>
      </c>
      <c r="M73" s="417">
        <v>567.49</v>
      </c>
      <c r="N73" s="417">
        <v>639.9</v>
      </c>
      <c r="O73" s="417">
        <v>-353.48</v>
      </c>
      <c r="P73" s="343"/>
      <c r="Q73" s="345">
        <f t="shared" si="8"/>
        <v>4844.6799999999985</v>
      </c>
      <c r="R73" s="346">
        <f t="shared" si="9"/>
        <v>3415.6399999999994</v>
      </c>
      <c r="T73" s="320" t="s">
        <v>204</v>
      </c>
    </row>
    <row r="74" spans="2:20" x14ac:dyDescent="0.3">
      <c r="B74" s="264">
        <v>22</v>
      </c>
      <c r="C74" s="598" t="s">
        <v>644</v>
      </c>
      <c r="D74" s="417">
        <v>613.49</v>
      </c>
      <c r="E74" s="417">
        <v>613.49</v>
      </c>
      <c r="F74" s="417">
        <v>613.49</v>
      </c>
      <c r="G74" s="417">
        <v>613.49</v>
      </c>
      <c r="H74" s="417">
        <v>1194.04</v>
      </c>
      <c r="I74" s="417">
        <v>93.7</v>
      </c>
      <c r="J74" s="417">
        <v>608</v>
      </c>
      <c r="K74" s="417">
        <v>39.67</v>
      </c>
      <c r="L74" s="417">
        <v>626.17999999999995</v>
      </c>
      <c r="M74" s="417">
        <v>630.25</v>
      </c>
      <c r="N74" s="417">
        <v>1252.3599999999999</v>
      </c>
      <c r="O74" s="417">
        <v>626.17999999999995</v>
      </c>
      <c r="P74" s="343"/>
      <c r="Q74" s="345">
        <f t="shared" si="8"/>
        <v>7524.34</v>
      </c>
      <c r="R74" s="346">
        <f t="shared" si="9"/>
        <v>10035.16</v>
      </c>
      <c r="T74" s="320" t="s">
        <v>205</v>
      </c>
    </row>
    <row r="75" spans="2:20" x14ac:dyDescent="0.3">
      <c r="C75" s="542" t="s">
        <v>645</v>
      </c>
      <c r="D75" s="422">
        <v>16751.59</v>
      </c>
      <c r="E75" s="422">
        <v>6774.88</v>
      </c>
      <c r="F75" s="422">
        <v>4578.8599999999997</v>
      </c>
      <c r="G75" s="422">
        <v>5384.94</v>
      </c>
      <c r="H75" s="422">
        <v>6575.33</v>
      </c>
      <c r="I75" s="422">
        <v>6874.72</v>
      </c>
      <c r="J75" s="422">
        <v>2998.56</v>
      </c>
      <c r="K75" s="422">
        <v>5920.58</v>
      </c>
      <c r="L75" s="422">
        <v>5034.68</v>
      </c>
      <c r="M75" s="422">
        <v>7099.62</v>
      </c>
      <c r="N75" s="422">
        <v>11937.63</v>
      </c>
      <c r="O75" s="422">
        <v>9708.5300000000007</v>
      </c>
      <c r="P75" s="343"/>
      <c r="Q75" s="345">
        <f t="shared" si="8"/>
        <v>89639.920000000013</v>
      </c>
      <c r="R75" s="346">
        <f t="shared" si="9"/>
        <v>114983.12</v>
      </c>
      <c r="T75" s="320" t="s">
        <v>206</v>
      </c>
    </row>
    <row r="76" spans="2:20" x14ac:dyDescent="0.3">
      <c r="C76" s="542" t="s">
        <v>646</v>
      </c>
      <c r="D76" s="417"/>
      <c r="E76" s="417"/>
      <c r="F76" s="417"/>
      <c r="G76" s="417"/>
      <c r="H76" s="417"/>
      <c r="I76" s="417"/>
      <c r="J76" s="417"/>
      <c r="K76" s="417"/>
      <c r="L76" s="417"/>
      <c r="M76" s="417"/>
      <c r="N76" s="417"/>
      <c r="O76" s="417"/>
      <c r="P76" s="343"/>
      <c r="Q76" s="345">
        <f t="shared" si="8"/>
        <v>0</v>
      </c>
      <c r="R76" s="346">
        <f t="shared" si="9"/>
        <v>0</v>
      </c>
      <c r="T76" s="320" t="s">
        <v>207</v>
      </c>
    </row>
    <row r="77" spans="2:20" x14ac:dyDescent="0.3">
      <c r="B77" s="264">
        <v>22</v>
      </c>
      <c r="C77" s="598" t="s">
        <v>647</v>
      </c>
      <c r="D77" s="417">
        <v>175</v>
      </c>
      <c r="E77" s="417">
        <v>2765</v>
      </c>
      <c r="F77" s="417">
        <v>215</v>
      </c>
      <c r="G77" s="417">
        <v>1440</v>
      </c>
      <c r="H77" s="417">
        <v>833.5</v>
      </c>
      <c r="I77" s="417">
        <v>2415</v>
      </c>
      <c r="J77" s="417">
        <v>532</v>
      </c>
      <c r="K77" s="417">
        <v>975</v>
      </c>
      <c r="L77" s="417">
        <v>1346</v>
      </c>
      <c r="M77" s="417">
        <v>3500</v>
      </c>
      <c r="N77" s="417">
        <v>3399</v>
      </c>
      <c r="O77" s="417">
        <v>-967</v>
      </c>
      <c r="P77" s="343"/>
      <c r="Q77" s="345">
        <f t="shared" si="8"/>
        <v>16628.5</v>
      </c>
      <c r="R77" s="346">
        <f t="shared" si="9"/>
        <v>23728</v>
      </c>
      <c r="T77" s="320" t="s">
        <v>208</v>
      </c>
    </row>
    <row r="78" spans="2:20" x14ac:dyDescent="0.3">
      <c r="B78" s="264">
        <v>22</v>
      </c>
      <c r="C78" s="598" t="s">
        <v>326</v>
      </c>
      <c r="D78" s="417">
        <v>786.6</v>
      </c>
      <c r="E78" s="417">
        <v>964.6</v>
      </c>
      <c r="F78" s="417">
        <v>989.8</v>
      </c>
      <c r="G78" s="417">
        <v>869.6</v>
      </c>
      <c r="H78" s="417">
        <v>1068.2</v>
      </c>
      <c r="I78" s="417">
        <v>647.79999999999995</v>
      </c>
      <c r="J78" s="417">
        <v>995</v>
      </c>
      <c r="K78" s="417">
        <v>612.20000000000005</v>
      </c>
      <c r="L78" s="417">
        <v>710</v>
      </c>
      <c r="M78" s="417">
        <v>931.2</v>
      </c>
      <c r="N78" s="417">
        <v>1510.2</v>
      </c>
      <c r="O78" s="417">
        <v>1205.2</v>
      </c>
      <c r="P78" s="343"/>
      <c r="Q78" s="345">
        <f t="shared" si="8"/>
        <v>11290.400000000001</v>
      </c>
      <c r="R78" s="346">
        <f t="shared" si="9"/>
        <v>14586.400000000001</v>
      </c>
      <c r="T78" s="320" t="s">
        <v>210</v>
      </c>
    </row>
    <row r="79" spans="2:20" ht="15" thickBot="1" x14ac:dyDescent="0.35">
      <c r="B79" s="264">
        <v>22</v>
      </c>
      <c r="C79" s="598" t="s">
        <v>648</v>
      </c>
      <c r="D79" s="417">
        <v>0</v>
      </c>
      <c r="E79" s="417">
        <v>0</v>
      </c>
      <c r="F79" s="417">
        <v>258.41000000000003</v>
      </c>
      <c r="G79" s="417">
        <v>0</v>
      </c>
      <c r="H79" s="417">
        <v>0</v>
      </c>
      <c r="I79" s="417">
        <v>0</v>
      </c>
      <c r="J79" s="417">
        <v>0</v>
      </c>
      <c r="K79" s="417">
        <v>0</v>
      </c>
      <c r="L79" s="417">
        <v>165.06</v>
      </c>
      <c r="M79" s="417">
        <v>0</v>
      </c>
      <c r="N79" s="417">
        <v>675.33</v>
      </c>
      <c r="O79" s="417">
        <v>121.53</v>
      </c>
      <c r="P79" s="343"/>
      <c r="Q79" s="345">
        <f t="shared" si="8"/>
        <v>1220.3300000000002</v>
      </c>
      <c r="R79" s="346">
        <f t="shared" si="9"/>
        <v>3187.44</v>
      </c>
      <c r="T79" s="324" t="s">
        <v>212</v>
      </c>
    </row>
    <row r="80" spans="2:20" x14ac:dyDescent="0.3">
      <c r="C80" s="542" t="s">
        <v>649</v>
      </c>
      <c r="D80" s="422">
        <v>961.6</v>
      </c>
      <c r="E80" s="422">
        <v>3729.6</v>
      </c>
      <c r="F80" s="422">
        <v>1463.21</v>
      </c>
      <c r="G80" s="422">
        <v>2309.6</v>
      </c>
      <c r="H80" s="422">
        <v>1901.7</v>
      </c>
      <c r="I80" s="422">
        <v>3062.8</v>
      </c>
      <c r="J80" s="422">
        <v>1527</v>
      </c>
      <c r="K80" s="422">
        <v>1587.2</v>
      </c>
      <c r="L80" s="422">
        <v>2221.06</v>
      </c>
      <c r="M80" s="422">
        <v>4431.2</v>
      </c>
      <c r="N80" s="422">
        <v>5584.53</v>
      </c>
      <c r="O80" s="422">
        <v>359.73</v>
      </c>
      <c r="P80" s="343"/>
      <c r="Q80" s="345">
        <f t="shared" si="8"/>
        <v>29139.230000000003</v>
      </c>
      <c r="R80" s="346">
        <f t="shared" si="9"/>
        <v>41501.839999999997</v>
      </c>
      <c r="T80" s="316" t="s">
        <v>184</v>
      </c>
    </row>
    <row r="81" spans="2:20" x14ac:dyDescent="0.3">
      <c r="C81" s="542" t="s">
        <v>650</v>
      </c>
      <c r="D81" s="417"/>
      <c r="E81" s="417"/>
      <c r="F81" s="417"/>
      <c r="G81" s="417"/>
      <c r="H81" s="417"/>
      <c r="I81" s="417"/>
      <c r="J81" s="417"/>
      <c r="K81" s="417"/>
      <c r="L81" s="417"/>
      <c r="M81" s="417"/>
      <c r="N81" s="417"/>
      <c r="O81" s="417"/>
      <c r="P81" s="347"/>
      <c r="Q81" s="345">
        <f t="shared" si="8"/>
        <v>0</v>
      </c>
      <c r="R81" s="346">
        <f t="shared" si="9"/>
        <v>0</v>
      </c>
      <c r="T81" s="317" t="s">
        <v>186</v>
      </c>
    </row>
    <row r="82" spans="2:20" x14ac:dyDescent="0.3">
      <c r="B82" s="264">
        <v>17</v>
      </c>
      <c r="C82" s="598" t="s">
        <v>748</v>
      </c>
      <c r="D82" s="417">
        <v>5669.25</v>
      </c>
      <c r="E82" s="417">
        <v>5994.25</v>
      </c>
      <c r="F82" s="417">
        <v>5880.73</v>
      </c>
      <c r="G82" s="417">
        <v>5807.51</v>
      </c>
      <c r="H82" s="417">
        <v>5791.25</v>
      </c>
      <c r="I82" s="417">
        <v>4502.25</v>
      </c>
      <c r="J82" s="417">
        <v>4320.25</v>
      </c>
      <c r="K82" s="417">
        <v>5871.25</v>
      </c>
      <c r="L82" s="417">
        <v>7056.42</v>
      </c>
      <c r="M82" s="417">
        <v>9029.58</v>
      </c>
      <c r="N82" s="417">
        <v>3875.61</v>
      </c>
      <c r="O82" s="417">
        <v>6135</v>
      </c>
      <c r="P82" s="348"/>
      <c r="Q82" s="345">
        <f t="shared" si="8"/>
        <v>69933.350000000006</v>
      </c>
      <c r="R82" s="346">
        <f t="shared" si="9"/>
        <v>76160.760000000009</v>
      </c>
      <c r="T82" s="317" t="s">
        <v>187</v>
      </c>
    </row>
    <row r="83" spans="2:20" x14ac:dyDescent="0.3">
      <c r="B83" s="264">
        <v>17</v>
      </c>
      <c r="C83" s="598" t="s">
        <v>749</v>
      </c>
      <c r="D83" s="417">
        <v>0</v>
      </c>
      <c r="E83" s="417">
        <v>0</v>
      </c>
      <c r="F83" s="417">
        <v>0</v>
      </c>
      <c r="G83" s="417">
        <v>0</v>
      </c>
      <c r="H83" s="417">
        <v>0</v>
      </c>
      <c r="I83" s="417">
        <v>21.49</v>
      </c>
      <c r="J83" s="417">
        <v>0</v>
      </c>
      <c r="K83" s="417">
        <v>321.86</v>
      </c>
      <c r="L83" s="417">
        <v>0</v>
      </c>
      <c r="M83" s="417">
        <v>0</v>
      </c>
      <c r="N83" s="417">
        <v>0</v>
      </c>
      <c r="O83" s="417">
        <v>0</v>
      </c>
      <c r="P83" s="348"/>
      <c r="Q83" s="345">
        <f t="shared" ref="Q83:Q146" si="14">SUM(D83:O83)</f>
        <v>343.35</v>
      </c>
      <c r="R83" s="346">
        <f t="shared" ref="R83:R146" si="15">SUM(M83:O83)*4</f>
        <v>0</v>
      </c>
      <c r="T83" s="317" t="s">
        <v>189</v>
      </c>
    </row>
    <row r="84" spans="2:20" x14ac:dyDescent="0.3">
      <c r="B84" s="264">
        <v>17</v>
      </c>
      <c r="C84" s="598" t="s">
        <v>750</v>
      </c>
      <c r="D84" s="417">
        <v>1541.25</v>
      </c>
      <c r="E84" s="417">
        <v>1541.25</v>
      </c>
      <c r="F84" s="417">
        <v>1541.25</v>
      </c>
      <c r="G84" s="417">
        <v>1541.25</v>
      </c>
      <c r="H84" s="417">
        <v>1541.25</v>
      </c>
      <c r="I84" s="417">
        <v>1541.25</v>
      </c>
      <c r="J84" s="417">
        <v>1541.25</v>
      </c>
      <c r="K84" s="417">
        <v>631.25</v>
      </c>
      <c r="L84" s="417">
        <v>1541.25</v>
      </c>
      <c r="M84" s="417">
        <v>1585.45</v>
      </c>
      <c r="N84" s="417">
        <v>1952.6</v>
      </c>
      <c r="O84" s="417">
        <v>1887.59</v>
      </c>
      <c r="P84" s="343"/>
      <c r="Q84" s="345">
        <f t="shared" si="14"/>
        <v>18386.89</v>
      </c>
      <c r="R84" s="346">
        <f t="shared" si="15"/>
        <v>21702.560000000001</v>
      </c>
      <c r="T84" s="317" t="s">
        <v>190</v>
      </c>
    </row>
    <row r="85" spans="2:20" x14ac:dyDescent="0.3">
      <c r="C85" s="542" t="s">
        <v>751</v>
      </c>
      <c r="D85" s="422">
        <v>7210.5</v>
      </c>
      <c r="E85" s="422">
        <v>7535.5</v>
      </c>
      <c r="F85" s="422">
        <v>7421.98</v>
      </c>
      <c r="G85" s="422">
        <v>7348.76</v>
      </c>
      <c r="H85" s="422">
        <v>7332.5</v>
      </c>
      <c r="I85" s="422">
        <v>6064.99</v>
      </c>
      <c r="J85" s="422">
        <v>5861.5</v>
      </c>
      <c r="K85" s="422">
        <v>6824.36</v>
      </c>
      <c r="L85" s="422">
        <v>8597.67</v>
      </c>
      <c r="M85" s="422">
        <v>10615.03</v>
      </c>
      <c r="N85" s="422">
        <v>5828.21</v>
      </c>
      <c r="O85" s="422">
        <v>8022.59</v>
      </c>
      <c r="P85" s="343"/>
      <c r="Q85" s="345">
        <f t="shared" si="14"/>
        <v>88663.59</v>
      </c>
      <c r="R85" s="346">
        <f t="shared" si="15"/>
        <v>97863.32</v>
      </c>
      <c r="T85" s="317" t="s">
        <v>191</v>
      </c>
    </row>
    <row r="86" spans="2:20" x14ac:dyDescent="0.3">
      <c r="C86" s="599" t="s">
        <v>752</v>
      </c>
      <c r="D86" s="417"/>
      <c r="E86" s="417"/>
      <c r="F86" s="417"/>
      <c r="G86" s="417"/>
      <c r="H86" s="417"/>
      <c r="I86" s="417"/>
      <c r="J86" s="417"/>
      <c r="K86" s="417"/>
      <c r="L86" s="417"/>
      <c r="M86" s="417"/>
      <c r="N86" s="417"/>
      <c r="O86" s="417"/>
      <c r="P86" s="343"/>
      <c r="Q86" s="345">
        <f t="shared" si="14"/>
        <v>0</v>
      </c>
      <c r="R86" s="346">
        <f t="shared" si="15"/>
        <v>0</v>
      </c>
      <c r="T86" s="317" t="s">
        <v>193</v>
      </c>
    </row>
    <row r="87" spans="2:20" x14ac:dyDescent="0.3">
      <c r="B87" s="264">
        <v>17</v>
      </c>
      <c r="C87" s="598" t="s">
        <v>70</v>
      </c>
      <c r="D87" s="417">
        <v>0</v>
      </c>
      <c r="E87" s="417">
        <v>0</v>
      </c>
      <c r="F87" s="417">
        <v>32.35</v>
      </c>
      <c r="G87" s="417">
        <v>0</v>
      </c>
      <c r="H87" s="417">
        <v>0</v>
      </c>
      <c r="I87" s="417">
        <v>745.13</v>
      </c>
      <c r="J87" s="417">
        <v>0</v>
      </c>
      <c r="K87" s="417">
        <v>0</v>
      </c>
      <c r="L87" s="417">
        <v>0</v>
      </c>
      <c r="M87" s="417">
        <v>281.41000000000003</v>
      </c>
      <c r="N87" s="417">
        <v>0</v>
      </c>
      <c r="O87" s="417">
        <v>0</v>
      </c>
      <c r="P87" s="343"/>
      <c r="Q87" s="345">
        <f t="shared" si="14"/>
        <v>1058.8900000000001</v>
      </c>
      <c r="R87" s="346">
        <f t="shared" si="15"/>
        <v>1125.6400000000001</v>
      </c>
      <c r="T87" s="317" t="s">
        <v>194</v>
      </c>
    </row>
    <row r="88" spans="2:20" x14ac:dyDescent="0.3">
      <c r="B88" s="264">
        <v>17</v>
      </c>
      <c r="C88" s="598" t="s">
        <v>651</v>
      </c>
      <c r="D88" s="417">
        <v>4.26</v>
      </c>
      <c r="E88" s="417">
        <v>4.26</v>
      </c>
      <c r="F88" s="417">
        <v>4.26</v>
      </c>
      <c r="G88" s="417">
        <v>-12.78</v>
      </c>
      <c r="H88" s="417">
        <v>0</v>
      </c>
      <c r="I88" s="417">
        <v>0</v>
      </c>
      <c r="J88" s="417">
        <v>0</v>
      </c>
      <c r="K88" s="417">
        <v>0</v>
      </c>
      <c r="L88" s="417">
        <v>0</v>
      </c>
      <c r="M88" s="417">
        <v>0</v>
      </c>
      <c r="N88" s="417">
        <v>0</v>
      </c>
      <c r="O88" s="417">
        <v>0</v>
      </c>
      <c r="P88" s="343"/>
      <c r="Q88" s="345">
        <f t="shared" si="14"/>
        <v>0</v>
      </c>
      <c r="R88" s="346">
        <f t="shared" si="15"/>
        <v>0</v>
      </c>
      <c r="T88" s="317" t="s">
        <v>195</v>
      </c>
    </row>
    <row r="89" spans="2:20" x14ac:dyDescent="0.3">
      <c r="B89" s="264">
        <v>17</v>
      </c>
      <c r="C89" s="598" t="s">
        <v>652</v>
      </c>
      <c r="D89" s="417">
        <v>0</v>
      </c>
      <c r="E89" s="417">
        <v>0</v>
      </c>
      <c r="F89" s="417">
        <v>0</v>
      </c>
      <c r="G89" s="417">
        <v>0</v>
      </c>
      <c r="H89" s="417">
        <v>0</v>
      </c>
      <c r="I89" s="417">
        <v>0</v>
      </c>
      <c r="J89" s="417">
        <v>0</v>
      </c>
      <c r="K89" s="417">
        <v>0</v>
      </c>
      <c r="L89" s="417">
        <v>0</v>
      </c>
      <c r="M89" s="417">
        <v>0</v>
      </c>
      <c r="N89" s="417">
        <v>0</v>
      </c>
      <c r="O89" s="417">
        <v>45.45</v>
      </c>
      <c r="P89" s="343"/>
      <c r="Q89" s="345">
        <f t="shared" si="14"/>
        <v>45.45</v>
      </c>
      <c r="R89" s="346">
        <f t="shared" si="15"/>
        <v>181.8</v>
      </c>
      <c r="T89" s="317" t="s">
        <v>196</v>
      </c>
    </row>
    <row r="90" spans="2:20" x14ac:dyDescent="0.3">
      <c r="B90" s="264">
        <v>17</v>
      </c>
      <c r="C90" s="536" t="s">
        <v>653</v>
      </c>
      <c r="D90" s="417">
        <v>39</v>
      </c>
      <c r="E90" s="417">
        <v>711.5</v>
      </c>
      <c r="F90" s="417">
        <v>39</v>
      </c>
      <c r="G90" s="417">
        <v>458</v>
      </c>
      <c r="H90" s="417">
        <v>39</v>
      </c>
      <c r="I90" s="417">
        <v>0</v>
      </c>
      <c r="J90" s="417">
        <v>427</v>
      </c>
      <c r="K90" s="417">
        <v>39</v>
      </c>
      <c r="L90" s="417">
        <v>39</v>
      </c>
      <c r="M90" s="417">
        <v>39</v>
      </c>
      <c r="N90" s="417">
        <v>39</v>
      </c>
      <c r="O90" s="417">
        <v>30</v>
      </c>
      <c r="P90" s="343"/>
      <c r="Q90" s="345">
        <f t="shared" si="14"/>
        <v>1899.5</v>
      </c>
      <c r="R90" s="346">
        <f t="shared" si="15"/>
        <v>432</v>
      </c>
      <c r="T90" s="320" t="s">
        <v>197</v>
      </c>
    </row>
    <row r="91" spans="2:20" x14ac:dyDescent="0.3">
      <c r="B91" s="264">
        <v>17</v>
      </c>
      <c r="C91" s="536" t="s">
        <v>654</v>
      </c>
      <c r="D91" s="417">
        <v>0</v>
      </c>
      <c r="E91" s="417">
        <v>73.86</v>
      </c>
      <c r="F91" s="417">
        <v>0</v>
      </c>
      <c r="G91" s="417">
        <v>0</v>
      </c>
      <c r="H91" s="417">
        <v>0</v>
      </c>
      <c r="I91" s="417">
        <v>0</v>
      </c>
      <c r="J91" s="417">
        <v>0</v>
      </c>
      <c r="K91" s="417">
        <v>0</v>
      </c>
      <c r="L91" s="417">
        <v>0</v>
      </c>
      <c r="M91" s="417">
        <v>0</v>
      </c>
      <c r="N91" s="417">
        <v>0</v>
      </c>
      <c r="O91" s="417">
        <v>0</v>
      </c>
      <c r="P91" s="343"/>
      <c r="Q91" s="345">
        <f t="shared" si="14"/>
        <v>73.86</v>
      </c>
      <c r="R91" s="346">
        <f t="shared" si="15"/>
        <v>0</v>
      </c>
      <c r="T91" s="320" t="s">
        <v>198</v>
      </c>
    </row>
    <row r="92" spans="2:20" x14ac:dyDescent="0.3">
      <c r="B92" s="264">
        <v>17</v>
      </c>
      <c r="C92" s="536" t="s">
        <v>655</v>
      </c>
      <c r="D92" s="417">
        <v>0</v>
      </c>
      <c r="E92" s="417">
        <v>1000</v>
      </c>
      <c r="F92" s="417">
        <v>0</v>
      </c>
      <c r="G92" s="417">
        <v>0</v>
      </c>
      <c r="H92" s="417">
        <v>0</v>
      </c>
      <c r="I92" s="417">
        <v>0</v>
      </c>
      <c r="J92" s="417">
        <v>0</v>
      </c>
      <c r="K92" s="417">
        <v>0</v>
      </c>
      <c r="L92" s="417">
        <v>0</v>
      </c>
      <c r="M92" s="417">
        <v>0</v>
      </c>
      <c r="N92" s="417">
        <v>750</v>
      </c>
      <c r="O92" s="417">
        <v>1000</v>
      </c>
      <c r="P92" s="343"/>
      <c r="Q92" s="345">
        <f t="shared" si="14"/>
        <v>2750</v>
      </c>
      <c r="R92" s="346">
        <f t="shared" si="15"/>
        <v>7000</v>
      </c>
      <c r="T92" s="320" t="s">
        <v>199</v>
      </c>
    </row>
    <row r="93" spans="2:20" x14ac:dyDescent="0.3">
      <c r="B93" s="264">
        <v>17</v>
      </c>
      <c r="C93" s="536" t="s">
        <v>656</v>
      </c>
      <c r="D93" s="417">
        <v>200.26</v>
      </c>
      <c r="E93" s="417">
        <v>200.26</v>
      </c>
      <c r="F93" s="417">
        <v>200.26</v>
      </c>
      <c r="G93" s="417">
        <v>200.26</v>
      </c>
      <c r="H93" s="417">
        <v>200.26</v>
      </c>
      <c r="I93" s="417">
        <v>200.26</v>
      </c>
      <c r="J93" s="417">
        <v>200.26</v>
      </c>
      <c r="K93" s="417">
        <v>200.26</v>
      </c>
      <c r="L93" s="417">
        <v>200.26</v>
      </c>
      <c r="M93" s="417">
        <v>200.26</v>
      </c>
      <c r="N93" s="417">
        <v>200.26</v>
      </c>
      <c r="O93" s="417">
        <v>200.26</v>
      </c>
      <c r="P93" s="343"/>
      <c r="Q93" s="345">
        <f t="shared" si="14"/>
        <v>2403.12</v>
      </c>
      <c r="R93" s="346">
        <f t="shared" si="15"/>
        <v>2403.12</v>
      </c>
      <c r="T93" s="320" t="s">
        <v>200</v>
      </c>
    </row>
    <row r="94" spans="2:20" x14ac:dyDescent="0.3">
      <c r="B94" s="264">
        <v>17</v>
      </c>
      <c r="C94" s="536" t="s">
        <v>657</v>
      </c>
      <c r="D94" s="417">
        <v>83.98</v>
      </c>
      <c r="E94" s="417">
        <v>83.98</v>
      </c>
      <c r="F94" s="417">
        <v>768.58</v>
      </c>
      <c r="G94" s="417">
        <v>750.54</v>
      </c>
      <c r="H94" s="417">
        <v>82.12</v>
      </c>
      <c r="I94" s="417">
        <v>88.82</v>
      </c>
      <c r="J94" s="417">
        <v>88.82</v>
      </c>
      <c r="K94" s="417">
        <v>88.82</v>
      </c>
      <c r="L94" s="417">
        <v>88.82</v>
      </c>
      <c r="M94" s="417">
        <v>88.82</v>
      </c>
      <c r="N94" s="417">
        <v>170.5</v>
      </c>
      <c r="O94" s="417">
        <v>172.78</v>
      </c>
      <c r="P94" s="343"/>
      <c r="Q94" s="345">
        <f t="shared" si="14"/>
        <v>2556.58</v>
      </c>
      <c r="R94" s="346">
        <f t="shared" si="15"/>
        <v>1728.4</v>
      </c>
      <c r="T94" s="320" t="s">
        <v>201</v>
      </c>
    </row>
    <row r="95" spans="2:20" x14ac:dyDescent="0.3">
      <c r="C95" s="581" t="s">
        <v>658</v>
      </c>
      <c r="D95" s="422">
        <v>327.5</v>
      </c>
      <c r="E95" s="422">
        <v>2073.86</v>
      </c>
      <c r="F95" s="422">
        <v>1044.45</v>
      </c>
      <c r="G95" s="422">
        <v>1396.02</v>
      </c>
      <c r="H95" s="422">
        <v>321.38</v>
      </c>
      <c r="I95" s="422">
        <v>1034.21</v>
      </c>
      <c r="J95" s="422">
        <v>716.08</v>
      </c>
      <c r="K95" s="422">
        <v>328.08</v>
      </c>
      <c r="L95" s="422">
        <v>328.08</v>
      </c>
      <c r="M95" s="422">
        <v>609.49</v>
      </c>
      <c r="N95" s="422">
        <v>1159.76</v>
      </c>
      <c r="O95" s="422">
        <v>1448.49</v>
      </c>
      <c r="P95" s="343"/>
      <c r="Q95" s="345">
        <f t="shared" si="14"/>
        <v>10787.4</v>
      </c>
      <c r="R95" s="346">
        <f t="shared" si="15"/>
        <v>12870.96</v>
      </c>
      <c r="T95" s="320" t="s">
        <v>202</v>
      </c>
    </row>
    <row r="96" spans="2:20" x14ac:dyDescent="0.3">
      <c r="C96" s="581" t="s">
        <v>659</v>
      </c>
      <c r="D96" s="422">
        <v>34274.21</v>
      </c>
      <c r="E96" s="422">
        <v>29197.29</v>
      </c>
      <c r="F96" s="422">
        <v>23273.31</v>
      </c>
      <c r="G96" s="422">
        <v>25359.85</v>
      </c>
      <c r="H96" s="422">
        <v>25228.84</v>
      </c>
      <c r="I96" s="422">
        <v>25751.64</v>
      </c>
      <c r="J96" s="422">
        <v>19404.560000000001</v>
      </c>
      <c r="K96" s="422">
        <v>23255.54</v>
      </c>
      <c r="L96" s="422">
        <v>26844.12</v>
      </c>
      <c r="M96" s="422">
        <v>31631.23</v>
      </c>
      <c r="N96" s="422">
        <v>33270</v>
      </c>
      <c r="O96" s="422">
        <v>28781.78</v>
      </c>
      <c r="P96" s="343"/>
      <c r="Q96" s="345">
        <f t="shared" si="14"/>
        <v>326272.37</v>
      </c>
      <c r="R96" s="346">
        <f t="shared" si="15"/>
        <v>374732.04</v>
      </c>
      <c r="T96" s="320" t="s">
        <v>203</v>
      </c>
    </row>
    <row r="97" spans="2:20" x14ac:dyDescent="0.3">
      <c r="C97" s="581" t="s">
        <v>660</v>
      </c>
      <c r="D97" s="417"/>
      <c r="E97" s="417"/>
      <c r="F97" s="417"/>
      <c r="G97" s="417"/>
      <c r="H97" s="417"/>
      <c r="I97" s="417"/>
      <c r="J97" s="417"/>
      <c r="K97" s="417"/>
      <c r="L97" s="417"/>
      <c r="M97" s="417"/>
      <c r="N97" s="417"/>
      <c r="O97" s="417"/>
      <c r="P97" s="343"/>
      <c r="Q97" s="345">
        <f t="shared" si="14"/>
        <v>0</v>
      </c>
      <c r="R97" s="346">
        <f t="shared" si="15"/>
        <v>0</v>
      </c>
      <c r="T97" s="320" t="s">
        <v>204</v>
      </c>
    </row>
    <row r="98" spans="2:20" x14ac:dyDescent="0.3">
      <c r="C98" s="581" t="s">
        <v>661</v>
      </c>
      <c r="D98" s="417"/>
      <c r="E98" s="417"/>
      <c r="F98" s="417"/>
      <c r="G98" s="417"/>
      <c r="H98" s="417"/>
      <c r="I98" s="417"/>
      <c r="J98" s="417"/>
      <c r="K98" s="417"/>
      <c r="L98" s="417"/>
      <c r="M98" s="417"/>
      <c r="N98" s="417"/>
      <c r="O98" s="417"/>
      <c r="P98" s="347"/>
      <c r="Q98" s="345">
        <f t="shared" si="14"/>
        <v>0</v>
      </c>
      <c r="R98" s="346">
        <f t="shared" si="15"/>
        <v>0</v>
      </c>
      <c r="T98" s="320" t="s">
        <v>205</v>
      </c>
    </row>
    <row r="99" spans="2:20" x14ac:dyDescent="0.3">
      <c r="B99" s="264">
        <v>18</v>
      </c>
      <c r="C99" s="536" t="s">
        <v>662</v>
      </c>
      <c r="D99" s="417">
        <v>0</v>
      </c>
      <c r="E99" s="417">
        <v>0</v>
      </c>
      <c r="F99" s="417">
        <v>1341.94</v>
      </c>
      <c r="G99" s="417">
        <v>2600</v>
      </c>
      <c r="H99" s="417">
        <v>2600</v>
      </c>
      <c r="I99" s="417">
        <v>2600</v>
      </c>
      <c r="J99" s="417">
        <v>2600</v>
      </c>
      <c r="K99" s="417">
        <v>2600</v>
      </c>
      <c r="L99" s="417">
        <v>2600</v>
      </c>
      <c r="M99" s="417">
        <v>2600</v>
      </c>
      <c r="N99" s="417">
        <v>2600</v>
      </c>
      <c r="O99" s="417">
        <v>2600</v>
      </c>
      <c r="P99" s="348"/>
      <c r="Q99" s="345">
        <f t="shared" si="14"/>
        <v>24741.940000000002</v>
      </c>
      <c r="R99" s="346">
        <f t="shared" si="15"/>
        <v>31200</v>
      </c>
      <c r="T99" s="320" t="s">
        <v>206</v>
      </c>
    </row>
    <row r="100" spans="2:20" x14ac:dyDescent="0.3">
      <c r="B100" s="264">
        <v>18</v>
      </c>
      <c r="C100" s="536" t="s">
        <v>663</v>
      </c>
      <c r="D100" s="417">
        <v>13312.96</v>
      </c>
      <c r="E100" s="417">
        <v>13971.07</v>
      </c>
      <c r="F100" s="417">
        <v>13586.85</v>
      </c>
      <c r="G100" s="417">
        <v>8055.81</v>
      </c>
      <c r="H100" s="417">
        <v>11833.78</v>
      </c>
      <c r="I100" s="417">
        <v>8927.9500000000007</v>
      </c>
      <c r="J100" s="417">
        <v>9494.69</v>
      </c>
      <c r="K100" s="417">
        <v>12312.56</v>
      </c>
      <c r="L100" s="417">
        <v>7344.16</v>
      </c>
      <c r="M100" s="417">
        <v>9039.27</v>
      </c>
      <c r="N100" s="417">
        <v>12858.76</v>
      </c>
      <c r="O100" s="417">
        <v>10134.469999999999</v>
      </c>
      <c r="P100" s="348"/>
      <c r="Q100" s="345">
        <f t="shared" si="14"/>
        <v>130872.33</v>
      </c>
      <c r="R100" s="346">
        <f t="shared" si="15"/>
        <v>128130</v>
      </c>
      <c r="T100" s="320" t="s">
        <v>207</v>
      </c>
    </row>
    <row r="101" spans="2:20" x14ac:dyDescent="0.3">
      <c r="B101" s="264">
        <v>18</v>
      </c>
      <c r="C101" s="536" t="s">
        <v>664</v>
      </c>
      <c r="D101" s="417">
        <v>38.25</v>
      </c>
      <c r="E101" s="417">
        <v>140.5</v>
      </c>
      <c r="F101" s="417">
        <v>227.9</v>
      </c>
      <c r="G101" s="417">
        <v>78.75</v>
      </c>
      <c r="H101" s="417">
        <v>324.89999999999998</v>
      </c>
      <c r="I101" s="417">
        <v>82.35</v>
      </c>
      <c r="J101" s="417">
        <v>35.549999999999997</v>
      </c>
      <c r="K101" s="417">
        <v>210.15</v>
      </c>
      <c r="L101" s="417">
        <v>502.99</v>
      </c>
      <c r="M101" s="417">
        <v>258.79000000000002</v>
      </c>
      <c r="N101" s="417">
        <v>148.19999999999999</v>
      </c>
      <c r="O101" s="417">
        <v>18.45</v>
      </c>
      <c r="P101" s="343"/>
      <c r="Q101" s="345">
        <f t="shared" si="14"/>
        <v>2066.7799999999997</v>
      </c>
      <c r="R101" s="346">
        <f t="shared" si="15"/>
        <v>1701.76</v>
      </c>
      <c r="T101" s="320" t="s">
        <v>208</v>
      </c>
    </row>
    <row r="102" spans="2:20" x14ac:dyDescent="0.3">
      <c r="B102" s="264">
        <v>18</v>
      </c>
      <c r="C102" s="535" t="s">
        <v>665</v>
      </c>
      <c r="D102" s="417">
        <v>8830.7999999999993</v>
      </c>
      <c r="E102" s="417">
        <v>9405.86</v>
      </c>
      <c r="F102" s="417">
        <v>9821.5499999999993</v>
      </c>
      <c r="G102" s="417">
        <v>9061.09</v>
      </c>
      <c r="H102" s="417">
        <v>14944.99</v>
      </c>
      <c r="I102" s="417">
        <v>10309.780000000001</v>
      </c>
      <c r="J102" s="417">
        <v>12180.37</v>
      </c>
      <c r="K102" s="417">
        <v>14776.73</v>
      </c>
      <c r="L102" s="417">
        <v>9534.48</v>
      </c>
      <c r="M102" s="417">
        <v>10033.469999999999</v>
      </c>
      <c r="N102" s="417">
        <v>19303.740000000002</v>
      </c>
      <c r="O102" s="417">
        <v>6958.41</v>
      </c>
      <c r="P102" s="343"/>
      <c r="Q102" s="345">
        <f t="shared" si="14"/>
        <v>135161.26999999999</v>
      </c>
      <c r="R102" s="346">
        <f t="shared" si="15"/>
        <v>145182.47999999998</v>
      </c>
      <c r="T102" s="320" t="s">
        <v>210</v>
      </c>
    </row>
    <row r="103" spans="2:20" ht="15" thickBot="1" x14ac:dyDescent="0.35">
      <c r="B103" s="264">
        <v>18</v>
      </c>
      <c r="C103" s="536" t="s">
        <v>666</v>
      </c>
      <c r="D103" s="417">
        <v>73.06</v>
      </c>
      <c r="E103" s="417">
        <v>550.94000000000005</v>
      </c>
      <c r="F103" s="417">
        <v>115.87</v>
      </c>
      <c r="G103" s="417">
        <v>254.37</v>
      </c>
      <c r="H103" s="417">
        <v>194.56</v>
      </c>
      <c r="I103" s="417">
        <v>314.23</v>
      </c>
      <c r="J103" s="417">
        <v>294.88</v>
      </c>
      <c r="K103" s="417">
        <v>151.28</v>
      </c>
      <c r="L103" s="417">
        <v>18.149999999999999</v>
      </c>
      <c r="M103" s="417">
        <v>479.33</v>
      </c>
      <c r="N103" s="417">
        <v>433.55</v>
      </c>
      <c r="O103" s="417">
        <v>112.27</v>
      </c>
      <c r="P103" s="343"/>
      <c r="Q103" s="345">
        <f t="shared" si="14"/>
        <v>2992.4900000000002</v>
      </c>
      <c r="R103" s="346">
        <f t="shared" si="15"/>
        <v>4100.6000000000004</v>
      </c>
      <c r="T103" s="324" t="s">
        <v>212</v>
      </c>
    </row>
    <row r="104" spans="2:20" x14ac:dyDescent="0.3">
      <c r="B104" s="264">
        <v>18</v>
      </c>
      <c r="C104" s="536" t="s">
        <v>667</v>
      </c>
      <c r="D104" s="417">
        <v>1678</v>
      </c>
      <c r="E104" s="417">
        <v>280</v>
      </c>
      <c r="F104" s="417">
        <v>3236</v>
      </c>
      <c r="G104" s="417">
        <v>1710</v>
      </c>
      <c r="H104" s="417">
        <v>1850</v>
      </c>
      <c r="I104" s="417">
        <v>1733.33</v>
      </c>
      <c r="J104" s="417">
        <v>3300</v>
      </c>
      <c r="K104" s="417">
        <v>2550</v>
      </c>
      <c r="L104" s="417">
        <v>750</v>
      </c>
      <c r="M104" s="417">
        <v>2960</v>
      </c>
      <c r="N104" s="417">
        <v>0</v>
      </c>
      <c r="O104" s="417">
        <v>3449.98</v>
      </c>
      <c r="P104" s="343"/>
      <c r="Q104" s="345">
        <f t="shared" si="14"/>
        <v>23497.31</v>
      </c>
      <c r="R104" s="346">
        <f t="shared" si="15"/>
        <v>25639.919999999998</v>
      </c>
      <c r="T104" s="316" t="s">
        <v>184</v>
      </c>
    </row>
    <row r="105" spans="2:20" x14ac:dyDescent="0.3">
      <c r="B105" s="264">
        <v>18</v>
      </c>
      <c r="C105" s="536" t="s">
        <v>668</v>
      </c>
      <c r="D105" s="417">
        <v>-1228.5</v>
      </c>
      <c r="E105" s="417">
        <v>0</v>
      </c>
      <c r="F105" s="417">
        <v>0</v>
      </c>
      <c r="G105" s="417">
        <v>0</v>
      </c>
      <c r="H105" s="417">
        <v>0</v>
      </c>
      <c r="I105" s="417">
        <v>0</v>
      </c>
      <c r="J105" s="417">
        <v>0</v>
      </c>
      <c r="K105" s="417">
        <v>0</v>
      </c>
      <c r="L105" s="417">
        <v>409.5</v>
      </c>
      <c r="M105" s="417">
        <v>3545.25</v>
      </c>
      <c r="N105" s="417">
        <v>0</v>
      </c>
      <c r="O105" s="417">
        <v>0</v>
      </c>
      <c r="P105" s="343"/>
      <c r="Q105" s="345">
        <f t="shared" si="14"/>
        <v>2726.25</v>
      </c>
      <c r="R105" s="346">
        <f t="shared" si="15"/>
        <v>14181</v>
      </c>
      <c r="T105" s="317" t="s">
        <v>186</v>
      </c>
    </row>
    <row r="106" spans="2:20" x14ac:dyDescent="0.3">
      <c r="B106" s="264">
        <v>18</v>
      </c>
      <c r="C106" s="536" t="s">
        <v>669</v>
      </c>
      <c r="D106" s="417">
        <v>5827.5</v>
      </c>
      <c r="E106" s="417">
        <v>5267.5</v>
      </c>
      <c r="F106" s="417">
        <v>6650</v>
      </c>
      <c r="G106" s="417">
        <v>4830</v>
      </c>
      <c r="H106" s="417">
        <v>4410</v>
      </c>
      <c r="I106" s="417">
        <v>3552.5</v>
      </c>
      <c r="J106" s="417">
        <v>6037.5</v>
      </c>
      <c r="K106" s="417">
        <v>0</v>
      </c>
      <c r="L106" s="417">
        <v>0</v>
      </c>
      <c r="M106" s="417">
        <v>0</v>
      </c>
      <c r="N106" s="417">
        <v>0</v>
      </c>
      <c r="O106" s="417">
        <v>8393.25</v>
      </c>
      <c r="P106" s="343"/>
      <c r="Q106" s="345">
        <f t="shared" si="14"/>
        <v>44968.25</v>
      </c>
      <c r="R106" s="346">
        <f t="shared" si="15"/>
        <v>33573</v>
      </c>
      <c r="T106" s="317" t="s">
        <v>187</v>
      </c>
    </row>
    <row r="107" spans="2:20" x14ac:dyDescent="0.3">
      <c r="B107" s="264">
        <v>18</v>
      </c>
      <c r="C107" s="536" t="s">
        <v>322</v>
      </c>
      <c r="D107" s="422">
        <v>0</v>
      </c>
      <c r="E107" s="422">
        <v>0</v>
      </c>
      <c r="F107" s="422">
        <v>0</v>
      </c>
      <c r="G107" s="422">
        <v>0</v>
      </c>
      <c r="H107" s="422">
        <v>0</v>
      </c>
      <c r="I107" s="422">
        <v>0</v>
      </c>
      <c r="J107" s="422">
        <v>0</v>
      </c>
      <c r="K107" s="422">
        <v>0</v>
      </c>
      <c r="L107" s="422">
        <v>1899.45</v>
      </c>
      <c r="M107" s="422">
        <v>3500</v>
      </c>
      <c r="N107" s="422">
        <v>0</v>
      </c>
      <c r="O107" s="422">
        <v>0</v>
      </c>
      <c r="P107" s="343"/>
      <c r="Q107" s="345">
        <f t="shared" si="14"/>
        <v>5399.45</v>
      </c>
      <c r="R107" s="346">
        <f t="shared" si="15"/>
        <v>14000</v>
      </c>
      <c r="T107" s="317" t="s">
        <v>189</v>
      </c>
    </row>
    <row r="108" spans="2:20" x14ac:dyDescent="0.3">
      <c r="B108" s="107"/>
      <c r="C108" s="581" t="s">
        <v>670</v>
      </c>
      <c r="D108" s="422">
        <v>28532.07</v>
      </c>
      <c r="E108" s="422">
        <v>29615.87</v>
      </c>
      <c r="F108" s="422">
        <v>34980.11</v>
      </c>
      <c r="G108" s="422">
        <v>26590.02</v>
      </c>
      <c r="H108" s="422">
        <v>36158.230000000003</v>
      </c>
      <c r="I108" s="422">
        <v>27520.14</v>
      </c>
      <c r="J108" s="422">
        <v>33942.99</v>
      </c>
      <c r="K108" s="422">
        <v>32600.720000000001</v>
      </c>
      <c r="L108" s="422">
        <v>23058.73</v>
      </c>
      <c r="M108" s="422">
        <v>32416.11</v>
      </c>
      <c r="N108" s="422">
        <v>35344.25</v>
      </c>
      <c r="O108" s="422">
        <v>31666.83</v>
      </c>
      <c r="P108" s="343"/>
      <c r="Q108" s="345">
        <f t="shared" si="14"/>
        <v>372426.07</v>
      </c>
      <c r="R108" s="346">
        <f t="shared" si="15"/>
        <v>397708.76</v>
      </c>
      <c r="T108" s="317" t="s">
        <v>190</v>
      </c>
    </row>
    <row r="109" spans="2:20" x14ac:dyDescent="0.3">
      <c r="C109" s="581" t="s">
        <v>671</v>
      </c>
      <c r="D109" s="417"/>
      <c r="E109" s="417"/>
      <c r="F109" s="417"/>
      <c r="G109" s="417"/>
      <c r="H109" s="417"/>
      <c r="I109" s="417"/>
      <c r="J109" s="417"/>
      <c r="K109" s="417"/>
      <c r="L109" s="417"/>
      <c r="M109" s="417"/>
      <c r="N109" s="417"/>
      <c r="O109" s="417"/>
      <c r="P109" s="343"/>
      <c r="Q109" s="345">
        <f t="shared" si="14"/>
        <v>0</v>
      </c>
      <c r="R109" s="346">
        <f t="shared" si="15"/>
        <v>0</v>
      </c>
      <c r="T109" s="317" t="s">
        <v>191</v>
      </c>
    </row>
    <row r="110" spans="2:20" x14ac:dyDescent="0.3">
      <c r="B110" s="264">
        <v>18</v>
      </c>
      <c r="C110" s="536" t="s">
        <v>672</v>
      </c>
      <c r="D110" s="417">
        <v>1729.76</v>
      </c>
      <c r="E110" s="417">
        <v>1749.81</v>
      </c>
      <c r="F110" s="417">
        <v>2176.79</v>
      </c>
      <c r="G110" s="417">
        <v>1522.72</v>
      </c>
      <c r="H110" s="417">
        <v>2117.1799999999998</v>
      </c>
      <c r="I110" s="417">
        <v>1846.6</v>
      </c>
      <c r="J110" s="417">
        <v>2052.17</v>
      </c>
      <c r="K110" s="417">
        <v>2405.84</v>
      </c>
      <c r="L110" s="417">
        <v>1488.07</v>
      </c>
      <c r="M110" s="417">
        <v>2316.52</v>
      </c>
      <c r="N110" s="417">
        <v>2445.4899999999998</v>
      </c>
      <c r="O110" s="417">
        <v>1791.99</v>
      </c>
      <c r="P110" s="343"/>
      <c r="Q110" s="345">
        <f t="shared" si="14"/>
        <v>23642.940000000006</v>
      </c>
      <c r="R110" s="346">
        <f t="shared" si="15"/>
        <v>26216</v>
      </c>
      <c r="T110" s="317" t="s">
        <v>193</v>
      </c>
    </row>
    <row r="111" spans="2:20" x14ac:dyDescent="0.3">
      <c r="B111" s="264">
        <v>18</v>
      </c>
      <c r="C111" s="535" t="s">
        <v>673</v>
      </c>
      <c r="D111" s="417">
        <v>568.57000000000005</v>
      </c>
      <c r="E111" s="417">
        <v>580.88</v>
      </c>
      <c r="F111" s="417">
        <v>654.54999999999995</v>
      </c>
      <c r="G111" s="417">
        <v>519.99</v>
      </c>
      <c r="H111" s="417">
        <v>824.14</v>
      </c>
      <c r="I111" s="417">
        <v>648.98</v>
      </c>
      <c r="J111" s="417">
        <v>779.26</v>
      </c>
      <c r="K111" s="417">
        <v>869.87</v>
      </c>
      <c r="L111" s="417">
        <v>618.09</v>
      </c>
      <c r="M111" s="417">
        <v>700.36</v>
      </c>
      <c r="N111" s="417">
        <v>840.26</v>
      </c>
      <c r="O111" s="417">
        <v>475.57</v>
      </c>
      <c r="P111" s="343"/>
      <c r="Q111" s="345">
        <f t="shared" si="14"/>
        <v>8080.5199999999995</v>
      </c>
      <c r="R111" s="346">
        <f t="shared" si="15"/>
        <v>8064.7599999999993</v>
      </c>
      <c r="T111" s="317" t="s">
        <v>194</v>
      </c>
    </row>
    <row r="112" spans="2:20" x14ac:dyDescent="0.3">
      <c r="B112" s="264">
        <v>18</v>
      </c>
      <c r="C112" s="536" t="s">
        <v>674</v>
      </c>
      <c r="D112" s="417">
        <v>750.5</v>
      </c>
      <c r="E112" s="417">
        <v>714.81</v>
      </c>
      <c r="F112" s="417">
        <v>835.77</v>
      </c>
      <c r="G112" s="417">
        <v>660.96</v>
      </c>
      <c r="H112" s="417">
        <v>1108.1099999999999</v>
      </c>
      <c r="I112" s="417">
        <v>657.93</v>
      </c>
      <c r="J112" s="417">
        <v>739.67</v>
      </c>
      <c r="K112" s="417">
        <v>839</v>
      </c>
      <c r="L112" s="417">
        <v>727.58</v>
      </c>
      <c r="M112" s="417">
        <v>834.19</v>
      </c>
      <c r="N112" s="417">
        <v>1172.23</v>
      </c>
      <c r="O112" s="417">
        <v>718.5</v>
      </c>
      <c r="P112" s="343"/>
      <c r="Q112" s="345">
        <f t="shared" si="14"/>
        <v>9759.25</v>
      </c>
      <c r="R112" s="346">
        <f t="shared" si="15"/>
        <v>10899.68</v>
      </c>
      <c r="T112" s="317" t="s">
        <v>195</v>
      </c>
    </row>
    <row r="113" spans="2:20" x14ac:dyDescent="0.3">
      <c r="B113" s="264">
        <v>18</v>
      </c>
      <c r="C113" s="536" t="s">
        <v>323</v>
      </c>
      <c r="D113" s="417">
        <v>2388.21</v>
      </c>
      <c r="E113" s="417">
        <v>2491.13</v>
      </c>
      <c r="F113" s="417">
        <v>2282.58</v>
      </c>
      <c r="G113" s="417">
        <v>2418.9699999999998</v>
      </c>
      <c r="H113" s="417">
        <v>1832.22</v>
      </c>
      <c r="I113" s="417">
        <v>2713.61</v>
      </c>
      <c r="J113" s="417">
        <v>2324.21</v>
      </c>
      <c r="K113" s="417">
        <v>2558.4499999999998</v>
      </c>
      <c r="L113" s="417">
        <v>2927.32</v>
      </c>
      <c r="M113" s="417">
        <v>1757.13</v>
      </c>
      <c r="N113" s="417">
        <v>28.85</v>
      </c>
      <c r="O113" s="417">
        <v>2880.09</v>
      </c>
      <c r="P113" s="347"/>
      <c r="Q113" s="345">
        <f t="shared" si="14"/>
        <v>26602.77</v>
      </c>
      <c r="R113" s="346">
        <f t="shared" si="15"/>
        <v>18664.28</v>
      </c>
      <c r="T113" s="317" t="s">
        <v>196</v>
      </c>
    </row>
    <row r="114" spans="2:20" x14ac:dyDescent="0.3">
      <c r="B114" s="264">
        <v>18</v>
      </c>
      <c r="C114" s="536" t="s">
        <v>675</v>
      </c>
      <c r="D114" s="417">
        <v>0</v>
      </c>
      <c r="E114" s="417">
        <v>100</v>
      </c>
      <c r="F114" s="417">
        <v>100</v>
      </c>
      <c r="G114" s="417">
        <v>100</v>
      </c>
      <c r="H114" s="417">
        <v>200</v>
      </c>
      <c r="I114" s="417">
        <v>0</v>
      </c>
      <c r="J114" s="417">
        <v>100</v>
      </c>
      <c r="K114" s="417">
        <v>100</v>
      </c>
      <c r="L114" s="417">
        <v>100</v>
      </c>
      <c r="M114" s="417">
        <v>100</v>
      </c>
      <c r="N114" s="417">
        <v>100</v>
      </c>
      <c r="O114" s="417">
        <v>150</v>
      </c>
      <c r="P114" s="348"/>
      <c r="Q114" s="345">
        <f t="shared" si="14"/>
        <v>1150</v>
      </c>
      <c r="R114" s="346">
        <f t="shared" si="15"/>
        <v>1400</v>
      </c>
      <c r="T114" s="320" t="s">
        <v>197</v>
      </c>
    </row>
    <row r="115" spans="2:20" x14ac:dyDescent="0.3">
      <c r="B115" s="264">
        <v>18</v>
      </c>
      <c r="C115" s="536" t="s">
        <v>676</v>
      </c>
      <c r="D115" s="417">
        <v>0</v>
      </c>
      <c r="E115" s="417">
        <v>52.93</v>
      </c>
      <c r="F115" s="417">
        <v>66.81</v>
      </c>
      <c r="G115" s="417">
        <v>62</v>
      </c>
      <c r="H115" s="417">
        <v>121.02</v>
      </c>
      <c r="I115" s="417">
        <v>63.53</v>
      </c>
      <c r="J115" s="417">
        <v>69.260000000000005</v>
      </c>
      <c r="K115" s="417">
        <v>63.8</v>
      </c>
      <c r="L115" s="417">
        <v>9.15</v>
      </c>
      <c r="M115" s="417">
        <v>12.02</v>
      </c>
      <c r="N115" s="417">
        <v>74.510000000000005</v>
      </c>
      <c r="O115" s="417">
        <v>0</v>
      </c>
      <c r="P115" s="348"/>
      <c r="Q115" s="345">
        <f t="shared" si="14"/>
        <v>595.03</v>
      </c>
      <c r="R115" s="346">
        <f t="shared" si="15"/>
        <v>346.12</v>
      </c>
      <c r="T115" s="320" t="s">
        <v>198</v>
      </c>
    </row>
    <row r="116" spans="2:20" x14ac:dyDescent="0.3">
      <c r="B116" s="264">
        <v>18</v>
      </c>
      <c r="C116" s="536" t="s">
        <v>677</v>
      </c>
      <c r="D116" s="417">
        <v>312.14999999999998</v>
      </c>
      <c r="E116" s="417">
        <v>408.17</v>
      </c>
      <c r="F116" s="417">
        <v>579.21</v>
      </c>
      <c r="G116" s="417">
        <v>952.62</v>
      </c>
      <c r="H116" s="417">
        <v>452.42</v>
      </c>
      <c r="I116" s="417">
        <v>123.75</v>
      </c>
      <c r="J116" s="417">
        <v>677.45</v>
      </c>
      <c r="K116" s="417">
        <v>181.5</v>
      </c>
      <c r="L116" s="417">
        <v>452.87</v>
      </c>
      <c r="M116" s="417">
        <v>91.75</v>
      </c>
      <c r="N116" s="417">
        <v>2305.2800000000002</v>
      </c>
      <c r="O116" s="417">
        <v>130.37</v>
      </c>
      <c r="P116" s="343"/>
      <c r="Q116" s="345">
        <f t="shared" si="14"/>
        <v>6667.54</v>
      </c>
      <c r="R116" s="346">
        <f t="shared" si="15"/>
        <v>10109.6</v>
      </c>
      <c r="T116" s="320" t="s">
        <v>199</v>
      </c>
    </row>
    <row r="117" spans="2:20" x14ac:dyDescent="0.3">
      <c r="B117" s="264">
        <v>18</v>
      </c>
      <c r="C117" s="536" t="s">
        <v>678</v>
      </c>
      <c r="D117" s="417">
        <v>0</v>
      </c>
      <c r="E117" s="417">
        <v>96.99</v>
      </c>
      <c r="F117" s="417">
        <v>0</v>
      </c>
      <c r="G117" s="417">
        <v>20</v>
      </c>
      <c r="H117" s="417">
        <v>110.41</v>
      </c>
      <c r="I117" s="417">
        <v>0</v>
      </c>
      <c r="J117" s="417">
        <v>0</v>
      </c>
      <c r="K117" s="417">
        <v>0</v>
      </c>
      <c r="L117" s="417">
        <v>0</v>
      </c>
      <c r="M117" s="417">
        <v>600</v>
      </c>
      <c r="N117" s="417">
        <v>0</v>
      </c>
      <c r="O117" s="417">
        <v>74.849999999999994</v>
      </c>
      <c r="P117" s="343"/>
      <c r="Q117" s="345">
        <f t="shared" si="14"/>
        <v>902.25</v>
      </c>
      <c r="R117" s="346">
        <f t="shared" si="15"/>
        <v>2699.4</v>
      </c>
      <c r="T117" s="320" t="s">
        <v>200</v>
      </c>
    </row>
    <row r="118" spans="2:20" x14ac:dyDescent="0.3">
      <c r="B118" s="264">
        <v>18</v>
      </c>
      <c r="C118" s="536" t="s">
        <v>679</v>
      </c>
      <c r="D118" s="417">
        <v>87.5</v>
      </c>
      <c r="E118" s="417">
        <v>256.88</v>
      </c>
      <c r="F118" s="417">
        <v>961.07</v>
      </c>
      <c r="G118" s="417">
        <v>215.94</v>
      </c>
      <c r="H118" s="417">
        <v>215.94</v>
      </c>
      <c r="I118" s="417">
        <v>-529.19000000000005</v>
      </c>
      <c r="J118" s="417">
        <v>220.85</v>
      </c>
      <c r="K118" s="417">
        <v>215.94</v>
      </c>
      <c r="L118" s="417">
        <v>215.94</v>
      </c>
      <c r="M118" s="417">
        <v>215.94</v>
      </c>
      <c r="N118" s="417">
        <v>111.28</v>
      </c>
      <c r="O118" s="417">
        <v>320.60000000000002</v>
      </c>
      <c r="P118" s="343"/>
      <c r="Q118" s="345">
        <f t="shared" si="14"/>
        <v>2508.69</v>
      </c>
      <c r="R118" s="346">
        <f t="shared" si="15"/>
        <v>2591.2800000000002</v>
      </c>
      <c r="T118" s="320" t="s">
        <v>201</v>
      </c>
    </row>
    <row r="119" spans="2:20" x14ac:dyDescent="0.3">
      <c r="C119" s="581" t="s">
        <v>680</v>
      </c>
      <c r="D119" s="422">
        <v>5836.69</v>
      </c>
      <c r="E119" s="422">
        <v>6451.6</v>
      </c>
      <c r="F119" s="422">
        <v>7656.78</v>
      </c>
      <c r="G119" s="422">
        <v>6473.2</v>
      </c>
      <c r="H119" s="422">
        <v>6981.44</v>
      </c>
      <c r="I119" s="422">
        <v>5525.21</v>
      </c>
      <c r="J119" s="422">
        <v>6962.87</v>
      </c>
      <c r="K119" s="422">
        <v>7234.4</v>
      </c>
      <c r="L119" s="422">
        <v>6539.02</v>
      </c>
      <c r="M119" s="422">
        <v>6627.91</v>
      </c>
      <c r="N119" s="422">
        <v>7077.9</v>
      </c>
      <c r="O119" s="422">
        <v>6541.97</v>
      </c>
      <c r="P119" s="343"/>
      <c r="Q119" s="345">
        <f t="shared" si="14"/>
        <v>79908.990000000005</v>
      </c>
      <c r="R119" s="346">
        <f t="shared" si="15"/>
        <v>80991.12</v>
      </c>
      <c r="T119" s="320" t="s">
        <v>202</v>
      </c>
    </row>
    <row r="120" spans="2:20" x14ac:dyDescent="0.3">
      <c r="C120" s="581" t="s">
        <v>681</v>
      </c>
      <c r="D120" s="422">
        <v>34368.76</v>
      </c>
      <c r="E120" s="422">
        <v>36067.47</v>
      </c>
      <c r="F120" s="422">
        <v>42636.89</v>
      </c>
      <c r="G120" s="422">
        <v>33063.22</v>
      </c>
      <c r="H120" s="422">
        <v>43139.67</v>
      </c>
      <c r="I120" s="422">
        <v>33045.35</v>
      </c>
      <c r="J120" s="422">
        <v>40905.86</v>
      </c>
      <c r="K120" s="422">
        <v>39835.120000000003</v>
      </c>
      <c r="L120" s="422">
        <v>29597.75</v>
      </c>
      <c r="M120" s="422">
        <v>39044.019999999997</v>
      </c>
      <c r="N120" s="422">
        <v>42422.15</v>
      </c>
      <c r="O120" s="422">
        <v>38208.800000000003</v>
      </c>
      <c r="P120" s="343"/>
      <c r="Q120" s="345">
        <f t="shared" si="14"/>
        <v>452335.06000000006</v>
      </c>
      <c r="R120" s="346">
        <f t="shared" si="15"/>
        <v>478699.88</v>
      </c>
      <c r="T120" s="320" t="s">
        <v>203</v>
      </c>
    </row>
    <row r="121" spans="2:20" x14ac:dyDescent="0.3">
      <c r="C121" s="581" t="s">
        <v>682</v>
      </c>
      <c r="D121" s="417"/>
      <c r="E121" s="417"/>
      <c r="F121" s="417"/>
      <c r="G121" s="417"/>
      <c r="H121" s="417"/>
      <c r="I121" s="417"/>
      <c r="J121" s="417"/>
      <c r="K121" s="417"/>
      <c r="L121" s="417"/>
      <c r="M121" s="417"/>
      <c r="N121" s="417"/>
      <c r="O121" s="417"/>
      <c r="P121" s="343"/>
      <c r="Q121" s="345">
        <f t="shared" si="14"/>
        <v>0</v>
      </c>
      <c r="R121" s="346">
        <f t="shared" si="15"/>
        <v>0</v>
      </c>
      <c r="T121" s="320" t="s">
        <v>204</v>
      </c>
    </row>
    <row r="122" spans="2:20" x14ac:dyDescent="0.3">
      <c r="C122" s="581" t="s">
        <v>683</v>
      </c>
      <c r="D122" s="417"/>
      <c r="E122" s="417"/>
      <c r="F122" s="417"/>
      <c r="G122" s="417"/>
      <c r="H122" s="417"/>
      <c r="I122" s="417"/>
      <c r="J122" s="417"/>
      <c r="K122" s="417"/>
      <c r="L122" s="417"/>
      <c r="M122" s="417"/>
      <c r="N122" s="417"/>
      <c r="O122" s="417"/>
      <c r="P122" s="347"/>
      <c r="Q122" s="345">
        <f t="shared" si="14"/>
        <v>0</v>
      </c>
      <c r="R122" s="346">
        <f t="shared" si="15"/>
        <v>0</v>
      </c>
      <c r="T122" s="320" t="s">
        <v>205</v>
      </c>
    </row>
    <row r="123" spans="2:20" x14ac:dyDescent="0.3">
      <c r="B123" s="264">
        <v>13</v>
      </c>
      <c r="C123" s="536" t="s">
        <v>684</v>
      </c>
      <c r="D123" s="417">
        <v>2372</v>
      </c>
      <c r="E123" s="417">
        <v>4308.54</v>
      </c>
      <c r="F123" s="417">
        <v>2372</v>
      </c>
      <c r="G123" s="417">
        <v>2372</v>
      </c>
      <c r="H123" s="417">
        <v>2863.36</v>
      </c>
      <c r="I123" s="417">
        <v>4618.6099999999997</v>
      </c>
      <c r="J123" s="417">
        <v>3007.51</v>
      </c>
      <c r="K123" s="417">
        <v>2050</v>
      </c>
      <c r="L123" s="417">
        <v>1265</v>
      </c>
      <c r="M123" s="417">
        <v>3678.01</v>
      </c>
      <c r="N123" s="417">
        <v>-410.15</v>
      </c>
      <c r="O123" s="417">
        <v>410.15</v>
      </c>
      <c r="P123" s="348"/>
      <c r="Q123" s="345">
        <f t="shared" si="14"/>
        <v>28907.030000000006</v>
      </c>
      <c r="R123" s="346">
        <f t="shared" si="15"/>
        <v>14712.04</v>
      </c>
      <c r="T123" s="320" t="s">
        <v>206</v>
      </c>
    </row>
    <row r="124" spans="2:20" x14ac:dyDescent="0.3">
      <c r="B124" s="264">
        <v>13</v>
      </c>
      <c r="C124" s="535" t="s">
        <v>685</v>
      </c>
      <c r="D124" s="417">
        <v>11363.06</v>
      </c>
      <c r="E124" s="417">
        <v>11363.06</v>
      </c>
      <c r="F124" s="417">
        <v>11363.06</v>
      </c>
      <c r="G124" s="417">
        <v>11363.06</v>
      </c>
      <c r="H124" s="417">
        <v>11363.06</v>
      </c>
      <c r="I124" s="417">
        <v>11363.06</v>
      </c>
      <c r="J124" s="417">
        <v>11363.06</v>
      </c>
      <c r="K124" s="417">
        <v>11700.09</v>
      </c>
      <c r="L124" s="417">
        <v>11700.09</v>
      </c>
      <c r="M124" s="417">
        <v>11708.33</v>
      </c>
      <c r="N124" s="417">
        <v>11708.33</v>
      </c>
      <c r="O124" s="417">
        <v>11708.33</v>
      </c>
      <c r="P124" s="348"/>
      <c r="Q124" s="345">
        <f t="shared" si="14"/>
        <v>138066.59</v>
      </c>
      <c r="R124" s="346">
        <f t="shared" si="15"/>
        <v>140499.96</v>
      </c>
      <c r="T124" s="320" t="s">
        <v>207</v>
      </c>
    </row>
    <row r="125" spans="2:20" x14ac:dyDescent="0.3">
      <c r="B125" s="264">
        <v>13</v>
      </c>
      <c r="C125" s="536" t="s">
        <v>686</v>
      </c>
      <c r="D125" s="417">
        <v>400</v>
      </c>
      <c r="E125" s="417">
        <v>530</v>
      </c>
      <c r="F125" s="417">
        <v>0</v>
      </c>
      <c r="G125" s="417">
        <v>0</v>
      </c>
      <c r="H125" s="417">
        <v>650</v>
      </c>
      <c r="I125" s="417">
        <v>0</v>
      </c>
      <c r="J125" s="417">
        <v>800</v>
      </c>
      <c r="K125" s="417">
        <v>-400</v>
      </c>
      <c r="L125" s="417">
        <v>0</v>
      </c>
      <c r="M125" s="417">
        <v>0</v>
      </c>
      <c r="N125" s="417">
        <v>0</v>
      </c>
      <c r="O125" s="417">
        <v>0</v>
      </c>
      <c r="P125" s="343"/>
      <c r="Q125" s="345">
        <f t="shared" si="14"/>
        <v>1980</v>
      </c>
      <c r="R125" s="346">
        <f t="shared" si="15"/>
        <v>0</v>
      </c>
      <c r="T125" s="320" t="s">
        <v>208</v>
      </c>
    </row>
    <row r="126" spans="2:20" x14ac:dyDescent="0.3">
      <c r="B126" s="264">
        <v>13</v>
      </c>
      <c r="C126" s="536" t="s">
        <v>687</v>
      </c>
      <c r="D126" s="417">
        <v>354.9</v>
      </c>
      <c r="E126" s="417">
        <v>71</v>
      </c>
      <c r="F126" s="417">
        <v>367</v>
      </c>
      <c r="G126" s="417">
        <v>80</v>
      </c>
      <c r="H126" s="417">
        <v>99.9</v>
      </c>
      <c r="I126" s="417">
        <v>71.8</v>
      </c>
      <c r="J126" s="417">
        <v>89.95</v>
      </c>
      <c r="K126" s="417">
        <v>109.85</v>
      </c>
      <c r="L126" s="417">
        <v>89.95</v>
      </c>
      <c r="M126" s="417">
        <v>597.89</v>
      </c>
      <c r="N126" s="417">
        <v>449.95</v>
      </c>
      <c r="O126" s="417">
        <v>165.75</v>
      </c>
      <c r="P126" s="343"/>
      <c r="Q126" s="345">
        <f t="shared" si="14"/>
        <v>2547.9399999999996</v>
      </c>
      <c r="R126" s="346">
        <f t="shared" si="15"/>
        <v>4854.3599999999997</v>
      </c>
      <c r="T126" s="320" t="s">
        <v>210</v>
      </c>
    </row>
    <row r="127" spans="2:20" ht="15" thickBot="1" x14ac:dyDescent="0.35">
      <c r="B127" s="264">
        <v>13</v>
      </c>
      <c r="C127" s="535" t="s">
        <v>688</v>
      </c>
      <c r="D127" s="417">
        <v>3097</v>
      </c>
      <c r="E127" s="417">
        <v>3097</v>
      </c>
      <c r="F127" s="417">
        <v>3097</v>
      </c>
      <c r="G127" s="417">
        <v>3097</v>
      </c>
      <c r="H127" s="417">
        <v>3097</v>
      </c>
      <c r="I127" s="417">
        <v>3097</v>
      </c>
      <c r="J127" s="417">
        <v>3097</v>
      </c>
      <c r="K127" s="417">
        <v>3097</v>
      </c>
      <c r="L127" s="417">
        <v>3097</v>
      </c>
      <c r="M127" s="417">
        <v>3097</v>
      </c>
      <c r="N127" s="417">
        <v>3097</v>
      </c>
      <c r="O127" s="417">
        <v>3097</v>
      </c>
      <c r="P127" s="343"/>
      <c r="Q127" s="345">
        <f t="shared" si="14"/>
        <v>37164</v>
      </c>
      <c r="R127" s="346">
        <f t="shared" si="15"/>
        <v>37164</v>
      </c>
      <c r="T127" s="324" t="s">
        <v>212</v>
      </c>
    </row>
    <row r="128" spans="2:20" x14ac:dyDescent="0.3">
      <c r="B128" s="264">
        <v>13</v>
      </c>
      <c r="C128" s="536" t="s">
        <v>689</v>
      </c>
      <c r="D128" s="417">
        <v>244.8</v>
      </c>
      <c r="E128" s="417">
        <v>619.46</v>
      </c>
      <c r="F128" s="417">
        <v>799.46</v>
      </c>
      <c r="G128" s="417">
        <v>244.8</v>
      </c>
      <c r="H128" s="417">
        <v>2114.5500000000002</v>
      </c>
      <c r="I128" s="417">
        <v>-1804.95</v>
      </c>
      <c r="J128" s="417">
        <v>-554.66</v>
      </c>
      <c r="K128" s="417">
        <v>784.8</v>
      </c>
      <c r="L128" s="417">
        <v>64.8</v>
      </c>
      <c r="M128" s="417">
        <v>-655.20000000000005</v>
      </c>
      <c r="N128" s="417">
        <v>66.739999999999995</v>
      </c>
      <c r="O128" s="417">
        <v>66.739999999999995</v>
      </c>
      <c r="P128" s="343"/>
      <c r="Q128" s="345">
        <f t="shared" si="14"/>
        <v>1991.3400000000004</v>
      </c>
      <c r="R128" s="346">
        <f t="shared" si="15"/>
        <v>-2086.88</v>
      </c>
      <c r="T128" s="316" t="s">
        <v>184</v>
      </c>
    </row>
    <row r="129" spans="2:20" x14ac:dyDescent="0.3">
      <c r="B129" s="264">
        <v>13</v>
      </c>
      <c r="C129" s="535" t="s">
        <v>690</v>
      </c>
      <c r="D129" s="417">
        <v>488</v>
      </c>
      <c r="E129" s="417">
        <v>488</v>
      </c>
      <c r="F129" s="417">
        <v>488</v>
      </c>
      <c r="G129" s="417">
        <v>488</v>
      </c>
      <c r="H129" s="417">
        <v>488</v>
      </c>
      <c r="I129" s="417">
        <v>488</v>
      </c>
      <c r="J129" s="417">
        <v>488</v>
      </c>
      <c r="K129" s="417">
        <v>488</v>
      </c>
      <c r="L129" s="417">
        <v>488</v>
      </c>
      <c r="M129" s="417">
        <v>488</v>
      </c>
      <c r="N129" s="417">
        <v>268</v>
      </c>
      <c r="O129" s="417">
        <v>808</v>
      </c>
      <c r="P129" s="347"/>
      <c r="Q129" s="345">
        <f>SUM(D129:O129)</f>
        <v>5956</v>
      </c>
      <c r="R129" s="346">
        <f t="shared" si="15"/>
        <v>6256</v>
      </c>
      <c r="T129" s="317" t="s">
        <v>186</v>
      </c>
    </row>
    <row r="130" spans="2:20" x14ac:dyDescent="0.3">
      <c r="B130" s="264">
        <v>13</v>
      </c>
      <c r="C130" s="536" t="s">
        <v>691</v>
      </c>
      <c r="D130" s="417">
        <v>595</v>
      </c>
      <c r="E130" s="417">
        <v>595</v>
      </c>
      <c r="F130" s="417">
        <v>625</v>
      </c>
      <c r="G130" s="417">
        <v>450</v>
      </c>
      <c r="H130" s="417">
        <v>1190</v>
      </c>
      <c r="I130" s="417">
        <v>145</v>
      </c>
      <c r="J130" s="417">
        <v>595</v>
      </c>
      <c r="K130" s="417">
        <v>595</v>
      </c>
      <c r="L130" s="417">
        <v>595</v>
      </c>
      <c r="M130" s="417">
        <v>595</v>
      </c>
      <c r="N130" s="417">
        <v>900</v>
      </c>
      <c r="O130" s="417">
        <v>595</v>
      </c>
      <c r="P130" s="348"/>
      <c r="Q130" s="345">
        <f t="shared" si="14"/>
        <v>7475</v>
      </c>
      <c r="R130" s="346">
        <f t="shared" si="15"/>
        <v>8360</v>
      </c>
      <c r="T130" s="317" t="s">
        <v>187</v>
      </c>
    </row>
    <row r="131" spans="2:20" x14ac:dyDescent="0.3">
      <c r="B131" s="264">
        <v>13</v>
      </c>
      <c r="C131" s="536" t="s">
        <v>773</v>
      </c>
      <c r="D131" s="417">
        <v>227.64</v>
      </c>
      <c r="E131" s="417">
        <v>333.33</v>
      </c>
      <c r="F131" s="417">
        <v>325.2</v>
      </c>
      <c r="G131" s="417">
        <v>365.85</v>
      </c>
      <c r="H131" s="417">
        <v>422.76</v>
      </c>
      <c r="I131" s="417">
        <v>463.41</v>
      </c>
      <c r="J131" s="417">
        <v>414.63</v>
      </c>
      <c r="K131" s="417">
        <v>430.89</v>
      </c>
      <c r="L131" s="417">
        <v>430</v>
      </c>
      <c r="M131" s="417">
        <v>838.28</v>
      </c>
      <c r="N131" s="417">
        <v>398.37</v>
      </c>
      <c r="O131" s="417">
        <v>350.78</v>
      </c>
      <c r="P131" s="348"/>
      <c r="Q131" s="345">
        <f t="shared" si="14"/>
        <v>5001.1399999999994</v>
      </c>
      <c r="R131" s="346">
        <f t="shared" si="15"/>
        <v>6349.72</v>
      </c>
      <c r="T131" s="317" t="s">
        <v>189</v>
      </c>
    </row>
    <row r="132" spans="2:20" x14ac:dyDescent="0.3">
      <c r="B132" s="264">
        <v>13</v>
      </c>
      <c r="C132" s="535" t="s">
        <v>692</v>
      </c>
      <c r="D132" s="417">
        <v>2033.15</v>
      </c>
      <c r="E132" s="417">
        <v>2033.15</v>
      </c>
      <c r="F132" s="417">
        <v>2033.15</v>
      </c>
      <c r="G132" s="417">
        <v>2033.15</v>
      </c>
      <c r="H132" s="417">
        <v>2033.15</v>
      </c>
      <c r="I132" s="417">
        <v>4105.1499999999996</v>
      </c>
      <c r="J132" s="417">
        <v>4015.15</v>
      </c>
      <c r="K132" s="417">
        <v>4195.1499999999996</v>
      </c>
      <c r="L132" s="417">
        <v>4105.1499999999996</v>
      </c>
      <c r="M132" s="417">
        <v>4105.1499999999996</v>
      </c>
      <c r="N132" s="417">
        <v>4105.1499999999996</v>
      </c>
      <c r="O132" s="417">
        <v>4105.1499999999996</v>
      </c>
      <c r="P132" s="343"/>
      <c r="Q132" s="345">
        <f t="shared" si="14"/>
        <v>38901.800000000003</v>
      </c>
      <c r="R132" s="346">
        <f t="shared" si="15"/>
        <v>49261.799999999996</v>
      </c>
      <c r="T132" s="317" t="s">
        <v>190</v>
      </c>
    </row>
    <row r="133" spans="2:20" x14ac:dyDescent="0.3">
      <c r="B133" s="264">
        <v>13</v>
      </c>
      <c r="C133" s="536" t="s">
        <v>693</v>
      </c>
      <c r="D133" s="417">
        <v>3849.74</v>
      </c>
      <c r="E133" s="417">
        <v>4464.5</v>
      </c>
      <c r="F133" s="417">
        <v>4079.09</v>
      </c>
      <c r="G133" s="417">
        <v>4810.62</v>
      </c>
      <c r="H133" s="417">
        <v>3751.37</v>
      </c>
      <c r="I133" s="417">
        <v>-177.63</v>
      </c>
      <c r="J133" s="417">
        <v>5335.81</v>
      </c>
      <c r="K133" s="417">
        <v>6075.83</v>
      </c>
      <c r="L133" s="417">
        <v>4796.53</v>
      </c>
      <c r="M133" s="417">
        <v>7114.71</v>
      </c>
      <c r="N133" s="417">
        <v>6136.94</v>
      </c>
      <c r="O133" s="417">
        <v>6537.27</v>
      </c>
      <c r="P133" s="343"/>
      <c r="Q133" s="345">
        <f t="shared" si="14"/>
        <v>56774.78</v>
      </c>
      <c r="R133" s="346">
        <f t="shared" si="15"/>
        <v>79155.679999999993</v>
      </c>
      <c r="T133" s="317" t="s">
        <v>191</v>
      </c>
    </row>
    <row r="134" spans="2:20" x14ac:dyDescent="0.3">
      <c r="C134" s="581" t="s">
        <v>694</v>
      </c>
      <c r="D134" s="422">
        <v>25025.29</v>
      </c>
      <c r="E134" s="422">
        <v>27903.040000000001</v>
      </c>
      <c r="F134" s="422">
        <v>25548.959999999999</v>
      </c>
      <c r="G134" s="422">
        <v>25304.48</v>
      </c>
      <c r="H134" s="422">
        <v>28073.15</v>
      </c>
      <c r="I134" s="422">
        <v>22369.45</v>
      </c>
      <c r="J134" s="422">
        <v>28651.45</v>
      </c>
      <c r="K134" s="422">
        <v>29126.61</v>
      </c>
      <c r="L134" s="422">
        <v>26631.52</v>
      </c>
      <c r="M134" s="422">
        <v>31567.17</v>
      </c>
      <c r="N134" s="422">
        <v>26720.33</v>
      </c>
      <c r="O134" s="422">
        <v>27844.17</v>
      </c>
      <c r="P134" s="343"/>
      <c r="Q134" s="345">
        <f t="shared" si="14"/>
        <v>324765.62000000005</v>
      </c>
      <c r="R134" s="346">
        <f t="shared" si="15"/>
        <v>344526.68</v>
      </c>
      <c r="T134" s="317" t="s">
        <v>193</v>
      </c>
    </row>
    <row r="135" spans="2:20" x14ac:dyDescent="0.3">
      <c r="C135" s="581" t="s">
        <v>695</v>
      </c>
      <c r="D135" s="417"/>
      <c r="E135" s="417"/>
      <c r="F135" s="417"/>
      <c r="G135" s="417"/>
      <c r="H135" s="417"/>
      <c r="I135" s="417"/>
      <c r="J135" s="417"/>
      <c r="K135" s="417"/>
      <c r="L135" s="417"/>
      <c r="M135" s="417"/>
      <c r="N135" s="417"/>
      <c r="O135" s="417"/>
      <c r="P135" s="343"/>
      <c r="Q135" s="345">
        <f t="shared" si="14"/>
        <v>0</v>
      </c>
      <c r="R135" s="346">
        <f t="shared" si="15"/>
        <v>0</v>
      </c>
      <c r="T135" s="317" t="s">
        <v>194</v>
      </c>
    </row>
    <row r="136" spans="2:20" x14ac:dyDescent="0.3">
      <c r="B136" s="264">
        <v>12</v>
      </c>
      <c r="C136" s="535" t="s">
        <v>696</v>
      </c>
      <c r="D136" s="417">
        <v>1425</v>
      </c>
      <c r="E136" s="417">
        <v>110</v>
      </c>
      <c r="F136" s="417">
        <v>390</v>
      </c>
      <c r="G136" s="417">
        <v>1570</v>
      </c>
      <c r="H136" s="417">
        <v>565</v>
      </c>
      <c r="I136" s="417">
        <v>2910</v>
      </c>
      <c r="J136" s="417">
        <v>948.76</v>
      </c>
      <c r="K136" s="417">
        <v>1291.24</v>
      </c>
      <c r="L136" s="417">
        <v>550</v>
      </c>
      <c r="M136" s="417">
        <v>300</v>
      </c>
      <c r="N136" s="417">
        <v>1135</v>
      </c>
      <c r="O136" s="417">
        <v>1445</v>
      </c>
      <c r="P136" s="343"/>
      <c r="Q136" s="345">
        <f t="shared" si="14"/>
        <v>12640</v>
      </c>
      <c r="R136" s="346">
        <f t="shared" si="15"/>
        <v>11520</v>
      </c>
      <c r="T136" s="317" t="s">
        <v>195</v>
      </c>
    </row>
    <row r="137" spans="2:20" x14ac:dyDescent="0.3">
      <c r="B137" s="264">
        <v>12</v>
      </c>
      <c r="C137" s="536" t="s">
        <v>686</v>
      </c>
      <c r="D137" s="417">
        <v>1210</v>
      </c>
      <c r="E137" s="417">
        <v>300</v>
      </c>
      <c r="F137" s="417">
        <v>1545</v>
      </c>
      <c r="G137" s="417">
        <v>280</v>
      </c>
      <c r="H137" s="417">
        <v>920</v>
      </c>
      <c r="I137" s="417">
        <v>590</v>
      </c>
      <c r="J137" s="417">
        <v>690</v>
      </c>
      <c r="K137" s="417">
        <v>2680</v>
      </c>
      <c r="L137" s="417">
        <v>460</v>
      </c>
      <c r="M137" s="417">
        <v>800</v>
      </c>
      <c r="N137" s="417">
        <v>1400</v>
      </c>
      <c r="O137" s="417">
        <v>280</v>
      </c>
      <c r="P137" s="343"/>
      <c r="Q137" s="345">
        <f t="shared" si="14"/>
        <v>11155</v>
      </c>
      <c r="R137" s="346">
        <f t="shared" si="15"/>
        <v>9920</v>
      </c>
      <c r="T137" s="317" t="s">
        <v>196</v>
      </c>
    </row>
    <row r="138" spans="2:20" x14ac:dyDescent="0.3">
      <c r="B138" s="264">
        <v>12</v>
      </c>
      <c r="C138" s="535" t="s">
        <v>697</v>
      </c>
      <c r="D138" s="417">
        <v>111.84</v>
      </c>
      <c r="E138" s="417">
        <v>0</v>
      </c>
      <c r="F138" s="417">
        <v>0</v>
      </c>
      <c r="G138" s="417">
        <v>647.79999999999995</v>
      </c>
      <c r="H138" s="417">
        <v>1105.49</v>
      </c>
      <c r="I138" s="417">
        <v>0</v>
      </c>
      <c r="J138" s="417">
        <v>0</v>
      </c>
      <c r="K138" s="417">
        <v>717.76</v>
      </c>
      <c r="L138" s="417">
        <v>294.83</v>
      </c>
      <c r="M138" s="417">
        <v>-270</v>
      </c>
      <c r="N138" s="417">
        <v>800</v>
      </c>
      <c r="O138" s="417">
        <v>150</v>
      </c>
      <c r="P138" s="347"/>
      <c r="Q138" s="345">
        <f t="shared" si="14"/>
        <v>3557.7200000000003</v>
      </c>
      <c r="R138" s="346">
        <f t="shared" si="15"/>
        <v>2720</v>
      </c>
      <c r="T138" s="320" t="s">
        <v>197</v>
      </c>
    </row>
    <row r="139" spans="2:20" x14ac:dyDescent="0.3">
      <c r="B139" s="264">
        <v>12</v>
      </c>
      <c r="C139" s="536" t="s">
        <v>698</v>
      </c>
      <c r="D139" s="417">
        <v>5790</v>
      </c>
      <c r="E139" s="417">
        <v>1090</v>
      </c>
      <c r="F139" s="417">
        <v>4290</v>
      </c>
      <c r="G139" s="417">
        <v>1420</v>
      </c>
      <c r="H139" s="417">
        <v>2990</v>
      </c>
      <c r="I139" s="417">
        <v>2380</v>
      </c>
      <c r="J139" s="417">
        <v>3150</v>
      </c>
      <c r="K139" s="417">
        <v>9100</v>
      </c>
      <c r="L139" s="417">
        <v>3339.99</v>
      </c>
      <c r="M139" s="417">
        <v>-400</v>
      </c>
      <c r="N139" s="417">
        <v>5700</v>
      </c>
      <c r="O139" s="417">
        <v>710</v>
      </c>
      <c r="P139" s="348"/>
      <c r="Q139" s="345">
        <f t="shared" si="14"/>
        <v>39559.99</v>
      </c>
      <c r="R139" s="346">
        <f t="shared" si="15"/>
        <v>24040</v>
      </c>
      <c r="T139" s="320" t="s">
        <v>198</v>
      </c>
    </row>
    <row r="140" spans="2:20" x14ac:dyDescent="0.3">
      <c r="B140" s="264">
        <v>12</v>
      </c>
      <c r="C140" s="535" t="s">
        <v>699</v>
      </c>
      <c r="D140" s="417">
        <v>0</v>
      </c>
      <c r="E140" s="417">
        <v>68.59</v>
      </c>
      <c r="F140" s="417">
        <v>42.31</v>
      </c>
      <c r="G140" s="417">
        <v>8.44</v>
      </c>
      <c r="H140" s="417">
        <v>139.85</v>
      </c>
      <c r="I140" s="417">
        <v>131.82</v>
      </c>
      <c r="J140" s="417">
        <v>83.43</v>
      </c>
      <c r="K140" s="417">
        <v>69.09</v>
      </c>
      <c r="L140" s="417">
        <v>108.02</v>
      </c>
      <c r="M140" s="417">
        <v>37.700000000000003</v>
      </c>
      <c r="N140" s="417">
        <v>106.16</v>
      </c>
      <c r="O140" s="417">
        <v>0</v>
      </c>
      <c r="P140" s="348"/>
      <c r="Q140" s="345">
        <f t="shared" si="14"/>
        <v>795.41</v>
      </c>
      <c r="R140" s="346">
        <f t="shared" si="15"/>
        <v>575.44000000000005</v>
      </c>
      <c r="T140" s="320" t="s">
        <v>199</v>
      </c>
    </row>
    <row r="141" spans="2:20" x14ac:dyDescent="0.3">
      <c r="B141" s="264">
        <v>12</v>
      </c>
      <c r="C141" s="536" t="s">
        <v>327</v>
      </c>
      <c r="D141" s="417">
        <v>0</v>
      </c>
      <c r="E141" s="417">
        <v>0</v>
      </c>
      <c r="F141" s="417">
        <v>245.37</v>
      </c>
      <c r="G141" s="417">
        <v>0</v>
      </c>
      <c r="H141" s="417">
        <v>0</v>
      </c>
      <c r="I141" s="417">
        <v>0</v>
      </c>
      <c r="J141" s="417">
        <v>13.31</v>
      </c>
      <c r="K141" s="417">
        <v>0</v>
      </c>
      <c r="L141" s="417">
        <v>474.43</v>
      </c>
      <c r="M141" s="417">
        <v>-421.32</v>
      </c>
      <c r="N141" s="417">
        <v>58.78</v>
      </c>
      <c r="O141" s="417">
        <v>0</v>
      </c>
      <c r="P141" s="343"/>
      <c r="Q141" s="345">
        <f t="shared" si="14"/>
        <v>370.57000000000005</v>
      </c>
      <c r="R141" s="346">
        <f t="shared" si="15"/>
        <v>-1450.1599999999999</v>
      </c>
      <c r="T141" s="320" t="s">
        <v>200</v>
      </c>
    </row>
    <row r="142" spans="2:20" x14ac:dyDescent="0.3">
      <c r="C142" s="581" t="s">
        <v>700</v>
      </c>
      <c r="D142" s="422">
        <v>8536.84</v>
      </c>
      <c r="E142" s="422">
        <v>1568.59</v>
      </c>
      <c r="F142" s="422">
        <v>6512.68</v>
      </c>
      <c r="G142" s="422">
        <v>3926.24</v>
      </c>
      <c r="H142" s="422">
        <v>5720.34</v>
      </c>
      <c r="I142" s="422">
        <v>6011.82</v>
      </c>
      <c r="J142" s="422">
        <v>4885.5</v>
      </c>
      <c r="K142" s="422">
        <v>13858.09</v>
      </c>
      <c r="L142" s="422">
        <v>5227.2700000000004</v>
      </c>
      <c r="M142" s="422">
        <v>46.38</v>
      </c>
      <c r="N142" s="422">
        <v>9199.94</v>
      </c>
      <c r="O142" s="422">
        <v>2585</v>
      </c>
      <c r="P142" s="343"/>
      <c r="Q142" s="345">
        <f t="shared" si="14"/>
        <v>68078.69</v>
      </c>
      <c r="R142" s="346">
        <f t="shared" si="15"/>
        <v>47325.279999999999</v>
      </c>
      <c r="T142" s="320" t="s">
        <v>201</v>
      </c>
    </row>
    <row r="143" spans="2:20" x14ac:dyDescent="0.3">
      <c r="C143" s="582" t="s">
        <v>701</v>
      </c>
      <c r="D143" s="417"/>
      <c r="E143" s="417"/>
      <c r="F143" s="417"/>
      <c r="G143" s="417"/>
      <c r="H143" s="417"/>
      <c r="I143" s="417"/>
      <c r="J143" s="417"/>
      <c r="K143" s="417"/>
      <c r="L143" s="417"/>
      <c r="M143" s="417"/>
      <c r="N143" s="417"/>
      <c r="O143" s="417"/>
      <c r="P143" s="343"/>
      <c r="Q143" s="345">
        <f t="shared" si="14"/>
        <v>0</v>
      </c>
      <c r="R143" s="346">
        <f t="shared" si="15"/>
        <v>0</v>
      </c>
      <c r="T143" s="320" t="s">
        <v>202</v>
      </c>
    </row>
    <row r="144" spans="2:20" x14ac:dyDescent="0.3">
      <c r="B144" s="264">
        <v>11</v>
      </c>
      <c r="C144" s="536" t="s">
        <v>702</v>
      </c>
      <c r="D144" s="417">
        <v>1429.67</v>
      </c>
      <c r="E144" s="417">
        <v>1195.79</v>
      </c>
      <c r="F144" s="417">
        <v>2931.08</v>
      </c>
      <c r="G144" s="417">
        <v>1578.36</v>
      </c>
      <c r="H144" s="417">
        <v>5693.45</v>
      </c>
      <c r="I144" s="417">
        <v>5295.96</v>
      </c>
      <c r="J144" s="417">
        <v>317.76</v>
      </c>
      <c r="K144" s="417">
        <v>2682.27</v>
      </c>
      <c r="L144" s="417">
        <v>1450.56</v>
      </c>
      <c r="M144" s="417">
        <v>0</v>
      </c>
      <c r="N144" s="417">
        <v>1009.88</v>
      </c>
      <c r="O144" s="417">
        <v>3747.17</v>
      </c>
      <c r="P144" s="343"/>
      <c r="Q144" s="345">
        <f t="shared" si="14"/>
        <v>27331.949999999997</v>
      </c>
      <c r="R144" s="346">
        <f t="shared" si="15"/>
        <v>19028.2</v>
      </c>
      <c r="T144" s="320" t="s">
        <v>203</v>
      </c>
    </row>
    <row r="145" spans="2:20" x14ac:dyDescent="0.3">
      <c r="B145" s="264">
        <v>11</v>
      </c>
      <c r="C145" s="535" t="s">
        <v>703</v>
      </c>
      <c r="D145" s="417">
        <v>508.25</v>
      </c>
      <c r="E145" s="417">
        <v>0</v>
      </c>
      <c r="F145" s="417">
        <v>0</v>
      </c>
      <c r="G145" s="417">
        <v>0</v>
      </c>
      <c r="H145" s="417">
        <v>0</v>
      </c>
      <c r="I145" s="417">
        <v>0</v>
      </c>
      <c r="J145" s="417">
        <v>255.69</v>
      </c>
      <c r="K145" s="417">
        <v>463.48</v>
      </c>
      <c r="L145" s="417">
        <v>0</v>
      </c>
      <c r="M145" s="417">
        <v>0</v>
      </c>
      <c r="N145" s="417">
        <v>0</v>
      </c>
      <c r="O145" s="417">
        <v>0</v>
      </c>
      <c r="P145" s="347"/>
      <c r="Q145" s="345">
        <f t="shared" si="14"/>
        <v>1227.42</v>
      </c>
      <c r="R145" s="346">
        <f t="shared" si="15"/>
        <v>0</v>
      </c>
      <c r="T145" s="320" t="s">
        <v>204</v>
      </c>
    </row>
    <row r="146" spans="2:20" x14ac:dyDescent="0.3">
      <c r="B146" s="264">
        <v>11</v>
      </c>
      <c r="C146" s="544" t="s">
        <v>704</v>
      </c>
      <c r="D146" s="418">
        <v>609.20000000000005</v>
      </c>
      <c r="E146" s="418">
        <v>288.79000000000002</v>
      </c>
      <c r="F146" s="418">
        <v>90.87</v>
      </c>
      <c r="G146" s="418">
        <v>400</v>
      </c>
      <c r="H146" s="418">
        <v>391.44</v>
      </c>
      <c r="I146" s="418">
        <v>0</v>
      </c>
      <c r="J146" s="418">
        <v>0</v>
      </c>
      <c r="K146" s="418">
        <v>400</v>
      </c>
      <c r="L146" s="418">
        <v>-208</v>
      </c>
      <c r="M146" s="418">
        <v>580</v>
      </c>
      <c r="N146" s="418">
        <v>150</v>
      </c>
      <c r="O146" s="418">
        <v>0</v>
      </c>
      <c r="P146" s="348"/>
      <c r="Q146" s="345">
        <f t="shared" si="14"/>
        <v>2702.3</v>
      </c>
      <c r="R146" s="346">
        <f t="shared" si="15"/>
        <v>2920</v>
      </c>
      <c r="T146" s="320" t="s">
        <v>205</v>
      </c>
    </row>
    <row r="147" spans="2:20" x14ac:dyDescent="0.3">
      <c r="B147" s="264">
        <v>11</v>
      </c>
      <c r="C147" s="544" t="s">
        <v>705</v>
      </c>
      <c r="D147" s="418">
        <v>300</v>
      </c>
      <c r="E147" s="418">
        <v>0</v>
      </c>
      <c r="F147" s="418">
        <v>0</v>
      </c>
      <c r="G147" s="418">
        <v>0</v>
      </c>
      <c r="H147" s="418">
        <v>0</v>
      </c>
      <c r="I147" s="418">
        <v>0</v>
      </c>
      <c r="J147" s="418">
        <v>0</v>
      </c>
      <c r="K147" s="418">
        <v>0</v>
      </c>
      <c r="L147" s="418">
        <v>0</v>
      </c>
      <c r="M147" s="418">
        <v>0</v>
      </c>
      <c r="N147" s="418">
        <v>0</v>
      </c>
      <c r="O147" s="418">
        <v>0</v>
      </c>
      <c r="P147" s="347"/>
      <c r="Q147" s="345">
        <f t="shared" ref="Q147:Q210" si="16">SUM(D147:O147)</f>
        <v>300</v>
      </c>
      <c r="R147" s="346">
        <f t="shared" ref="R147:R210" si="17">SUM(M147:O147)*4</f>
        <v>0</v>
      </c>
      <c r="T147" s="320" t="s">
        <v>206</v>
      </c>
    </row>
    <row r="148" spans="2:20" x14ac:dyDescent="0.3">
      <c r="B148" s="264">
        <v>11</v>
      </c>
      <c r="C148" s="544" t="s">
        <v>706</v>
      </c>
      <c r="D148" s="418">
        <v>1265</v>
      </c>
      <c r="E148" s="418">
        <v>1390</v>
      </c>
      <c r="F148" s="418">
        <v>0</v>
      </c>
      <c r="G148" s="418">
        <v>860</v>
      </c>
      <c r="H148" s="418">
        <v>0</v>
      </c>
      <c r="I148" s="418">
        <v>485</v>
      </c>
      <c r="J148" s="418">
        <v>0</v>
      </c>
      <c r="K148" s="418">
        <v>300</v>
      </c>
      <c r="L148" s="418">
        <v>4100</v>
      </c>
      <c r="M148" s="418">
        <v>825</v>
      </c>
      <c r="N148" s="418">
        <v>400</v>
      </c>
      <c r="O148" s="418">
        <v>2500</v>
      </c>
      <c r="P148" s="348"/>
      <c r="Q148" s="345">
        <f t="shared" si="16"/>
        <v>12125</v>
      </c>
      <c r="R148" s="346">
        <f t="shared" si="17"/>
        <v>14900</v>
      </c>
      <c r="T148" s="320" t="s">
        <v>207</v>
      </c>
    </row>
    <row r="149" spans="2:20" x14ac:dyDescent="0.3">
      <c r="B149" s="264">
        <v>11</v>
      </c>
      <c r="C149" s="544" t="s">
        <v>707</v>
      </c>
      <c r="D149" s="418">
        <v>0</v>
      </c>
      <c r="E149" s="418">
        <v>0</v>
      </c>
      <c r="F149" s="418">
        <v>0</v>
      </c>
      <c r="G149" s="418">
        <v>0</v>
      </c>
      <c r="H149" s="418">
        <v>0</v>
      </c>
      <c r="I149" s="418">
        <v>0</v>
      </c>
      <c r="J149" s="418">
        <v>0</v>
      </c>
      <c r="K149" s="418">
        <v>0</v>
      </c>
      <c r="L149" s="418">
        <v>0</v>
      </c>
      <c r="M149" s="418">
        <v>6.4</v>
      </c>
      <c r="N149" s="418">
        <v>13.6</v>
      </c>
      <c r="O149" s="418">
        <v>182.2</v>
      </c>
      <c r="P149" s="347"/>
      <c r="Q149" s="345">
        <f t="shared" si="16"/>
        <v>202.2</v>
      </c>
      <c r="R149" s="346">
        <f t="shared" si="17"/>
        <v>808.8</v>
      </c>
      <c r="T149" s="320" t="s">
        <v>208</v>
      </c>
    </row>
    <row r="150" spans="2:20" x14ac:dyDescent="0.3">
      <c r="B150" s="264">
        <v>11</v>
      </c>
      <c r="C150" s="544" t="s">
        <v>708</v>
      </c>
      <c r="D150" s="418">
        <v>50</v>
      </c>
      <c r="E150" s="418">
        <v>4.13</v>
      </c>
      <c r="F150" s="418">
        <v>537.66999999999996</v>
      </c>
      <c r="G150" s="418">
        <v>80</v>
      </c>
      <c r="H150" s="418">
        <v>145.79</v>
      </c>
      <c r="I150" s="418">
        <v>0</v>
      </c>
      <c r="J150" s="418">
        <v>16.510000000000002</v>
      </c>
      <c r="K150" s="418">
        <v>111.8</v>
      </c>
      <c r="L150" s="418">
        <v>57.96</v>
      </c>
      <c r="M150" s="418">
        <v>900</v>
      </c>
      <c r="N150" s="418">
        <v>0</v>
      </c>
      <c r="O150" s="418">
        <v>-580.27</v>
      </c>
      <c r="Q150" s="345">
        <f t="shared" si="16"/>
        <v>1323.59</v>
      </c>
      <c r="R150" s="346">
        <f t="shared" si="17"/>
        <v>1278.92</v>
      </c>
      <c r="T150" s="320" t="s">
        <v>210</v>
      </c>
    </row>
    <row r="151" spans="2:20" ht="15" thickBot="1" x14ac:dyDescent="0.35">
      <c r="B151" s="264">
        <v>11</v>
      </c>
      <c r="C151" s="544" t="s">
        <v>709</v>
      </c>
      <c r="D151" s="585">
        <v>29.1</v>
      </c>
      <c r="E151" s="585">
        <v>32.26</v>
      </c>
      <c r="F151" s="585">
        <v>977.99</v>
      </c>
      <c r="G151" s="585">
        <v>20.34</v>
      </c>
      <c r="H151" s="585">
        <v>159.16</v>
      </c>
      <c r="I151" s="585">
        <v>138</v>
      </c>
      <c r="J151" s="585">
        <v>136.63999999999999</v>
      </c>
      <c r="K151" s="585">
        <v>0</v>
      </c>
      <c r="L151" s="585">
        <v>24.87</v>
      </c>
      <c r="M151" s="585">
        <v>279.16000000000003</v>
      </c>
      <c r="N151" s="585">
        <v>77.78</v>
      </c>
      <c r="O151" s="585">
        <v>500.87</v>
      </c>
      <c r="Q151" s="345">
        <f t="shared" si="16"/>
        <v>2376.1699999999996</v>
      </c>
      <c r="R151" s="346">
        <f t="shared" si="17"/>
        <v>3431.2400000000002</v>
      </c>
      <c r="T151" s="324" t="s">
        <v>212</v>
      </c>
    </row>
    <row r="152" spans="2:20" x14ac:dyDescent="0.3">
      <c r="B152" s="264">
        <v>11</v>
      </c>
      <c r="C152" s="544" t="s">
        <v>710</v>
      </c>
      <c r="D152" s="585">
        <v>0</v>
      </c>
      <c r="E152" s="585">
        <v>26.99</v>
      </c>
      <c r="F152" s="585">
        <v>0</v>
      </c>
      <c r="G152" s="585">
        <v>0</v>
      </c>
      <c r="H152" s="585">
        <v>0</v>
      </c>
      <c r="I152" s="585">
        <v>160</v>
      </c>
      <c r="J152" s="585">
        <v>0</v>
      </c>
      <c r="K152" s="585">
        <v>0</v>
      </c>
      <c r="L152" s="585">
        <v>0</v>
      </c>
      <c r="M152" s="585">
        <v>0</v>
      </c>
      <c r="N152" s="585">
        <v>0</v>
      </c>
      <c r="O152" s="585">
        <v>0</v>
      </c>
      <c r="Q152" s="345">
        <f t="shared" si="16"/>
        <v>186.99</v>
      </c>
      <c r="R152" s="346">
        <f t="shared" si="17"/>
        <v>0</v>
      </c>
      <c r="T152" s="316" t="s">
        <v>184</v>
      </c>
    </row>
    <row r="153" spans="2:20" x14ac:dyDescent="0.3">
      <c r="B153" s="264">
        <v>11</v>
      </c>
      <c r="C153" s="544" t="s">
        <v>711</v>
      </c>
      <c r="D153" s="418">
        <v>189.95</v>
      </c>
      <c r="E153" s="418">
        <v>1394.37</v>
      </c>
      <c r="F153" s="418">
        <v>165.78</v>
      </c>
      <c r="G153" s="418">
        <v>0</v>
      </c>
      <c r="H153" s="418">
        <v>739.98</v>
      </c>
      <c r="I153" s="418">
        <v>-400</v>
      </c>
      <c r="J153" s="418">
        <v>0</v>
      </c>
      <c r="K153" s="418">
        <v>0</v>
      </c>
      <c r="L153" s="418">
        <v>534.95000000000005</v>
      </c>
      <c r="M153" s="418">
        <v>0</v>
      </c>
      <c r="N153" s="418">
        <v>0</v>
      </c>
      <c r="O153" s="418">
        <v>0</v>
      </c>
      <c r="Q153" s="345">
        <f t="shared" si="16"/>
        <v>2625.0299999999997</v>
      </c>
      <c r="R153" s="346">
        <f t="shared" si="17"/>
        <v>0</v>
      </c>
      <c r="T153" s="317" t="s">
        <v>186</v>
      </c>
    </row>
    <row r="154" spans="2:20" x14ac:dyDescent="0.3">
      <c r="B154" s="264">
        <v>11</v>
      </c>
      <c r="C154" s="544" t="s">
        <v>712</v>
      </c>
      <c r="D154" s="585">
        <v>0</v>
      </c>
      <c r="E154" s="585">
        <v>0</v>
      </c>
      <c r="F154" s="585">
        <v>0</v>
      </c>
      <c r="G154" s="585">
        <v>0</v>
      </c>
      <c r="H154" s="585">
        <v>0</v>
      </c>
      <c r="I154" s="585">
        <v>82.51</v>
      </c>
      <c r="J154" s="585">
        <v>0</v>
      </c>
      <c r="K154" s="585">
        <v>0</v>
      </c>
      <c r="L154" s="585">
        <v>0</v>
      </c>
      <c r="M154" s="585">
        <v>370</v>
      </c>
      <c r="N154" s="585">
        <v>254.71</v>
      </c>
      <c r="O154" s="585">
        <v>0</v>
      </c>
      <c r="Q154" s="345">
        <f t="shared" si="16"/>
        <v>707.22</v>
      </c>
      <c r="R154" s="346">
        <f t="shared" si="17"/>
        <v>2498.84</v>
      </c>
      <c r="T154" s="317" t="s">
        <v>187</v>
      </c>
    </row>
    <row r="155" spans="2:20" x14ac:dyDescent="0.3">
      <c r="B155" s="264">
        <v>11</v>
      </c>
      <c r="C155" s="544" t="s">
        <v>713</v>
      </c>
      <c r="D155" s="418">
        <v>499</v>
      </c>
      <c r="E155" s="418">
        <v>0</v>
      </c>
      <c r="F155" s="418">
        <v>0</v>
      </c>
      <c r="G155" s="418">
        <v>0</v>
      </c>
      <c r="H155" s="418">
        <v>0</v>
      </c>
      <c r="I155" s="418">
        <v>0</v>
      </c>
      <c r="J155" s="418">
        <v>0</v>
      </c>
      <c r="K155" s="418">
        <v>0</v>
      </c>
      <c r="L155" s="418">
        <v>154.96</v>
      </c>
      <c r="M155" s="418">
        <v>0</v>
      </c>
      <c r="N155" s="418">
        <v>0</v>
      </c>
      <c r="O155" s="418">
        <v>0</v>
      </c>
      <c r="P155" t="s">
        <v>317</v>
      </c>
      <c r="Q155" s="345">
        <f t="shared" si="16"/>
        <v>653.96</v>
      </c>
      <c r="R155" s="346">
        <f t="shared" si="17"/>
        <v>0</v>
      </c>
      <c r="T155" s="317" t="s">
        <v>189</v>
      </c>
    </row>
    <row r="156" spans="2:20" x14ac:dyDescent="0.3">
      <c r="B156" s="264">
        <v>11</v>
      </c>
      <c r="C156" s="544" t="s">
        <v>714</v>
      </c>
      <c r="D156" s="420">
        <v>0</v>
      </c>
      <c r="E156" s="420">
        <v>0</v>
      </c>
      <c r="F156" s="420">
        <v>66.400000000000006</v>
      </c>
      <c r="G156" s="420">
        <v>0</v>
      </c>
      <c r="H156" s="420">
        <v>132.80000000000001</v>
      </c>
      <c r="I156" s="420">
        <v>0</v>
      </c>
      <c r="J156" s="420">
        <v>0</v>
      </c>
      <c r="K156" s="420">
        <v>0</v>
      </c>
      <c r="L156" s="420">
        <v>0</v>
      </c>
      <c r="M156" s="420">
        <v>0</v>
      </c>
      <c r="N156" s="420">
        <v>0</v>
      </c>
      <c r="O156" s="420">
        <v>0</v>
      </c>
      <c r="Q156" s="345">
        <f t="shared" si="16"/>
        <v>199.20000000000002</v>
      </c>
      <c r="R156" s="346">
        <f t="shared" si="17"/>
        <v>0</v>
      </c>
      <c r="T156" s="317" t="s">
        <v>190</v>
      </c>
    </row>
    <row r="157" spans="2:20" x14ac:dyDescent="0.3">
      <c r="B157" s="264">
        <v>11</v>
      </c>
      <c r="C157" s="544" t="s">
        <v>715</v>
      </c>
      <c r="D157" s="583">
        <v>322.93</v>
      </c>
      <c r="E157" s="583">
        <v>3013.43</v>
      </c>
      <c r="F157" s="583">
        <v>2623.34</v>
      </c>
      <c r="G157" s="583">
        <v>3120.38</v>
      </c>
      <c r="H157" s="583">
        <v>3946.1</v>
      </c>
      <c r="I157" s="583">
        <v>1487.27</v>
      </c>
      <c r="J157" s="583">
        <v>977.38</v>
      </c>
      <c r="K157" s="583">
        <v>438.61</v>
      </c>
      <c r="L157" s="583">
        <v>1107.8499999999999</v>
      </c>
      <c r="M157" s="583">
        <v>1129.06</v>
      </c>
      <c r="N157" s="583">
        <v>2956.56</v>
      </c>
      <c r="O157" s="583">
        <v>381.54</v>
      </c>
      <c r="Q157" s="345">
        <f t="shared" si="16"/>
        <v>21504.450000000004</v>
      </c>
      <c r="R157" s="346">
        <f t="shared" si="17"/>
        <v>17868.64</v>
      </c>
      <c r="T157" s="317" t="s">
        <v>191</v>
      </c>
    </row>
    <row r="158" spans="2:20" x14ac:dyDescent="0.3">
      <c r="B158" s="264">
        <v>11</v>
      </c>
      <c r="C158" s="544" t="s">
        <v>716</v>
      </c>
      <c r="D158" s="585">
        <v>859.25</v>
      </c>
      <c r="E158" s="585">
        <v>197.21</v>
      </c>
      <c r="F158" s="585">
        <v>16.72</v>
      </c>
      <c r="G158" s="585">
        <v>0</v>
      </c>
      <c r="H158" s="585">
        <v>641.6</v>
      </c>
      <c r="I158" s="585">
        <v>138.69</v>
      </c>
      <c r="J158" s="585">
        <v>153.66</v>
      </c>
      <c r="K158" s="585">
        <v>0</v>
      </c>
      <c r="L158" s="585">
        <v>121.19</v>
      </c>
      <c r="M158" s="585">
        <v>309.91000000000003</v>
      </c>
      <c r="N158" s="585">
        <v>0</v>
      </c>
      <c r="O158" s="585">
        <v>78.14</v>
      </c>
      <c r="Q158" s="345">
        <f t="shared" si="16"/>
        <v>2516.37</v>
      </c>
      <c r="R158" s="346">
        <f t="shared" si="17"/>
        <v>1552.2</v>
      </c>
      <c r="T158" s="317" t="s">
        <v>193</v>
      </c>
    </row>
    <row r="159" spans="2:20" x14ac:dyDescent="0.3">
      <c r="B159" s="264">
        <v>11</v>
      </c>
      <c r="C159" s="544" t="s">
        <v>688</v>
      </c>
      <c r="D159" s="585">
        <v>0</v>
      </c>
      <c r="E159" s="585">
        <v>2897</v>
      </c>
      <c r="F159" s="585">
        <v>0</v>
      </c>
      <c r="G159" s="585">
        <v>0</v>
      </c>
      <c r="H159" s="585">
        <v>0</v>
      </c>
      <c r="I159" s="585">
        <v>3097</v>
      </c>
      <c r="J159" s="585">
        <v>-3097</v>
      </c>
      <c r="K159" s="585">
        <v>0</v>
      </c>
      <c r="L159" s="585">
        <v>0</v>
      </c>
      <c r="M159" s="585">
        <v>0</v>
      </c>
      <c r="N159" s="585">
        <v>0</v>
      </c>
      <c r="O159" s="585">
        <v>0</v>
      </c>
      <c r="Q159" s="345">
        <f t="shared" si="16"/>
        <v>2897</v>
      </c>
      <c r="R159" s="346">
        <f t="shared" si="17"/>
        <v>0</v>
      </c>
      <c r="T159" s="317" t="s">
        <v>194</v>
      </c>
    </row>
    <row r="160" spans="2:20" x14ac:dyDescent="0.3">
      <c r="B160" s="264">
        <v>11</v>
      </c>
      <c r="C160" s="544" t="s">
        <v>717</v>
      </c>
      <c r="D160" s="420">
        <v>0</v>
      </c>
      <c r="E160" s="420">
        <v>0</v>
      </c>
      <c r="F160" s="420">
        <v>0</v>
      </c>
      <c r="G160" s="420">
        <v>0</v>
      </c>
      <c r="H160" s="420">
        <v>0</v>
      </c>
      <c r="I160" s="420">
        <v>0</v>
      </c>
      <c r="J160" s="420">
        <v>0</v>
      </c>
      <c r="K160" s="420">
        <v>0</v>
      </c>
      <c r="L160" s="420">
        <v>0</v>
      </c>
      <c r="M160" s="420">
        <v>6.4</v>
      </c>
      <c r="N160" s="420">
        <v>0</v>
      </c>
      <c r="O160" s="420">
        <v>0</v>
      </c>
      <c r="Q160" s="345">
        <f t="shared" si="16"/>
        <v>6.4</v>
      </c>
      <c r="R160" s="346">
        <f>SUM(M160:O160)*4</f>
        <v>25.6</v>
      </c>
      <c r="T160" s="317" t="s">
        <v>195</v>
      </c>
    </row>
    <row r="161" spans="2:20" x14ac:dyDescent="0.3">
      <c r="B161" s="264">
        <v>11</v>
      </c>
      <c r="C161" s="544" t="s">
        <v>718</v>
      </c>
      <c r="D161" s="583">
        <v>193.36</v>
      </c>
      <c r="E161" s="583">
        <v>180.95</v>
      </c>
      <c r="F161" s="583">
        <v>249.12</v>
      </c>
      <c r="G161" s="583">
        <v>33.76</v>
      </c>
      <c r="H161" s="583">
        <v>308.79000000000002</v>
      </c>
      <c r="I161" s="583">
        <v>28.1</v>
      </c>
      <c r="J161" s="583">
        <v>42.22</v>
      </c>
      <c r="K161" s="583">
        <v>492.77</v>
      </c>
      <c r="L161" s="583">
        <v>321.91000000000003</v>
      </c>
      <c r="M161" s="583">
        <v>127.61</v>
      </c>
      <c r="N161" s="583">
        <v>56.05</v>
      </c>
      <c r="O161" s="583">
        <v>871.16</v>
      </c>
      <c r="Q161" s="345">
        <f t="shared" si="16"/>
        <v>2905.7999999999997</v>
      </c>
      <c r="R161" s="346">
        <f t="shared" si="17"/>
        <v>4219.28</v>
      </c>
      <c r="T161" s="317" t="s">
        <v>196</v>
      </c>
    </row>
    <row r="162" spans="2:20" x14ac:dyDescent="0.3">
      <c r="B162" s="264">
        <v>11</v>
      </c>
      <c r="C162" s="544" t="s">
        <v>698</v>
      </c>
      <c r="D162" s="418">
        <v>1010</v>
      </c>
      <c r="E162" s="418">
        <v>400</v>
      </c>
      <c r="F162" s="418">
        <v>300</v>
      </c>
      <c r="G162" s="418">
        <v>550</v>
      </c>
      <c r="H162" s="418">
        <v>1050</v>
      </c>
      <c r="I162" s="418">
        <v>200</v>
      </c>
      <c r="J162" s="418">
        <v>200</v>
      </c>
      <c r="K162" s="418">
        <v>0</v>
      </c>
      <c r="L162" s="418">
        <v>0</v>
      </c>
      <c r="M162" s="418">
        <v>5860</v>
      </c>
      <c r="N162" s="418">
        <v>0</v>
      </c>
      <c r="O162" s="418">
        <v>0</v>
      </c>
      <c r="Q162" s="345">
        <f t="shared" si="16"/>
        <v>9570</v>
      </c>
      <c r="R162" s="346">
        <f t="shared" si="17"/>
        <v>23440</v>
      </c>
      <c r="T162" s="320" t="s">
        <v>197</v>
      </c>
    </row>
    <row r="163" spans="2:20" x14ac:dyDescent="0.3">
      <c r="B163" s="264">
        <v>11</v>
      </c>
      <c r="C163" s="544" t="s">
        <v>719</v>
      </c>
      <c r="D163" s="418">
        <v>1000</v>
      </c>
      <c r="E163" s="418">
        <v>0</v>
      </c>
      <c r="F163" s="418">
        <v>0</v>
      </c>
      <c r="G163" s="418">
        <v>0</v>
      </c>
      <c r="H163" s="418">
        <v>0</v>
      </c>
      <c r="I163" s="418">
        <v>0</v>
      </c>
      <c r="J163" s="418">
        <v>0</v>
      </c>
      <c r="K163" s="418">
        <v>0</v>
      </c>
      <c r="L163" s="418">
        <v>0</v>
      </c>
      <c r="M163" s="418">
        <v>0</v>
      </c>
      <c r="N163" s="418">
        <v>0</v>
      </c>
      <c r="O163" s="418">
        <v>0</v>
      </c>
      <c r="Q163" s="345">
        <f t="shared" si="16"/>
        <v>1000</v>
      </c>
      <c r="R163" s="346">
        <f t="shared" si="17"/>
        <v>0</v>
      </c>
      <c r="T163" s="320" t="s">
        <v>198</v>
      </c>
    </row>
    <row r="164" spans="2:20" x14ac:dyDescent="0.3">
      <c r="B164" s="264">
        <v>11</v>
      </c>
      <c r="C164" s="544" t="s">
        <v>720</v>
      </c>
      <c r="D164" s="420">
        <v>439.05</v>
      </c>
      <c r="E164" s="420">
        <v>762.44</v>
      </c>
      <c r="F164" s="420">
        <v>-874.03</v>
      </c>
      <c r="G164" s="420">
        <v>177.18</v>
      </c>
      <c r="H164" s="420">
        <v>285.14999999999998</v>
      </c>
      <c r="I164" s="420">
        <v>146.53</v>
      </c>
      <c r="J164" s="420">
        <v>1460.49</v>
      </c>
      <c r="K164" s="420">
        <v>548.34</v>
      </c>
      <c r="L164" s="420">
        <v>2166.02</v>
      </c>
      <c r="M164" s="420">
        <v>3930.66</v>
      </c>
      <c r="N164" s="420">
        <v>1072.1500000000001</v>
      </c>
      <c r="O164" s="420">
        <v>1949.05</v>
      </c>
      <c r="Q164" s="345">
        <f t="shared" si="16"/>
        <v>12063.029999999999</v>
      </c>
      <c r="R164" s="346">
        <f t="shared" si="17"/>
        <v>27807.439999999999</v>
      </c>
      <c r="T164" s="320" t="s">
        <v>199</v>
      </c>
    </row>
    <row r="165" spans="2:20" x14ac:dyDescent="0.3">
      <c r="B165" s="264">
        <v>11</v>
      </c>
      <c r="C165" s="544" t="s">
        <v>721</v>
      </c>
      <c r="D165" s="583">
        <v>0</v>
      </c>
      <c r="E165" s="583">
        <v>0</v>
      </c>
      <c r="F165" s="583">
        <v>0</v>
      </c>
      <c r="G165" s="583">
        <v>0</v>
      </c>
      <c r="H165" s="583">
        <v>0</v>
      </c>
      <c r="I165" s="583">
        <v>0</v>
      </c>
      <c r="J165" s="583">
        <v>0</v>
      </c>
      <c r="K165" s="583">
        <v>0</v>
      </c>
      <c r="L165" s="583">
        <v>466.28</v>
      </c>
      <c r="M165" s="583">
        <v>0</v>
      </c>
      <c r="N165" s="583">
        <v>0</v>
      </c>
      <c r="O165" s="583">
        <v>0</v>
      </c>
      <c r="Q165" s="345">
        <f>SUM(D165:O165)</f>
        <v>466.28</v>
      </c>
      <c r="R165" s="346">
        <f t="shared" si="17"/>
        <v>0</v>
      </c>
      <c r="T165" s="320" t="s">
        <v>200</v>
      </c>
    </row>
    <row r="166" spans="2:20" x14ac:dyDescent="0.3">
      <c r="B166" s="264">
        <v>11</v>
      </c>
      <c r="C166" s="544" t="s">
        <v>722</v>
      </c>
      <c r="D166" s="418">
        <v>0</v>
      </c>
      <c r="E166" s="418">
        <v>0</v>
      </c>
      <c r="F166" s="418">
        <v>0</v>
      </c>
      <c r="G166" s="418">
        <v>0</v>
      </c>
      <c r="H166" s="418">
        <v>26.77</v>
      </c>
      <c r="I166" s="418">
        <v>3.86</v>
      </c>
      <c r="J166" s="418">
        <v>71.81</v>
      </c>
      <c r="K166" s="418">
        <v>0</v>
      </c>
      <c r="L166" s="418">
        <v>14.74</v>
      </c>
      <c r="M166" s="418">
        <v>314.44</v>
      </c>
      <c r="N166" s="418">
        <v>18.989999999999998</v>
      </c>
      <c r="O166" s="418">
        <v>8.44</v>
      </c>
      <c r="Q166" s="345">
        <f t="shared" si="16"/>
        <v>459.05</v>
      </c>
      <c r="R166" s="346">
        <f t="shared" si="17"/>
        <v>1367.48</v>
      </c>
      <c r="T166" s="320" t="s">
        <v>201</v>
      </c>
    </row>
    <row r="167" spans="2:20" x14ac:dyDescent="0.3">
      <c r="B167" s="264">
        <v>11</v>
      </c>
      <c r="C167" s="544" t="s">
        <v>723</v>
      </c>
      <c r="D167" s="418">
        <v>0</v>
      </c>
      <c r="E167" s="418">
        <v>0</v>
      </c>
      <c r="F167" s="418">
        <v>14.93</v>
      </c>
      <c r="G167" s="418">
        <v>241.75</v>
      </c>
      <c r="H167" s="418">
        <v>44.8</v>
      </c>
      <c r="I167" s="418">
        <v>168.79</v>
      </c>
      <c r="J167" s="418">
        <v>204.34</v>
      </c>
      <c r="K167" s="418">
        <v>0</v>
      </c>
      <c r="L167" s="418">
        <v>0</v>
      </c>
      <c r="M167" s="418">
        <v>194.27</v>
      </c>
      <c r="N167" s="418">
        <v>0</v>
      </c>
      <c r="O167" s="418">
        <v>0</v>
      </c>
      <c r="Q167" s="345">
        <f t="shared" si="16"/>
        <v>868.88</v>
      </c>
      <c r="R167" s="346">
        <f t="shared" si="17"/>
        <v>777.08</v>
      </c>
      <c r="T167" s="320" t="s">
        <v>202</v>
      </c>
    </row>
    <row r="168" spans="2:20" x14ac:dyDescent="0.3">
      <c r="C168" s="545" t="s">
        <v>724</v>
      </c>
      <c r="D168" s="584">
        <v>8704.76</v>
      </c>
      <c r="E168" s="584">
        <v>11783.36</v>
      </c>
      <c r="F168" s="584">
        <v>7099.87</v>
      </c>
      <c r="G168" s="584">
        <v>7061.77</v>
      </c>
      <c r="H168" s="584">
        <v>13565.83</v>
      </c>
      <c r="I168" s="584">
        <v>11031.71</v>
      </c>
      <c r="J168" s="584">
        <v>739.5</v>
      </c>
      <c r="K168" s="584">
        <v>5437.27</v>
      </c>
      <c r="L168" s="584">
        <v>10313.290000000001</v>
      </c>
      <c r="M168" s="584">
        <v>14832.91</v>
      </c>
      <c r="N168" s="584">
        <v>6009.72</v>
      </c>
      <c r="O168" s="584">
        <v>9638.2999999999993</v>
      </c>
      <c r="Q168" s="345">
        <f t="shared" si="16"/>
        <v>106218.29000000002</v>
      </c>
      <c r="R168" s="346">
        <f t="shared" si="17"/>
        <v>121923.72</v>
      </c>
      <c r="T168" s="320" t="s">
        <v>203</v>
      </c>
    </row>
    <row r="169" spans="2:20" x14ac:dyDescent="0.3">
      <c r="C169" s="545" t="s">
        <v>725</v>
      </c>
      <c r="D169" s="421">
        <v>42266.89</v>
      </c>
      <c r="E169" s="421">
        <v>41254.99</v>
      </c>
      <c r="F169" s="421">
        <v>39161.51</v>
      </c>
      <c r="G169" s="421">
        <v>36292.49</v>
      </c>
      <c r="H169" s="421">
        <v>47359.32</v>
      </c>
      <c r="I169" s="421">
        <v>39412.980000000003</v>
      </c>
      <c r="J169" s="421">
        <v>34276.449999999997</v>
      </c>
      <c r="K169" s="421">
        <v>48421.97</v>
      </c>
      <c r="L169" s="421">
        <v>42172.08</v>
      </c>
      <c r="M169" s="421">
        <v>46446.46</v>
      </c>
      <c r="N169" s="421">
        <v>41929.99</v>
      </c>
      <c r="O169" s="421">
        <v>40067.47</v>
      </c>
      <c r="Q169" s="345">
        <f t="shared" si="16"/>
        <v>499062.6</v>
      </c>
      <c r="R169" s="346">
        <f t="shared" si="17"/>
        <v>513775.68</v>
      </c>
      <c r="T169" s="320" t="s">
        <v>204</v>
      </c>
    </row>
    <row r="170" spans="2:20" x14ac:dyDescent="0.3">
      <c r="C170" s="545" t="s">
        <v>726</v>
      </c>
      <c r="D170" s="418"/>
      <c r="E170" s="418"/>
      <c r="F170" s="418"/>
      <c r="G170" s="418"/>
      <c r="H170" s="418"/>
      <c r="I170" s="418"/>
      <c r="J170" s="418"/>
      <c r="K170" s="418"/>
      <c r="L170" s="418"/>
      <c r="M170" s="418"/>
      <c r="N170" s="418"/>
      <c r="O170" s="418"/>
      <c r="Q170" s="345">
        <f t="shared" si="16"/>
        <v>0</v>
      </c>
      <c r="R170" s="346">
        <f t="shared" si="17"/>
        <v>0</v>
      </c>
      <c r="T170" s="320" t="s">
        <v>205</v>
      </c>
    </row>
    <row r="171" spans="2:20" x14ac:dyDescent="0.3">
      <c r="B171" s="264">
        <v>14</v>
      </c>
      <c r="C171" s="544" t="s">
        <v>727</v>
      </c>
      <c r="D171" s="418">
        <v>3577.8</v>
      </c>
      <c r="E171" s="418">
        <v>3566.99</v>
      </c>
      <c r="F171" s="418">
        <v>3737.36</v>
      </c>
      <c r="G171" s="418">
        <v>3318.61</v>
      </c>
      <c r="H171" s="418">
        <v>3356.5</v>
      </c>
      <c r="I171" s="418">
        <v>3105.48</v>
      </c>
      <c r="J171" s="418">
        <v>3114.21</v>
      </c>
      <c r="K171" s="418">
        <v>3085.41</v>
      </c>
      <c r="L171" s="418">
        <v>3126.84</v>
      </c>
      <c r="M171" s="418">
        <v>3608.29</v>
      </c>
      <c r="N171" s="418">
        <v>3410.82</v>
      </c>
      <c r="O171" s="418">
        <v>3711.03</v>
      </c>
      <c r="Q171" s="345">
        <f t="shared" si="16"/>
        <v>40719.339999999997</v>
      </c>
      <c r="R171" s="346">
        <f t="shared" si="17"/>
        <v>42920.560000000005</v>
      </c>
      <c r="T171" s="320" t="s">
        <v>206</v>
      </c>
    </row>
    <row r="172" spans="2:20" x14ac:dyDescent="0.3">
      <c r="B172" s="264">
        <v>14</v>
      </c>
      <c r="C172" s="544" t="s">
        <v>728</v>
      </c>
      <c r="D172" s="420">
        <v>1884.62</v>
      </c>
      <c r="E172" s="420">
        <v>1093.54</v>
      </c>
      <c r="F172" s="420">
        <v>804.92</v>
      </c>
      <c r="G172" s="420">
        <v>1051.31</v>
      </c>
      <c r="H172" s="420">
        <v>1071.3599999999999</v>
      </c>
      <c r="I172" s="420">
        <v>786.11</v>
      </c>
      <c r="J172" s="420">
        <v>916.55</v>
      </c>
      <c r="K172" s="420">
        <v>893.31</v>
      </c>
      <c r="L172" s="420">
        <v>771.04</v>
      </c>
      <c r="M172" s="420">
        <v>1679.58</v>
      </c>
      <c r="N172" s="420">
        <v>1925.73</v>
      </c>
      <c r="O172" s="420">
        <v>1814.93</v>
      </c>
      <c r="Q172" s="345">
        <f t="shared" si="16"/>
        <v>14692.999999999998</v>
      </c>
      <c r="R172" s="346">
        <f t="shared" si="17"/>
        <v>21680.959999999999</v>
      </c>
      <c r="T172" s="320" t="s">
        <v>207</v>
      </c>
    </row>
    <row r="173" spans="2:20" x14ac:dyDescent="0.3">
      <c r="B173" s="264">
        <v>15</v>
      </c>
      <c r="C173" s="544" t="s">
        <v>729</v>
      </c>
      <c r="D173" s="418">
        <v>11084.46</v>
      </c>
      <c r="E173" s="418">
        <v>10970.85</v>
      </c>
      <c r="F173" s="418">
        <v>11279.22</v>
      </c>
      <c r="G173" s="418">
        <v>12537.6</v>
      </c>
      <c r="H173" s="418">
        <v>13367.97</v>
      </c>
      <c r="I173" s="418">
        <v>14303.64</v>
      </c>
      <c r="J173" s="418">
        <v>12933.15</v>
      </c>
      <c r="K173" s="418">
        <v>13258.5</v>
      </c>
      <c r="L173" s="418">
        <v>12274.14</v>
      </c>
      <c r="M173" s="418">
        <v>14179.86</v>
      </c>
      <c r="N173" s="418">
        <v>13908.48</v>
      </c>
      <c r="O173" s="418">
        <v>16315.03</v>
      </c>
      <c r="Q173" s="345">
        <f t="shared" si="16"/>
        <v>156412.9</v>
      </c>
      <c r="R173" s="346">
        <f t="shared" si="17"/>
        <v>177613.48</v>
      </c>
      <c r="T173" s="320" t="s">
        <v>208</v>
      </c>
    </row>
    <row r="174" spans="2:20" x14ac:dyDescent="0.3">
      <c r="B174" s="264">
        <v>16</v>
      </c>
      <c r="C174" s="544" t="s">
        <v>730</v>
      </c>
      <c r="D174" s="420">
        <v>1206.8499999999999</v>
      </c>
      <c r="E174" s="420">
        <v>1229.79</v>
      </c>
      <c r="F174" s="420">
        <v>1034.8</v>
      </c>
      <c r="G174" s="420">
        <v>2275.67</v>
      </c>
      <c r="H174" s="420">
        <v>2287.5300000000002</v>
      </c>
      <c r="I174" s="420">
        <v>2321.94</v>
      </c>
      <c r="J174" s="420">
        <v>-1103.6199999999999</v>
      </c>
      <c r="K174" s="420">
        <v>1103.6199999999999</v>
      </c>
      <c r="L174" s="420">
        <v>1034.8</v>
      </c>
      <c r="M174" s="420">
        <v>1155.6199999999999</v>
      </c>
      <c r="N174" s="420">
        <v>1178.56</v>
      </c>
      <c r="O174" s="420">
        <v>1278.58</v>
      </c>
      <c r="Q174" s="345">
        <f t="shared" si="16"/>
        <v>15004.139999999996</v>
      </c>
      <c r="R174" s="346">
        <f t="shared" si="17"/>
        <v>14451.039999999999</v>
      </c>
      <c r="T174" s="320" t="s">
        <v>210</v>
      </c>
    </row>
    <row r="175" spans="2:20" ht="15" thickBot="1" x14ac:dyDescent="0.35">
      <c r="C175" s="545" t="s">
        <v>731</v>
      </c>
      <c r="D175" s="419">
        <v>17753.73</v>
      </c>
      <c r="E175" s="419">
        <v>16861.169999999998</v>
      </c>
      <c r="F175" s="419">
        <v>16856.3</v>
      </c>
      <c r="G175" s="419">
        <v>19183.189999999999</v>
      </c>
      <c r="H175" s="419">
        <v>20083.36</v>
      </c>
      <c r="I175" s="419">
        <v>20517.169999999998</v>
      </c>
      <c r="J175" s="419">
        <v>15860.29</v>
      </c>
      <c r="K175" s="419">
        <v>18340.84</v>
      </c>
      <c r="L175" s="419">
        <v>17206.82</v>
      </c>
      <c r="M175" s="419">
        <v>20623.349999999999</v>
      </c>
      <c r="N175" s="419">
        <v>20423.59</v>
      </c>
      <c r="O175" s="419">
        <v>23119.57</v>
      </c>
      <c r="Q175" s="345">
        <f>SUM(D175:O175)</f>
        <v>226829.38</v>
      </c>
      <c r="R175" s="346">
        <f t="shared" si="17"/>
        <v>256666.04</v>
      </c>
      <c r="T175" s="324" t="s">
        <v>212</v>
      </c>
    </row>
    <row r="176" spans="2:20" x14ac:dyDescent="0.3">
      <c r="C176" s="600" t="s">
        <v>732</v>
      </c>
      <c r="D176" s="405"/>
      <c r="Q176" s="345">
        <f t="shared" si="16"/>
        <v>0</v>
      </c>
      <c r="R176" s="346">
        <f t="shared" si="17"/>
        <v>0</v>
      </c>
      <c r="T176" s="316" t="s">
        <v>184</v>
      </c>
    </row>
    <row r="177" spans="2:20" x14ac:dyDescent="0.3">
      <c r="C177" s="600" t="s">
        <v>733</v>
      </c>
      <c r="D177" s="406"/>
      <c r="Q177" s="345">
        <f t="shared" si="16"/>
        <v>0</v>
      </c>
      <c r="R177" s="346">
        <f t="shared" si="17"/>
        <v>0</v>
      </c>
      <c r="T177" s="317" t="s">
        <v>186</v>
      </c>
    </row>
    <row r="178" spans="2:20" x14ac:dyDescent="0.3">
      <c r="B178" s="264">
        <v>19</v>
      </c>
      <c r="C178" s="601" t="s">
        <v>734</v>
      </c>
      <c r="D178" s="406">
        <v>43701.87</v>
      </c>
      <c r="E178" s="351">
        <v>43701.87</v>
      </c>
      <c r="F178" s="351">
        <v>43701.87</v>
      </c>
      <c r="G178" s="351">
        <v>43701.87</v>
      </c>
      <c r="H178" s="351">
        <v>43701.87</v>
      </c>
      <c r="I178" s="351">
        <v>43701.87</v>
      </c>
      <c r="J178" s="351">
        <v>43701.87</v>
      </c>
      <c r="K178" s="351">
        <v>43701.87</v>
      </c>
      <c r="L178" s="351">
        <v>38902.839999999997</v>
      </c>
      <c r="M178" s="351">
        <v>38902.839999999997</v>
      </c>
      <c r="N178" s="351">
        <v>45000.15</v>
      </c>
      <c r="O178" s="351">
        <v>45000.15</v>
      </c>
      <c r="Q178" s="345">
        <f t="shared" si="16"/>
        <v>517420.94000000006</v>
      </c>
      <c r="R178" s="346">
        <f t="shared" si="17"/>
        <v>515612.55999999994</v>
      </c>
      <c r="T178" s="317" t="s">
        <v>187</v>
      </c>
    </row>
    <row r="179" spans="2:20" x14ac:dyDescent="0.3">
      <c r="B179" s="264">
        <v>22</v>
      </c>
      <c r="C179" s="601" t="s">
        <v>735</v>
      </c>
      <c r="D179" s="406">
        <v>1666.67</v>
      </c>
      <c r="E179" s="351">
        <v>0</v>
      </c>
      <c r="F179" s="351">
        <v>0</v>
      </c>
      <c r="G179" s="351">
        <v>300</v>
      </c>
      <c r="H179" s="351">
        <v>0</v>
      </c>
      <c r="I179" s="351">
        <v>-5300</v>
      </c>
      <c r="J179" s="351">
        <v>0</v>
      </c>
      <c r="K179" s="351">
        <v>0</v>
      </c>
      <c r="L179" s="351">
        <v>0</v>
      </c>
      <c r="M179" s="351">
        <v>0</v>
      </c>
      <c r="N179" s="351">
        <v>0</v>
      </c>
      <c r="O179" s="351">
        <v>0</v>
      </c>
      <c r="Q179" s="345">
        <f t="shared" si="16"/>
        <v>-3333.33</v>
      </c>
      <c r="R179" s="346">
        <f t="shared" si="17"/>
        <v>0</v>
      </c>
      <c r="T179" s="317" t="s">
        <v>189</v>
      </c>
    </row>
    <row r="180" spans="2:20" x14ac:dyDescent="0.3">
      <c r="C180" s="600" t="s">
        <v>736</v>
      </c>
      <c r="D180" s="407">
        <v>45368.54</v>
      </c>
      <c r="E180" s="408">
        <v>43701.87</v>
      </c>
      <c r="F180" s="408">
        <v>43701.87</v>
      </c>
      <c r="G180" s="408">
        <v>44001.87</v>
      </c>
      <c r="H180" s="408">
        <v>43701.87</v>
      </c>
      <c r="I180" s="408">
        <v>38401.870000000003</v>
      </c>
      <c r="J180" s="408">
        <v>43701.87</v>
      </c>
      <c r="K180" s="408">
        <v>43701.87</v>
      </c>
      <c r="L180" s="408">
        <v>38902.839999999997</v>
      </c>
      <c r="M180" s="408">
        <v>38902.839999999997</v>
      </c>
      <c r="N180" s="408">
        <v>45000.15</v>
      </c>
      <c r="O180" s="408">
        <v>45000.15</v>
      </c>
      <c r="Q180" s="345">
        <f t="shared" si="16"/>
        <v>514087.61</v>
      </c>
      <c r="R180" s="346">
        <f t="shared" si="17"/>
        <v>515612.55999999994</v>
      </c>
      <c r="T180" s="317" t="s">
        <v>190</v>
      </c>
    </row>
    <row r="181" spans="2:20" x14ac:dyDescent="0.3">
      <c r="C181" s="600" t="s">
        <v>737</v>
      </c>
      <c r="D181" s="405"/>
      <c r="Q181" s="345">
        <f t="shared" si="16"/>
        <v>0</v>
      </c>
      <c r="R181" s="346">
        <f t="shared" si="17"/>
        <v>0</v>
      </c>
      <c r="T181" s="317" t="s">
        <v>191</v>
      </c>
    </row>
    <row r="182" spans="2:20" x14ac:dyDescent="0.3">
      <c r="B182" s="264">
        <v>20</v>
      </c>
      <c r="C182" s="601" t="s">
        <v>738</v>
      </c>
      <c r="D182" s="406">
        <v>15657.76</v>
      </c>
      <c r="E182" s="351">
        <v>15657.76</v>
      </c>
      <c r="F182" s="351">
        <v>15657.76</v>
      </c>
      <c r="G182" s="351">
        <v>15657.76</v>
      </c>
      <c r="H182" s="351">
        <v>15657.76</v>
      </c>
      <c r="I182" s="351">
        <v>15657.76</v>
      </c>
      <c r="J182" s="351">
        <v>15657.76</v>
      </c>
      <c r="K182" s="351">
        <v>15657.76</v>
      </c>
      <c r="L182" s="351">
        <v>13892.94</v>
      </c>
      <c r="M182" s="351">
        <v>12841.9</v>
      </c>
      <c r="N182" s="351">
        <v>13051.79</v>
      </c>
      <c r="O182" s="351">
        <v>13051.8</v>
      </c>
      <c r="Q182" s="345">
        <f t="shared" si="16"/>
        <v>178100.50999999998</v>
      </c>
      <c r="R182" s="346">
        <f t="shared" si="17"/>
        <v>155781.96000000002</v>
      </c>
      <c r="T182" s="317" t="s">
        <v>193</v>
      </c>
    </row>
    <row r="183" spans="2:20" x14ac:dyDescent="0.3">
      <c r="B183" s="264">
        <v>20</v>
      </c>
      <c r="C183" s="601" t="s">
        <v>739</v>
      </c>
      <c r="D183" s="406">
        <v>1627.94</v>
      </c>
      <c r="E183" s="351">
        <v>1627.94</v>
      </c>
      <c r="F183" s="351">
        <v>1627.94</v>
      </c>
      <c r="G183" s="351">
        <v>3500.84</v>
      </c>
      <c r="H183" s="351">
        <v>2852.22</v>
      </c>
      <c r="I183" s="351">
        <v>2852.22</v>
      </c>
      <c r="J183" s="351">
        <v>2852.22</v>
      </c>
      <c r="K183" s="351">
        <v>2852.22</v>
      </c>
      <c r="L183" s="351">
        <v>2852.22</v>
      </c>
      <c r="M183" s="351">
        <v>2852.23</v>
      </c>
      <c r="N183" s="351">
        <v>2852.22</v>
      </c>
      <c r="O183" s="351">
        <v>2852.22</v>
      </c>
      <c r="Q183" s="345">
        <f t="shared" si="16"/>
        <v>31202.430000000004</v>
      </c>
      <c r="R183" s="346">
        <f t="shared" si="17"/>
        <v>34226.68</v>
      </c>
      <c r="T183" s="317" t="s">
        <v>194</v>
      </c>
    </row>
    <row r="184" spans="2:20" x14ac:dyDescent="0.3">
      <c r="B184" s="264">
        <v>20</v>
      </c>
      <c r="C184" s="601" t="s">
        <v>740</v>
      </c>
      <c r="D184" s="406">
        <v>1019.43</v>
      </c>
      <c r="E184" s="351">
        <v>1019.43</v>
      </c>
      <c r="F184" s="351">
        <v>1019.43</v>
      </c>
      <c r="G184" s="351">
        <v>11081.97</v>
      </c>
      <c r="H184" s="351">
        <v>7590.86</v>
      </c>
      <c r="I184" s="351">
        <v>7590.86</v>
      </c>
      <c r="J184" s="351">
        <v>7590.86</v>
      </c>
      <c r="K184" s="351">
        <v>7590.86</v>
      </c>
      <c r="L184" s="351">
        <v>7590.86</v>
      </c>
      <c r="M184" s="351">
        <v>7590.87</v>
      </c>
      <c r="N184" s="351">
        <v>7590.86</v>
      </c>
      <c r="O184" s="351">
        <v>7590.86</v>
      </c>
      <c r="Q184" s="345">
        <f t="shared" si="16"/>
        <v>74867.149999999994</v>
      </c>
      <c r="R184" s="346">
        <f t="shared" si="17"/>
        <v>91090.36</v>
      </c>
      <c r="T184" s="317" t="s">
        <v>195</v>
      </c>
    </row>
    <row r="185" spans="2:20" x14ac:dyDescent="0.3">
      <c r="B185" s="264">
        <v>20</v>
      </c>
      <c r="C185" s="601" t="s">
        <v>741</v>
      </c>
      <c r="D185" s="406">
        <v>127.51</v>
      </c>
      <c r="E185" s="351">
        <v>127.51</v>
      </c>
      <c r="F185" s="351">
        <v>127.51</v>
      </c>
      <c r="G185" s="351">
        <v>127.51</v>
      </c>
      <c r="H185" s="351">
        <v>127.51</v>
      </c>
      <c r="I185" s="351">
        <v>127.51</v>
      </c>
      <c r="J185" s="351">
        <v>127.51</v>
      </c>
      <c r="K185" s="351">
        <v>127.51</v>
      </c>
      <c r="L185" s="351">
        <v>127.51</v>
      </c>
      <c r="M185" s="351">
        <v>67.790000000000006</v>
      </c>
      <c r="N185" s="351">
        <v>176.19</v>
      </c>
      <c r="O185" s="351">
        <v>117.46</v>
      </c>
      <c r="Q185" s="345">
        <f t="shared" si="16"/>
        <v>1509.0300000000002</v>
      </c>
      <c r="R185" s="346">
        <f t="shared" si="17"/>
        <v>1445.76</v>
      </c>
      <c r="T185" s="317" t="s">
        <v>196</v>
      </c>
    </row>
    <row r="186" spans="2:20" x14ac:dyDescent="0.3">
      <c r="B186" s="264">
        <v>20</v>
      </c>
      <c r="C186" s="601" t="s">
        <v>742</v>
      </c>
      <c r="D186" s="406">
        <v>118.5</v>
      </c>
      <c r="E186" s="351">
        <v>118.5</v>
      </c>
      <c r="F186" s="351">
        <v>118.5</v>
      </c>
      <c r="G186" s="351">
        <v>135.13</v>
      </c>
      <c r="H186" s="351">
        <v>118.68</v>
      </c>
      <c r="I186" s="351">
        <v>118.68</v>
      </c>
      <c r="J186" s="351">
        <v>118.68</v>
      </c>
      <c r="K186" s="351">
        <v>118.68</v>
      </c>
      <c r="L186" s="351">
        <v>92.57</v>
      </c>
      <c r="M186" s="351">
        <v>189.92</v>
      </c>
      <c r="N186" s="351">
        <v>142.81</v>
      </c>
      <c r="O186" s="351">
        <v>74.62</v>
      </c>
      <c r="Q186" s="345">
        <f t="shared" si="16"/>
        <v>1465.27</v>
      </c>
      <c r="R186" s="346">
        <f t="shared" si="17"/>
        <v>1629.4</v>
      </c>
      <c r="T186" s="320" t="s">
        <v>197</v>
      </c>
    </row>
    <row r="187" spans="2:20" x14ac:dyDescent="0.3">
      <c r="B187" s="264">
        <v>20</v>
      </c>
      <c r="C187" s="601" t="s">
        <v>743</v>
      </c>
      <c r="D187" s="405">
        <v>0</v>
      </c>
      <c r="E187" s="351">
        <v>0</v>
      </c>
      <c r="F187" s="351">
        <v>0</v>
      </c>
      <c r="G187" s="351">
        <v>0</v>
      </c>
      <c r="H187" s="351">
        <v>0</v>
      </c>
      <c r="I187" s="351">
        <v>0</v>
      </c>
      <c r="J187" s="351">
        <v>0</v>
      </c>
      <c r="K187" s="351">
        <v>0</v>
      </c>
      <c r="L187" s="351">
        <v>0</v>
      </c>
      <c r="M187" s="351">
        <v>0</v>
      </c>
      <c r="N187" s="351">
        <v>74.62</v>
      </c>
      <c r="O187" s="351">
        <v>142.81</v>
      </c>
      <c r="Q187" s="345">
        <f t="shared" si="16"/>
        <v>217.43</v>
      </c>
      <c r="R187" s="346">
        <f t="shared" si="17"/>
        <v>869.72</v>
      </c>
      <c r="T187" s="320" t="s">
        <v>198</v>
      </c>
    </row>
    <row r="188" spans="2:20" x14ac:dyDescent="0.3">
      <c r="C188" s="600" t="s">
        <v>744</v>
      </c>
      <c r="D188" s="342">
        <v>18551.14</v>
      </c>
      <c r="E188" s="408">
        <v>18551.14</v>
      </c>
      <c r="F188" s="408">
        <v>18551.14</v>
      </c>
      <c r="G188" s="408">
        <v>30503.21</v>
      </c>
      <c r="H188" s="408">
        <v>26347.03</v>
      </c>
      <c r="I188" s="408">
        <v>26347.03</v>
      </c>
      <c r="J188" s="408">
        <v>26347.03</v>
      </c>
      <c r="K188" s="408">
        <v>26347.03</v>
      </c>
      <c r="L188" s="408">
        <v>24556.1</v>
      </c>
      <c r="M188" s="408">
        <v>23542.71</v>
      </c>
      <c r="N188" s="408">
        <v>23888.49</v>
      </c>
      <c r="O188" s="408">
        <v>23829.77</v>
      </c>
      <c r="Q188" s="345">
        <f t="shared" si="16"/>
        <v>287361.82</v>
      </c>
      <c r="R188" s="346">
        <f t="shared" si="17"/>
        <v>285043.88</v>
      </c>
      <c r="T188" s="320" t="s">
        <v>199</v>
      </c>
    </row>
    <row r="189" spans="2:20" x14ac:dyDescent="0.3">
      <c r="C189" s="600" t="s">
        <v>745</v>
      </c>
      <c r="D189" s="407">
        <v>63919.68</v>
      </c>
      <c r="E189" s="408">
        <v>62253.01</v>
      </c>
      <c r="F189" s="408">
        <v>62253.01</v>
      </c>
      <c r="G189" s="408">
        <v>74505.08</v>
      </c>
      <c r="H189" s="408">
        <v>70048.899999999994</v>
      </c>
      <c r="I189" s="408">
        <v>64748.9</v>
      </c>
      <c r="J189" s="408">
        <v>70048.899999999994</v>
      </c>
      <c r="K189" s="408">
        <v>70048.899999999994</v>
      </c>
      <c r="L189" s="408">
        <v>63458.94</v>
      </c>
      <c r="M189" s="408">
        <v>62445.55</v>
      </c>
      <c r="N189" s="408">
        <v>68888.639999999999</v>
      </c>
      <c r="O189" s="408">
        <v>68829.919999999998</v>
      </c>
      <c r="Q189" s="345">
        <f t="shared" si="16"/>
        <v>801449.43000000017</v>
      </c>
      <c r="R189" s="346">
        <f t="shared" si="17"/>
        <v>800656.44</v>
      </c>
      <c r="T189" s="320" t="s">
        <v>200</v>
      </c>
    </row>
    <row r="190" spans="2:20" x14ac:dyDescent="0.3">
      <c r="C190" s="600" t="s">
        <v>746</v>
      </c>
      <c r="D190" s="342">
        <v>192583.27</v>
      </c>
      <c r="E190" s="408">
        <v>185633.93</v>
      </c>
      <c r="F190" s="408">
        <v>184181.02</v>
      </c>
      <c r="G190" s="408">
        <v>188403.83</v>
      </c>
      <c r="H190" s="408">
        <v>205860.09</v>
      </c>
      <c r="I190" s="408">
        <v>183476.04</v>
      </c>
      <c r="J190" s="408">
        <v>180496.06</v>
      </c>
      <c r="K190" s="408">
        <v>199902.37</v>
      </c>
      <c r="L190" s="408">
        <v>179279.71</v>
      </c>
      <c r="M190" s="408">
        <v>200190.61</v>
      </c>
      <c r="N190" s="408">
        <v>206934.37</v>
      </c>
      <c r="O190" s="408">
        <v>199007.54</v>
      </c>
      <c r="Q190" s="345">
        <f t="shared" si="16"/>
        <v>2305948.84</v>
      </c>
      <c r="R190" s="346">
        <f t="shared" si="17"/>
        <v>2424530.08</v>
      </c>
      <c r="T190" s="320" t="s">
        <v>201</v>
      </c>
    </row>
    <row r="191" spans="2:20" ht="15" thickBot="1" x14ac:dyDescent="0.35">
      <c r="B191" s="264">
        <v>24</v>
      </c>
      <c r="C191" s="602" t="s">
        <v>747</v>
      </c>
      <c r="D191" s="405">
        <v>166619.31</v>
      </c>
      <c r="E191" s="351">
        <v>189447.6</v>
      </c>
      <c r="F191" s="351">
        <v>179573.66</v>
      </c>
      <c r="G191" s="351">
        <v>176565.46</v>
      </c>
      <c r="H191" s="351">
        <v>159406.85999999999</v>
      </c>
      <c r="I191" s="351">
        <v>178171.94</v>
      </c>
      <c r="J191" s="351">
        <v>163219.53</v>
      </c>
      <c r="K191" s="351">
        <v>143915.44</v>
      </c>
      <c r="L191" s="351">
        <v>184279.8</v>
      </c>
      <c r="M191" s="351">
        <v>154845.67000000001</v>
      </c>
      <c r="N191" s="351">
        <v>143455.69</v>
      </c>
      <c r="O191" s="351">
        <v>170689.07</v>
      </c>
      <c r="Q191" s="345">
        <f t="shared" si="16"/>
        <v>2010190.03</v>
      </c>
      <c r="R191" s="346">
        <f t="shared" si="17"/>
        <v>1875961.72</v>
      </c>
      <c r="T191" s="320" t="s">
        <v>202</v>
      </c>
    </row>
    <row r="192" spans="2:20" x14ac:dyDescent="0.3">
      <c r="C192" s="404"/>
      <c r="D192" s="405"/>
      <c r="Q192" s="345">
        <f t="shared" si="16"/>
        <v>0</v>
      </c>
      <c r="R192" s="346">
        <f t="shared" si="17"/>
        <v>0</v>
      </c>
      <c r="T192" s="320" t="s">
        <v>203</v>
      </c>
    </row>
    <row r="193" spans="3:20" x14ac:dyDescent="0.3">
      <c r="C193" s="404"/>
      <c r="D193" s="405"/>
      <c r="Q193" s="345">
        <f t="shared" si="16"/>
        <v>0</v>
      </c>
      <c r="R193" s="346">
        <f t="shared" si="17"/>
        <v>0</v>
      </c>
      <c r="T193" s="320" t="s">
        <v>204</v>
      </c>
    </row>
    <row r="194" spans="3:20" x14ac:dyDescent="0.3">
      <c r="C194" s="404"/>
      <c r="D194" s="405"/>
      <c r="Q194" s="345">
        <f t="shared" si="16"/>
        <v>0</v>
      </c>
      <c r="R194" s="346">
        <f t="shared" si="17"/>
        <v>0</v>
      </c>
      <c r="T194" s="320" t="s">
        <v>205</v>
      </c>
    </row>
    <row r="195" spans="3:20" x14ac:dyDescent="0.3">
      <c r="C195" s="404"/>
      <c r="D195" s="405"/>
      <c r="Q195" s="345">
        <f t="shared" si="16"/>
        <v>0</v>
      </c>
      <c r="R195" s="346">
        <f t="shared" si="17"/>
        <v>0</v>
      </c>
      <c r="T195" s="320" t="s">
        <v>206</v>
      </c>
    </row>
    <row r="196" spans="3:20" x14ac:dyDescent="0.3">
      <c r="C196" s="404"/>
      <c r="D196" s="405"/>
      <c r="Q196" s="345">
        <f t="shared" si="16"/>
        <v>0</v>
      </c>
      <c r="R196" s="346">
        <f t="shared" si="17"/>
        <v>0</v>
      </c>
      <c r="T196" s="320" t="s">
        <v>207</v>
      </c>
    </row>
    <row r="197" spans="3:20" x14ac:dyDescent="0.3">
      <c r="C197" s="404"/>
      <c r="D197" s="405"/>
      <c r="Q197" s="345">
        <f t="shared" si="16"/>
        <v>0</v>
      </c>
      <c r="R197" s="346">
        <f t="shared" si="17"/>
        <v>0</v>
      </c>
      <c r="T197" s="320" t="s">
        <v>208</v>
      </c>
    </row>
    <row r="198" spans="3:20" x14ac:dyDescent="0.3">
      <c r="C198" s="404"/>
      <c r="D198" s="406"/>
      <c r="Q198" s="345">
        <f t="shared" si="16"/>
        <v>0</v>
      </c>
      <c r="R198" s="346">
        <f t="shared" si="17"/>
        <v>0</v>
      </c>
      <c r="T198" s="320" t="s">
        <v>210</v>
      </c>
    </row>
    <row r="199" spans="3:20" ht="15" thickBot="1" x14ac:dyDescent="0.35">
      <c r="C199" s="404"/>
      <c r="D199" s="405"/>
      <c r="Q199" s="345">
        <f t="shared" si="16"/>
        <v>0</v>
      </c>
      <c r="R199" s="346">
        <f t="shared" si="17"/>
        <v>0</v>
      </c>
      <c r="T199" s="324" t="s">
        <v>212</v>
      </c>
    </row>
    <row r="200" spans="3:20" x14ac:dyDescent="0.3">
      <c r="C200" s="404"/>
      <c r="D200" s="406"/>
      <c r="Q200" s="345">
        <f t="shared" si="16"/>
        <v>0</v>
      </c>
      <c r="R200" s="346">
        <f t="shared" si="17"/>
        <v>0</v>
      </c>
      <c r="T200" s="316" t="s">
        <v>184</v>
      </c>
    </row>
    <row r="201" spans="3:20" x14ac:dyDescent="0.3">
      <c r="C201" s="404"/>
      <c r="D201" s="405"/>
      <c r="Q201" s="345">
        <f t="shared" si="16"/>
        <v>0</v>
      </c>
      <c r="R201" s="346">
        <f t="shared" si="17"/>
        <v>0</v>
      </c>
      <c r="T201" s="317" t="s">
        <v>186</v>
      </c>
    </row>
    <row r="202" spans="3:20" x14ac:dyDescent="0.3">
      <c r="C202" s="404"/>
      <c r="D202" s="406"/>
      <c r="Q202" s="345">
        <f t="shared" si="16"/>
        <v>0</v>
      </c>
      <c r="R202" s="346">
        <f t="shared" si="17"/>
        <v>0</v>
      </c>
      <c r="T202" s="317" t="s">
        <v>187</v>
      </c>
    </row>
    <row r="203" spans="3:20" x14ac:dyDescent="0.3">
      <c r="C203" s="404"/>
      <c r="D203" s="405"/>
      <c r="Q203" s="345">
        <f t="shared" si="16"/>
        <v>0</v>
      </c>
      <c r="R203" s="346">
        <f t="shared" si="17"/>
        <v>0</v>
      </c>
      <c r="T203" s="317" t="s">
        <v>189</v>
      </c>
    </row>
    <row r="204" spans="3:20" x14ac:dyDescent="0.3">
      <c r="C204" s="404"/>
      <c r="D204" s="405"/>
      <c r="Q204" s="345">
        <f t="shared" si="16"/>
        <v>0</v>
      </c>
      <c r="R204" s="346">
        <f t="shared" si="17"/>
        <v>0</v>
      </c>
      <c r="T204" s="317" t="s">
        <v>190</v>
      </c>
    </row>
    <row r="205" spans="3:20" x14ac:dyDescent="0.3">
      <c r="C205" s="404"/>
      <c r="D205" s="405"/>
      <c r="Q205" s="345">
        <f t="shared" si="16"/>
        <v>0</v>
      </c>
      <c r="R205" s="346">
        <f t="shared" si="17"/>
        <v>0</v>
      </c>
      <c r="T205" s="317" t="s">
        <v>191</v>
      </c>
    </row>
    <row r="206" spans="3:20" x14ac:dyDescent="0.3">
      <c r="C206" s="404"/>
      <c r="D206" s="405"/>
      <c r="Q206" s="345">
        <f t="shared" si="16"/>
        <v>0</v>
      </c>
      <c r="R206" s="346">
        <f t="shared" si="17"/>
        <v>0</v>
      </c>
      <c r="T206" s="317" t="s">
        <v>193</v>
      </c>
    </row>
    <row r="207" spans="3:20" x14ac:dyDescent="0.3">
      <c r="C207" s="404"/>
      <c r="D207" s="405"/>
      <c r="Q207" s="345">
        <f t="shared" si="16"/>
        <v>0</v>
      </c>
      <c r="R207" s="346">
        <f t="shared" si="17"/>
        <v>0</v>
      </c>
      <c r="T207" s="317" t="s">
        <v>194</v>
      </c>
    </row>
    <row r="208" spans="3:20" x14ac:dyDescent="0.3">
      <c r="C208" s="404"/>
      <c r="D208" s="405"/>
      <c r="Q208" s="345">
        <f t="shared" si="16"/>
        <v>0</v>
      </c>
      <c r="R208" s="346">
        <f t="shared" si="17"/>
        <v>0</v>
      </c>
      <c r="T208" s="317" t="s">
        <v>195</v>
      </c>
    </row>
    <row r="209" spans="3:20" x14ac:dyDescent="0.3">
      <c r="C209" s="404"/>
      <c r="D209" s="405"/>
      <c r="Q209" s="345">
        <f t="shared" si="16"/>
        <v>0</v>
      </c>
      <c r="R209" s="346">
        <f t="shared" si="17"/>
        <v>0</v>
      </c>
      <c r="T209" s="317" t="s">
        <v>196</v>
      </c>
    </row>
    <row r="210" spans="3:20" x14ac:dyDescent="0.3">
      <c r="C210" s="341"/>
      <c r="D210" s="407"/>
      <c r="E210" s="408"/>
      <c r="F210" s="408"/>
      <c r="G210" s="408"/>
      <c r="H210" s="408"/>
      <c r="I210" s="408"/>
      <c r="J210" s="408"/>
      <c r="K210" s="408"/>
      <c r="L210" s="408"/>
      <c r="M210" s="408"/>
      <c r="N210" s="408"/>
      <c r="O210" s="408"/>
      <c r="Q210" s="345">
        <f t="shared" si="16"/>
        <v>0</v>
      </c>
      <c r="R210" s="346">
        <f t="shared" si="17"/>
        <v>0</v>
      </c>
      <c r="T210" s="320" t="s">
        <v>197</v>
      </c>
    </row>
    <row r="211" spans="3:20" x14ac:dyDescent="0.3">
      <c r="C211" s="404"/>
      <c r="D211" s="405"/>
      <c r="Q211" s="345">
        <f t="shared" ref="Q211:Q274" si="18">SUM(D211:O211)</f>
        <v>0</v>
      </c>
      <c r="R211" s="346">
        <f t="shared" ref="R211:R274" si="19">SUM(M211:O211)*4</f>
        <v>0</v>
      </c>
      <c r="T211" s="320" t="s">
        <v>198</v>
      </c>
    </row>
    <row r="212" spans="3:20" x14ac:dyDescent="0.3">
      <c r="C212" s="341"/>
      <c r="D212" s="342"/>
      <c r="Q212" s="345">
        <f t="shared" si="18"/>
        <v>0</v>
      </c>
      <c r="R212" s="346">
        <f t="shared" si="19"/>
        <v>0</v>
      </c>
      <c r="T212" s="320" t="s">
        <v>199</v>
      </c>
    </row>
    <row r="213" spans="3:20" x14ac:dyDescent="0.3">
      <c r="C213" s="404"/>
      <c r="D213" s="406"/>
      <c r="Q213" s="345">
        <f t="shared" si="18"/>
        <v>0</v>
      </c>
      <c r="R213" s="346">
        <f t="shared" si="19"/>
        <v>0</v>
      </c>
      <c r="T213" s="320" t="s">
        <v>200</v>
      </c>
    </row>
    <row r="214" spans="3:20" x14ac:dyDescent="0.3">
      <c r="C214" s="404"/>
      <c r="D214" s="405"/>
      <c r="Q214" s="345">
        <f t="shared" si="18"/>
        <v>0</v>
      </c>
      <c r="R214" s="346">
        <f t="shared" si="19"/>
        <v>0</v>
      </c>
      <c r="T214" s="320" t="s">
        <v>201</v>
      </c>
    </row>
    <row r="215" spans="3:20" x14ac:dyDescent="0.3">
      <c r="C215" s="404"/>
      <c r="D215" s="405"/>
      <c r="Q215" s="345">
        <f t="shared" si="18"/>
        <v>0</v>
      </c>
      <c r="R215" s="346">
        <f t="shared" si="19"/>
        <v>0</v>
      </c>
      <c r="T215" s="320" t="s">
        <v>202</v>
      </c>
    </row>
    <row r="216" spans="3:20" x14ac:dyDescent="0.3">
      <c r="C216" s="404"/>
      <c r="D216" s="405"/>
      <c r="Q216" s="345">
        <f t="shared" si="18"/>
        <v>0</v>
      </c>
      <c r="R216" s="346">
        <f t="shared" si="19"/>
        <v>0</v>
      </c>
      <c r="T216" s="320" t="s">
        <v>203</v>
      </c>
    </row>
    <row r="217" spans="3:20" x14ac:dyDescent="0.3">
      <c r="C217" s="404"/>
      <c r="D217" s="405"/>
      <c r="Q217" s="345">
        <f t="shared" si="18"/>
        <v>0</v>
      </c>
      <c r="R217" s="346">
        <f t="shared" si="19"/>
        <v>0</v>
      </c>
      <c r="T217" s="320" t="s">
        <v>204</v>
      </c>
    </row>
    <row r="218" spans="3:20" x14ac:dyDescent="0.3">
      <c r="C218" s="404"/>
      <c r="D218" s="405"/>
      <c r="Q218" s="345">
        <f t="shared" si="18"/>
        <v>0</v>
      </c>
      <c r="R218" s="346">
        <f t="shared" si="19"/>
        <v>0</v>
      </c>
      <c r="T218" s="320" t="s">
        <v>205</v>
      </c>
    </row>
    <row r="219" spans="3:20" x14ac:dyDescent="0.3">
      <c r="C219" s="404"/>
      <c r="D219" s="405"/>
      <c r="Q219" s="345">
        <f t="shared" si="18"/>
        <v>0</v>
      </c>
      <c r="R219" s="346">
        <f t="shared" si="19"/>
        <v>0</v>
      </c>
      <c r="T219" s="320" t="s">
        <v>206</v>
      </c>
    </row>
    <row r="220" spans="3:20" x14ac:dyDescent="0.3">
      <c r="C220" s="404"/>
      <c r="D220" s="405"/>
      <c r="Q220" s="345">
        <f t="shared" si="18"/>
        <v>0</v>
      </c>
      <c r="R220" s="346">
        <f t="shared" si="19"/>
        <v>0</v>
      </c>
      <c r="T220" s="320" t="s">
        <v>207</v>
      </c>
    </row>
    <row r="221" spans="3:20" x14ac:dyDescent="0.3">
      <c r="C221" s="404"/>
      <c r="D221" s="405"/>
      <c r="Q221" s="345">
        <f t="shared" si="18"/>
        <v>0</v>
      </c>
      <c r="R221" s="346">
        <f t="shared" si="19"/>
        <v>0</v>
      </c>
      <c r="T221" s="320" t="s">
        <v>208</v>
      </c>
    </row>
    <row r="222" spans="3:20" x14ac:dyDescent="0.3">
      <c r="C222" s="404"/>
      <c r="D222" s="405"/>
      <c r="Q222" s="345">
        <f t="shared" si="18"/>
        <v>0</v>
      </c>
      <c r="R222" s="346">
        <f t="shared" si="19"/>
        <v>0</v>
      </c>
      <c r="T222" s="320" t="s">
        <v>210</v>
      </c>
    </row>
    <row r="223" spans="3:20" ht="15" thickBot="1" x14ac:dyDescent="0.35">
      <c r="C223" s="404"/>
      <c r="D223" s="405"/>
      <c r="Q223" s="345">
        <f t="shared" si="18"/>
        <v>0</v>
      </c>
      <c r="R223" s="346">
        <f t="shared" si="19"/>
        <v>0</v>
      </c>
      <c r="T223" s="324" t="s">
        <v>212</v>
      </c>
    </row>
    <row r="224" spans="3:20" x14ac:dyDescent="0.3">
      <c r="C224" s="404"/>
      <c r="D224" s="405"/>
      <c r="Q224" s="345">
        <f t="shared" si="18"/>
        <v>0</v>
      </c>
      <c r="R224" s="346">
        <f t="shared" si="19"/>
        <v>0</v>
      </c>
      <c r="T224" s="316" t="s">
        <v>184</v>
      </c>
    </row>
    <row r="225" spans="3:20" x14ac:dyDescent="0.3">
      <c r="C225" s="404"/>
      <c r="D225" s="406"/>
      <c r="Q225" s="345">
        <f t="shared" si="18"/>
        <v>0</v>
      </c>
      <c r="R225" s="346">
        <f t="shared" si="19"/>
        <v>0</v>
      </c>
      <c r="T225" s="317" t="s">
        <v>186</v>
      </c>
    </row>
    <row r="226" spans="3:20" x14ac:dyDescent="0.3">
      <c r="C226" s="404"/>
      <c r="D226" s="405"/>
      <c r="Q226" s="345">
        <f t="shared" si="18"/>
        <v>0</v>
      </c>
      <c r="R226" s="346">
        <f t="shared" si="19"/>
        <v>0</v>
      </c>
      <c r="T226" s="317" t="s">
        <v>187</v>
      </c>
    </row>
    <row r="227" spans="3:20" x14ac:dyDescent="0.3">
      <c r="C227" s="404"/>
      <c r="D227" s="405"/>
      <c r="Q227" s="345">
        <f t="shared" si="18"/>
        <v>0</v>
      </c>
      <c r="R227" s="346">
        <f t="shared" si="19"/>
        <v>0</v>
      </c>
      <c r="T227" s="317" t="s">
        <v>189</v>
      </c>
    </row>
    <row r="228" spans="3:20" x14ac:dyDescent="0.3">
      <c r="C228" s="404"/>
      <c r="D228" s="405"/>
      <c r="Q228" s="345">
        <f t="shared" si="18"/>
        <v>0</v>
      </c>
      <c r="R228" s="346">
        <f t="shared" si="19"/>
        <v>0</v>
      </c>
      <c r="T228" s="317" t="s">
        <v>190</v>
      </c>
    </row>
    <row r="229" spans="3:20" x14ac:dyDescent="0.3">
      <c r="C229" s="404"/>
      <c r="D229" s="405"/>
      <c r="Q229" s="345">
        <f t="shared" si="18"/>
        <v>0</v>
      </c>
      <c r="R229" s="346">
        <f t="shared" si="19"/>
        <v>0</v>
      </c>
      <c r="T229" s="317" t="s">
        <v>191</v>
      </c>
    </row>
    <row r="230" spans="3:20" x14ac:dyDescent="0.3">
      <c r="C230" s="404"/>
      <c r="D230" s="405"/>
      <c r="Q230" s="345">
        <f t="shared" si="18"/>
        <v>0</v>
      </c>
      <c r="R230" s="346">
        <f t="shared" si="19"/>
        <v>0</v>
      </c>
      <c r="T230" s="317" t="s">
        <v>193</v>
      </c>
    </row>
    <row r="231" spans="3:20" x14ac:dyDescent="0.3">
      <c r="C231" s="404"/>
      <c r="D231" s="405"/>
      <c r="Q231" s="345">
        <f t="shared" si="18"/>
        <v>0</v>
      </c>
      <c r="R231" s="346">
        <f t="shared" si="19"/>
        <v>0</v>
      </c>
      <c r="T231" s="317" t="s">
        <v>194</v>
      </c>
    </row>
    <row r="232" spans="3:20" x14ac:dyDescent="0.3">
      <c r="C232" s="404"/>
      <c r="D232" s="405"/>
      <c r="Q232" s="345">
        <f t="shared" si="18"/>
        <v>0</v>
      </c>
      <c r="R232" s="346">
        <f t="shared" si="19"/>
        <v>0</v>
      </c>
      <c r="T232" s="317" t="s">
        <v>195</v>
      </c>
    </row>
    <row r="233" spans="3:20" x14ac:dyDescent="0.3">
      <c r="C233" s="404"/>
      <c r="D233" s="405"/>
      <c r="Q233" s="345">
        <f t="shared" si="18"/>
        <v>0</v>
      </c>
      <c r="R233" s="346">
        <f t="shared" si="19"/>
        <v>0</v>
      </c>
      <c r="T233" s="317" t="s">
        <v>196</v>
      </c>
    </row>
    <row r="234" spans="3:20" x14ac:dyDescent="0.3">
      <c r="C234" s="404"/>
      <c r="D234" s="405"/>
      <c r="Q234" s="345">
        <f t="shared" si="18"/>
        <v>0</v>
      </c>
      <c r="R234" s="346">
        <f t="shared" si="19"/>
        <v>0</v>
      </c>
      <c r="T234" s="320" t="s">
        <v>197</v>
      </c>
    </row>
    <row r="235" spans="3:20" x14ac:dyDescent="0.3">
      <c r="C235" s="404"/>
      <c r="D235" s="405"/>
      <c r="Q235" s="345">
        <f t="shared" si="18"/>
        <v>0</v>
      </c>
      <c r="R235" s="346">
        <f t="shared" si="19"/>
        <v>0</v>
      </c>
      <c r="T235" s="320" t="s">
        <v>198</v>
      </c>
    </row>
    <row r="236" spans="3:20" x14ac:dyDescent="0.3">
      <c r="C236" s="404"/>
      <c r="D236" s="405"/>
      <c r="Q236" s="345">
        <f t="shared" si="18"/>
        <v>0</v>
      </c>
      <c r="R236" s="346">
        <f t="shared" si="19"/>
        <v>0</v>
      </c>
      <c r="T236" s="320" t="s">
        <v>199</v>
      </c>
    </row>
    <row r="237" spans="3:20" x14ac:dyDescent="0.3">
      <c r="C237" s="404"/>
      <c r="D237" s="406"/>
      <c r="Q237" s="345">
        <f t="shared" si="18"/>
        <v>0</v>
      </c>
      <c r="R237" s="346">
        <f t="shared" si="19"/>
        <v>0</v>
      </c>
      <c r="T237" s="320" t="s">
        <v>200</v>
      </c>
    </row>
    <row r="238" spans="3:20" x14ac:dyDescent="0.3">
      <c r="C238" s="404"/>
      <c r="D238" s="405"/>
      <c r="Q238" s="345">
        <f t="shared" si="18"/>
        <v>0</v>
      </c>
      <c r="R238" s="346">
        <f t="shared" si="19"/>
        <v>0</v>
      </c>
      <c r="T238" s="320" t="s">
        <v>201</v>
      </c>
    </row>
    <row r="239" spans="3:20" x14ac:dyDescent="0.3">
      <c r="C239" s="404"/>
      <c r="D239" s="405"/>
      <c r="Q239" s="345">
        <f t="shared" si="18"/>
        <v>0</v>
      </c>
      <c r="R239" s="346">
        <f t="shared" si="19"/>
        <v>0</v>
      </c>
      <c r="T239" s="320" t="s">
        <v>202</v>
      </c>
    </row>
    <row r="240" spans="3:20" x14ac:dyDescent="0.3">
      <c r="C240" s="404"/>
      <c r="D240" s="405"/>
      <c r="Q240" s="345">
        <f t="shared" si="18"/>
        <v>0</v>
      </c>
      <c r="R240" s="346">
        <f t="shared" si="19"/>
        <v>0</v>
      </c>
      <c r="T240" s="320" t="s">
        <v>203</v>
      </c>
    </row>
    <row r="241" spans="3:20" x14ac:dyDescent="0.3">
      <c r="C241" s="404"/>
      <c r="D241" s="405"/>
      <c r="Q241" s="345">
        <f t="shared" si="18"/>
        <v>0</v>
      </c>
      <c r="R241" s="346">
        <f t="shared" si="19"/>
        <v>0</v>
      </c>
      <c r="T241" s="320" t="s">
        <v>204</v>
      </c>
    </row>
    <row r="242" spans="3:20" x14ac:dyDescent="0.3">
      <c r="C242" s="404"/>
      <c r="D242" s="405"/>
      <c r="Q242" s="345">
        <f t="shared" si="18"/>
        <v>0</v>
      </c>
      <c r="R242" s="346">
        <f t="shared" si="19"/>
        <v>0</v>
      </c>
      <c r="T242" s="320" t="s">
        <v>205</v>
      </c>
    </row>
    <row r="243" spans="3:20" x14ac:dyDescent="0.3">
      <c r="C243" s="341"/>
      <c r="D243" s="407"/>
      <c r="E243" s="408"/>
      <c r="F243" s="408"/>
      <c r="G243" s="408"/>
      <c r="H243" s="408"/>
      <c r="I243" s="408"/>
      <c r="J243" s="408"/>
      <c r="K243" s="408"/>
      <c r="L243" s="408"/>
      <c r="M243" s="408"/>
      <c r="N243" s="408"/>
      <c r="O243" s="408"/>
      <c r="Q243" s="345">
        <f t="shared" si="18"/>
        <v>0</v>
      </c>
      <c r="R243" s="346">
        <f t="shared" si="19"/>
        <v>0</v>
      </c>
      <c r="T243" s="320" t="s">
        <v>206</v>
      </c>
    </row>
    <row r="244" spans="3:20" x14ac:dyDescent="0.3">
      <c r="C244" s="404"/>
      <c r="D244" s="405"/>
      <c r="Q244" s="345">
        <f t="shared" si="18"/>
        <v>0</v>
      </c>
      <c r="R244" s="346">
        <f t="shared" si="19"/>
        <v>0</v>
      </c>
      <c r="T244" s="320" t="s">
        <v>207</v>
      </c>
    </row>
    <row r="245" spans="3:20" x14ac:dyDescent="0.3">
      <c r="C245" s="341"/>
      <c r="D245" s="342"/>
      <c r="Q245" s="345">
        <f t="shared" si="18"/>
        <v>0</v>
      </c>
      <c r="R245" s="346">
        <f t="shared" si="19"/>
        <v>0</v>
      </c>
      <c r="T245" s="320" t="s">
        <v>208</v>
      </c>
    </row>
    <row r="246" spans="3:20" x14ac:dyDescent="0.3">
      <c r="C246" s="404"/>
      <c r="D246" s="405"/>
      <c r="Q246" s="345">
        <f t="shared" si="18"/>
        <v>0</v>
      </c>
      <c r="R246" s="346">
        <f t="shared" si="19"/>
        <v>0</v>
      </c>
      <c r="T246" s="320" t="s">
        <v>210</v>
      </c>
    </row>
    <row r="247" spans="3:20" ht="15" thickBot="1" x14ac:dyDescent="0.35">
      <c r="C247" s="404"/>
      <c r="D247" s="405"/>
      <c r="Q247" s="345">
        <f t="shared" si="18"/>
        <v>0</v>
      </c>
      <c r="R247" s="346">
        <f t="shared" si="19"/>
        <v>0</v>
      </c>
      <c r="T247" s="324" t="s">
        <v>212</v>
      </c>
    </row>
    <row r="248" spans="3:20" x14ac:dyDescent="0.3">
      <c r="C248" s="404"/>
      <c r="D248" s="406"/>
      <c r="Q248" s="345">
        <f t="shared" si="18"/>
        <v>0</v>
      </c>
      <c r="R248" s="346">
        <f t="shared" si="19"/>
        <v>0</v>
      </c>
      <c r="T248" s="316" t="s">
        <v>184</v>
      </c>
    </row>
    <row r="249" spans="3:20" x14ac:dyDescent="0.3">
      <c r="C249" s="404"/>
      <c r="D249" s="406"/>
      <c r="Q249" s="345">
        <f t="shared" si="18"/>
        <v>0</v>
      </c>
      <c r="R249" s="346">
        <f t="shared" si="19"/>
        <v>0</v>
      </c>
      <c r="T249" s="317" t="s">
        <v>186</v>
      </c>
    </row>
    <row r="250" spans="3:20" x14ac:dyDescent="0.3">
      <c r="C250" s="404"/>
      <c r="D250" s="406"/>
      <c r="Q250" s="345">
        <f t="shared" si="18"/>
        <v>0</v>
      </c>
      <c r="R250" s="346">
        <f t="shared" si="19"/>
        <v>0</v>
      </c>
      <c r="T250" s="317" t="s">
        <v>187</v>
      </c>
    </row>
    <row r="251" spans="3:20" x14ac:dyDescent="0.3">
      <c r="C251" s="404"/>
      <c r="D251" s="406"/>
      <c r="Q251" s="345">
        <f t="shared" si="18"/>
        <v>0</v>
      </c>
      <c r="R251" s="346">
        <f t="shared" si="19"/>
        <v>0</v>
      </c>
      <c r="T251" s="317" t="s">
        <v>189</v>
      </c>
    </row>
    <row r="252" spans="3:20" x14ac:dyDescent="0.3">
      <c r="C252" s="404"/>
      <c r="D252" s="406"/>
      <c r="Q252" s="345">
        <f t="shared" si="18"/>
        <v>0</v>
      </c>
      <c r="R252" s="346">
        <f t="shared" si="19"/>
        <v>0</v>
      </c>
      <c r="T252" s="317" t="s">
        <v>190</v>
      </c>
    </row>
    <row r="253" spans="3:20" x14ac:dyDescent="0.3">
      <c r="C253" s="404"/>
      <c r="D253" s="405"/>
      <c r="Q253" s="345">
        <f t="shared" si="18"/>
        <v>0</v>
      </c>
      <c r="R253" s="346">
        <f t="shared" si="19"/>
        <v>0</v>
      </c>
      <c r="T253" s="317" t="s">
        <v>191</v>
      </c>
    </row>
    <row r="254" spans="3:20" x14ac:dyDescent="0.3">
      <c r="C254" s="404"/>
      <c r="D254" s="406"/>
      <c r="Q254" s="345">
        <f t="shared" si="18"/>
        <v>0</v>
      </c>
      <c r="R254" s="346">
        <f t="shared" si="19"/>
        <v>0</v>
      </c>
      <c r="T254" s="317" t="s">
        <v>193</v>
      </c>
    </row>
    <row r="255" spans="3:20" x14ac:dyDescent="0.3">
      <c r="C255" s="404"/>
      <c r="D255" s="405"/>
      <c r="Q255" s="345">
        <f t="shared" si="18"/>
        <v>0</v>
      </c>
      <c r="R255" s="346">
        <f t="shared" si="19"/>
        <v>0</v>
      </c>
      <c r="T255" s="317" t="s">
        <v>194</v>
      </c>
    </row>
    <row r="256" spans="3:20" x14ac:dyDescent="0.3">
      <c r="C256" s="404"/>
      <c r="D256" s="405"/>
      <c r="Q256" s="345">
        <f t="shared" si="18"/>
        <v>0</v>
      </c>
      <c r="R256" s="346">
        <f t="shared" si="19"/>
        <v>0</v>
      </c>
      <c r="T256" s="317" t="s">
        <v>195</v>
      </c>
    </row>
    <row r="257" spans="3:20" x14ac:dyDescent="0.3">
      <c r="C257" s="404"/>
      <c r="D257" s="405"/>
      <c r="Q257" s="345">
        <f t="shared" si="18"/>
        <v>0</v>
      </c>
      <c r="R257" s="346">
        <f t="shared" si="19"/>
        <v>0</v>
      </c>
      <c r="T257" s="317" t="s">
        <v>196</v>
      </c>
    </row>
    <row r="258" spans="3:20" x14ac:dyDescent="0.3">
      <c r="C258" s="404"/>
      <c r="D258" s="405"/>
      <c r="Q258" s="345">
        <f t="shared" si="18"/>
        <v>0</v>
      </c>
      <c r="R258" s="346">
        <f t="shared" si="19"/>
        <v>0</v>
      </c>
      <c r="T258" s="320" t="s">
        <v>197</v>
      </c>
    </row>
    <row r="259" spans="3:20" x14ac:dyDescent="0.3">
      <c r="C259" s="404"/>
      <c r="D259" s="405"/>
      <c r="Q259" s="345">
        <f t="shared" si="18"/>
        <v>0</v>
      </c>
      <c r="R259" s="346">
        <f t="shared" si="19"/>
        <v>0</v>
      </c>
      <c r="T259" s="320" t="s">
        <v>198</v>
      </c>
    </row>
    <row r="260" spans="3:20" x14ac:dyDescent="0.3">
      <c r="C260" s="404"/>
      <c r="D260" s="405"/>
      <c r="Q260" s="345">
        <f t="shared" si="18"/>
        <v>0</v>
      </c>
      <c r="R260" s="346">
        <f t="shared" si="19"/>
        <v>0</v>
      </c>
      <c r="T260" s="320" t="s">
        <v>199</v>
      </c>
    </row>
    <row r="261" spans="3:20" x14ac:dyDescent="0.3">
      <c r="C261" s="404"/>
      <c r="D261" s="405"/>
      <c r="Q261" s="345">
        <f t="shared" si="18"/>
        <v>0</v>
      </c>
      <c r="R261" s="346">
        <f t="shared" si="19"/>
        <v>0</v>
      </c>
      <c r="T261" s="320" t="s">
        <v>200</v>
      </c>
    </row>
    <row r="262" spans="3:20" x14ac:dyDescent="0.3">
      <c r="C262" s="404"/>
      <c r="D262" s="406"/>
      <c r="Q262" s="345">
        <f t="shared" si="18"/>
        <v>0</v>
      </c>
      <c r="R262" s="346">
        <f t="shared" si="19"/>
        <v>0</v>
      </c>
      <c r="T262" s="320" t="s">
        <v>201</v>
      </c>
    </row>
    <row r="263" spans="3:20" x14ac:dyDescent="0.3">
      <c r="C263" s="404"/>
      <c r="D263" s="406"/>
      <c r="Q263" s="345">
        <f t="shared" si="18"/>
        <v>0</v>
      </c>
      <c r="R263" s="346">
        <f t="shared" si="19"/>
        <v>0</v>
      </c>
      <c r="T263" s="320" t="s">
        <v>202</v>
      </c>
    </row>
    <row r="264" spans="3:20" x14ac:dyDescent="0.3">
      <c r="C264" s="404"/>
      <c r="D264" s="405"/>
      <c r="Q264" s="345">
        <f t="shared" si="18"/>
        <v>0</v>
      </c>
      <c r="R264" s="346">
        <f t="shared" si="19"/>
        <v>0</v>
      </c>
      <c r="T264" s="320" t="s">
        <v>203</v>
      </c>
    </row>
    <row r="265" spans="3:20" x14ac:dyDescent="0.3">
      <c r="C265" s="404"/>
      <c r="D265" s="405"/>
      <c r="Q265" s="345">
        <f t="shared" si="18"/>
        <v>0</v>
      </c>
      <c r="R265" s="346">
        <f t="shared" si="19"/>
        <v>0</v>
      </c>
      <c r="T265" s="320" t="s">
        <v>204</v>
      </c>
    </row>
    <row r="266" spans="3:20" x14ac:dyDescent="0.3">
      <c r="C266" s="404"/>
      <c r="D266" s="405"/>
      <c r="Q266" s="345">
        <f t="shared" si="18"/>
        <v>0</v>
      </c>
      <c r="R266" s="346">
        <f t="shared" si="19"/>
        <v>0</v>
      </c>
      <c r="T266" s="320" t="s">
        <v>205</v>
      </c>
    </row>
    <row r="267" spans="3:20" x14ac:dyDescent="0.3">
      <c r="C267" s="404"/>
      <c r="D267" s="405"/>
      <c r="Q267" s="345">
        <f t="shared" si="18"/>
        <v>0</v>
      </c>
      <c r="R267" s="346">
        <f t="shared" si="19"/>
        <v>0</v>
      </c>
      <c r="T267" s="320" t="s">
        <v>206</v>
      </c>
    </row>
    <row r="268" spans="3:20" x14ac:dyDescent="0.3">
      <c r="C268" s="404"/>
      <c r="D268" s="405"/>
      <c r="Q268" s="345">
        <f t="shared" si="18"/>
        <v>0</v>
      </c>
      <c r="R268" s="346">
        <f t="shared" si="19"/>
        <v>0</v>
      </c>
      <c r="T268" s="320" t="s">
        <v>207</v>
      </c>
    </row>
    <row r="269" spans="3:20" x14ac:dyDescent="0.3">
      <c r="C269" s="341"/>
      <c r="D269" s="407"/>
      <c r="E269" s="408"/>
      <c r="F269" s="408"/>
      <c r="G269" s="408"/>
      <c r="H269" s="408"/>
      <c r="I269" s="408"/>
      <c r="J269" s="408"/>
      <c r="K269" s="408"/>
      <c r="L269" s="408"/>
      <c r="M269" s="408"/>
      <c r="N269" s="408"/>
      <c r="O269" s="408"/>
      <c r="Q269" s="345">
        <f t="shared" si="18"/>
        <v>0</v>
      </c>
      <c r="R269" s="346">
        <f t="shared" si="19"/>
        <v>0</v>
      </c>
      <c r="T269" s="320" t="s">
        <v>208</v>
      </c>
    </row>
    <row r="270" spans="3:20" x14ac:dyDescent="0.3">
      <c r="C270" s="404"/>
      <c r="D270" s="405"/>
      <c r="Q270" s="345">
        <f t="shared" si="18"/>
        <v>0</v>
      </c>
      <c r="R270" s="346">
        <f t="shared" si="19"/>
        <v>0</v>
      </c>
      <c r="T270" s="320" t="s">
        <v>210</v>
      </c>
    </row>
    <row r="271" spans="3:20" ht="15" thickBot="1" x14ac:dyDescent="0.35">
      <c r="C271" s="341"/>
      <c r="D271" s="342"/>
      <c r="Q271" s="345">
        <f t="shared" si="18"/>
        <v>0</v>
      </c>
      <c r="R271" s="346">
        <f t="shared" si="19"/>
        <v>0</v>
      </c>
      <c r="T271" s="324" t="s">
        <v>212</v>
      </c>
    </row>
    <row r="272" spans="3:20" x14ac:dyDescent="0.3">
      <c r="C272" s="404"/>
      <c r="D272" s="406"/>
      <c r="Q272" s="345">
        <f t="shared" si="18"/>
        <v>0</v>
      </c>
      <c r="R272" s="346">
        <f t="shared" si="19"/>
        <v>0</v>
      </c>
      <c r="T272" s="316" t="s">
        <v>184</v>
      </c>
    </row>
    <row r="273" spans="3:20" x14ac:dyDescent="0.3">
      <c r="C273" s="404"/>
      <c r="D273" s="405"/>
      <c r="Q273" s="345">
        <f t="shared" si="18"/>
        <v>0</v>
      </c>
      <c r="R273" s="346">
        <f t="shared" si="19"/>
        <v>0</v>
      </c>
      <c r="T273" s="317" t="s">
        <v>186</v>
      </c>
    </row>
    <row r="274" spans="3:20" x14ac:dyDescent="0.3">
      <c r="C274" s="404"/>
      <c r="D274" s="406"/>
      <c r="Q274" s="345">
        <f t="shared" si="18"/>
        <v>0</v>
      </c>
      <c r="R274" s="346">
        <f t="shared" si="19"/>
        <v>0</v>
      </c>
      <c r="T274" s="317" t="s">
        <v>187</v>
      </c>
    </row>
    <row r="275" spans="3:20" x14ac:dyDescent="0.3">
      <c r="C275" s="404"/>
      <c r="D275" s="406"/>
      <c r="Q275" s="345">
        <f t="shared" ref="Q275:Q338" si="20">SUM(D275:O275)</f>
        <v>0</v>
      </c>
      <c r="R275" s="346">
        <f t="shared" ref="R275:R338" si="21">SUM(M275:O275)*4</f>
        <v>0</v>
      </c>
      <c r="T275" s="317" t="s">
        <v>189</v>
      </c>
    </row>
    <row r="276" spans="3:20" x14ac:dyDescent="0.3">
      <c r="C276" s="341"/>
      <c r="D276" s="407"/>
      <c r="E276" s="408"/>
      <c r="F276" s="408"/>
      <c r="G276" s="408"/>
      <c r="H276" s="408"/>
      <c r="I276" s="408"/>
      <c r="J276" s="408"/>
      <c r="K276" s="408"/>
      <c r="L276" s="408"/>
      <c r="M276" s="408"/>
      <c r="N276" s="408"/>
      <c r="O276" s="408"/>
      <c r="Q276" s="345">
        <f t="shared" si="20"/>
        <v>0</v>
      </c>
      <c r="R276" s="346">
        <f t="shared" si="21"/>
        <v>0</v>
      </c>
      <c r="T276" s="317" t="s">
        <v>190</v>
      </c>
    </row>
    <row r="277" spans="3:20" x14ac:dyDescent="0.3">
      <c r="C277" s="404"/>
      <c r="D277" s="405"/>
      <c r="Q277" s="345">
        <f t="shared" si="20"/>
        <v>0</v>
      </c>
      <c r="R277" s="346">
        <f t="shared" si="21"/>
        <v>0</v>
      </c>
      <c r="T277" s="317" t="s">
        <v>191</v>
      </c>
    </row>
    <row r="278" spans="3:20" x14ac:dyDescent="0.3">
      <c r="C278" s="341"/>
      <c r="D278" s="342"/>
      <c r="Q278" s="345">
        <f t="shared" si="20"/>
        <v>0</v>
      </c>
      <c r="R278" s="346">
        <f t="shared" si="21"/>
        <v>0</v>
      </c>
      <c r="T278" s="317" t="s">
        <v>193</v>
      </c>
    </row>
    <row r="279" spans="3:20" x14ac:dyDescent="0.3">
      <c r="C279" s="404"/>
      <c r="D279" s="406"/>
      <c r="Q279" s="345">
        <f t="shared" si="20"/>
        <v>0</v>
      </c>
      <c r="R279" s="346">
        <f t="shared" si="21"/>
        <v>0</v>
      </c>
      <c r="T279" s="317" t="s">
        <v>194</v>
      </c>
    </row>
    <row r="280" spans="3:20" x14ac:dyDescent="0.3">
      <c r="C280" s="341"/>
      <c r="D280" s="407"/>
      <c r="E280" s="408"/>
      <c r="F280" s="408"/>
      <c r="G280" s="408"/>
      <c r="H280" s="408"/>
      <c r="I280" s="408"/>
      <c r="J280" s="408"/>
      <c r="K280" s="408"/>
      <c r="L280" s="408"/>
      <c r="M280" s="408"/>
      <c r="N280" s="408"/>
      <c r="O280" s="408"/>
      <c r="Q280" s="345">
        <f t="shared" si="20"/>
        <v>0</v>
      </c>
      <c r="R280" s="346">
        <f t="shared" si="21"/>
        <v>0</v>
      </c>
      <c r="T280" s="317" t="s">
        <v>195</v>
      </c>
    </row>
    <row r="281" spans="3:20" x14ac:dyDescent="0.3">
      <c r="C281" s="404"/>
      <c r="D281" s="405"/>
      <c r="Q281" s="345">
        <f t="shared" si="20"/>
        <v>0</v>
      </c>
      <c r="R281" s="346">
        <f t="shared" si="21"/>
        <v>0</v>
      </c>
      <c r="T281" s="317" t="s">
        <v>196</v>
      </c>
    </row>
    <row r="282" spans="3:20" x14ac:dyDescent="0.3">
      <c r="C282" s="341"/>
      <c r="D282" s="342"/>
      <c r="Q282" s="345">
        <f t="shared" si="20"/>
        <v>0</v>
      </c>
      <c r="R282" s="346">
        <f t="shared" si="21"/>
        <v>0</v>
      </c>
      <c r="T282" s="320" t="s">
        <v>197</v>
      </c>
    </row>
    <row r="283" spans="3:20" x14ac:dyDescent="0.3">
      <c r="C283" s="404"/>
      <c r="D283" s="406"/>
      <c r="Q283" s="345">
        <f t="shared" si="20"/>
        <v>0</v>
      </c>
      <c r="R283" s="346">
        <f t="shared" si="21"/>
        <v>0</v>
      </c>
      <c r="T283" s="320" t="s">
        <v>198</v>
      </c>
    </row>
    <row r="284" spans="3:20" x14ac:dyDescent="0.3">
      <c r="C284" s="341"/>
      <c r="D284" s="407"/>
      <c r="E284" s="408"/>
      <c r="F284" s="408"/>
      <c r="G284" s="408"/>
      <c r="H284" s="408"/>
      <c r="I284" s="408"/>
      <c r="J284" s="408"/>
      <c r="K284" s="408"/>
      <c r="L284" s="408"/>
      <c r="M284" s="408"/>
      <c r="N284" s="408"/>
      <c r="O284" s="408"/>
      <c r="Q284" s="345">
        <f t="shared" si="20"/>
        <v>0</v>
      </c>
      <c r="R284" s="346">
        <f t="shared" si="21"/>
        <v>0</v>
      </c>
      <c r="T284" s="320" t="s">
        <v>199</v>
      </c>
    </row>
    <row r="285" spans="3:20" x14ac:dyDescent="0.3">
      <c r="C285" s="404"/>
      <c r="D285" s="405"/>
      <c r="Q285" s="345">
        <f t="shared" si="20"/>
        <v>0</v>
      </c>
      <c r="R285" s="346">
        <f t="shared" si="21"/>
        <v>0</v>
      </c>
      <c r="T285" s="320" t="s">
        <v>200</v>
      </c>
    </row>
    <row r="286" spans="3:20" x14ac:dyDescent="0.3">
      <c r="C286" s="341"/>
      <c r="D286" s="342"/>
      <c r="Q286" s="345">
        <f t="shared" si="20"/>
        <v>0</v>
      </c>
      <c r="R286" s="346">
        <f t="shared" si="21"/>
        <v>0</v>
      </c>
      <c r="T286" s="320" t="s">
        <v>201</v>
      </c>
    </row>
    <row r="287" spans="3:20" x14ac:dyDescent="0.3">
      <c r="C287" s="404"/>
      <c r="D287" s="406"/>
      <c r="Q287" s="345">
        <f t="shared" si="20"/>
        <v>0</v>
      </c>
      <c r="R287" s="346">
        <f t="shared" si="21"/>
        <v>0</v>
      </c>
      <c r="T287" s="320" t="s">
        <v>202</v>
      </c>
    </row>
    <row r="288" spans="3:20" x14ac:dyDescent="0.3">
      <c r="C288" s="409"/>
      <c r="D288" s="406"/>
      <c r="Q288" s="345">
        <f t="shared" si="20"/>
        <v>0</v>
      </c>
      <c r="R288" s="346">
        <f t="shared" si="21"/>
        <v>0</v>
      </c>
      <c r="T288" s="320" t="s">
        <v>203</v>
      </c>
    </row>
    <row r="289" spans="3:20" x14ac:dyDescent="0.3">
      <c r="C289" s="341"/>
      <c r="D289" s="407"/>
      <c r="E289" s="408"/>
      <c r="F289" s="408"/>
      <c r="G289" s="408"/>
      <c r="H289" s="408"/>
      <c r="I289" s="408"/>
      <c r="J289" s="408"/>
      <c r="K289" s="408"/>
      <c r="L289" s="408"/>
      <c r="M289" s="408"/>
      <c r="N289" s="408"/>
      <c r="O289" s="408"/>
      <c r="Q289" s="345">
        <f t="shared" si="20"/>
        <v>0</v>
      </c>
      <c r="R289" s="346">
        <f t="shared" si="21"/>
        <v>0</v>
      </c>
      <c r="T289" s="320" t="s">
        <v>204</v>
      </c>
    </row>
    <row r="290" spans="3:20" x14ac:dyDescent="0.3">
      <c r="C290" s="404"/>
      <c r="D290" s="405"/>
      <c r="Q290" s="345">
        <f t="shared" si="20"/>
        <v>0</v>
      </c>
      <c r="R290" s="346">
        <f t="shared" si="21"/>
        <v>0</v>
      </c>
      <c r="T290" s="320" t="s">
        <v>205</v>
      </c>
    </row>
    <row r="291" spans="3:20" x14ac:dyDescent="0.3">
      <c r="C291" s="341"/>
      <c r="D291" s="405"/>
      <c r="Q291" s="345">
        <f t="shared" si="20"/>
        <v>0</v>
      </c>
      <c r="R291" s="346">
        <f t="shared" si="21"/>
        <v>0</v>
      </c>
      <c r="T291" s="320" t="s">
        <v>206</v>
      </c>
    </row>
    <row r="292" spans="3:20" x14ac:dyDescent="0.3">
      <c r="C292" s="404"/>
      <c r="D292" s="405"/>
      <c r="Q292" s="345">
        <f t="shared" si="20"/>
        <v>0</v>
      </c>
      <c r="R292" s="346">
        <f t="shared" si="21"/>
        <v>0</v>
      </c>
      <c r="T292" s="320" t="s">
        <v>207</v>
      </c>
    </row>
    <row r="293" spans="3:20" x14ac:dyDescent="0.3">
      <c r="C293" s="404"/>
      <c r="D293" s="405"/>
      <c r="Q293" s="345">
        <f t="shared" si="20"/>
        <v>0</v>
      </c>
      <c r="R293" s="346">
        <f t="shared" si="21"/>
        <v>0</v>
      </c>
      <c r="T293" s="320" t="s">
        <v>208</v>
      </c>
    </row>
    <row r="294" spans="3:20" x14ac:dyDescent="0.3">
      <c r="C294" s="404"/>
      <c r="D294" s="405"/>
      <c r="Q294" s="345">
        <f t="shared" si="20"/>
        <v>0</v>
      </c>
      <c r="R294" s="346">
        <f t="shared" si="21"/>
        <v>0</v>
      </c>
      <c r="T294" s="320" t="s">
        <v>210</v>
      </c>
    </row>
    <row r="295" spans="3:20" ht="15" thickBot="1" x14ac:dyDescent="0.35">
      <c r="C295" s="404"/>
      <c r="D295" s="405"/>
      <c r="Q295" s="345">
        <f t="shared" si="20"/>
        <v>0</v>
      </c>
      <c r="R295" s="346">
        <f t="shared" si="21"/>
        <v>0</v>
      </c>
      <c r="T295" s="324" t="s">
        <v>212</v>
      </c>
    </row>
    <row r="296" spans="3:20" x14ac:dyDescent="0.3">
      <c r="C296" s="404"/>
      <c r="D296" s="405"/>
      <c r="Q296" s="345">
        <f t="shared" si="20"/>
        <v>0</v>
      </c>
      <c r="R296" s="346">
        <f t="shared" si="21"/>
        <v>0</v>
      </c>
      <c r="T296" s="316" t="s">
        <v>184</v>
      </c>
    </row>
    <row r="297" spans="3:20" x14ac:dyDescent="0.3">
      <c r="C297" s="341"/>
      <c r="D297" s="342"/>
      <c r="E297" s="408"/>
      <c r="F297" s="408"/>
      <c r="G297" s="408"/>
      <c r="H297" s="408"/>
      <c r="I297" s="408"/>
      <c r="J297" s="408"/>
      <c r="K297" s="408"/>
      <c r="L297" s="408"/>
      <c r="M297" s="408"/>
      <c r="N297" s="408"/>
      <c r="O297" s="408"/>
      <c r="Q297" s="345">
        <f t="shared" si="20"/>
        <v>0</v>
      </c>
      <c r="R297" s="346">
        <f t="shared" si="21"/>
        <v>0</v>
      </c>
      <c r="T297" s="317" t="s">
        <v>186</v>
      </c>
    </row>
    <row r="298" spans="3:20" x14ac:dyDescent="0.3">
      <c r="C298" s="404"/>
      <c r="D298" s="405"/>
      <c r="Q298" s="345">
        <f t="shared" si="20"/>
        <v>0</v>
      </c>
      <c r="R298" s="346">
        <f t="shared" si="21"/>
        <v>0</v>
      </c>
      <c r="T298" s="317" t="s">
        <v>187</v>
      </c>
    </row>
    <row r="299" spans="3:20" x14ac:dyDescent="0.3">
      <c r="C299" s="341"/>
      <c r="D299" s="407"/>
      <c r="E299" s="408"/>
      <c r="F299" s="408"/>
      <c r="G299" s="408"/>
      <c r="H299" s="408"/>
      <c r="I299" s="408"/>
      <c r="J299" s="408"/>
      <c r="K299" s="408"/>
      <c r="L299" s="408"/>
      <c r="M299" s="408"/>
      <c r="N299" s="408"/>
      <c r="O299" s="408"/>
      <c r="Q299" s="345">
        <f t="shared" si="20"/>
        <v>0</v>
      </c>
      <c r="R299" s="346">
        <f t="shared" si="21"/>
        <v>0</v>
      </c>
      <c r="T299" s="317" t="s">
        <v>189</v>
      </c>
    </row>
    <row r="300" spans="3:20" ht="16.5" customHeight="1" x14ac:dyDescent="0.3">
      <c r="C300" s="404"/>
      <c r="D300" s="405"/>
      <c r="Q300" s="345">
        <f t="shared" si="20"/>
        <v>0</v>
      </c>
      <c r="R300" s="346">
        <f t="shared" si="21"/>
        <v>0</v>
      </c>
      <c r="T300" s="317" t="s">
        <v>190</v>
      </c>
    </row>
    <row r="301" spans="3:20" x14ac:dyDescent="0.3">
      <c r="C301" s="341"/>
      <c r="D301" s="407"/>
      <c r="E301" s="408"/>
      <c r="F301" s="408"/>
      <c r="G301" s="408"/>
      <c r="H301" s="408"/>
      <c r="I301" s="408"/>
      <c r="J301" s="408"/>
      <c r="K301" s="408"/>
      <c r="L301" s="408"/>
      <c r="M301" s="408"/>
      <c r="N301" s="408"/>
      <c r="O301" s="408"/>
      <c r="Q301" s="345">
        <f t="shared" si="20"/>
        <v>0</v>
      </c>
      <c r="R301" s="346">
        <f t="shared" si="21"/>
        <v>0</v>
      </c>
      <c r="T301" s="317" t="s">
        <v>191</v>
      </c>
    </row>
    <row r="302" spans="3:20" x14ac:dyDescent="0.3">
      <c r="Q302" s="345">
        <f t="shared" si="20"/>
        <v>0</v>
      </c>
      <c r="R302" s="346">
        <f t="shared" si="21"/>
        <v>0</v>
      </c>
      <c r="T302" s="317" t="s">
        <v>193</v>
      </c>
    </row>
    <row r="303" spans="3:20" x14ac:dyDescent="0.3">
      <c r="Q303" s="345">
        <f t="shared" si="20"/>
        <v>0</v>
      </c>
      <c r="R303" s="346">
        <f t="shared" si="21"/>
        <v>0</v>
      </c>
      <c r="T303" s="317" t="s">
        <v>194</v>
      </c>
    </row>
    <row r="304" spans="3:20" x14ac:dyDescent="0.3">
      <c r="Q304" s="345">
        <f t="shared" si="20"/>
        <v>0</v>
      </c>
      <c r="R304" s="346">
        <f t="shared" si="21"/>
        <v>0</v>
      </c>
      <c r="T304" s="317" t="s">
        <v>195</v>
      </c>
    </row>
    <row r="305" spans="17:20" x14ac:dyDescent="0.3">
      <c r="Q305" s="345">
        <f t="shared" si="20"/>
        <v>0</v>
      </c>
      <c r="R305" s="346">
        <f t="shared" si="21"/>
        <v>0</v>
      </c>
      <c r="T305" s="317" t="s">
        <v>196</v>
      </c>
    </row>
    <row r="306" spans="17:20" x14ac:dyDescent="0.3">
      <c r="Q306" s="345">
        <f t="shared" si="20"/>
        <v>0</v>
      </c>
      <c r="R306" s="346">
        <f t="shared" si="21"/>
        <v>0</v>
      </c>
      <c r="T306" s="320" t="s">
        <v>197</v>
      </c>
    </row>
    <row r="307" spans="17:20" x14ac:dyDescent="0.3">
      <c r="Q307" s="345">
        <f t="shared" si="20"/>
        <v>0</v>
      </c>
      <c r="R307" s="346">
        <f t="shared" si="21"/>
        <v>0</v>
      </c>
      <c r="T307" s="320" t="s">
        <v>198</v>
      </c>
    </row>
    <row r="308" spans="17:20" x14ac:dyDescent="0.3">
      <c r="Q308" s="345">
        <f t="shared" si="20"/>
        <v>0</v>
      </c>
      <c r="R308" s="346">
        <f t="shared" si="21"/>
        <v>0</v>
      </c>
      <c r="T308" s="320" t="s">
        <v>199</v>
      </c>
    </row>
    <row r="309" spans="17:20" x14ac:dyDescent="0.3">
      <c r="Q309" s="345">
        <f t="shared" si="20"/>
        <v>0</v>
      </c>
      <c r="R309" s="346">
        <f t="shared" si="21"/>
        <v>0</v>
      </c>
      <c r="T309" s="320" t="s">
        <v>200</v>
      </c>
    </row>
    <row r="310" spans="17:20" x14ac:dyDescent="0.3">
      <c r="Q310" s="345">
        <f t="shared" si="20"/>
        <v>0</v>
      </c>
      <c r="R310" s="346">
        <f t="shared" si="21"/>
        <v>0</v>
      </c>
      <c r="T310" s="320" t="s">
        <v>201</v>
      </c>
    </row>
    <row r="311" spans="17:20" x14ac:dyDescent="0.3">
      <c r="Q311" s="345">
        <f t="shared" si="20"/>
        <v>0</v>
      </c>
      <c r="R311" s="346">
        <f t="shared" si="21"/>
        <v>0</v>
      </c>
      <c r="T311" s="320" t="s">
        <v>202</v>
      </c>
    </row>
    <row r="312" spans="17:20" x14ac:dyDescent="0.3">
      <c r="Q312" s="345">
        <f t="shared" si="20"/>
        <v>0</v>
      </c>
      <c r="R312" s="346">
        <f t="shared" si="21"/>
        <v>0</v>
      </c>
      <c r="T312" s="320" t="s">
        <v>203</v>
      </c>
    </row>
    <row r="313" spans="17:20" x14ac:dyDescent="0.3">
      <c r="Q313" s="345">
        <f t="shared" si="20"/>
        <v>0</v>
      </c>
      <c r="R313" s="346">
        <f t="shared" si="21"/>
        <v>0</v>
      </c>
      <c r="T313" s="320" t="s">
        <v>204</v>
      </c>
    </row>
    <row r="314" spans="17:20" x14ac:dyDescent="0.3">
      <c r="Q314" s="345">
        <f t="shared" si="20"/>
        <v>0</v>
      </c>
      <c r="R314" s="346">
        <f t="shared" si="21"/>
        <v>0</v>
      </c>
      <c r="T314" s="320" t="s">
        <v>205</v>
      </c>
    </row>
    <row r="315" spans="17:20" x14ac:dyDescent="0.3">
      <c r="Q315" s="345">
        <f t="shared" si="20"/>
        <v>0</v>
      </c>
      <c r="R315" s="346">
        <f t="shared" si="21"/>
        <v>0</v>
      </c>
      <c r="T315" s="320" t="s">
        <v>206</v>
      </c>
    </row>
    <row r="316" spans="17:20" x14ac:dyDescent="0.3">
      <c r="Q316" s="345">
        <f t="shared" si="20"/>
        <v>0</v>
      </c>
      <c r="R316" s="346">
        <f t="shared" si="21"/>
        <v>0</v>
      </c>
      <c r="T316" s="320" t="s">
        <v>207</v>
      </c>
    </row>
    <row r="317" spans="17:20" x14ac:dyDescent="0.3">
      <c r="Q317" s="345">
        <f t="shared" si="20"/>
        <v>0</v>
      </c>
      <c r="R317" s="346">
        <f t="shared" si="21"/>
        <v>0</v>
      </c>
      <c r="T317" s="320" t="s">
        <v>208</v>
      </c>
    </row>
    <row r="318" spans="17:20" x14ac:dyDescent="0.3">
      <c r="Q318" s="345">
        <f t="shared" si="20"/>
        <v>0</v>
      </c>
      <c r="R318" s="346">
        <f t="shared" si="21"/>
        <v>0</v>
      </c>
      <c r="T318" s="320" t="s">
        <v>210</v>
      </c>
    </row>
    <row r="319" spans="17:20" ht="15" thickBot="1" x14ac:dyDescent="0.35">
      <c r="Q319" s="345">
        <f t="shared" si="20"/>
        <v>0</v>
      </c>
      <c r="R319" s="346">
        <f t="shared" si="21"/>
        <v>0</v>
      </c>
      <c r="T319" s="324" t="s">
        <v>212</v>
      </c>
    </row>
    <row r="320" spans="17:20" x14ac:dyDescent="0.3">
      <c r="Q320" s="345">
        <f t="shared" si="20"/>
        <v>0</v>
      </c>
      <c r="R320" s="346">
        <f t="shared" si="21"/>
        <v>0</v>
      </c>
      <c r="T320" s="316" t="s">
        <v>184</v>
      </c>
    </row>
    <row r="321" spans="17:20" x14ac:dyDescent="0.3">
      <c r="Q321" s="345">
        <f t="shared" si="20"/>
        <v>0</v>
      </c>
      <c r="R321" s="346">
        <f t="shared" si="21"/>
        <v>0</v>
      </c>
      <c r="T321" s="317" t="s">
        <v>186</v>
      </c>
    </row>
    <row r="322" spans="17:20" x14ac:dyDescent="0.3">
      <c r="Q322" s="345">
        <f t="shared" si="20"/>
        <v>0</v>
      </c>
      <c r="R322" s="346">
        <f t="shared" si="21"/>
        <v>0</v>
      </c>
      <c r="T322" s="317" t="s">
        <v>187</v>
      </c>
    </row>
    <row r="323" spans="17:20" x14ac:dyDescent="0.3">
      <c r="Q323" s="345">
        <f t="shared" si="20"/>
        <v>0</v>
      </c>
      <c r="R323" s="346">
        <f t="shared" si="21"/>
        <v>0</v>
      </c>
      <c r="T323" s="317" t="s">
        <v>189</v>
      </c>
    </row>
    <row r="324" spans="17:20" x14ac:dyDescent="0.3">
      <c r="Q324" s="345">
        <f t="shared" si="20"/>
        <v>0</v>
      </c>
      <c r="R324" s="346">
        <f t="shared" si="21"/>
        <v>0</v>
      </c>
      <c r="T324" s="317" t="s">
        <v>190</v>
      </c>
    </row>
    <row r="325" spans="17:20" x14ac:dyDescent="0.3">
      <c r="Q325" s="345">
        <f t="shared" si="20"/>
        <v>0</v>
      </c>
      <c r="R325" s="346">
        <f t="shared" si="21"/>
        <v>0</v>
      </c>
      <c r="T325" s="317" t="s">
        <v>191</v>
      </c>
    </row>
    <row r="326" spans="17:20" x14ac:dyDescent="0.3">
      <c r="Q326" s="345">
        <f t="shared" si="20"/>
        <v>0</v>
      </c>
      <c r="R326" s="346">
        <f t="shared" si="21"/>
        <v>0</v>
      </c>
      <c r="T326" s="317" t="s">
        <v>193</v>
      </c>
    </row>
    <row r="327" spans="17:20" x14ac:dyDescent="0.3">
      <c r="Q327" s="345">
        <f t="shared" si="20"/>
        <v>0</v>
      </c>
      <c r="R327" s="346">
        <f t="shared" si="21"/>
        <v>0</v>
      </c>
      <c r="T327" s="317" t="s">
        <v>194</v>
      </c>
    </row>
    <row r="328" spans="17:20" x14ac:dyDescent="0.3">
      <c r="Q328" s="345">
        <f t="shared" si="20"/>
        <v>0</v>
      </c>
      <c r="R328" s="346">
        <f t="shared" si="21"/>
        <v>0</v>
      </c>
      <c r="T328" s="317" t="s">
        <v>195</v>
      </c>
    </row>
    <row r="329" spans="17:20" x14ac:dyDescent="0.3">
      <c r="Q329" s="345">
        <f t="shared" si="20"/>
        <v>0</v>
      </c>
      <c r="R329" s="346">
        <f t="shared" si="21"/>
        <v>0</v>
      </c>
      <c r="T329" s="317" t="s">
        <v>196</v>
      </c>
    </row>
    <row r="330" spans="17:20" x14ac:dyDescent="0.3">
      <c r="Q330" s="345">
        <f t="shared" si="20"/>
        <v>0</v>
      </c>
      <c r="R330" s="346">
        <f t="shared" si="21"/>
        <v>0</v>
      </c>
      <c r="T330" s="320" t="s">
        <v>197</v>
      </c>
    </row>
    <row r="331" spans="17:20" x14ac:dyDescent="0.3">
      <c r="Q331" s="345">
        <f t="shared" si="20"/>
        <v>0</v>
      </c>
      <c r="R331" s="346">
        <f t="shared" si="21"/>
        <v>0</v>
      </c>
      <c r="T331" s="320" t="s">
        <v>198</v>
      </c>
    </row>
    <row r="332" spans="17:20" x14ac:dyDescent="0.3">
      <c r="Q332" s="345">
        <f t="shared" si="20"/>
        <v>0</v>
      </c>
      <c r="R332" s="346">
        <f t="shared" si="21"/>
        <v>0</v>
      </c>
      <c r="T332" s="320" t="s">
        <v>199</v>
      </c>
    </row>
    <row r="333" spans="17:20" x14ac:dyDescent="0.3">
      <c r="Q333" s="345">
        <f t="shared" si="20"/>
        <v>0</v>
      </c>
      <c r="R333" s="346">
        <f t="shared" si="21"/>
        <v>0</v>
      </c>
      <c r="T333" s="320" t="s">
        <v>200</v>
      </c>
    </row>
    <row r="334" spans="17:20" x14ac:dyDescent="0.3">
      <c r="Q334" s="345">
        <f t="shared" si="20"/>
        <v>0</v>
      </c>
      <c r="R334" s="346">
        <f t="shared" si="21"/>
        <v>0</v>
      </c>
      <c r="T334" s="320" t="s">
        <v>201</v>
      </c>
    </row>
    <row r="335" spans="17:20" x14ac:dyDescent="0.3">
      <c r="Q335" s="345">
        <f t="shared" si="20"/>
        <v>0</v>
      </c>
      <c r="R335" s="346">
        <f t="shared" si="21"/>
        <v>0</v>
      </c>
      <c r="T335" s="320" t="s">
        <v>202</v>
      </c>
    </row>
    <row r="336" spans="17:20" x14ac:dyDescent="0.3">
      <c r="Q336" s="345">
        <f t="shared" si="20"/>
        <v>0</v>
      </c>
      <c r="R336" s="346">
        <f t="shared" si="21"/>
        <v>0</v>
      </c>
      <c r="T336" s="320" t="s">
        <v>203</v>
      </c>
    </row>
    <row r="337" spans="17:20" x14ac:dyDescent="0.3">
      <c r="Q337" s="345">
        <f t="shared" si="20"/>
        <v>0</v>
      </c>
      <c r="R337" s="346">
        <f t="shared" si="21"/>
        <v>0</v>
      </c>
      <c r="T337" s="320" t="s">
        <v>204</v>
      </c>
    </row>
    <row r="338" spans="17:20" x14ac:dyDescent="0.3">
      <c r="Q338" s="345">
        <f t="shared" si="20"/>
        <v>0</v>
      </c>
      <c r="R338" s="346">
        <f t="shared" si="21"/>
        <v>0</v>
      </c>
      <c r="T338" s="320" t="s">
        <v>205</v>
      </c>
    </row>
    <row r="339" spans="17:20" x14ac:dyDescent="0.3">
      <c r="Q339" s="345">
        <f t="shared" ref="Q339:Q402" si="22">SUM(D339:O339)</f>
        <v>0</v>
      </c>
      <c r="R339" s="346">
        <f t="shared" ref="R339:R402" si="23">SUM(M339:O339)*4</f>
        <v>0</v>
      </c>
      <c r="T339" s="320" t="s">
        <v>206</v>
      </c>
    </row>
    <row r="340" spans="17:20" x14ac:dyDescent="0.3">
      <c r="Q340" s="345">
        <f t="shared" si="22"/>
        <v>0</v>
      </c>
      <c r="R340" s="346">
        <f t="shared" si="23"/>
        <v>0</v>
      </c>
      <c r="T340" s="320" t="s">
        <v>207</v>
      </c>
    </row>
    <row r="341" spans="17:20" x14ac:dyDescent="0.3">
      <c r="Q341" s="345">
        <f t="shared" si="22"/>
        <v>0</v>
      </c>
      <c r="R341" s="346">
        <f t="shared" si="23"/>
        <v>0</v>
      </c>
      <c r="T341" s="320" t="s">
        <v>208</v>
      </c>
    </row>
    <row r="342" spans="17:20" x14ac:dyDescent="0.3">
      <c r="Q342" s="345">
        <f t="shared" si="22"/>
        <v>0</v>
      </c>
      <c r="R342" s="346">
        <f t="shared" si="23"/>
        <v>0</v>
      </c>
      <c r="T342" s="320" t="s">
        <v>210</v>
      </c>
    </row>
    <row r="343" spans="17:20" ht="15" thickBot="1" x14ac:dyDescent="0.35">
      <c r="Q343" s="345">
        <f t="shared" si="22"/>
        <v>0</v>
      </c>
      <c r="R343" s="346">
        <f t="shared" si="23"/>
        <v>0</v>
      </c>
      <c r="T343" s="324" t="s">
        <v>212</v>
      </c>
    </row>
    <row r="344" spans="17:20" x14ac:dyDescent="0.3">
      <c r="Q344" s="345">
        <f t="shared" si="22"/>
        <v>0</v>
      </c>
      <c r="R344" s="346">
        <f t="shared" si="23"/>
        <v>0</v>
      </c>
      <c r="T344" s="316" t="s">
        <v>184</v>
      </c>
    </row>
    <row r="345" spans="17:20" x14ac:dyDescent="0.3">
      <c r="Q345" s="345">
        <f t="shared" si="22"/>
        <v>0</v>
      </c>
      <c r="R345" s="346">
        <f t="shared" si="23"/>
        <v>0</v>
      </c>
      <c r="T345" s="317" t="s">
        <v>186</v>
      </c>
    </row>
    <row r="346" spans="17:20" x14ac:dyDescent="0.3">
      <c r="Q346" s="345">
        <f t="shared" si="22"/>
        <v>0</v>
      </c>
      <c r="R346" s="346">
        <f t="shared" si="23"/>
        <v>0</v>
      </c>
      <c r="T346" s="317" t="s">
        <v>187</v>
      </c>
    </row>
    <row r="347" spans="17:20" x14ac:dyDescent="0.3">
      <c r="Q347" s="345">
        <f t="shared" si="22"/>
        <v>0</v>
      </c>
      <c r="R347" s="346">
        <f t="shared" si="23"/>
        <v>0</v>
      </c>
      <c r="T347" s="317" t="s">
        <v>189</v>
      </c>
    </row>
    <row r="348" spans="17:20" x14ac:dyDescent="0.3">
      <c r="Q348" s="345">
        <f t="shared" si="22"/>
        <v>0</v>
      </c>
      <c r="R348" s="346">
        <f t="shared" si="23"/>
        <v>0</v>
      </c>
      <c r="T348" s="317" t="s">
        <v>190</v>
      </c>
    </row>
    <row r="349" spans="17:20" x14ac:dyDescent="0.3">
      <c r="Q349" s="345">
        <f t="shared" si="22"/>
        <v>0</v>
      </c>
      <c r="R349" s="346">
        <f t="shared" si="23"/>
        <v>0</v>
      </c>
      <c r="T349" s="317" t="s">
        <v>191</v>
      </c>
    </row>
    <row r="350" spans="17:20" x14ac:dyDescent="0.3">
      <c r="Q350" s="345">
        <f t="shared" si="22"/>
        <v>0</v>
      </c>
      <c r="R350" s="346">
        <f t="shared" si="23"/>
        <v>0</v>
      </c>
      <c r="T350" s="317" t="s">
        <v>193</v>
      </c>
    </row>
    <row r="351" spans="17:20" x14ac:dyDescent="0.3">
      <c r="Q351" s="345">
        <f t="shared" si="22"/>
        <v>0</v>
      </c>
      <c r="R351" s="346">
        <f t="shared" si="23"/>
        <v>0</v>
      </c>
      <c r="T351" s="317" t="s">
        <v>194</v>
      </c>
    </row>
    <row r="352" spans="17:20" x14ac:dyDescent="0.3">
      <c r="Q352" s="345">
        <f t="shared" si="22"/>
        <v>0</v>
      </c>
      <c r="R352" s="346">
        <f t="shared" si="23"/>
        <v>0</v>
      </c>
      <c r="T352" s="317" t="s">
        <v>195</v>
      </c>
    </row>
    <row r="353" spans="17:20" x14ac:dyDescent="0.3">
      <c r="Q353" s="345">
        <f t="shared" si="22"/>
        <v>0</v>
      </c>
      <c r="R353" s="346">
        <f t="shared" si="23"/>
        <v>0</v>
      </c>
      <c r="T353" s="317" t="s">
        <v>196</v>
      </c>
    </row>
    <row r="354" spans="17:20" x14ac:dyDescent="0.3">
      <c r="Q354" s="345">
        <f t="shared" si="22"/>
        <v>0</v>
      </c>
      <c r="R354" s="346">
        <f t="shared" si="23"/>
        <v>0</v>
      </c>
      <c r="T354" s="320" t="s">
        <v>197</v>
      </c>
    </row>
    <row r="355" spans="17:20" x14ac:dyDescent="0.3">
      <c r="Q355" s="345">
        <f t="shared" si="22"/>
        <v>0</v>
      </c>
      <c r="R355" s="346">
        <f t="shared" si="23"/>
        <v>0</v>
      </c>
      <c r="T355" s="320" t="s">
        <v>198</v>
      </c>
    </row>
    <row r="356" spans="17:20" x14ac:dyDescent="0.3">
      <c r="Q356" s="345">
        <f t="shared" si="22"/>
        <v>0</v>
      </c>
      <c r="R356" s="346">
        <f t="shared" si="23"/>
        <v>0</v>
      </c>
      <c r="T356" s="320" t="s">
        <v>199</v>
      </c>
    </row>
    <row r="357" spans="17:20" x14ac:dyDescent="0.3">
      <c r="Q357" s="345">
        <f t="shared" si="22"/>
        <v>0</v>
      </c>
      <c r="R357" s="346">
        <f t="shared" si="23"/>
        <v>0</v>
      </c>
      <c r="T357" s="320" t="s">
        <v>200</v>
      </c>
    </row>
    <row r="358" spans="17:20" x14ac:dyDescent="0.3">
      <c r="Q358" s="345">
        <f t="shared" si="22"/>
        <v>0</v>
      </c>
      <c r="R358" s="346">
        <f t="shared" si="23"/>
        <v>0</v>
      </c>
      <c r="T358" s="320" t="s">
        <v>201</v>
      </c>
    </row>
    <row r="359" spans="17:20" x14ac:dyDescent="0.3">
      <c r="Q359" s="345">
        <f t="shared" si="22"/>
        <v>0</v>
      </c>
      <c r="R359" s="346">
        <f t="shared" si="23"/>
        <v>0</v>
      </c>
      <c r="T359" s="320" t="s">
        <v>202</v>
      </c>
    </row>
    <row r="360" spans="17:20" x14ac:dyDescent="0.3">
      <c r="Q360" s="345">
        <f t="shared" si="22"/>
        <v>0</v>
      </c>
      <c r="R360" s="346">
        <f t="shared" si="23"/>
        <v>0</v>
      </c>
      <c r="T360" s="320" t="s">
        <v>203</v>
      </c>
    </row>
    <row r="361" spans="17:20" x14ac:dyDescent="0.3">
      <c r="Q361" s="345">
        <f t="shared" si="22"/>
        <v>0</v>
      </c>
      <c r="R361" s="346">
        <f t="shared" si="23"/>
        <v>0</v>
      </c>
      <c r="T361" s="320" t="s">
        <v>204</v>
      </c>
    </row>
    <row r="362" spans="17:20" x14ac:dyDescent="0.3">
      <c r="Q362" s="345">
        <f t="shared" si="22"/>
        <v>0</v>
      </c>
      <c r="R362" s="346">
        <f t="shared" si="23"/>
        <v>0</v>
      </c>
      <c r="T362" s="320" t="s">
        <v>205</v>
      </c>
    </row>
    <row r="363" spans="17:20" x14ac:dyDescent="0.3">
      <c r="Q363" s="345">
        <f t="shared" si="22"/>
        <v>0</v>
      </c>
      <c r="R363" s="346">
        <f t="shared" si="23"/>
        <v>0</v>
      </c>
      <c r="T363" s="320" t="s">
        <v>206</v>
      </c>
    </row>
    <row r="364" spans="17:20" x14ac:dyDescent="0.3">
      <c r="Q364" s="345">
        <f t="shared" si="22"/>
        <v>0</v>
      </c>
      <c r="R364" s="346">
        <f t="shared" si="23"/>
        <v>0</v>
      </c>
      <c r="T364" s="320" t="s">
        <v>207</v>
      </c>
    </row>
    <row r="365" spans="17:20" x14ac:dyDescent="0.3">
      <c r="Q365" s="345">
        <f t="shared" si="22"/>
        <v>0</v>
      </c>
      <c r="R365" s="346">
        <f t="shared" si="23"/>
        <v>0</v>
      </c>
      <c r="T365" s="320" t="s">
        <v>208</v>
      </c>
    </row>
    <row r="366" spans="17:20" x14ac:dyDescent="0.3">
      <c r="Q366" s="345">
        <f t="shared" si="22"/>
        <v>0</v>
      </c>
      <c r="R366" s="346">
        <f t="shared" si="23"/>
        <v>0</v>
      </c>
      <c r="T366" s="320" t="s">
        <v>210</v>
      </c>
    </row>
    <row r="367" spans="17:20" ht="15" thickBot="1" x14ac:dyDescent="0.35">
      <c r="Q367" s="345">
        <f t="shared" si="22"/>
        <v>0</v>
      </c>
      <c r="R367" s="346">
        <f t="shared" si="23"/>
        <v>0</v>
      </c>
      <c r="T367" s="324" t="s">
        <v>212</v>
      </c>
    </row>
    <row r="368" spans="17:20" x14ac:dyDescent="0.3">
      <c r="Q368" s="345">
        <f t="shared" si="22"/>
        <v>0</v>
      </c>
      <c r="R368" s="346">
        <f t="shared" si="23"/>
        <v>0</v>
      </c>
      <c r="T368" s="316" t="s">
        <v>184</v>
      </c>
    </row>
    <row r="369" spans="17:20" x14ac:dyDescent="0.3">
      <c r="Q369" s="345">
        <f t="shared" si="22"/>
        <v>0</v>
      </c>
      <c r="R369" s="346">
        <f t="shared" si="23"/>
        <v>0</v>
      </c>
      <c r="T369" s="317" t="s">
        <v>186</v>
      </c>
    </row>
    <row r="370" spans="17:20" x14ac:dyDescent="0.3">
      <c r="Q370" s="345">
        <f t="shared" si="22"/>
        <v>0</v>
      </c>
      <c r="R370" s="346">
        <f t="shared" si="23"/>
        <v>0</v>
      </c>
      <c r="T370" s="317" t="s">
        <v>187</v>
      </c>
    </row>
    <row r="371" spans="17:20" x14ac:dyDescent="0.3">
      <c r="Q371" s="345">
        <f t="shared" si="22"/>
        <v>0</v>
      </c>
      <c r="R371" s="346">
        <f t="shared" si="23"/>
        <v>0</v>
      </c>
      <c r="T371" s="317" t="s">
        <v>189</v>
      </c>
    </row>
    <row r="372" spans="17:20" x14ac:dyDescent="0.3">
      <c r="Q372" s="345">
        <f t="shared" si="22"/>
        <v>0</v>
      </c>
      <c r="R372" s="346">
        <f t="shared" si="23"/>
        <v>0</v>
      </c>
      <c r="T372" s="317" t="s">
        <v>190</v>
      </c>
    </row>
    <row r="373" spans="17:20" x14ac:dyDescent="0.3">
      <c r="Q373" s="345">
        <f t="shared" si="22"/>
        <v>0</v>
      </c>
      <c r="R373" s="346">
        <f t="shared" si="23"/>
        <v>0</v>
      </c>
      <c r="T373" s="317" t="s">
        <v>191</v>
      </c>
    </row>
    <row r="374" spans="17:20" x14ac:dyDescent="0.3">
      <c r="Q374" s="345">
        <f t="shared" si="22"/>
        <v>0</v>
      </c>
      <c r="R374" s="346">
        <f t="shared" si="23"/>
        <v>0</v>
      </c>
      <c r="T374" s="317" t="s">
        <v>193</v>
      </c>
    </row>
    <row r="375" spans="17:20" x14ac:dyDescent="0.3">
      <c r="Q375" s="345">
        <f t="shared" si="22"/>
        <v>0</v>
      </c>
      <c r="R375" s="346">
        <f t="shared" si="23"/>
        <v>0</v>
      </c>
      <c r="T375" s="317" t="s">
        <v>194</v>
      </c>
    </row>
    <row r="376" spans="17:20" x14ac:dyDescent="0.3">
      <c r="Q376" s="345">
        <f t="shared" si="22"/>
        <v>0</v>
      </c>
      <c r="R376" s="346">
        <f t="shared" si="23"/>
        <v>0</v>
      </c>
      <c r="T376" s="317" t="s">
        <v>195</v>
      </c>
    </row>
    <row r="377" spans="17:20" x14ac:dyDescent="0.3">
      <c r="Q377" s="345">
        <f t="shared" si="22"/>
        <v>0</v>
      </c>
      <c r="R377" s="346">
        <f t="shared" si="23"/>
        <v>0</v>
      </c>
      <c r="T377" s="317" t="s">
        <v>196</v>
      </c>
    </row>
    <row r="378" spans="17:20" x14ac:dyDescent="0.3">
      <c r="Q378" s="345">
        <f t="shared" si="22"/>
        <v>0</v>
      </c>
      <c r="R378" s="346">
        <f t="shared" si="23"/>
        <v>0</v>
      </c>
      <c r="T378" s="320" t="s">
        <v>197</v>
      </c>
    </row>
    <row r="379" spans="17:20" x14ac:dyDescent="0.3">
      <c r="Q379" s="345">
        <f t="shared" si="22"/>
        <v>0</v>
      </c>
      <c r="R379" s="346">
        <f t="shared" si="23"/>
        <v>0</v>
      </c>
      <c r="T379" s="320" t="s">
        <v>198</v>
      </c>
    </row>
    <row r="380" spans="17:20" x14ac:dyDescent="0.3">
      <c r="Q380" s="345">
        <f t="shared" si="22"/>
        <v>0</v>
      </c>
      <c r="R380" s="346">
        <f t="shared" si="23"/>
        <v>0</v>
      </c>
      <c r="T380" s="320" t="s">
        <v>199</v>
      </c>
    </row>
    <row r="381" spans="17:20" x14ac:dyDescent="0.3">
      <c r="Q381" s="345">
        <f t="shared" si="22"/>
        <v>0</v>
      </c>
      <c r="R381" s="346">
        <f t="shared" si="23"/>
        <v>0</v>
      </c>
      <c r="T381" s="320" t="s">
        <v>200</v>
      </c>
    </row>
    <row r="382" spans="17:20" x14ac:dyDescent="0.3">
      <c r="Q382" s="345">
        <f t="shared" si="22"/>
        <v>0</v>
      </c>
      <c r="R382" s="346">
        <f t="shared" si="23"/>
        <v>0</v>
      </c>
      <c r="T382" s="320" t="s">
        <v>201</v>
      </c>
    </row>
    <row r="383" spans="17:20" x14ac:dyDescent="0.3">
      <c r="Q383" s="345">
        <f t="shared" si="22"/>
        <v>0</v>
      </c>
      <c r="R383" s="346">
        <f t="shared" si="23"/>
        <v>0</v>
      </c>
      <c r="T383" s="320" t="s">
        <v>202</v>
      </c>
    </row>
    <row r="384" spans="17:20" x14ac:dyDescent="0.3">
      <c r="Q384" s="345">
        <f t="shared" si="22"/>
        <v>0</v>
      </c>
      <c r="R384" s="346">
        <f t="shared" si="23"/>
        <v>0</v>
      </c>
      <c r="T384" s="320" t="s">
        <v>203</v>
      </c>
    </row>
    <row r="385" spans="17:20" x14ac:dyDescent="0.3">
      <c r="Q385" s="345">
        <f t="shared" si="22"/>
        <v>0</v>
      </c>
      <c r="R385" s="346">
        <f t="shared" si="23"/>
        <v>0</v>
      </c>
      <c r="T385" s="320" t="s">
        <v>204</v>
      </c>
    </row>
    <row r="386" spans="17:20" x14ac:dyDescent="0.3">
      <c r="Q386" s="345">
        <f t="shared" si="22"/>
        <v>0</v>
      </c>
      <c r="R386" s="346">
        <f t="shared" si="23"/>
        <v>0</v>
      </c>
      <c r="T386" s="320" t="s">
        <v>205</v>
      </c>
    </row>
    <row r="387" spans="17:20" x14ac:dyDescent="0.3">
      <c r="Q387" s="345">
        <f t="shared" si="22"/>
        <v>0</v>
      </c>
      <c r="R387" s="346">
        <f t="shared" si="23"/>
        <v>0</v>
      </c>
      <c r="T387" s="320" t="s">
        <v>206</v>
      </c>
    </row>
    <row r="388" spans="17:20" x14ac:dyDescent="0.3">
      <c r="Q388" s="345">
        <f t="shared" si="22"/>
        <v>0</v>
      </c>
      <c r="R388" s="346">
        <f t="shared" si="23"/>
        <v>0</v>
      </c>
      <c r="T388" s="320" t="s">
        <v>207</v>
      </c>
    </row>
    <row r="389" spans="17:20" x14ac:dyDescent="0.3">
      <c r="Q389" s="345">
        <f t="shared" si="22"/>
        <v>0</v>
      </c>
      <c r="R389" s="346">
        <f t="shared" si="23"/>
        <v>0</v>
      </c>
      <c r="T389" s="320" t="s">
        <v>208</v>
      </c>
    </row>
    <row r="390" spans="17:20" x14ac:dyDescent="0.3">
      <c r="Q390" s="345">
        <f t="shared" si="22"/>
        <v>0</v>
      </c>
      <c r="R390" s="346">
        <f t="shared" si="23"/>
        <v>0</v>
      </c>
      <c r="T390" s="320" t="s">
        <v>210</v>
      </c>
    </row>
    <row r="391" spans="17:20" ht="15" thickBot="1" x14ac:dyDescent="0.35">
      <c r="Q391" s="345">
        <f t="shared" si="22"/>
        <v>0</v>
      </c>
      <c r="R391" s="346">
        <f t="shared" si="23"/>
        <v>0</v>
      </c>
      <c r="T391" s="324" t="s">
        <v>212</v>
      </c>
    </row>
    <row r="392" spans="17:20" x14ac:dyDescent="0.3">
      <c r="Q392" s="345">
        <f t="shared" si="22"/>
        <v>0</v>
      </c>
      <c r="R392" s="346">
        <f t="shared" si="23"/>
        <v>0</v>
      </c>
      <c r="T392" s="316" t="s">
        <v>184</v>
      </c>
    </row>
    <row r="393" spans="17:20" x14ac:dyDescent="0.3">
      <c r="Q393" s="345">
        <f t="shared" si="22"/>
        <v>0</v>
      </c>
      <c r="R393" s="346">
        <f t="shared" si="23"/>
        <v>0</v>
      </c>
      <c r="T393" s="317" t="s">
        <v>186</v>
      </c>
    </row>
    <row r="394" spans="17:20" x14ac:dyDescent="0.3">
      <c r="Q394" s="345">
        <f t="shared" si="22"/>
        <v>0</v>
      </c>
      <c r="R394" s="346">
        <f t="shared" si="23"/>
        <v>0</v>
      </c>
      <c r="T394" s="317" t="s">
        <v>187</v>
      </c>
    </row>
    <row r="395" spans="17:20" x14ac:dyDescent="0.3">
      <c r="Q395" s="345">
        <f t="shared" si="22"/>
        <v>0</v>
      </c>
      <c r="R395" s="346">
        <f t="shared" si="23"/>
        <v>0</v>
      </c>
      <c r="T395" s="317" t="s">
        <v>189</v>
      </c>
    </row>
    <row r="396" spans="17:20" x14ac:dyDescent="0.3">
      <c r="Q396" s="345">
        <f t="shared" si="22"/>
        <v>0</v>
      </c>
      <c r="R396" s="346">
        <f t="shared" si="23"/>
        <v>0</v>
      </c>
      <c r="T396" s="317" t="s">
        <v>190</v>
      </c>
    </row>
    <row r="397" spans="17:20" x14ac:dyDescent="0.3">
      <c r="Q397" s="345">
        <f t="shared" si="22"/>
        <v>0</v>
      </c>
      <c r="R397" s="346">
        <f t="shared" si="23"/>
        <v>0</v>
      </c>
      <c r="T397" s="317" t="s">
        <v>191</v>
      </c>
    </row>
    <row r="398" spans="17:20" x14ac:dyDescent="0.3">
      <c r="Q398" s="345">
        <f t="shared" si="22"/>
        <v>0</v>
      </c>
      <c r="R398" s="346">
        <f t="shared" si="23"/>
        <v>0</v>
      </c>
      <c r="T398" s="317" t="s">
        <v>193</v>
      </c>
    </row>
    <row r="399" spans="17:20" x14ac:dyDescent="0.3">
      <c r="Q399" s="345">
        <f t="shared" si="22"/>
        <v>0</v>
      </c>
      <c r="R399" s="346">
        <f t="shared" si="23"/>
        <v>0</v>
      </c>
      <c r="T399" s="317" t="s">
        <v>194</v>
      </c>
    </row>
    <row r="400" spans="17:20" x14ac:dyDescent="0.3">
      <c r="Q400" s="345">
        <f t="shared" si="22"/>
        <v>0</v>
      </c>
      <c r="R400" s="346">
        <f t="shared" si="23"/>
        <v>0</v>
      </c>
      <c r="T400" s="317" t="s">
        <v>195</v>
      </c>
    </row>
    <row r="401" spans="17:20" x14ac:dyDescent="0.3">
      <c r="Q401" s="345">
        <f t="shared" si="22"/>
        <v>0</v>
      </c>
      <c r="R401" s="346">
        <f t="shared" si="23"/>
        <v>0</v>
      </c>
      <c r="T401" s="317" t="s">
        <v>196</v>
      </c>
    </row>
    <row r="402" spans="17:20" x14ac:dyDescent="0.3">
      <c r="Q402" s="345">
        <f t="shared" si="22"/>
        <v>0</v>
      </c>
      <c r="R402" s="346">
        <f t="shared" si="23"/>
        <v>0</v>
      </c>
      <c r="T402" s="320" t="s">
        <v>197</v>
      </c>
    </row>
    <row r="403" spans="17:20" x14ac:dyDescent="0.3">
      <c r="Q403" s="345">
        <f t="shared" ref="Q403:Q466" si="24">SUM(D403:O403)</f>
        <v>0</v>
      </c>
      <c r="R403" s="346">
        <f t="shared" ref="R403:R466" si="25">SUM(M403:O403)*4</f>
        <v>0</v>
      </c>
      <c r="T403" s="320" t="s">
        <v>198</v>
      </c>
    </row>
    <row r="404" spans="17:20" x14ac:dyDescent="0.3">
      <c r="Q404" s="345">
        <f t="shared" si="24"/>
        <v>0</v>
      </c>
      <c r="R404" s="346">
        <f t="shared" si="25"/>
        <v>0</v>
      </c>
      <c r="T404" s="320" t="s">
        <v>199</v>
      </c>
    </row>
    <row r="405" spans="17:20" x14ac:dyDescent="0.3">
      <c r="Q405" s="345">
        <f t="shared" si="24"/>
        <v>0</v>
      </c>
      <c r="R405" s="346">
        <f t="shared" si="25"/>
        <v>0</v>
      </c>
      <c r="T405" s="320" t="s">
        <v>200</v>
      </c>
    </row>
    <row r="406" spans="17:20" x14ac:dyDescent="0.3">
      <c r="Q406" s="345">
        <f t="shared" si="24"/>
        <v>0</v>
      </c>
      <c r="R406" s="346">
        <f t="shared" si="25"/>
        <v>0</v>
      </c>
      <c r="T406" s="320" t="s">
        <v>201</v>
      </c>
    </row>
    <row r="407" spans="17:20" x14ac:dyDescent="0.3">
      <c r="Q407" s="345">
        <f t="shared" si="24"/>
        <v>0</v>
      </c>
      <c r="R407" s="346">
        <f t="shared" si="25"/>
        <v>0</v>
      </c>
      <c r="T407" s="320" t="s">
        <v>202</v>
      </c>
    </row>
    <row r="408" spans="17:20" x14ac:dyDescent="0.3">
      <c r="Q408" s="345">
        <f t="shared" si="24"/>
        <v>0</v>
      </c>
      <c r="R408" s="346">
        <f t="shared" si="25"/>
        <v>0</v>
      </c>
      <c r="T408" s="320" t="s">
        <v>203</v>
      </c>
    </row>
    <row r="409" spans="17:20" x14ac:dyDescent="0.3">
      <c r="Q409" s="345">
        <f t="shared" si="24"/>
        <v>0</v>
      </c>
      <c r="R409" s="346">
        <f t="shared" si="25"/>
        <v>0</v>
      </c>
      <c r="T409" s="320" t="s">
        <v>204</v>
      </c>
    </row>
    <row r="410" spans="17:20" x14ac:dyDescent="0.3">
      <c r="Q410" s="345">
        <f t="shared" si="24"/>
        <v>0</v>
      </c>
      <c r="R410" s="346">
        <f t="shared" si="25"/>
        <v>0</v>
      </c>
      <c r="T410" s="320" t="s">
        <v>205</v>
      </c>
    </row>
    <row r="411" spans="17:20" x14ac:dyDescent="0.3">
      <c r="Q411" s="345">
        <f t="shared" si="24"/>
        <v>0</v>
      </c>
      <c r="R411" s="346">
        <f t="shared" si="25"/>
        <v>0</v>
      </c>
      <c r="T411" s="320" t="s">
        <v>206</v>
      </c>
    </row>
    <row r="412" spans="17:20" x14ac:dyDescent="0.3">
      <c r="Q412" s="345">
        <f t="shared" si="24"/>
        <v>0</v>
      </c>
      <c r="R412" s="346">
        <f t="shared" si="25"/>
        <v>0</v>
      </c>
      <c r="T412" s="320" t="s">
        <v>207</v>
      </c>
    </row>
    <row r="413" spans="17:20" x14ac:dyDescent="0.3">
      <c r="Q413" s="345">
        <f t="shared" si="24"/>
        <v>0</v>
      </c>
      <c r="R413" s="346">
        <f t="shared" si="25"/>
        <v>0</v>
      </c>
      <c r="T413" s="320" t="s">
        <v>208</v>
      </c>
    </row>
    <row r="414" spans="17:20" x14ac:dyDescent="0.3">
      <c r="Q414" s="345">
        <f t="shared" si="24"/>
        <v>0</v>
      </c>
      <c r="R414" s="346">
        <f t="shared" si="25"/>
        <v>0</v>
      </c>
      <c r="T414" s="320" t="s">
        <v>210</v>
      </c>
    </row>
    <row r="415" spans="17:20" ht="15" thickBot="1" x14ac:dyDescent="0.35">
      <c r="Q415" s="345">
        <f t="shared" si="24"/>
        <v>0</v>
      </c>
      <c r="R415" s="346">
        <f t="shared" si="25"/>
        <v>0</v>
      </c>
      <c r="T415" s="324" t="s">
        <v>212</v>
      </c>
    </row>
    <row r="416" spans="17:20" x14ac:dyDescent="0.3">
      <c r="Q416" s="345">
        <f t="shared" si="24"/>
        <v>0</v>
      </c>
      <c r="R416" s="346">
        <f t="shared" si="25"/>
        <v>0</v>
      </c>
      <c r="T416" s="316" t="s">
        <v>184</v>
      </c>
    </row>
    <row r="417" spans="17:20" x14ac:dyDescent="0.3">
      <c r="Q417" s="345">
        <f t="shared" si="24"/>
        <v>0</v>
      </c>
      <c r="R417" s="346">
        <f t="shared" si="25"/>
        <v>0</v>
      </c>
      <c r="T417" s="317" t="s">
        <v>186</v>
      </c>
    </row>
    <row r="418" spans="17:20" x14ac:dyDescent="0.3">
      <c r="Q418" s="345">
        <f t="shared" si="24"/>
        <v>0</v>
      </c>
      <c r="R418" s="346">
        <f t="shared" si="25"/>
        <v>0</v>
      </c>
      <c r="T418" s="317" t="s">
        <v>187</v>
      </c>
    </row>
    <row r="419" spans="17:20" x14ac:dyDescent="0.3">
      <c r="Q419" s="345">
        <f t="shared" si="24"/>
        <v>0</v>
      </c>
      <c r="R419" s="346">
        <f t="shared" si="25"/>
        <v>0</v>
      </c>
      <c r="T419" s="317" t="s">
        <v>189</v>
      </c>
    </row>
    <row r="420" spans="17:20" x14ac:dyDescent="0.3">
      <c r="Q420" s="345">
        <f t="shared" si="24"/>
        <v>0</v>
      </c>
      <c r="R420" s="346">
        <f t="shared" si="25"/>
        <v>0</v>
      </c>
      <c r="T420" s="317" t="s">
        <v>190</v>
      </c>
    </row>
    <row r="421" spans="17:20" x14ac:dyDescent="0.3">
      <c r="Q421" s="345">
        <f t="shared" si="24"/>
        <v>0</v>
      </c>
      <c r="R421" s="346">
        <f t="shared" si="25"/>
        <v>0</v>
      </c>
      <c r="T421" s="317" t="s">
        <v>191</v>
      </c>
    </row>
    <row r="422" spans="17:20" x14ac:dyDescent="0.3">
      <c r="Q422" s="345">
        <f t="shared" si="24"/>
        <v>0</v>
      </c>
      <c r="R422" s="346">
        <f t="shared" si="25"/>
        <v>0</v>
      </c>
      <c r="T422" s="317" t="s">
        <v>193</v>
      </c>
    </row>
    <row r="423" spans="17:20" x14ac:dyDescent="0.3">
      <c r="Q423" s="345">
        <f t="shared" si="24"/>
        <v>0</v>
      </c>
      <c r="R423" s="346">
        <f t="shared" si="25"/>
        <v>0</v>
      </c>
      <c r="T423" s="317" t="s">
        <v>194</v>
      </c>
    </row>
    <row r="424" spans="17:20" x14ac:dyDescent="0.3">
      <c r="Q424" s="345">
        <f t="shared" si="24"/>
        <v>0</v>
      </c>
      <c r="R424" s="346">
        <f t="shared" si="25"/>
        <v>0</v>
      </c>
      <c r="T424" s="317" t="s">
        <v>195</v>
      </c>
    </row>
    <row r="425" spans="17:20" x14ac:dyDescent="0.3">
      <c r="Q425" s="345">
        <f t="shared" si="24"/>
        <v>0</v>
      </c>
      <c r="R425" s="346">
        <f t="shared" si="25"/>
        <v>0</v>
      </c>
      <c r="T425" s="317" t="s">
        <v>196</v>
      </c>
    </row>
    <row r="426" spans="17:20" x14ac:dyDescent="0.3">
      <c r="Q426" s="345">
        <f t="shared" si="24"/>
        <v>0</v>
      </c>
      <c r="R426" s="346">
        <f t="shared" si="25"/>
        <v>0</v>
      </c>
      <c r="T426" s="320" t="s">
        <v>197</v>
      </c>
    </row>
    <row r="427" spans="17:20" x14ac:dyDescent="0.3">
      <c r="Q427" s="345">
        <f t="shared" si="24"/>
        <v>0</v>
      </c>
      <c r="R427" s="346">
        <f t="shared" si="25"/>
        <v>0</v>
      </c>
      <c r="T427" s="320" t="s">
        <v>198</v>
      </c>
    </row>
    <row r="428" spans="17:20" x14ac:dyDescent="0.3">
      <c r="Q428" s="345">
        <f t="shared" si="24"/>
        <v>0</v>
      </c>
      <c r="R428" s="346">
        <f t="shared" si="25"/>
        <v>0</v>
      </c>
      <c r="T428" s="320" t="s">
        <v>199</v>
      </c>
    </row>
    <row r="429" spans="17:20" x14ac:dyDescent="0.3">
      <c r="Q429" s="345">
        <f t="shared" si="24"/>
        <v>0</v>
      </c>
      <c r="R429" s="346">
        <f t="shared" si="25"/>
        <v>0</v>
      </c>
      <c r="T429" s="320" t="s">
        <v>200</v>
      </c>
    </row>
    <row r="430" spans="17:20" x14ac:dyDescent="0.3">
      <c r="Q430" s="345">
        <f t="shared" si="24"/>
        <v>0</v>
      </c>
      <c r="R430" s="346">
        <f t="shared" si="25"/>
        <v>0</v>
      </c>
      <c r="T430" s="320" t="s">
        <v>201</v>
      </c>
    </row>
    <row r="431" spans="17:20" x14ac:dyDescent="0.3">
      <c r="Q431" s="345">
        <f t="shared" si="24"/>
        <v>0</v>
      </c>
      <c r="R431" s="346">
        <f t="shared" si="25"/>
        <v>0</v>
      </c>
      <c r="T431" s="320" t="s">
        <v>202</v>
      </c>
    </row>
    <row r="432" spans="17:20" x14ac:dyDescent="0.3">
      <c r="Q432" s="345">
        <f t="shared" si="24"/>
        <v>0</v>
      </c>
      <c r="R432" s="346">
        <f t="shared" si="25"/>
        <v>0</v>
      </c>
      <c r="T432" s="320" t="s">
        <v>203</v>
      </c>
    </row>
    <row r="433" spans="17:20" x14ac:dyDescent="0.3">
      <c r="Q433" s="345">
        <f t="shared" si="24"/>
        <v>0</v>
      </c>
      <c r="R433" s="346">
        <f t="shared" si="25"/>
        <v>0</v>
      </c>
      <c r="T433" s="320" t="s">
        <v>204</v>
      </c>
    </row>
    <row r="434" spans="17:20" x14ac:dyDescent="0.3">
      <c r="Q434" s="345">
        <f t="shared" si="24"/>
        <v>0</v>
      </c>
      <c r="R434" s="346">
        <f t="shared" si="25"/>
        <v>0</v>
      </c>
      <c r="T434" s="320" t="s">
        <v>205</v>
      </c>
    </row>
    <row r="435" spans="17:20" x14ac:dyDescent="0.3">
      <c r="Q435" s="345">
        <f t="shared" si="24"/>
        <v>0</v>
      </c>
      <c r="R435" s="346">
        <f t="shared" si="25"/>
        <v>0</v>
      </c>
      <c r="T435" s="320" t="s">
        <v>206</v>
      </c>
    </row>
    <row r="436" spans="17:20" x14ac:dyDescent="0.3">
      <c r="Q436" s="345">
        <f t="shared" si="24"/>
        <v>0</v>
      </c>
      <c r="R436" s="346">
        <f t="shared" si="25"/>
        <v>0</v>
      </c>
      <c r="T436" s="320" t="s">
        <v>207</v>
      </c>
    </row>
    <row r="437" spans="17:20" x14ac:dyDescent="0.3">
      <c r="Q437" s="345">
        <f t="shared" si="24"/>
        <v>0</v>
      </c>
      <c r="R437" s="346">
        <f t="shared" si="25"/>
        <v>0</v>
      </c>
      <c r="T437" s="320" t="s">
        <v>208</v>
      </c>
    </row>
    <row r="438" spans="17:20" x14ac:dyDescent="0.3">
      <c r="Q438" s="345">
        <f t="shared" si="24"/>
        <v>0</v>
      </c>
      <c r="R438" s="346">
        <f t="shared" si="25"/>
        <v>0</v>
      </c>
      <c r="T438" s="320" t="s">
        <v>210</v>
      </c>
    </row>
    <row r="439" spans="17:20" ht="15" thickBot="1" x14ac:dyDescent="0.35">
      <c r="Q439" s="345">
        <f t="shared" si="24"/>
        <v>0</v>
      </c>
      <c r="R439" s="346">
        <f t="shared" si="25"/>
        <v>0</v>
      </c>
      <c r="T439" s="324" t="s">
        <v>212</v>
      </c>
    </row>
    <row r="440" spans="17:20" x14ac:dyDescent="0.3">
      <c r="Q440" s="345">
        <f t="shared" si="24"/>
        <v>0</v>
      </c>
      <c r="R440" s="346">
        <f t="shared" si="25"/>
        <v>0</v>
      </c>
      <c r="T440" s="316" t="s">
        <v>184</v>
      </c>
    </row>
    <row r="441" spans="17:20" x14ac:dyDescent="0.3">
      <c r="Q441" s="345">
        <f t="shared" si="24"/>
        <v>0</v>
      </c>
      <c r="R441" s="346">
        <f t="shared" si="25"/>
        <v>0</v>
      </c>
      <c r="T441" s="317" t="s">
        <v>186</v>
      </c>
    </row>
    <row r="442" spans="17:20" x14ac:dyDescent="0.3">
      <c r="Q442" s="345">
        <f t="shared" si="24"/>
        <v>0</v>
      </c>
      <c r="R442" s="346">
        <f t="shared" si="25"/>
        <v>0</v>
      </c>
      <c r="T442" s="317" t="s">
        <v>187</v>
      </c>
    </row>
    <row r="443" spans="17:20" x14ac:dyDescent="0.3">
      <c r="Q443" s="345">
        <f t="shared" si="24"/>
        <v>0</v>
      </c>
      <c r="R443" s="346">
        <f t="shared" si="25"/>
        <v>0</v>
      </c>
      <c r="T443" s="317" t="s">
        <v>189</v>
      </c>
    </row>
    <row r="444" spans="17:20" x14ac:dyDescent="0.3">
      <c r="Q444" s="345">
        <f t="shared" si="24"/>
        <v>0</v>
      </c>
      <c r="R444" s="346">
        <f t="shared" si="25"/>
        <v>0</v>
      </c>
      <c r="T444" s="317" t="s">
        <v>190</v>
      </c>
    </row>
    <row r="445" spans="17:20" x14ac:dyDescent="0.3">
      <c r="Q445" s="345">
        <f t="shared" si="24"/>
        <v>0</v>
      </c>
      <c r="R445" s="346">
        <f t="shared" si="25"/>
        <v>0</v>
      </c>
      <c r="T445" s="317" t="s">
        <v>191</v>
      </c>
    </row>
    <row r="446" spans="17:20" x14ac:dyDescent="0.3">
      <c r="Q446" s="345">
        <f t="shared" si="24"/>
        <v>0</v>
      </c>
      <c r="R446" s="346">
        <f t="shared" si="25"/>
        <v>0</v>
      </c>
      <c r="T446" s="317" t="s">
        <v>193</v>
      </c>
    </row>
    <row r="447" spans="17:20" x14ac:dyDescent="0.3">
      <c r="Q447" s="345">
        <f t="shared" si="24"/>
        <v>0</v>
      </c>
      <c r="R447" s="346">
        <f t="shared" si="25"/>
        <v>0</v>
      </c>
      <c r="T447" s="317" t="s">
        <v>194</v>
      </c>
    </row>
    <row r="448" spans="17:20" x14ac:dyDescent="0.3">
      <c r="Q448" s="345">
        <f t="shared" si="24"/>
        <v>0</v>
      </c>
      <c r="R448" s="346">
        <f t="shared" si="25"/>
        <v>0</v>
      </c>
      <c r="T448" s="317" t="s">
        <v>195</v>
      </c>
    </row>
    <row r="449" spans="17:20" x14ac:dyDescent="0.3">
      <c r="Q449" s="345">
        <f t="shared" si="24"/>
        <v>0</v>
      </c>
      <c r="R449" s="346">
        <f t="shared" si="25"/>
        <v>0</v>
      </c>
      <c r="T449" s="317" t="s">
        <v>196</v>
      </c>
    </row>
    <row r="450" spans="17:20" x14ac:dyDescent="0.3">
      <c r="Q450" s="345">
        <f t="shared" si="24"/>
        <v>0</v>
      </c>
      <c r="R450" s="346">
        <f t="shared" si="25"/>
        <v>0</v>
      </c>
      <c r="T450" s="320" t="s">
        <v>197</v>
      </c>
    </row>
    <row r="451" spans="17:20" x14ac:dyDescent="0.3">
      <c r="Q451" s="345">
        <f t="shared" si="24"/>
        <v>0</v>
      </c>
      <c r="R451" s="346">
        <f t="shared" si="25"/>
        <v>0</v>
      </c>
      <c r="T451" s="320" t="s">
        <v>198</v>
      </c>
    </row>
    <row r="452" spans="17:20" x14ac:dyDescent="0.3">
      <c r="Q452" s="345">
        <f t="shared" si="24"/>
        <v>0</v>
      </c>
      <c r="R452" s="346">
        <f t="shared" si="25"/>
        <v>0</v>
      </c>
      <c r="T452" s="320" t="s">
        <v>199</v>
      </c>
    </row>
    <row r="453" spans="17:20" x14ac:dyDescent="0.3">
      <c r="Q453" s="345">
        <f t="shared" si="24"/>
        <v>0</v>
      </c>
      <c r="R453" s="346">
        <f t="shared" si="25"/>
        <v>0</v>
      </c>
      <c r="T453" s="320" t="s">
        <v>200</v>
      </c>
    </row>
    <row r="454" spans="17:20" x14ac:dyDescent="0.3">
      <c r="Q454" s="345">
        <f t="shared" si="24"/>
        <v>0</v>
      </c>
      <c r="R454" s="346">
        <f t="shared" si="25"/>
        <v>0</v>
      </c>
      <c r="T454" s="320" t="s">
        <v>201</v>
      </c>
    </row>
    <row r="455" spans="17:20" x14ac:dyDescent="0.3">
      <c r="Q455" s="345">
        <f t="shared" si="24"/>
        <v>0</v>
      </c>
      <c r="R455" s="346">
        <f t="shared" si="25"/>
        <v>0</v>
      </c>
      <c r="T455" s="320" t="s">
        <v>202</v>
      </c>
    </row>
    <row r="456" spans="17:20" x14ac:dyDescent="0.3">
      <c r="Q456" s="345">
        <f t="shared" si="24"/>
        <v>0</v>
      </c>
      <c r="R456" s="346">
        <f t="shared" si="25"/>
        <v>0</v>
      </c>
      <c r="T456" s="320" t="s">
        <v>203</v>
      </c>
    </row>
    <row r="457" spans="17:20" x14ac:dyDescent="0.3">
      <c r="Q457" s="345">
        <f t="shared" si="24"/>
        <v>0</v>
      </c>
      <c r="R457" s="346">
        <f t="shared" si="25"/>
        <v>0</v>
      </c>
      <c r="T457" s="320" t="s">
        <v>204</v>
      </c>
    </row>
    <row r="458" spans="17:20" x14ac:dyDescent="0.3">
      <c r="Q458" s="345">
        <f t="shared" si="24"/>
        <v>0</v>
      </c>
      <c r="R458" s="346">
        <f t="shared" si="25"/>
        <v>0</v>
      </c>
      <c r="T458" s="320" t="s">
        <v>205</v>
      </c>
    </row>
    <row r="459" spans="17:20" x14ac:dyDescent="0.3">
      <c r="Q459" s="345">
        <f t="shared" si="24"/>
        <v>0</v>
      </c>
      <c r="R459" s="346">
        <f t="shared" si="25"/>
        <v>0</v>
      </c>
      <c r="T459" s="320" t="s">
        <v>206</v>
      </c>
    </row>
    <row r="460" spans="17:20" x14ac:dyDescent="0.3">
      <c r="Q460" s="345">
        <f t="shared" si="24"/>
        <v>0</v>
      </c>
      <c r="R460" s="346">
        <f t="shared" si="25"/>
        <v>0</v>
      </c>
      <c r="T460" s="320" t="s">
        <v>207</v>
      </c>
    </row>
    <row r="461" spans="17:20" x14ac:dyDescent="0.3">
      <c r="Q461" s="345">
        <f t="shared" si="24"/>
        <v>0</v>
      </c>
      <c r="R461" s="346">
        <f t="shared" si="25"/>
        <v>0</v>
      </c>
      <c r="T461" s="320" t="s">
        <v>208</v>
      </c>
    </row>
    <row r="462" spans="17:20" x14ac:dyDescent="0.3">
      <c r="Q462" s="345">
        <f t="shared" si="24"/>
        <v>0</v>
      </c>
      <c r="R462" s="346">
        <f t="shared" si="25"/>
        <v>0</v>
      </c>
      <c r="T462" s="320" t="s">
        <v>210</v>
      </c>
    </row>
    <row r="463" spans="17:20" ht="15" thickBot="1" x14ac:dyDescent="0.35">
      <c r="Q463" s="345">
        <f t="shared" si="24"/>
        <v>0</v>
      </c>
      <c r="R463" s="346">
        <f t="shared" si="25"/>
        <v>0</v>
      </c>
      <c r="T463" s="324" t="s">
        <v>212</v>
      </c>
    </row>
    <row r="464" spans="17:20" x14ac:dyDescent="0.3">
      <c r="Q464" s="345">
        <f t="shared" si="24"/>
        <v>0</v>
      </c>
      <c r="R464" s="346">
        <f t="shared" si="25"/>
        <v>0</v>
      </c>
      <c r="T464" s="316" t="s">
        <v>184</v>
      </c>
    </row>
    <row r="465" spans="17:20" x14ac:dyDescent="0.3">
      <c r="Q465" s="345">
        <f t="shared" si="24"/>
        <v>0</v>
      </c>
      <c r="R465" s="346">
        <f t="shared" si="25"/>
        <v>0</v>
      </c>
      <c r="T465" s="317" t="s">
        <v>186</v>
      </c>
    </row>
    <row r="466" spans="17:20" x14ac:dyDescent="0.3">
      <c r="Q466" s="345">
        <f t="shared" si="24"/>
        <v>0</v>
      </c>
      <c r="R466" s="346">
        <f t="shared" si="25"/>
        <v>0</v>
      </c>
      <c r="T466" s="317" t="s">
        <v>187</v>
      </c>
    </row>
    <row r="467" spans="17:20" x14ac:dyDescent="0.3">
      <c r="Q467" s="345">
        <f t="shared" ref="Q467:Q530" si="26">SUM(D467:O467)</f>
        <v>0</v>
      </c>
      <c r="R467" s="346">
        <f t="shared" ref="R467:R530" si="27">SUM(M467:O467)*4</f>
        <v>0</v>
      </c>
      <c r="T467" s="317" t="s">
        <v>189</v>
      </c>
    </row>
    <row r="468" spans="17:20" x14ac:dyDescent="0.3">
      <c r="Q468" s="345">
        <f t="shared" si="26"/>
        <v>0</v>
      </c>
      <c r="R468" s="346">
        <f t="shared" si="27"/>
        <v>0</v>
      </c>
      <c r="T468" s="317" t="s">
        <v>190</v>
      </c>
    </row>
    <row r="469" spans="17:20" x14ac:dyDescent="0.3">
      <c r="Q469" s="345">
        <f t="shared" si="26"/>
        <v>0</v>
      </c>
      <c r="R469" s="346">
        <f t="shared" si="27"/>
        <v>0</v>
      </c>
      <c r="T469" s="317" t="s">
        <v>191</v>
      </c>
    </row>
    <row r="470" spans="17:20" x14ac:dyDescent="0.3">
      <c r="Q470" s="345">
        <f t="shared" si="26"/>
        <v>0</v>
      </c>
      <c r="R470" s="346">
        <f t="shared" si="27"/>
        <v>0</v>
      </c>
      <c r="T470" s="317" t="s">
        <v>193</v>
      </c>
    </row>
    <row r="471" spans="17:20" x14ac:dyDescent="0.3">
      <c r="Q471" s="345">
        <f t="shared" si="26"/>
        <v>0</v>
      </c>
      <c r="R471" s="346">
        <f t="shared" si="27"/>
        <v>0</v>
      </c>
      <c r="T471" s="317" t="s">
        <v>194</v>
      </c>
    </row>
    <row r="472" spans="17:20" x14ac:dyDescent="0.3">
      <c r="Q472" s="345">
        <f t="shared" si="26"/>
        <v>0</v>
      </c>
      <c r="R472" s="346">
        <f t="shared" si="27"/>
        <v>0</v>
      </c>
      <c r="T472" s="317" t="s">
        <v>195</v>
      </c>
    </row>
    <row r="473" spans="17:20" x14ac:dyDescent="0.3">
      <c r="Q473" s="345">
        <f t="shared" si="26"/>
        <v>0</v>
      </c>
      <c r="R473" s="346">
        <f t="shared" si="27"/>
        <v>0</v>
      </c>
      <c r="T473" s="317" t="s">
        <v>196</v>
      </c>
    </row>
    <row r="474" spans="17:20" x14ac:dyDescent="0.3">
      <c r="Q474" s="345">
        <f t="shared" si="26"/>
        <v>0</v>
      </c>
      <c r="R474" s="346">
        <f t="shared" si="27"/>
        <v>0</v>
      </c>
      <c r="T474" s="320" t="s">
        <v>197</v>
      </c>
    </row>
    <row r="475" spans="17:20" x14ac:dyDescent="0.3">
      <c r="Q475" s="345">
        <f t="shared" si="26"/>
        <v>0</v>
      </c>
      <c r="R475" s="346">
        <f t="shared" si="27"/>
        <v>0</v>
      </c>
      <c r="T475" s="320" t="s">
        <v>198</v>
      </c>
    </row>
    <row r="476" spans="17:20" x14ac:dyDescent="0.3">
      <c r="Q476" s="345">
        <f t="shared" si="26"/>
        <v>0</v>
      </c>
      <c r="R476" s="346">
        <f t="shared" si="27"/>
        <v>0</v>
      </c>
      <c r="T476" s="320" t="s">
        <v>199</v>
      </c>
    </row>
    <row r="477" spans="17:20" x14ac:dyDescent="0.3">
      <c r="Q477" s="345">
        <f t="shared" si="26"/>
        <v>0</v>
      </c>
      <c r="R477" s="346">
        <f t="shared" si="27"/>
        <v>0</v>
      </c>
      <c r="T477" s="320" t="s">
        <v>200</v>
      </c>
    </row>
    <row r="478" spans="17:20" x14ac:dyDescent="0.3">
      <c r="Q478" s="345">
        <f t="shared" si="26"/>
        <v>0</v>
      </c>
      <c r="R478" s="346">
        <f t="shared" si="27"/>
        <v>0</v>
      </c>
      <c r="T478" s="320" t="s">
        <v>201</v>
      </c>
    </row>
    <row r="479" spans="17:20" x14ac:dyDescent="0.3">
      <c r="Q479" s="345">
        <f t="shared" si="26"/>
        <v>0</v>
      </c>
      <c r="R479" s="346">
        <f t="shared" si="27"/>
        <v>0</v>
      </c>
      <c r="T479" s="320" t="s">
        <v>202</v>
      </c>
    </row>
    <row r="480" spans="17:20" x14ac:dyDescent="0.3">
      <c r="Q480" s="345">
        <f t="shared" si="26"/>
        <v>0</v>
      </c>
      <c r="R480" s="346">
        <f t="shared" si="27"/>
        <v>0</v>
      </c>
      <c r="T480" s="320" t="s">
        <v>203</v>
      </c>
    </row>
    <row r="481" spans="17:20" x14ac:dyDescent="0.3">
      <c r="Q481" s="345">
        <f t="shared" si="26"/>
        <v>0</v>
      </c>
      <c r="R481" s="346">
        <f t="shared" si="27"/>
        <v>0</v>
      </c>
      <c r="T481" s="320" t="s">
        <v>204</v>
      </c>
    </row>
    <row r="482" spans="17:20" x14ac:dyDescent="0.3">
      <c r="Q482" s="345">
        <f t="shared" si="26"/>
        <v>0</v>
      </c>
      <c r="R482" s="346">
        <f t="shared" si="27"/>
        <v>0</v>
      </c>
      <c r="T482" s="320" t="s">
        <v>205</v>
      </c>
    </row>
    <row r="483" spans="17:20" x14ac:dyDescent="0.3">
      <c r="Q483" s="345">
        <f t="shared" si="26"/>
        <v>0</v>
      </c>
      <c r="R483" s="346">
        <f t="shared" si="27"/>
        <v>0</v>
      </c>
      <c r="T483" s="320" t="s">
        <v>206</v>
      </c>
    </row>
    <row r="484" spans="17:20" x14ac:dyDescent="0.3">
      <c r="Q484" s="345">
        <f t="shared" si="26"/>
        <v>0</v>
      </c>
      <c r="R484" s="346">
        <f t="shared" si="27"/>
        <v>0</v>
      </c>
      <c r="T484" s="320" t="s">
        <v>207</v>
      </c>
    </row>
    <row r="485" spans="17:20" x14ac:dyDescent="0.3">
      <c r="Q485" s="345">
        <f t="shared" si="26"/>
        <v>0</v>
      </c>
      <c r="R485" s="346">
        <f t="shared" si="27"/>
        <v>0</v>
      </c>
      <c r="T485" s="320" t="s">
        <v>208</v>
      </c>
    </row>
    <row r="486" spans="17:20" x14ac:dyDescent="0.3">
      <c r="Q486" s="345">
        <f t="shared" si="26"/>
        <v>0</v>
      </c>
      <c r="R486" s="346">
        <f t="shared" si="27"/>
        <v>0</v>
      </c>
      <c r="T486" s="320" t="s">
        <v>210</v>
      </c>
    </row>
    <row r="487" spans="17:20" ht="15" thickBot="1" x14ac:dyDescent="0.35">
      <c r="Q487" s="345">
        <f t="shared" si="26"/>
        <v>0</v>
      </c>
      <c r="R487" s="346">
        <f t="shared" si="27"/>
        <v>0</v>
      </c>
      <c r="T487" s="324" t="s">
        <v>212</v>
      </c>
    </row>
    <row r="488" spans="17:20" x14ac:dyDescent="0.3">
      <c r="Q488" s="345">
        <f t="shared" si="26"/>
        <v>0</v>
      </c>
      <c r="R488" s="346">
        <f t="shared" si="27"/>
        <v>0</v>
      </c>
      <c r="T488" s="316" t="s">
        <v>184</v>
      </c>
    </row>
    <row r="489" spans="17:20" x14ac:dyDescent="0.3">
      <c r="Q489" s="345">
        <f t="shared" si="26"/>
        <v>0</v>
      </c>
      <c r="R489" s="346">
        <f t="shared" si="27"/>
        <v>0</v>
      </c>
      <c r="T489" s="317" t="s">
        <v>186</v>
      </c>
    </row>
    <row r="490" spans="17:20" x14ac:dyDescent="0.3">
      <c r="Q490" s="345">
        <f t="shared" si="26"/>
        <v>0</v>
      </c>
      <c r="R490" s="346">
        <f t="shared" si="27"/>
        <v>0</v>
      </c>
      <c r="T490" s="317" t="s">
        <v>187</v>
      </c>
    </row>
    <row r="491" spans="17:20" x14ac:dyDescent="0.3">
      <c r="Q491" s="345">
        <f t="shared" si="26"/>
        <v>0</v>
      </c>
      <c r="R491" s="346">
        <f t="shared" si="27"/>
        <v>0</v>
      </c>
      <c r="T491" s="317" t="s">
        <v>189</v>
      </c>
    </row>
    <row r="492" spans="17:20" x14ac:dyDescent="0.3">
      <c r="Q492" s="345">
        <f t="shared" si="26"/>
        <v>0</v>
      </c>
      <c r="R492" s="346">
        <f t="shared" si="27"/>
        <v>0</v>
      </c>
      <c r="T492" s="317" t="s">
        <v>190</v>
      </c>
    </row>
    <row r="493" spans="17:20" x14ac:dyDescent="0.3">
      <c r="Q493" s="345">
        <f t="shared" si="26"/>
        <v>0</v>
      </c>
      <c r="R493" s="346">
        <f t="shared" si="27"/>
        <v>0</v>
      </c>
      <c r="T493" s="317" t="s">
        <v>191</v>
      </c>
    </row>
    <row r="494" spans="17:20" x14ac:dyDescent="0.3">
      <c r="Q494" s="345">
        <f t="shared" si="26"/>
        <v>0</v>
      </c>
      <c r="R494" s="346">
        <f t="shared" si="27"/>
        <v>0</v>
      </c>
      <c r="T494" s="317" t="s">
        <v>193</v>
      </c>
    </row>
    <row r="495" spans="17:20" x14ac:dyDescent="0.3">
      <c r="Q495" s="345">
        <f t="shared" si="26"/>
        <v>0</v>
      </c>
      <c r="R495" s="346">
        <f t="shared" si="27"/>
        <v>0</v>
      </c>
      <c r="T495" s="317" t="s">
        <v>194</v>
      </c>
    </row>
    <row r="496" spans="17:20" x14ac:dyDescent="0.3">
      <c r="Q496" s="345">
        <f t="shared" si="26"/>
        <v>0</v>
      </c>
      <c r="R496" s="346">
        <f t="shared" si="27"/>
        <v>0</v>
      </c>
      <c r="T496" s="317" t="s">
        <v>195</v>
      </c>
    </row>
    <row r="497" spans="17:20" x14ac:dyDescent="0.3">
      <c r="Q497" s="345">
        <f t="shared" si="26"/>
        <v>0</v>
      </c>
      <c r="R497" s="346">
        <f t="shared" si="27"/>
        <v>0</v>
      </c>
      <c r="T497" s="317" t="s">
        <v>196</v>
      </c>
    </row>
    <row r="498" spans="17:20" x14ac:dyDescent="0.3">
      <c r="Q498" s="345">
        <f t="shared" si="26"/>
        <v>0</v>
      </c>
      <c r="R498" s="346">
        <f t="shared" si="27"/>
        <v>0</v>
      </c>
      <c r="T498" s="320" t="s">
        <v>197</v>
      </c>
    </row>
    <row r="499" spans="17:20" x14ac:dyDescent="0.3">
      <c r="Q499" s="345">
        <f t="shared" si="26"/>
        <v>0</v>
      </c>
      <c r="R499" s="346">
        <f t="shared" si="27"/>
        <v>0</v>
      </c>
      <c r="T499" s="320" t="s">
        <v>198</v>
      </c>
    </row>
    <row r="500" spans="17:20" x14ac:dyDescent="0.3">
      <c r="Q500" s="345">
        <f t="shared" si="26"/>
        <v>0</v>
      </c>
      <c r="R500" s="346">
        <f t="shared" si="27"/>
        <v>0</v>
      </c>
      <c r="T500" s="320" t="s">
        <v>199</v>
      </c>
    </row>
    <row r="501" spans="17:20" x14ac:dyDescent="0.3">
      <c r="Q501" s="345">
        <f t="shared" si="26"/>
        <v>0</v>
      </c>
      <c r="R501" s="346">
        <f t="shared" si="27"/>
        <v>0</v>
      </c>
      <c r="T501" s="320" t="s">
        <v>200</v>
      </c>
    </row>
    <row r="502" spans="17:20" x14ac:dyDescent="0.3">
      <c r="Q502" s="345">
        <f t="shared" si="26"/>
        <v>0</v>
      </c>
      <c r="R502" s="346">
        <f t="shared" si="27"/>
        <v>0</v>
      </c>
      <c r="T502" s="320" t="s">
        <v>201</v>
      </c>
    </row>
    <row r="503" spans="17:20" x14ac:dyDescent="0.3">
      <c r="Q503" s="345">
        <f t="shared" si="26"/>
        <v>0</v>
      </c>
      <c r="R503" s="346">
        <f t="shared" si="27"/>
        <v>0</v>
      </c>
      <c r="T503" s="320" t="s">
        <v>202</v>
      </c>
    </row>
    <row r="504" spans="17:20" x14ac:dyDescent="0.3">
      <c r="Q504" s="345">
        <f t="shared" si="26"/>
        <v>0</v>
      </c>
      <c r="R504" s="346">
        <f t="shared" si="27"/>
        <v>0</v>
      </c>
      <c r="T504" s="320" t="s">
        <v>203</v>
      </c>
    </row>
    <row r="505" spans="17:20" x14ac:dyDescent="0.3">
      <c r="Q505" s="345">
        <f t="shared" si="26"/>
        <v>0</v>
      </c>
      <c r="R505" s="346">
        <f t="shared" si="27"/>
        <v>0</v>
      </c>
      <c r="T505" s="320" t="s">
        <v>204</v>
      </c>
    </row>
    <row r="506" spans="17:20" x14ac:dyDescent="0.3">
      <c r="Q506" s="345">
        <f t="shared" si="26"/>
        <v>0</v>
      </c>
      <c r="R506" s="346">
        <f t="shared" si="27"/>
        <v>0</v>
      </c>
      <c r="T506" s="320" t="s">
        <v>205</v>
      </c>
    </row>
    <row r="507" spans="17:20" x14ac:dyDescent="0.3">
      <c r="Q507" s="345">
        <f t="shared" si="26"/>
        <v>0</v>
      </c>
      <c r="R507" s="346">
        <f t="shared" si="27"/>
        <v>0</v>
      </c>
      <c r="T507" s="320" t="s">
        <v>206</v>
      </c>
    </row>
    <row r="508" spans="17:20" x14ac:dyDescent="0.3">
      <c r="Q508" s="345">
        <f t="shared" si="26"/>
        <v>0</v>
      </c>
      <c r="R508" s="346">
        <f t="shared" si="27"/>
        <v>0</v>
      </c>
      <c r="T508" s="320" t="s">
        <v>207</v>
      </c>
    </row>
    <row r="509" spans="17:20" x14ac:dyDescent="0.3">
      <c r="Q509" s="345">
        <f t="shared" si="26"/>
        <v>0</v>
      </c>
      <c r="R509" s="346">
        <f t="shared" si="27"/>
        <v>0</v>
      </c>
      <c r="T509" s="320" t="s">
        <v>208</v>
      </c>
    </row>
    <row r="510" spans="17:20" x14ac:dyDescent="0.3">
      <c r="Q510" s="345">
        <f t="shared" si="26"/>
        <v>0</v>
      </c>
      <c r="R510" s="346">
        <f t="shared" si="27"/>
        <v>0</v>
      </c>
      <c r="T510" s="320" t="s">
        <v>210</v>
      </c>
    </row>
    <row r="511" spans="17:20" ht="15" thickBot="1" x14ac:dyDescent="0.35">
      <c r="Q511" s="345">
        <f t="shared" si="26"/>
        <v>0</v>
      </c>
      <c r="R511" s="346">
        <f t="shared" si="27"/>
        <v>0</v>
      </c>
      <c r="T511" s="324" t="s">
        <v>212</v>
      </c>
    </row>
    <row r="512" spans="17:20" x14ac:dyDescent="0.3">
      <c r="Q512" s="345">
        <f t="shared" si="26"/>
        <v>0</v>
      </c>
      <c r="R512" s="346">
        <f t="shared" si="27"/>
        <v>0</v>
      </c>
      <c r="T512" s="316" t="s">
        <v>184</v>
      </c>
    </row>
    <row r="513" spans="17:20" x14ac:dyDescent="0.3">
      <c r="Q513" s="345">
        <f t="shared" si="26"/>
        <v>0</v>
      </c>
      <c r="R513" s="346">
        <f t="shared" si="27"/>
        <v>0</v>
      </c>
      <c r="T513" s="317" t="s">
        <v>186</v>
      </c>
    </row>
    <row r="514" spans="17:20" x14ac:dyDescent="0.3">
      <c r="Q514" s="345">
        <f t="shared" si="26"/>
        <v>0</v>
      </c>
      <c r="R514" s="346">
        <f t="shared" si="27"/>
        <v>0</v>
      </c>
      <c r="T514" s="317" t="s">
        <v>187</v>
      </c>
    </row>
    <row r="515" spans="17:20" x14ac:dyDescent="0.3">
      <c r="Q515" s="345">
        <f t="shared" si="26"/>
        <v>0</v>
      </c>
      <c r="R515" s="346">
        <f t="shared" si="27"/>
        <v>0</v>
      </c>
      <c r="T515" s="317" t="s">
        <v>189</v>
      </c>
    </row>
    <row r="516" spans="17:20" x14ac:dyDescent="0.3">
      <c r="Q516" s="345">
        <f t="shared" si="26"/>
        <v>0</v>
      </c>
      <c r="R516" s="346">
        <f t="shared" si="27"/>
        <v>0</v>
      </c>
      <c r="T516" s="317" t="s">
        <v>190</v>
      </c>
    </row>
    <row r="517" spans="17:20" x14ac:dyDescent="0.3">
      <c r="Q517" s="345">
        <f t="shared" si="26"/>
        <v>0</v>
      </c>
      <c r="R517" s="346">
        <f t="shared" si="27"/>
        <v>0</v>
      </c>
      <c r="T517" s="317" t="s">
        <v>191</v>
      </c>
    </row>
    <row r="518" spans="17:20" x14ac:dyDescent="0.3">
      <c r="Q518" s="345">
        <f t="shared" si="26"/>
        <v>0</v>
      </c>
      <c r="R518" s="346">
        <f t="shared" si="27"/>
        <v>0</v>
      </c>
      <c r="T518" s="317" t="s">
        <v>193</v>
      </c>
    </row>
    <row r="519" spans="17:20" x14ac:dyDescent="0.3">
      <c r="Q519" s="345">
        <f t="shared" si="26"/>
        <v>0</v>
      </c>
      <c r="R519" s="346">
        <f t="shared" si="27"/>
        <v>0</v>
      </c>
      <c r="T519" s="317" t="s">
        <v>194</v>
      </c>
    </row>
    <row r="520" spans="17:20" x14ac:dyDescent="0.3">
      <c r="Q520" s="345">
        <f t="shared" si="26"/>
        <v>0</v>
      </c>
      <c r="R520" s="346">
        <f t="shared" si="27"/>
        <v>0</v>
      </c>
      <c r="T520" s="317" t="s">
        <v>195</v>
      </c>
    </row>
    <row r="521" spans="17:20" x14ac:dyDescent="0.3">
      <c r="Q521" s="345">
        <f t="shared" si="26"/>
        <v>0</v>
      </c>
      <c r="R521" s="346">
        <f t="shared" si="27"/>
        <v>0</v>
      </c>
      <c r="T521" s="317" t="s">
        <v>196</v>
      </c>
    </row>
    <row r="522" spans="17:20" x14ac:dyDescent="0.3">
      <c r="Q522" s="345">
        <f t="shared" si="26"/>
        <v>0</v>
      </c>
      <c r="R522" s="346">
        <f t="shared" si="27"/>
        <v>0</v>
      </c>
      <c r="T522" s="320" t="s">
        <v>197</v>
      </c>
    </row>
    <row r="523" spans="17:20" x14ac:dyDescent="0.3">
      <c r="Q523" s="345">
        <f t="shared" si="26"/>
        <v>0</v>
      </c>
      <c r="R523" s="346">
        <f t="shared" si="27"/>
        <v>0</v>
      </c>
      <c r="T523" s="320" t="s">
        <v>198</v>
      </c>
    </row>
    <row r="524" spans="17:20" x14ac:dyDescent="0.3">
      <c r="Q524" s="345">
        <f t="shared" si="26"/>
        <v>0</v>
      </c>
      <c r="R524" s="346">
        <f t="shared" si="27"/>
        <v>0</v>
      </c>
      <c r="T524" s="320" t="s">
        <v>199</v>
      </c>
    </row>
    <row r="525" spans="17:20" x14ac:dyDescent="0.3">
      <c r="Q525" s="345">
        <f t="shared" si="26"/>
        <v>0</v>
      </c>
      <c r="R525" s="346">
        <f t="shared" si="27"/>
        <v>0</v>
      </c>
      <c r="T525" s="320" t="s">
        <v>200</v>
      </c>
    </row>
    <row r="526" spans="17:20" x14ac:dyDescent="0.3">
      <c r="Q526" s="345">
        <f t="shared" si="26"/>
        <v>0</v>
      </c>
      <c r="R526" s="346">
        <f t="shared" si="27"/>
        <v>0</v>
      </c>
      <c r="T526" s="320" t="s">
        <v>201</v>
      </c>
    </row>
    <row r="527" spans="17:20" x14ac:dyDescent="0.3">
      <c r="Q527" s="345">
        <f t="shared" si="26"/>
        <v>0</v>
      </c>
      <c r="R527" s="346">
        <f t="shared" si="27"/>
        <v>0</v>
      </c>
      <c r="T527" s="320" t="s">
        <v>202</v>
      </c>
    </row>
    <row r="528" spans="17:20" x14ac:dyDescent="0.3">
      <c r="Q528" s="345">
        <f t="shared" si="26"/>
        <v>0</v>
      </c>
      <c r="R528" s="346">
        <f t="shared" si="27"/>
        <v>0</v>
      </c>
      <c r="T528" s="320" t="s">
        <v>203</v>
      </c>
    </row>
    <row r="529" spans="17:20" x14ac:dyDescent="0.3">
      <c r="Q529" s="345">
        <f t="shared" si="26"/>
        <v>0</v>
      </c>
      <c r="R529" s="346">
        <f t="shared" si="27"/>
        <v>0</v>
      </c>
      <c r="T529" s="320" t="s">
        <v>204</v>
      </c>
    </row>
    <row r="530" spans="17:20" x14ac:dyDescent="0.3">
      <c r="Q530" s="345">
        <f t="shared" si="26"/>
        <v>0</v>
      </c>
      <c r="R530" s="346">
        <f t="shared" si="27"/>
        <v>0</v>
      </c>
      <c r="T530" s="320" t="s">
        <v>205</v>
      </c>
    </row>
    <row r="531" spans="17:20" x14ac:dyDescent="0.3">
      <c r="Q531" s="345">
        <f t="shared" ref="Q531:Q594" si="28">SUM(D531:O531)</f>
        <v>0</v>
      </c>
      <c r="R531" s="346">
        <f t="shared" ref="R531:R594" si="29">SUM(M531:O531)*4</f>
        <v>0</v>
      </c>
      <c r="T531" s="320" t="s">
        <v>206</v>
      </c>
    </row>
    <row r="532" spans="17:20" x14ac:dyDescent="0.3">
      <c r="Q532" s="345">
        <f t="shared" si="28"/>
        <v>0</v>
      </c>
      <c r="R532" s="346">
        <f t="shared" si="29"/>
        <v>0</v>
      </c>
      <c r="T532" s="320" t="s">
        <v>207</v>
      </c>
    </row>
    <row r="533" spans="17:20" x14ac:dyDescent="0.3">
      <c r="Q533" s="345">
        <f t="shared" si="28"/>
        <v>0</v>
      </c>
      <c r="R533" s="346">
        <f t="shared" si="29"/>
        <v>0</v>
      </c>
      <c r="T533" s="320" t="s">
        <v>208</v>
      </c>
    </row>
    <row r="534" spans="17:20" x14ac:dyDescent="0.3">
      <c r="Q534" s="345">
        <f t="shared" si="28"/>
        <v>0</v>
      </c>
      <c r="R534" s="346">
        <f t="shared" si="29"/>
        <v>0</v>
      </c>
      <c r="T534" s="320" t="s">
        <v>210</v>
      </c>
    </row>
    <row r="535" spans="17:20" ht="15" thickBot="1" x14ac:dyDescent="0.35">
      <c r="Q535" s="345">
        <f t="shared" si="28"/>
        <v>0</v>
      </c>
      <c r="R535" s="346">
        <f t="shared" si="29"/>
        <v>0</v>
      </c>
      <c r="T535" s="324" t="s">
        <v>212</v>
      </c>
    </row>
    <row r="536" spans="17:20" x14ac:dyDescent="0.3">
      <c r="Q536" s="345">
        <f t="shared" si="28"/>
        <v>0</v>
      </c>
      <c r="R536" s="346">
        <f t="shared" si="29"/>
        <v>0</v>
      </c>
      <c r="T536" s="316" t="s">
        <v>184</v>
      </c>
    </row>
    <row r="537" spans="17:20" x14ac:dyDescent="0.3">
      <c r="Q537" s="345">
        <f t="shared" si="28"/>
        <v>0</v>
      </c>
      <c r="R537" s="346">
        <f t="shared" si="29"/>
        <v>0</v>
      </c>
      <c r="T537" s="317" t="s">
        <v>186</v>
      </c>
    </row>
    <row r="538" spans="17:20" x14ac:dyDescent="0.3">
      <c r="Q538" s="345">
        <f t="shared" si="28"/>
        <v>0</v>
      </c>
      <c r="R538" s="346">
        <f t="shared" si="29"/>
        <v>0</v>
      </c>
      <c r="T538" s="317" t="s">
        <v>187</v>
      </c>
    </row>
    <row r="539" spans="17:20" x14ac:dyDescent="0.3">
      <c r="Q539" s="345">
        <f t="shared" si="28"/>
        <v>0</v>
      </c>
      <c r="R539" s="346">
        <f t="shared" si="29"/>
        <v>0</v>
      </c>
      <c r="T539" s="317" t="s">
        <v>189</v>
      </c>
    </row>
    <row r="540" spans="17:20" x14ac:dyDescent="0.3">
      <c r="Q540" s="345">
        <f t="shared" si="28"/>
        <v>0</v>
      </c>
      <c r="R540" s="346">
        <f t="shared" si="29"/>
        <v>0</v>
      </c>
      <c r="T540" s="317" t="s">
        <v>190</v>
      </c>
    </row>
    <row r="541" spans="17:20" x14ac:dyDescent="0.3">
      <c r="Q541" s="345">
        <f t="shared" si="28"/>
        <v>0</v>
      </c>
      <c r="R541" s="346">
        <f t="shared" si="29"/>
        <v>0</v>
      </c>
      <c r="T541" s="317" t="s">
        <v>191</v>
      </c>
    </row>
    <row r="542" spans="17:20" x14ac:dyDescent="0.3">
      <c r="Q542" s="345">
        <f t="shared" si="28"/>
        <v>0</v>
      </c>
      <c r="R542" s="346">
        <f t="shared" si="29"/>
        <v>0</v>
      </c>
      <c r="T542" s="317" t="s">
        <v>193</v>
      </c>
    </row>
    <row r="543" spans="17:20" x14ac:dyDescent="0.3">
      <c r="Q543" s="345">
        <f t="shared" si="28"/>
        <v>0</v>
      </c>
      <c r="R543" s="346">
        <f t="shared" si="29"/>
        <v>0</v>
      </c>
      <c r="T543" s="317" t="s">
        <v>194</v>
      </c>
    </row>
    <row r="544" spans="17:20" x14ac:dyDescent="0.3">
      <c r="Q544" s="345">
        <f t="shared" si="28"/>
        <v>0</v>
      </c>
      <c r="R544" s="346">
        <f t="shared" si="29"/>
        <v>0</v>
      </c>
      <c r="T544" s="317" t="s">
        <v>195</v>
      </c>
    </row>
    <row r="545" spans="17:20" x14ac:dyDescent="0.3">
      <c r="Q545" s="345">
        <f t="shared" si="28"/>
        <v>0</v>
      </c>
      <c r="R545" s="346">
        <f t="shared" si="29"/>
        <v>0</v>
      </c>
      <c r="T545" s="317" t="s">
        <v>196</v>
      </c>
    </row>
    <row r="546" spans="17:20" x14ac:dyDescent="0.3">
      <c r="Q546" s="345">
        <f t="shared" si="28"/>
        <v>0</v>
      </c>
      <c r="R546" s="346">
        <f t="shared" si="29"/>
        <v>0</v>
      </c>
      <c r="T546" s="320" t="s">
        <v>197</v>
      </c>
    </row>
    <row r="547" spans="17:20" x14ac:dyDescent="0.3">
      <c r="Q547" s="345">
        <f t="shared" si="28"/>
        <v>0</v>
      </c>
      <c r="R547" s="346">
        <f t="shared" si="29"/>
        <v>0</v>
      </c>
      <c r="T547" s="320" t="s">
        <v>198</v>
      </c>
    </row>
    <row r="548" spans="17:20" x14ac:dyDescent="0.3">
      <c r="Q548" s="345">
        <f t="shared" si="28"/>
        <v>0</v>
      </c>
      <c r="R548" s="346">
        <f t="shared" si="29"/>
        <v>0</v>
      </c>
      <c r="T548" s="320" t="s">
        <v>199</v>
      </c>
    </row>
    <row r="549" spans="17:20" x14ac:dyDescent="0.3">
      <c r="Q549" s="345">
        <f t="shared" si="28"/>
        <v>0</v>
      </c>
      <c r="R549" s="346">
        <f t="shared" si="29"/>
        <v>0</v>
      </c>
      <c r="T549" s="320" t="s">
        <v>200</v>
      </c>
    </row>
    <row r="550" spans="17:20" x14ac:dyDescent="0.3">
      <c r="Q550" s="345">
        <f t="shared" si="28"/>
        <v>0</v>
      </c>
      <c r="R550" s="346">
        <f t="shared" si="29"/>
        <v>0</v>
      </c>
      <c r="T550" s="320" t="s">
        <v>201</v>
      </c>
    </row>
    <row r="551" spans="17:20" x14ac:dyDescent="0.3">
      <c r="Q551" s="345">
        <f t="shared" si="28"/>
        <v>0</v>
      </c>
      <c r="R551" s="346">
        <f t="shared" si="29"/>
        <v>0</v>
      </c>
      <c r="T551" s="320" t="s">
        <v>202</v>
      </c>
    </row>
    <row r="552" spans="17:20" x14ac:dyDescent="0.3">
      <c r="Q552" s="345">
        <f t="shared" si="28"/>
        <v>0</v>
      </c>
      <c r="R552" s="346">
        <f t="shared" si="29"/>
        <v>0</v>
      </c>
      <c r="T552" s="320" t="s">
        <v>203</v>
      </c>
    </row>
    <row r="553" spans="17:20" x14ac:dyDescent="0.3">
      <c r="Q553" s="345">
        <f t="shared" si="28"/>
        <v>0</v>
      </c>
      <c r="R553" s="346">
        <f t="shared" si="29"/>
        <v>0</v>
      </c>
      <c r="T553" s="320" t="s">
        <v>204</v>
      </c>
    </row>
    <row r="554" spans="17:20" x14ac:dyDescent="0.3">
      <c r="Q554" s="345">
        <f t="shared" si="28"/>
        <v>0</v>
      </c>
      <c r="R554" s="346">
        <f t="shared" si="29"/>
        <v>0</v>
      </c>
      <c r="T554" s="320" t="s">
        <v>205</v>
      </c>
    </row>
    <row r="555" spans="17:20" x14ac:dyDescent="0.3">
      <c r="Q555" s="345">
        <f t="shared" si="28"/>
        <v>0</v>
      </c>
      <c r="R555" s="346">
        <f t="shared" si="29"/>
        <v>0</v>
      </c>
      <c r="T555" s="320" t="s">
        <v>206</v>
      </c>
    </row>
    <row r="556" spans="17:20" x14ac:dyDescent="0.3">
      <c r="Q556" s="345">
        <f t="shared" si="28"/>
        <v>0</v>
      </c>
      <c r="R556" s="346">
        <f t="shared" si="29"/>
        <v>0</v>
      </c>
      <c r="T556" s="320" t="s">
        <v>207</v>
      </c>
    </row>
    <row r="557" spans="17:20" x14ac:dyDescent="0.3">
      <c r="Q557" s="345">
        <f t="shared" si="28"/>
        <v>0</v>
      </c>
      <c r="R557" s="346">
        <f t="shared" si="29"/>
        <v>0</v>
      </c>
      <c r="T557" s="320" t="s">
        <v>208</v>
      </c>
    </row>
    <row r="558" spans="17:20" x14ac:dyDescent="0.3">
      <c r="Q558" s="345">
        <f t="shared" si="28"/>
        <v>0</v>
      </c>
      <c r="R558" s="346">
        <f t="shared" si="29"/>
        <v>0</v>
      </c>
      <c r="T558" s="320" t="s">
        <v>210</v>
      </c>
    </row>
    <row r="559" spans="17:20" ht="15" thickBot="1" x14ac:dyDescent="0.35">
      <c r="Q559" s="345">
        <f t="shared" si="28"/>
        <v>0</v>
      </c>
      <c r="R559" s="346">
        <f t="shared" si="29"/>
        <v>0</v>
      </c>
      <c r="T559" s="324" t="s">
        <v>212</v>
      </c>
    </row>
    <row r="560" spans="17:20" x14ac:dyDescent="0.3">
      <c r="Q560" s="345">
        <f t="shared" si="28"/>
        <v>0</v>
      </c>
      <c r="R560" s="346">
        <f t="shared" si="29"/>
        <v>0</v>
      </c>
      <c r="T560" s="316" t="s">
        <v>184</v>
      </c>
    </row>
    <row r="561" spans="17:20" x14ac:dyDescent="0.3">
      <c r="Q561" s="345">
        <f t="shared" si="28"/>
        <v>0</v>
      </c>
      <c r="R561" s="346">
        <f t="shared" si="29"/>
        <v>0</v>
      </c>
      <c r="T561" s="317" t="s">
        <v>186</v>
      </c>
    </row>
    <row r="562" spans="17:20" x14ac:dyDescent="0.3">
      <c r="Q562" s="345">
        <f t="shared" si="28"/>
        <v>0</v>
      </c>
      <c r="R562" s="346">
        <f t="shared" si="29"/>
        <v>0</v>
      </c>
      <c r="T562" s="317" t="s">
        <v>187</v>
      </c>
    </row>
    <row r="563" spans="17:20" x14ac:dyDescent="0.3">
      <c r="Q563" s="345">
        <f t="shared" si="28"/>
        <v>0</v>
      </c>
      <c r="R563" s="346">
        <f t="shared" si="29"/>
        <v>0</v>
      </c>
      <c r="T563" s="317" t="s">
        <v>189</v>
      </c>
    </row>
    <row r="564" spans="17:20" x14ac:dyDescent="0.3">
      <c r="Q564" s="345">
        <f t="shared" si="28"/>
        <v>0</v>
      </c>
      <c r="R564" s="346">
        <f t="shared" si="29"/>
        <v>0</v>
      </c>
      <c r="T564" s="317" t="s">
        <v>190</v>
      </c>
    </row>
    <row r="565" spans="17:20" x14ac:dyDescent="0.3">
      <c r="Q565" s="345">
        <f t="shared" si="28"/>
        <v>0</v>
      </c>
      <c r="R565" s="346">
        <f t="shared" si="29"/>
        <v>0</v>
      </c>
      <c r="T565" s="317" t="s">
        <v>191</v>
      </c>
    </row>
    <row r="566" spans="17:20" x14ac:dyDescent="0.3">
      <c r="Q566" s="345">
        <f t="shared" si="28"/>
        <v>0</v>
      </c>
      <c r="R566" s="346">
        <f t="shared" si="29"/>
        <v>0</v>
      </c>
      <c r="T566" s="317" t="s">
        <v>193</v>
      </c>
    </row>
    <row r="567" spans="17:20" x14ac:dyDescent="0.3">
      <c r="Q567" s="345">
        <f t="shared" si="28"/>
        <v>0</v>
      </c>
      <c r="R567" s="346">
        <f t="shared" si="29"/>
        <v>0</v>
      </c>
      <c r="T567" s="317" t="s">
        <v>194</v>
      </c>
    </row>
    <row r="568" spans="17:20" x14ac:dyDescent="0.3">
      <c r="Q568" s="345">
        <f t="shared" si="28"/>
        <v>0</v>
      </c>
      <c r="R568" s="346">
        <f t="shared" si="29"/>
        <v>0</v>
      </c>
      <c r="T568" s="317" t="s">
        <v>195</v>
      </c>
    </row>
    <row r="569" spans="17:20" x14ac:dyDescent="0.3">
      <c r="Q569" s="345">
        <f t="shared" si="28"/>
        <v>0</v>
      </c>
      <c r="R569" s="346">
        <f t="shared" si="29"/>
        <v>0</v>
      </c>
      <c r="T569" s="317" t="s">
        <v>196</v>
      </c>
    </row>
    <row r="570" spans="17:20" x14ac:dyDescent="0.3">
      <c r="Q570" s="345">
        <f t="shared" si="28"/>
        <v>0</v>
      </c>
      <c r="R570" s="346">
        <f t="shared" si="29"/>
        <v>0</v>
      </c>
      <c r="T570" s="320" t="s">
        <v>197</v>
      </c>
    </row>
    <row r="571" spans="17:20" x14ac:dyDescent="0.3">
      <c r="Q571" s="345">
        <f t="shared" si="28"/>
        <v>0</v>
      </c>
      <c r="R571" s="346">
        <f t="shared" si="29"/>
        <v>0</v>
      </c>
      <c r="T571" s="320" t="s">
        <v>198</v>
      </c>
    </row>
    <row r="572" spans="17:20" x14ac:dyDescent="0.3">
      <c r="Q572" s="345">
        <f t="shared" si="28"/>
        <v>0</v>
      </c>
      <c r="R572" s="346">
        <f t="shared" si="29"/>
        <v>0</v>
      </c>
      <c r="T572" s="320" t="s">
        <v>199</v>
      </c>
    </row>
    <row r="573" spans="17:20" x14ac:dyDescent="0.3">
      <c r="Q573" s="345">
        <f t="shared" si="28"/>
        <v>0</v>
      </c>
      <c r="R573" s="346">
        <f t="shared" si="29"/>
        <v>0</v>
      </c>
      <c r="T573" s="320" t="s">
        <v>200</v>
      </c>
    </row>
    <row r="574" spans="17:20" x14ac:dyDescent="0.3">
      <c r="Q574" s="345">
        <f t="shared" si="28"/>
        <v>0</v>
      </c>
      <c r="R574" s="346">
        <f t="shared" si="29"/>
        <v>0</v>
      </c>
      <c r="T574" s="320" t="s">
        <v>201</v>
      </c>
    </row>
    <row r="575" spans="17:20" x14ac:dyDescent="0.3">
      <c r="Q575" s="345">
        <f t="shared" si="28"/>
        <v>0</v>
      </c>
      <c r="R575" s="346">
        <f t="shared" si="29"/>
        <v>0</v>
      </c>
      <c r="T575" s="320" t="s">
        <v>202</v>
      </c>
    </row>
    <row r="576" spans="17:20" x14ac:dyDescent="0.3">
      <c r="Q576" s="345">
        <f t="shared" si="28"/>
        <v>0</v>
      </c>
      <c r="R576" s="346">
        <f t="shared" si="29"/>
        <v>0</v>
      </c>
      <c r="T576" s="320" t="s">
        <v>203</v>
      </c>
    </row>
    <row r="577" spans="17:20" x14ac:dyDescent="0.3">
      <c r="Q577" s="345">
        <f t="shared" si="28"/>
        <v>0</v>
      </c>
      <c r="R577" s="346">
        <f t="shared" si="29"/>
        <v>0</v>
      </c>
      <c r="T577" s="320" t="s">
        <v>204</v>
      </c>
    </row>
    <row r="578" spans="17:20" x14ac:dyDescent="0.3">
      <c r="Q578" s="345">
        <f t="shared" si="28"/>
        <v>0</v>
      </c>
      <c r="R578" s="346">
        <f t="shared" si="29"/>
        <v>0</v>
      </c>
      <c r="T578" s="320" t="s">
        <v>205</v>
      </c>
    </row>
    <row r="579" spans="17:20" x14ac:dyDescent="0.3">
      <c r="Q579" s="345">
        <f t="shared" si="28"/>
        <v>0</v>
      </c>
      <c r="R579" s="346">
        <f t="shared" si="29"/>
        <v>0</v>
      </c>
      <c r="T579" s="320" t="s">
        <v>206</v>
      </c>
    </row>
    <row r="580" spans="17:20" x14ac:dyDescent="0.3">
      <c r="Q580" s="345">
        <f t="shared" si="28"/>
        <v>0</v>
      </c>
      <c r="R580" s="346">
        <f t="shared" si="29"/>
        <v>0</v>
      </c>
      <c r="T580" s="320" t="s">
        <v>207</v>
      </c>
    </row>
    <row r="581" spans="17:20" x14ac:dyDescent="0.3">
      <c r="Q581" s="345">
        <f t="shared" si="28"/>
        <v>0</v>
      </c>
      <c r="R581" s="346">
        <f t="shared" si="29"/>
        <v>0</v>
      </c>
      <c r="T581" s="320" t="s">
        <v>208</v>
      </c>
    </row>
    <row r="582" spans="17:20" x14ac:dyDescent="0.3">
      <c r="Q582" s="345">
        <f t="shared" si="28"/>
        <v>0</v>
      </c>
      <c r="R582" s="346">
        <f t="shared" si="29"/>
        <v>0</v>
      </c>
      <c r="T582" s="320" t="s">
        <v>210</v>
      </c>
    </row>
    <row r="583" spans="17:20" ht="15" thickBot="1" x14ac:dyDescent="0.35">
      <c r="Q583" s="345">
        <f t="shared" si="28"/>
        <v>0</v>
      </c>
      <c r="R583" s="346">
        <f t="shared" si="29"/>
        <v>0</v>
      </c>
      <c r="T583" s="324" t="s">
        <v>212</v>
      </c>
    </row>
    <row r="584" spans="17:20" x14ac:dyDescent="0.3">
      <c r="Q584" s="345">
        <f t="shared" si="28"/>
        <v>0</v>
      </c>
      <c r="R584" s="346">
        <f t="shared" si="29"/>
        <v>0</v>
      </c>
      <c r="T584" s="316" t="s">
        <v>184</v>
      </c>
    </row>
    <row r="585" spans="17:20" x14ac:dyDescent="0.3">
      <c r="Q585" s="345">
        <f t="shared" si="28"/>
        <v>0</v>
      </c>
      <c r="R585" s="346">
        <f t="shared" si="29"/>
        <v>0</v>
      </c>
      <c r="T585" s="317" t="s">
        <v>186</v>
      </c>
    </row>
    <row r="586" spans="17:20" x14ac:dyDescent="0.3">
      <c r="Q586" s="345">
        <f t="shared" si="28"/>
        <v>0</v>
      </c>
      <c r="R586" s="346">
        <f t="shared" si="29"/>
        <v>0</v>
      </c>
      <c r="T586" s="317" t="s">
        <v>187</v>
      </c>
    </row>
    <row r="587" spans="17:20" x14ac:dyDescent="0.3">
      <c r="Q587" s="345">
        <f t="shared" si="28"/>
        <v>0</v>
      </c>
      <c r="R587" s="346">
        <f t="shared" si="29"/>
        <v>0</v>
      </c>
      <c r="T587" s="317" t="s">
        <v>189</v>
      </c>
    </row>
    <row r="588" spans="17:20" x14ac:dyDescent="0.3">
      <c r="Q588" s="345">
        <f t="shared" si="28"/>
        <v>0</v>
      </c>
      <c r="R588" s="346">
        <f t="shared" si="29"/>
        <v>0</v>
      </c>
      <c r="T588" s="317" t="s">
        <v>190</v>
      </c>
    </row>
    <row r="589" spans="17:20" x14ac:dyDescent="0.3">
      <c r="Q589" s="345">
        <f t="shared" si="28"/>
        <v>0</v>
      </c>
      <c r="R589" s="346">
        <f t="shared" si="29"/>
        <v>0</v>
      </c>
      <c r="T589" s="317" t="s">
        <v>191</v>
      </c>
    </row>
    <row r="590" spans="17:20" x14ac:dyDescent="0.3">
      <c r="Q590" s="345">
        <f t="shared" si="28"/>
        <v>0</v>
      </c>
      <c r="R590" s="346">
        <f t="shared" si="29"/>
        <v>0</v>
      </c>
      <c r="T590" s="317" t="s">
        <v>193</v>
      </c>
    </row>
    <row r="591" spans="17:20" x14ac:dyDescent="0.3">
      <c r="Q591" s="345">
        <f t="shared" si="28"/>
        <v>0</v>
      </c>
      <c r="R591" s="346">
        <f t="shared" si="29"/>
        <v>0</v>
      </c>
      <c r="T591" s="317" t="s">
        <v>194</v>
      </c>
    </row>
    <row r="592" spans="17:20" x14ac:dyDescent="0.3">
      <c r="Q592" s="345">
        <f t="shared" si="28"/>
        <v>0</v>
      </c>
      <c r="R592" s="346">
        <f t="shared" si="29"/>
        <v>0</v>
      </c>
      <c r="T592" s="317" t="s">
        <v>195</v>
      </c>
    </row>
    <row r="593" spans="17:20" x14ac:dyDescent="0.3">
      <c r="Q593" s="345">
        <f t="shared" si="28"/>
        <v>0</v>
      </c>
      <c r="R593" s="346">
        <f t="shared" si="29"/>
        <v>0</v>
      </c>
      <c r="T593" s="317" t="s">
        <v>196</v>
      </c>
    </row>
    <row r="594" spans="17:20" x14ac:dyDescent="0.3">
      <c r="Q594" s="345">
        <f t="shared" si="28"/>
        <v>0</v>
      </c>
      <c r="R594" s="346">
        <f t="shared" si="29"/>
        <v>0</v>
      </c>
      <c r="T594" s="320" t="s">
        <v>197</v>
      </c>
    </row>
    <row r="595" spans="17:20" x14ac:dyDescent="0.3">
      <c r="Q595" s="345">
        <f t="shared" ref="Q595:Q655" si="30">SUM(D595:O595)</f>
        <v>0</v>
      </c>
      <c r="R595" s="346">
        <f t="shared" ref="R595:R655" si="31">SUM(M595:O595)*4</f>
        <v>0</v>
      </c>
      <c r="T595" s="320" t="s">
        <v>198</v>
      </c>
    </row>
    <row r="596" spans="17:20" x14ac:dyDescent="0.3">
      <c r="Q596" s="345">
        <f t="shared" si="30"/>
        <v>0</v>
      </c>
      <c r="R596" s="346">
        <f t="shared" si="31"/>
        <v>0</v>
      </c>
      <c r="T596" s="320" t="s">
        <v>199</v>
      </c>
    </row>
    <row r="597" spans="17:20" x14ac:dyDescent="0.3">
      <c r="Q597" s="345">
        <f t="shared" si="30"/>
        <v>0</v>
      </c>
      <c r="R597" s="346">
        <f t="shared" si="31"/>
        <v>0</v>
      </c>
      <c r="T597" s="320" t="s">
        <v>200</v>
      </c>
    </row>
    <row r="598" spans="17:20" x14ac:dyDescent="0.3">
      <c r="Q598" s="345">
        <f t="shared" si="30"/>
        <v>0</v>
      </c>
      <c r="R598" s="346">
        <f t="shared" si="31"/>
        <v>0</v>
      </c>
      <c r="T598" s="320" t="s">
        <v>201</v>
      </c>
    </row>
    <row r="599" spans="17:20" x14ac:dyDescent="0.3">
      <c r="Q599" s="345">
        <f t="shared" si="30"/>
        <v>0</v>
      </c>
      <c r="R599" s="346">
        <f t="shared" si="31"/>
        <v>0</v>
      </c>
      <c r="T599" s="320" t="s">
        <v>202</v>
      </c>
    </row>
    <row r="600" spans="17:20" x14ac:dyDescent="0.3">
      <c r="Q600" s="345">
        <f t="shared" si="30"/>
        <v>0</v>
      </c>
      <c r="R600" s="346">
        <f t="shared" si="31"/>
        <v>0</v>
      </c>
      <c r="T600" s="320" t="s">
        <v>203</v>
      </c>
    </row>
    <row r="601" spans="17:20" x14ac:dyDescent="0.3">
      <c r="Q601" s="345">
        <f t="shared" si="30"/>
        <v>0</v>
      </c>
      <c r="R601" s="346">
        <f t="shared" si="31"/>
        <v>0</v>
      </c>
      <c r="T601" s="320" t="s">
        <v>204</v>
      </c>
    </row>
    <row r="602" spans="17:20" x14ac:dyDescent="0.3">
      <c r="Q602" s="345">
        <f t="shared" si="30"/>
        <v>0</v>
      </c>
      <c r="R602" s="346">
        <f t="shared" si="31"/>
        <v>0</v>
      </c>
      <c r="T602" s="320" t="s">
        <v>205</v>
      </c>
    </row>
    <row r="603" spans="17:20" x14ac:dyDescent="0.3">
      <c r="Q603" s="345">
        <f t="shared" si="30"/>
        <v>0</v>
      </c>
      <c r="R603" s="346">
        <f t="shared" si="31"/>
        <v>0</v>
      </c>
      <c r="T603" s="320" t="s">
        <v>206</v>
      </c>
    </row>
    <row r="604" spans="17:20" x14ac:dyDescent="0.3">
      <c r="Q604" s="345">
        <f t="shared" si="30"/>
        <v>0</v>
      </c>
      <c r="R604" s="346">
        <f t="shared" si="31"/>
        <v>0</v>
      </c>
      <c r="T604" s="320" t="s">
        <v>207</v>
      </c>
    </row>
    <row r="605" spans="17:20" x14ac:dyDescent="0.3">
      <c r="Q605" s="345">
        <f t="shared" si="30"/>
        <v>0</v>
      </c>
      <c r="R605" s="346">
        <f t="shared" si="31"/>
        <v>0</v>
      </c>
      <c r="T605" s="320" t="s">
        <v>208</v>
      </c>
    </row>
    <row r="606" spans="17:20" x14ac:dyDescent="0.3">
      <c r="Q606" s="345">
        <f t="shared" si="30"/>
        <v>0</v>
      </c>
      <c r="R606" s="346">
        <f t="shared" si="31"/>
        <v>0</v>
      </c>
      <c r="T606" s="320" t="s">
        <v>210</v>
      </c>
    </row>
    <row r="607" spans="17:20" ht="15" thickBot="1" x14ac:dyDescent="0.35">
      <c r="Q607" s="345">
        <f t="shared" si="30"/>
        <v>0</v>
      </c>
      <c r="R607" s="346">
        <f t="shared" si="31"/>
        <v>0</v>
      </c>
      <c r="T607" s="324" t="s">
        <v>212</v>
      </c>
    </row>
    <row r="608" spans="17:20" x14ac:dyDescent="0.3">
      <c r="Q608" s="345">
        <f t="shared" si="30"/>
        <v>0</v>
      </c>
      <c r="R608" s="346">
        <f t="shared" si="31"/>
        <v>0</v>
      </c>
      <c r="T608" s="316" t="s">
        <v>184</v>
      </c>
    </row>
    <row r="609" spans="17:20" x14ac:dyDescent="0.3">
      <c r="Q609" s="345">
        <f t="shared" si="30"/>
        <v>0</v>
      </c>
      <c r="R609" s="346">
        <f t="shared" si="31"/>
        <v>0</v>
      </c>
      <c r="T609" s="317" t="s">
        <v>186</v>
      </c>
    </row>
    <row r="610" spans="17:20" x14ac:dyDescent="0.3">
      <c r="Q610" s="345">
        <f t="shared" si="30"/>
        <v>0</v>
      </c>
      <c r="R610" s="346">
        <f t="shared" si="31"/>
        <v>0</v>
      </c>
      <c r="T610" s="317" t="s">
        <v>187</v>
      </c>
    </row>
    <row r="611" spans="17:20" x14ac:dyDescent="0.3">
      <c r="Q611" s="345">
        <f t="shared" si="30"/>
        <v>0</v>
      </c>
      <c r="R611" s="346">
        <f t="shared" si="31"/>
        <v>0</v>
      </c>
      <c r="T611" s="317" t="s">
        <v>189</v>
      </c>
    </row>
    <row r="612" spans="17:20" x14ac:dyDescent="0.3">
      <c r="Q612" s="345">
        <f t="shared" si="30"/>
        <v>0</v>
      </c>
      <c r="R612" s="346">
        <f t="shared" si="31"/>
        <v>0</v>
      </c>
      <c r="T612" s="317" t="s">
        <v>190</v>
      </c>
    </row>
    <row r="613" spans="17:20" x14ac:dyDescent="0.3">
      <c r="Q613" s="345">
        <f t="shared" si="30"/>
        <v>0</v>
      </c>
      <c r="R613" s="346">
        <f t="shared" si="31"/>
        <v>0</v>
      </c>
      <c r="T613" s="317" t="s">
        <v>191</v>
      </c>
    </row>
    <row r="614" spans="17:20" x14ac:dyDescent="0.3">
      <c r="Q614" s="345">
        <f t="shared" si="30"/>
        <v>0</v>
      </c>
      <c r="R614" s="346">
        <f t="shared" si="31"/>
        <v>0</v>
      </c>
      <c r="T614" s="317" t="s">
        <v>193</v>
      </c>
    </row>
    <row r="615" spans="17:20" x14ac:dyDescent="0.3">
      <c r="Q615" s="345">
        <f t="shared" si="30"/>
        <v>0</v>
      </c>
      <c r="R615" s="346">
        <f t="shared" si="31"/>
        <v>0</v>
      </c>
      <c r="T615" s="317" t="s">
        <v>194</v>
      </c>
    </row>
    <row r="616" spans="17:20" x14ac:dyDescent="0.3">
      <c r="Q616" s="345">
        <f t="shared" si="30"/>
        <v>0</v>
      </c>
      <c r="R616" s="346">
        <f t="shared" si="31"/>
        <v>0</v>
      </c>
      <c r="T616" s="317" t="s">
        <v>195</v>
      </c>
    </row>
    <row r="617" spans="17:20" x14ac:dyDescent="0.3">
      <c r="Q617" s="345">
        <f t="shared" si="30"/>
        <v>0</v>
      </c>
      <c r="R617" s="346">
        <f t="shared" si="31"/>
        <v>0</v>
      </c>
      <c r="T617" s="317" t="s">
        <v>196</v>
      </c>
    </row>
    <row r="618" spans="17:20" x14ac:dyDescent="0.3">
      <c r="Q618" s="345">
        <f t="shared" si="30"/>
        <v>0</v>
      </c>
      <c r="R618" s="346">
        <f t="shared" si="31"/>
        <v>0</v>
      </c>
      <c r="T618" s="320" t="s">
        <v>197</v>
      </c>
    </row>
    <row r="619" spans="17:20" x14ac:dyDescent="0.3">
      <c r="Q619" s="345">
        <f t="shared" si="30"/>
        <v>0</v>
      </c>
      <c r="R619" s="346">
        <f t="shared" si="31"/>
        <v>0</v>
      </c>
      <c r="T619" s="320" t="s">
        <v>198</v>
      </c>
    </row>
    <row r="620" spans="17:20" x14ac:dyDescent="0.3">
      <c r="Q620" s="345">
        <f t="shared" si="30"/>
        <v>0</v>
      </c>
      <c r="R620" s="346">
        <f t="shared" si="31"/>
        <v>0</v>
      </c>
      <c r="T620" s="320" t="s">
        <v>199</v>
      </c>
    </row>
    <row r="621" spans="17:20" x14ac:dyDescent="0.3">
      <c r="Q621" s="345">
        <f t="shared" si="30"/>
        <v>0</v>
      </c>
      <c r="R621" s="346">
        <f t="shared" si="31"/>
        <v>0</v>
      </c>
      <c r="T621" s="320" t="s">
        <v>200</v>
      </c>
    </row>
    <row r="622" spans="17:20" x14ac:dyDescent="0.3">
      <c r="Q622" s="345">
        <f t="shared" si="30"/>
        <v>0</v>
      </c>
      <c r="R622" s="346">
        <f t="shared" si="31"/>
        <v>0</v>
      </c>
      <c r="T622" s="320" t="s">
        <v>201</v>
      </c>
    </row>
    <row r="623" spans="17:20" x14ac:dyDescent="0.3">
      <c r="Q623" s="345">
        <f t="shared" si="30"/>
        <v>0</v>
      </c>
      <c r="R623" s="346">
        <f t="shared" si="31"/>
        <v>0</v>
      </c>
      <c r="T623" s="320" t="s">
        <v>202</v>
      </c>
    </row>
    <row r="624" spans="17:20" x14ac:dyDescent="0.3">
      <c r="Q624" s="345">
        <f t="shared" si="30"/>
        <v>0</v>
      </c>
      <c r="R624" s="346">
        <f t="shared" si="31"/>
        <v>0</v>
      </c>
      <c r="T624" s="320" t="s">
        <v>203</v>
      </c>
    </row>
    <row r="625" spans="17:20" x14ac:dyDescent="0.3">
      <c r="Q625" s="345">
        <f t="shared" si="30"/>
        <v>0</v>
      </c>
      <c r="R625" s="346">
        <f t="shared" si="31"/>
        <v>0</v>
      </c>
      <c r="T625" s="320" t="s">
        <v>204</v>
      </c>
    </row>
    <row r="626" spans="17:20" x14ac:dyDescent="0.3">
      <c r="Q626" s="345">
        <f t="shared" si="30"/>
        <v>0</v>
      </c>
      <c r="R626" s="346">
        <f t="shared" si="31"/>
        <v>0</v>
      </c>
      <c r="T626" s="320" t="s">
        <v>205</v>
      </c>
    </row>
    <row r="627" spans="17:20" x14ac:dyDescent="0.3">
      <c r="Q627" s="345">
        <f t="shared" si="30"/>
        <v>0</v>
      </c>
      <c r="R627" s="346">
        <f t="shared" si="31"/>
        <v>0</v>
      </c>
      <c r="T627" s="320" t="s">
        <v>206</v>
      </c>
    </row>
    <row r="628" spans="17:20" x14ac:dyDescent="0.3">
      <c r="Q628" s="345">
        <f t="shared" si="30"/>
        <v>0</v>
      </c>
      <c r="R628" s="346">
        <f t="shared" si="31"/>
        <v>0</v>
      </c>
      <c r="T628" s="320" t="s">
        <v>207</v>
      </c>
    </row>
    <row r="629" spans="17:20" x14ac:dyDescent="0.3">
      <c r="Q629" s="345">
        <f t="shared" si="30"/>
        <v>0</v>
      </c>
      <c r="R629" s="346">
        <f t="shared" si="31"/>
        <v>0</v>
      </c>
      <c r="T629" s="320" t="s">
        <v>208</v>
      </c>
    </row>
    <row r="630" spans="17:20" x14ac:dyDescent="0.3">
      <c r="Q630" s="345">
        <f t="shared" si="30"/>
        <v>0</v>
      </c>
      <c r="R630" s="346">
        <f t="shared" si="31"/>
        <v>0</v>
      </c>
      <c r="T630" s="320" t="s">
        <v>210</v>
      </c>
    </row>
    <row r="631" spans="17:20" ht="15" thickBot="1" x14ac:dyDescent="0.35">
      <c r="Q631" s="345">
        <f t="shared" si="30"/>
        <v>0</v>
      </c>
      <c r="R631" s="346">
        <f t="shared" si="31"/>
        <v>0</v>
      </c>
      <c r="T631" s="324" t="s">
        <v>212</v>
      </c>
    </row>
    <row r="632" spans="17:20" x14ac:dyDescent="0.3">
      <c r="Q632" s="345">
        <f t="shared" si="30"/>
        <v>0</v>
      </c>
      <c r="R632" s="346">
        <f t="shared" si="31"/>
        <v>0</v>
      </c>
      <c r="T632" s="316" t="s">
        <v>184</v>
      </c>
    </row>
    <row r="633" spans="17:20" x14ac:dyDescent="0.3">
      <c r="Q633" s="345">
        <f t="shared" si="30"/>
        <v>0</v>
      </c>
      <c r="R633" s="346">
        <f t="shared" si="31"/>
        <v>0</v>
      </c>
      <c r="T633" s="317" t="s">
        <v>186</v>
      </c>
    </row>
    <row r="634" spans="17:20" x14ac:dyDescent="0.3">
      <c r="Q634" s="345">
        <f t="shared" si="30"/>
        <v>0</v>
      </c>
      <c r="R634" s="346">
        <f t="shared" si="31"/>
        <v>0</v>
      </c>
      <c r="T634" s="317" t="s">
        <v>187</v>
      </c>
    </row>
    <row r="635" spans="17:20" x14ac:dyDescent="0.3">
      <c r="Q635" s="345">
        <f t="shared" si="30"/>
        <v>0</v>
      </c>
      <c r="R635" s="346">
        <f t="shared" si="31"/>
        <v>0</v>
      </c>
      <c r="T635" s="317" t="s">
        <v>189</v>
      </c>
    </row>
    <row r="636" spans="17:20" x14ac:dyDescent="0.3">
      <c r="Q636" s="345">
        <f t="shared" si="30"/>
        <v>0</v>
      </c>
      <c r="R636" s="346">
        <f t="shared" si="31"/>
        <v>0</v>
      </c>
      <c r="T636" s="317" t="s">
        <v>190</v>
      </c>
    </row>
    <row r="637" spans="17:20" x14ac:dyDescent="0.3">
      <c r="Q637" s="345">
        <f t="shared" si="30"/>
        <v>0</v>
      </c>
      <c r="R637" s="346">
        <f t="shared" si="31"/>
        <v>0</v>
      </c>
      <c r="T637" s="317" t="s">
        <v>191</v>
      </c>
    </row>
    <row r="638" spans="17:20" x14ac:dyDescent="0.3">
      <c r="Q638" s="345">
        <f t="shared" si="30"/>
        <v>0</v>
      </c>
      <c r="R638" s="346">
        <f t="shared" si="31"/>
        <v>0</v>
      </c>
      <c r="T638" s="317" t="s">
        <v>193</v>
      </c>
    </row>
    <row r="639" spans="17:20" x14ac:dyDescent="0.3">
      <c r="Q639" s="345">
        <f t="shared" si="30"/>
        <v>0</v>
      </c>
      <c r="R639" s="346">
        <f t="shared" si="31"/>
        <v>0</v>
      </c>
      <c r="T639" s="317" t="s">
        <v>194</v>
      </c>
    </row>
    <row r="640" spans="17:20" x14ac:dyDescent="0.3">
      <c r="Q640" s="345">
        <f t="shared" si="30"/>
        <v>0</v>
      </c>
      <c r="R640" s="346">
        <f t="shared" si="31"/>
        <v>0</v>
      </c>
      <c r="T640" s="317" t="s">
        <v>195</v>
      </c>
    </row>
    <row r="641" spans="17:20" x14ac:dyDescent="0.3">
      <c r="Q641" s="345">
        <f t="shared" si="30"/>
        <v>0</v>
      </c>
      <c r="R641" s="346">
        <f t="shared" si="31"/>
        <v>0</v>
      </c>
      <c r="T641" s="317" t="s">
        <v>196</v>
      </c>
    </row>
    <row r="642" spans="17:20" x14ac:dyDescent="0.3">
      <c r="Q642" s="345">
        <f t="shared" si="30"/>
        <v>0</v>
      </c>
      <c r="R642" s="346">
        <f t="shared" si="31"/>
        <v>0</v>
      </c>
      <c r="T642" s="320" t="s">
        <v>197</v>
      </c>
    </row>
    <row r="643" spans="17:20" x14ac:dyDescent="0.3">
      <c r="Q643" s="345">
        <f t="shared" si="30"/>
        <v>0</v>
      </c>
      <c r="R643" s="346">
        <f t="shared" si="31"/>
        <v>0</v>
      </c>
      <c r="T643" s="320" t="s">
        <v>198</v>
      </c>
    </row>
    <row r="644" spans="17:20" x14ac:dyDescent="0.3">
      <c r="Q644" s="345">
        <f t="shared" si="30"/>
        <v>0</v>
      </c>
      <c r="R644" s="346">
        <f t="shared" si="31"/>
        <v>0</v>
      </c>
      <c r="T644" s="320" t="s">
        <v>199</v>
      </c>
    </row>
    <row r="645" spans="17:20" x14ac:dyDescent="0.3">
      <c r="Q645" s="345">
        <f t="shared" si="30"/>
        <v>0</v>
      </c>
      <c r="R645" s="346">
        <f t="shared" si="31"/>
        <v>0</v>
      </c>
      <c r="T645" s="320" t="s">
        <v>200</v>
      </c>
    </row>
    <row r="646" spans="17:20" x14ac:dyDescent="0.3">
      <c r="Q646" s="345">
        <f t="shared" si="30"/>
        <v>0</v>
      </c>
      <c r="R646" s="346">
        <f t="shared" si="31"/>
        <v>0</v>
      </c>
      <c r="T646" s="320" t="s">
        <v>201</v>
      </c>
    </row>
    <row r="647" spans="17:20" x14ac:dyDescent="0.3">
      <c r="Q647" s="345">
        <f t="shared" si="30"/>
        <v>0</v>
      </c>
      <c r="R647" s="346">
        <f t="shared" si="31"/>
        <v>0</v>
      </c>
      <c r="T647" s="320" t="s">
        <v>202</v>
      </c>
    </row>
    <row r="648" spans="17:20" x14ac:dyDescent="0.3">
      <c r="Q648" s="345">
        <f t="shared" si="30"/>
        <v>0</v>
      </c>
      <c r="R648" s="346">
        <f t="shared" si="31"/>
        <v>0</v>
      </c>
      <c r="T648" s="320" t="s">
        <v>203</v>
      </c>
    </row>
    <row r="649" spans="17:20" x14ac:dyDescent="0.3">
      <c r="Q649" s="345">
        <f t="shared" si="30"/>
        <v>0</v>
      </c>
      <c r="R649" s="346">
        <f t="shared" si="31"/>
        <v>0</v>
      </c>
      <c r="T649" s="320" t="s">
        <v>204</v>
      </c>
    </row>
    <row r="650" spans="17:20" x14ac:dyDescent="0.3">
      <c r="Q650" s="345">
        <f t="shared" si="30"/>
        <v>0</v>
      </c>
      <c r="R650" s="346">
        <f t="shared" si="31"/>
        <v>0</v>
      </c>
      <c r="T650" s="320" t="s">
        <v>205</v>
      </c>
    </row>
    <row r="651" spans="17:20" x14ac:dyDescent="0.3">
      <c r="Q651" s="345">
        <f t="shared" si="30"/>
        <v>0</v>
      </c>
      <c r="R651" s="346">
        <f t="shared" si="31"/>
        <v>0</v>
      </c>
      <c r="T651" s="320" t="s">
        <v>206</v>
      </c>
    </row>
    <row r="652" spans="17:20" x14ac:dyDescent="0.3">
      <c r="Q652" s="345">
        <f t="shared" si="30"/>
        <v>0</v>
      </c>
      <c r="R652" s="346">
        <f t="shared" si="31"/>
        <v>0</v>
      </c>
      <c r="T652" s="320" t="s">
        <v>207</v>
      </c>
    </row>
    <row r="653" spans="17:20" x14ac:dyDescent="0.3">
      <c r="Q653" s="345">
        <f t="shared" si="30"/>
        <v>0</v>
      </c>
      <c r="R653" s="346">
        <f t="shared" si="31"/>
        <v>0</v>
      </c>
      <c r="T653" s="320" t="s">
        <v>208</v>
      </c>
    </row>
    <row r="654" spans="17:20" x14ac:dyDescent="0.3">
      <c r="Q654" s="345">
        <f t="shared" si="30"/>
        <v>0</v>
      </c>
      <c r="R654" s="346">
        <f t="shared" si="31"/>
        <v>0</v>
      </c>
      <c r="T654" s="320" t="s">
        <v>210</v>
      </c>
    </row>
    <row r="655" spans="17:20" ht="15" thickBot="1" x14ac:dyDescent="0.35">
      <c r="Q655" s="353">
        <f t="shared" si="30"/>
        <v>0</v>
      </c>
      <c r="R655" s="354">
        <f t="shared" si="31"/>
        <v>0</v>
      </c>
      <c r="T655" s="324" t="s">
        <v>212</v>
      </c>
    </row>
  </sheetData>
  <conditionalFormatting sqref="C8 C10:C12 C14 C16 C21 C23 C26 C47 C49:C50 C58 C86 C102 C111 C124 C127 C129 C132 C136 C138 C140 C143 C145">
    <cfRule type="expression" dxfId="13" priority="11">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C18:P26 D32:O32 C33:O145">
    <cfRule type="expression" dxfId="5" priority="8">
      <formula>$A19="Net Operating Income"</formula>
    </cfRule>
    <cfRule type="expression" dxfId="4" priority="9">
      <formula>$A19="Total Expense"</formula>
    </cfRule>
    <cfRule type="expression" dxfId="3" priority="10">
      <formula>$A19="Total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AF44"/>
  <sheetViews>
    <sheetView showGridLines="0" zoomScale="90" zoomScaleNormal="90" workbookViewId="0">
      <selection activeCell="C7" sqref="C7"/>
    </sheetView>
  </sheetViews>
  <sheetFormatPr defaultRowHeight="14.4" x14ac:dyDescent="0.3"/>
  <cols>
    <col min="1" max="1" width="11.109375" bestFit="1" customWidth="1"/>
    <col min="2" max="2" width="6.6640625" hidden="1" customWidth="1"/>
    <col min="3" max="3" width="30.6640625" bestFit="1" customWidth="1"/>
    <col min="4" max="4" width="30.6640625" customWidth="1"/>
    <col min="5" max="5" width="48.44140625" bestFit="1" customWidth="1"/>
    <col min="6" max="6" width="6.88671875" hidden="1" customWidth="1"/>
    <col min="7" max="7" width="24.109375" hidden="1" customWidth="1"/>
    <col min="8" max="8" width="25.6640625" hidden="1" customWidth="1"/>
    <col min="9" max="9" width="30.109375" hidden="1" customWidth="1"/>
    <col min="10" max="10" width="6.21875" bestFit="1" customWidth="1"/>
    <col min="11" max="11" width="7.33203125" hidden="1" customWidth="1"/>
    <col min="12" max="12" width="10.6640625" bestFit="1" customWidth="1"/>
    <col min="13" max="13" width="6.88671875" bestFit="1" customWidth="1"/>
    <col min="14" max="14" width="8.88671875" bestFit="1" customWidth="1"/>
    <col min="15" max="15" width="10.44140625" customWidth="1"/>
    <col min="16" max="16" width="10.109375" hidden="1" customWidth="1"/>
    <col min="17" max="17" width="7.6640625" hidden="1" customWidth="1"/>
    <col min="18" max="18" width="9.109375" bestFit="1" customWidth="1"/>
    <col min="19" max="20" width="9.109375" customWidth="1"/>
    <col min="21" max="21" width="7.6640625" bestFit="1" customWidth="1"/>
    <col min="22" max="22" width="10.33203125" bestFit="1" customWidth="1"/>
    <col min="23" max="23" width="7.44140625" customWidth="1"/>
    <col min="24" max="25" width="8" bestFit="1" customWidth="1"/>
    <col min="26" max="26" width="7.44140625" customWidth="1"/>
    <col min="27" max="27" width="12.33203125" customWidth="1"/>
    <col min="28" max="32" width="0" hidden="1" customWidth="1"/>
  </cols>
  <sheetData>
    <row r="1" spans="1:32" s="447" customFormat="1" x14ac:dyDescent="0.3">
      <c r="A1" s="446" t="s">
        <v>217</v>
      </c>
      <c r="B1" s="446" t="s">
        <v>218</v>
      </c>
      <c r="C1" s="446" t="s">
        <v>219</v>
      </c>
      <c r="D1" s="446" t="s">
        <v>769</v>
      </c>
      <c r="E1" s="446" t="s">
        <v>220</v>
      </c>
      <c r="F1" s="446" t="s">
        <v>221</v>
      </c>
      <c r="G1" s="446" t="s">
        <v>222</v>
      </c>
      <c r="H1" s="446" t="s">
        <v>223</v>
      </c>
      <c r="I1" s="446" t="s">
        <v>224</v>
      </c>
      <c r="J1" s="446" t="s">
        <v>2</v>
      </c>
      <c r="K1" s="446" t="s">
        <v>225</v>
      </c>
      <c r="L1" s="446" t="s">
        <v>226</v>
      </c>
      <c r="M1" s="446" t="s">
        <v>227</v>
      </c>
      <c r="N1" s="446" t="s">
        <v>228</v>
      </c>
      <c r="O1" s="446" t="s">
        <v>229</v>
      </c>
      <c r="P1" s="446" t="s">
        <v>230</v>
      </c>
      <c r="Q1" s="446" t="s">
        <v>231</v>
      </c>
      <c r="R1" s="446" t="s">
        <v>294</v>
      </c>
      <c r="S1" s="446" t="s">
        <v>753</v>
      </c>
      <c r="T1" s="446" t="s">
        <v>754</v>
      </c>
      <c r="U1" s="446" t="s">
        <v>232</v>
      </c>
      <c r="V1" s="446" t="s">
        <v>753</v>
      </c>
      <c r="W1" s="446" t="s">
        <v>754</v>
      </c>
      <c r="X1" s="446" t="s">
        <v>295</v>
      </c>
      <c r="Y1" s="446" t="s">
        <v>753</v>
      </c>
      <c r="Z1" s="446" t="s">
        <v>754</v>
      </c>
      <c r="AA1" s="446" t="s">
        <v>233</v>
      </c>
      <c r="AB1" s="446" t="s">
        <v>234</v>
      </c>
      <c r="AC1" s="446"/>
      <c r="AD1" s="446"/>
      <c r="AE1" s="446" t="s">
        <v>235</v>
      </c>
      <c r="AF1" s="446" t="s">
        <v>236</v>
      </c>
    </row>
    <row r="2" spans="1:32" s="447" customFormat="1" ht="7.2" customHeight="1" x14ac:dyDescent="0.3"/>
    <row r="3" spans="1:32" s="447" customFormat="1" x14ac:dyDescent="0.3"/>
    <row r="4" spans="1:32" s="447" customFormat="1" x14ac:dyDescent="0.3"/>
    <row r="5" spans="1:32" s="447" customFormat="1" ht="7.2" customHeight="1" thickBot="1" x14ac:dyDescent="0.35"/>
    <row r="6" spans="1:32" s="447" customFormat="1" ht="15" thickBot="1" x14ac:dyDescent="0.35">
      <c r="A6" s="454"/>
      <c r="B6" s="455"/>
      <c r="C6" s="456" t="s">
        <v>237</v>
      </c>
      <c r="D6" s="622"/>
      <c r="O6" s="448" t="s">
        <v>238</v>
      </c>
      <c r="P6" s="449"/>
      <c r="Q6" s="449"/>
      <c r="R6" s="449"/>
      <c r="S6" s="449"/>
      <c r="T6" s="449"/>
      <c r="U6" s="449"/>
      <c r="V6" s="449"/>
      <c r="W6" s="449"/>
      <c r="X6" s="449"/>
      <c r="Y6" s="449"/>
      <c r="Z6" s="449"/>
      <c r="AA6" s="450"/>
    </row>
    <row r="7" spans="1:32" ht="15" thickBot="1" x14ac:dyDescent="0.35">
      <c r="A7" s="457"/>
      <c r="B7" s="458"/>
      <c r="C7" s="459" t="str">
        <f>'CFS-Main Page'!B2</f>
        <v>The Grove on Southlake</v>
      </c>
      <c r="D7" s="642" t="s">
        <v>766</v>
      </c>
      <c r="E7" s="459" t="str">
        <f>'CFS-Main Page'!D2</f>
        <v>7290 Southlake Parkway Morrow, GA, 30260</v>
      </c>
      <c r="F7" s="458"/>
      <c r="G7" s="459"/>
      <c r="H7" s="460"/>
      <c r="I7" s="461"/>
      <c r="J7" s="460">
        <f>Units</f>
        <v>260</v>
      </c>
      <c r="K7" s="460"/>
      <c r="L7" s="462">
        <f>'CFS-Main Page'!D4</f>
        <v>2001</v>
      </c>
      <c r="M7" s="514"/>
      <c r="N7" s="447"/>
      <c r="O7" s="451">
        <f>Rent!J31</f>
        <v>1.3925691372090616</v>
      </c>
      <c r="P7" s="452">
        <f>Rent!J30</f>
        <v>1447.9076923076923</v>
      </c>
      <c r="Q7" s="452"/>
      <c r="R7" s="452">
        <f>Rent!G5</f>
        <v>1292.2823504019032</v>
      </c>
      <c r="S7" s="603">
        <f>AVERAGE(Rent!I9:I10,Rent!I15:I16)</f>
        <v>981.5</v>
      </c>
      <c r="T7" s="640">
        <f>R7/S7</f>
        <v>1.3166401939907317</v>
      </c>
      <c r="U7" s="452">
        <f>Rent!I5</f>
        <v>1487.5579959514171</v>
      </c>
      <c r="V7" s="603">
        <f>AVERAGE(Rent!I11:I12)</f>
        <v>825</v>
      </c>
      <c r="W7" s="640">
        <f>U7/V7</f>
        <v>1.8031006011532329</v>
      </c>
      <c r="X7" s="452">
        <f>Rent!K5</f>
        <v>1643.8853410740203</v>
      </c>
      <c r="Y7" s="603">
        <f>AVERAGE(Rent!I13:I14)</f>
        <v>1127</v>
      </c>
      <c r="Z7" s="640">
        <f>X7/Y7</f>
        <v>1.4586382795687847</v>
      </c>
      <c r="AA7" s="453">
        <f>Rent!H29</f>
        <v>0.91923076923076918</v>
      </c>
      <c r="AB7" s="612"/>
      <c r="AC7" s="460"/>
      <c r="AD7" s="460"/>
      <c r="AE7" s="460"/>
      <c r="AF7" s="463"/>
    </row>
    <row r="8" spans="1:32" ht="6.6" customHeight="1" thickBot="1" x14ac:dyDescent="0.35">
      <c r="A8" s="464"/>
      <c r="B8" s="465"/>
      <c r="C8" s="464"/>
      <c r="D8" s="464"/>
      <c r="E8" s="464"/>
      <c r="F8" s="465"/>
      <c r="G8" s="464"/>
      <c r="H8" s="466"/>
      <c r="I8" s="467"/>
      <c r="J8" s="466"/>
      <c r="K8" s="466"/>
      <c r="L8" s="468"/>
      <c r="M8" s="466"/>
      <c r="N8" s="469"/>
      <c r="O8" s="470"/>
      <c r="P8" s="471"/>
      <c r="Q8" s="471"/>
      <c r="R8" s="471"/>
      <c r="S8" s="468"/>
      <c r="T8" s="468"/>
      <c r="U8" s="471"/>
      <c r="V8" s="468"/>
      <c r="W8" s="468"/>
      <c r="X8" s="471"/>
      <c r="Y8" s="468"/>
      <c r="Z8" s="468"/>
      <c r="AA8" s="467"/>
      <c r="AB8" s="467"/>
      <c r="AC8" s="466"/>
      <c r="AD8" s="466"/>
      <c r="AE8" s="466"/>
      <c r="AF8" s="464"/>
    </row>
    <row r="9" spans="1:32" ht="15" thickBot="1" x14ac:dyDescent="0.35">
      <c r="A9" s="472"/>
      <c r="B9" s="473"/>
      <c r="C9" s="456" t="s">
        <v>239</v>
      </c>
      <c r="D9" s="622"/>
      <c r="E9" s="464"/>
      <c r="F9" s="465"/>
      <c r="G9" s="464"/>
      <c r="H9" s="466"/>
      <c r="I9" s="467"/>
      <c r="J9" s="466"/>
      <c r="K9" s="466"/>
      <c r="L9" s="468"/>
      <c r="M9" s="466"/>
      <c r="N9" s="469"/>
      <c r="O9" s="470"/>
      <c r="P9" s="471"/>
      <c r="Q9" s="471"/>
      <c r="R9" s="471"/>
      <c r="S9" s="468"/>
      <c r="T9" s="468"/>
      <c r="U9" s="471"/>
      <c r="V9" s="468"/>
      <c r="W9" s="468"/>
      <c r="X9" s="471"/>
      <c r="Y9" s="468"/>
      <c r="Z9" s="468"/>
      <c r="AA9" s="467"/>
      <c r="AB9" s="467"/>
      <c r="AC9" s="466"/>
      <c r="AD9" s="466"/>
      <c r="AE9" s="466"/>
      <c r="AF9" s="464"/>
    </row>
    <row r="10" spans="1:32" x14ac:dyDescent="0.3">
      <c r="A10" s="474">
        <v>1</v>
      </c>
      <c r="B10" s="475"/>
      <c r="C10" s="476" t="s">
        <v>755</v>
      </c>
      <c r="D10" s="641" t="s">
        <v>766</v>
      </c>
      <c r="E10" s="476" t="s">
        <v>756</v>
      </c>
      <c r="F10" s="475"/>
      <c r="G10" s="476"/>
      <c r="H10" s="477"/>
      <c r="I10" s="478"/>
      <c r="J10" s="477">
        <v>216</v>
      </c>
      <c r="K10" s="477"/>
      <c r="L10" s="479">
        <v>2003</v>
      </c>
      <c r="M10" s="477"/>
      <c r="N10" s="480">
        <v>1.75</v>
      </c>
      <c r="O10" s="481"/>
      <c r="P10" s="482"/>
      <c r="Q10" s="482"/>
      <c r="R10" s="482">
        <v>1288</v>
      </c>
      <c r="S10" s="479">
        <v>757</v>
      </c>
      <c r="T10" s="604">
        <f>R10/S10</f>
        <v>1.7014531043593131</v>
      </c>
      <c r="U10" s="482">
        <v>1532</v>
      </c>
      <c r="V10" s="479">
        <v>1085</v>
      </c>
      <c r="W10" s="604">
        <f>U10/V10</f>
        <v>1.4119815668202764</v>
      </c>
      <c r="X10" s="482">
        <v>1952</v>
      </c>
      <c r="Y10" s="479">
        <v>1341</v>
      </c>
      <c r="Z10" s="604">
        <f>X10/Y10</f>
        <v>1.4556301267710663</v>
      </c>
      <c r="AA10" s="613">
        <v>0.95799999999999996</v>
      </c>
      <c r="AB10" s="608"/>
      <c r="AC10" s="477"/>
      <c r="AD10" s="477"/>
      <c r="AE10" s="477"/>
      <c r="AF10" s="483"/>
    </row>
    <row r="11" spans="1:32" x14ac:dyDescent="0.3">
      <c r="A11" s="484">
        <f>A10+1</f>
        <v>2</v>
      </c>
      <c r="B11" s="485"/>
      <c r="C11" s="264" t="s">
        <v>757</v>
      </c>
      <c r="D11" s="534" t="s">
        <v>766</v>
      </c>
      <c r="E11" s="264" t="s">
        <v>758</v>
      </c>
      <c r="F11" s="485"/>
      <c r="G11" s="264"/>
      <c r="H11" s="486"/>
      <c r="I11" s="487"/>
      <c r="J11" s="486">
        <v>250</v>
      </c>
      <c r="K11" s="486"/>
      <c r="L11" s="262">
        <v>2003</v>
      </c>
      <c r="M11" s="486"/>
      <c r="N11" s="488">
        <v>1.07</v>
      </c>
      <c r="O11" s="489"/>
      <c r="P11" s="490"/>
      <c r="Q11" s="490"/>
      <c r="R11" s="490"/>
      <c r="S11" s="262"/>
      <c r="T11" s="605"/>
      <c r="U11" s="490">
        <v>1715</v>
      </c>
      <c r="V11" s="262">
        <v>1216</v>
      </c>
      <c r="W11" s="605">
        <f t="shared" ref="W11:W14" si="0">U11/V11</f>
        <v>1.4103618421052631</v>
      </c>
      <c r="X11" s="490">
        <v>1850</v>
      </c>
      <c r="Y11" s="262">
        <v>1363</v>
      </c>
      <c r="Z11" s="605">
        <f t="shared" ref="Z11:Z14" si="1">X11/Y11</f>
        <v>1.3573000733675715</v>
      </c>
      <c r="AA11" s="614">
        <v>0.996</v>
      </c>
      <c r="AB11" s="609"/>
      <c r="AC11" s="524"/>
      <c r="AD11" s="524"/>
      <c r="AE11" s="486"/>
      <c r="AF11" s="491"/>
    </row>
    <row r="12" spans="1:32" x14ac:dyDescent="0.3">
      <c r="A12" s="484">
        <f t="shared" ref="A12:A14" si="2">A11+1</f>
        <v>3</v>
      </c>
      <c r="B12" s="485"/>
      <c r="C12" s="264" t="s">
        <v>759</v>
      </c>
      <c r="D12" s="534" t="s">
        <v>766</v>
      </c>
      <c r="E12" s="264" t="s">
        <v>760</v>
      </c>
      <c r="F12" s="485"/>
      <c r="G12" s="264"/>
      <c r="H12" s="486"/>
      <c r="I12" s="487"/>
      <c r="J12" s="486">
        <v>294</v>
      </c>
      <c r="K12" s="486"/>
      <c r="L12" s="262">
        <v>2023</v>
      </c>
      <c r="M12" s="486"/>
      <c r="N12" s="488">
        <v>2.71</v>
      </c>
      <c r="O12" s="489"/>
      <c r="P12" s="490"/>
      <c r="Q12" s="490"/>
      <c r="R12" s="490">
        <v>1554</v>
      </c>
      <c r="S12" s="262">
        <v>756</v>
      </c>
      <c r="T12" s="605">
        <f t="shared" ref="T12:T14" si="3">R12/S12</f>
        <v>2.0555555555555554</v>
      </c>
      <c r="U12" s="490">
        <v>1790</v>
      </c>
      <c r="V12" s="262">
        <v>1176</v>
      </c>
      <c r="W12" s="605">
        <f t="shared" si="0"/>
        <v>1.522108843537415</v>
      </c>
      <c r="X12" s="490">
        <v>2160</v>
      </c>
      <c r="Y12" s="262">
        <v>1248</v>
      </c>
      <c r="Z12" s="605">
        <f t="shared" si="1"/>
        <v>1.7307692307692308</v>
      </c>
      <c r="AA12" s="614">
        <v>0.95599999999999996</v>
      </c>
      <c r="AB12" s="609"/>
      <c r="AC12" s="524"/>
      <c r="AD12" s="524"/>
      <c r="AE12" s="486"/>
      <c r="AF12" s="491"/>
    </row>
    <row r="13" spans="1:32" x14ac:dyDescent="0.3">
      <c r="A13" s="484">
        <f t="shared" si="2"/>
        <v>4</v>
      </c>
      <c r="B13" s="485"/>
      <c r="C13" s="264" t="s">
        <v>761</v>
      </c>
      <c r="D13" s="534" t="s">
        <v>766</v>
      </c>
      <c r="E13" s="264" t="s">
        <v>762</v>
      </c>
      <c r="F13" s="485"/>
      <c r="G13" s="264"/>
      <c r="H13" s="486"/>
      <c r="I13" s="487"/>
      <c r="J13" s="486">
        <v>384</v>
      </c>
      <c r="K13" s="486"/>
      <c r="L13" s="262">
        <v>2025</v>
      </c>
      <c r="M13" s="486"/>
      <c r="N13" s="488">
        <v>0.49</v>
      </c>
      <c r="O13" s="489"/>
      <c r="P13" s="490"/>
      <c r="Q13" s="490"/>
      <c r="R13" s="490">
        <v>1469</v>
      </c>
      <c r="S13" s="262">
        <v>693</v>
      </c>
      <c r="T13" s="605">
        <f t="shared" si="3"/>
        <v>2.1197691197691197</v>
      </c>
      <c r="U13" s="490">
        <v>1774</v>
      </c>
      <c r="V13" s="262">
        <v>1024</v>
      </c>
      <c r="W13" s="605">
        <f t="shared" si="0"/>
        <v>1.732421875</v>
      </c>
      <c r="X13" s="490"/>
      <c r="Y13" s="262"/>
      <c r="Z13" s="605"/>
      <c r="AA13" s="614">
        <v>0.90400000000000003</v>
      </c>
      <c r="AB13" s="609"/>
      <c r="AC13" s="524"/>
      <c r="AD13" s="524"/>
      <c r="AE13" s="486"/>
      <c r="AF13" s="491"/>
    </row>
    <row r="14" spans="1:32" x14ac:dyDescent="0.3">
      <c r="A14" s="484">
        <f t="shared" si="2"/>
        <v>5</v>
      </c>
      <c r="B14" s="485"/>
      <c r="C14" s="264" t="s">
        <v>763</v>
      </c>
      <c r="D14" s="534" t="s">
        <v>766</v>
      </c>
      <c r="E14" s="264" t="s">
        <v>764</v>
      </c>
      <c r="F14" s="485"/>
      <c r="G14" s="264"/>
      <c r="H14" s="486"/>
      <c r="I14" s="487"/>
      <c r="J14" s="486">
        <v>300</v>
      </c>
      <c r="K14" s="486"/>
      <c r="L14" s="262">
        <v>2024</v>
      </c>
      <c r="M14" s="486"/>
      <c r="N14" s="488">
        <v>1.35</v>
      </c>
      <c r="O14" s="489"/>
      <c r="P14" s="490"/>
      <c r="Q14" s="490"/>
      <c r="R14" s="490">
        <v>1503</v>
      </c>
      <c r="S14" s="262">
        <v>784</v>
      </c>
      <c r="T14" s="605">
        <f t="shared" si="3"/>
        <v>1.9170918367346939</v>
      </c>
      <c r="U14" s="490">
        <v>1910</v>
      </c>
      <c r="V14" s="262">
        <v>1171</v>
      </c>
      <c r="W14" s="605">
        <f t="shared" si="0"/>
        <v>1.6310845431255336</v>
      </c>
      <c r="X14" s="490">
        <v>2217</v>
      </c>
      <c r="Y14" s="262">
        <v>1248</v>
      </c>
      <c r="Z14" s="605">
        <f t="shared" si="1"/>
        <v>1.7764423076923077</v>
      </c>
      <c r="AA14" s="614">
        <v>0.95699999999999996</v>
      </c>
      <c r="AB14" s="609"/>
      <c r="AC14" s="524"/>
      <c r="AD14" s="524"/>
      <c r="AE14" s="486"/>
      <c r="AF14" s="491"/>
    </row>
    <row r="15" spans="1:32" x14ac:dyDescent="0.3">
      <c r="A15" s="484"/>
      <c r="B15" s="485"/>
      <c r="C15" s="264"/>
      <c r="D15" s="264"/>
      <c r="E15" s="264"/>
      <c r="F15" s="485"/>
      <c r="G15" s="264"/>
      <c r="H15" s="486"/>
      <c r="I15" s="487"/>
      <c r="J15" s="486"/>
      <c r="K15" s="486"/>
      <c r="L15" s="262"/>
      <c r="M15" s="486"/>
      <c r="N15" s="488"/>
      <c r="O15" s="489"/>
      <c r="P15" s="490"/>
      <c r="Q15" s="490"/>
      <c r="R15" s="490"/>
      <c r="S15" s="262"/>
      <c r="T15" s="606"/>
      <c r="U15" s="490"/>
      <c r="V15" s="262"/>
      <c r="W15" s="606"/>
      <c r="X15" s="490"/>
      <c r="Y15" s="262"/>
      <c r="Z15" s="606"/>
      <c r="AA15" s="614"/>
      <c r="AB15" s="609"/>
      <c r="AC15" s="524"/>
      <c r="AD15" s="524"/>
      <c r="AE15" s="486"/>
      <c r="AF15" s="491"/>
    </row>
    <row r="16" spans="1:32" x14ac:dyDescent="0.3">
      <c r="A16" s="484"/>
      <c r="B16" s="485"/>
      <c r="C16" s="264"/>
      <c r="D16" s="264"/>
      <c r="E16" s="264"/>
      <c r="F16" s="485"/>
      <c r="G16" s="264"/>
      <c r="H16" s="486"/>
      <c r="I16" s="487"/>
      <c r="J16" s="486"/>
      <c r="K16" s="486"/>
      <c r="L16" s="262"/>
      <c r="M16" s="486"/>
      <c r="N16" s="488"/>
      <c r="O16" s="489"/>
      <c r="P16" s="490"/>
      <c r="Q16" s="490"/>
      <c r="R16" s="490"/>
      <c r="S16" s="262"/>
      <c r="T16" s="606"/>
      <c r="U16" s="490"/>
      <c r="V16" s="262"/>
      <c r="W16" s="606"/>
      <c r="X16" s="490"/>
      <c r="Y16" s="262"/>
      <c r="Z16" s="606"/>
      <c r="AA16" s="614"/>
      <c r="AB16" s="609"/>
      <c r="AC16" s="524"/>
      <c r="AD16" s="524"/>
      <c r="AE16" s="486"/>
      <c r="AF16" s="491"/>
    </row>
    <row r="17" spans="1:32" x14ac:dyDescent="0.3">
      <c r="A17" s="484"/>
      <c r="B17" s="485"/>
      <c r="C17" s="264"/>
      <c r="D17" s="264"/>
      <c r="E17" s="264"/>
      <c r="F17" s="485"/>
      <c r="G17" s="264"/>
      <c r="H17" s="486"/>
      <c r="I17" s="487"/>
      <c r="J17" s="486"/>
      <c r="K17" s="486"/>
      <c r="L17" s="262"/>
      <c r="M17" s="486"/>
      <c r="N17" s="488"/>
      <c r="O17" s="489"/>
      <c r="P17" s="490"/>
      <c r="Q17" s="490"/>
      <c r="R17" s="490"/>
      <c r="S17" s="262"/>
      <c r="T17" s="606"/>
      <c r="U17" s="490"/>
      <c r="V17" s="262"/>
      <c r="W17" s="606"/>
      <c r="X17" s="490"/>
      <c r="Y17" s="262"/>
      <c r="Z17" s="606"/>
      <c r="AA17" s="614"/>
      <c r="AB17" s="610"/>
      <c r="AC17" s="486"/>
      <c r="AD17" s="486"/>
      <c r="AE17" s="486"/>
      <c r="AF17" s="491"/>
    </row>
    <row r="18" spans="1:32" x14ac:dyDescent="0.3">
      <c r="A18" s="484"/>
      <c r="B18" s="485"/>
      <c r="C18" s="264"/>
      <c r="D18" s="264"/>
      <c r="E18" s="264"/>
      <c r="F18" s="485"/>
      <c r="G18" s="264"/>
      <c r="H18" s="486"/>
      <c r="I18" s="487"/>
      <c r="J18" s="486"/>
      <c r="K18" s="486"/>
      <c r="L18" s="262"/>
      <c r="M18" s="486"/>
      <c r="N18" s="488"/>
      <c r="O18" s="489"/>
      <c r="P18" s="490"/>
      <c r="Q18" s="490"/>
      <c r="R18" s="490"/>
      <c r="S18" s="262"/>
      <c r="T18" s="606"/>
      <c r="U18" s="490"/>
      <c r="V18" s="262"/>
      <c r="W18" s="606"/>
      <c r="X18" s="490"/>
      <c r="Y18" s="262"/>
      <c r="Z18" s="606"/>
      <c r="AA18" s="614"/>
      <c r="AB18" s="610"/>
      <c r="AC18" s="486"/>
      <c r="AD18" s="486"/>
      <c r="AE18" s="486"/>
      <c r="AF18" s="491"/>
    </row>
    <row r="19" spans="1:32" x14ac:dyDescent="0.3">
      <c r="A19" s="484"/>
      <c r="B19" s="485"/>
      <c r="C19" s="264"/>
      <c r="D19" s="264"/>
      <c r="E19" s="264"/>
      <c r="F19" s="485"/>
      <c r="G19" s="264"/>
      <c r="H19" s="486"/>
      <c r="I19" s="487"/>
      <c r="J19" s="486"/>
      <c r="K19" s="486"/>
      <c r="L19" s="262"/>
      <c r="M19" s="486"/>
      <c r="N19" s="488"/>
      <c r="O19" s="489"/>
      <c r="P19" s="490"/>
      <c r="Q19" s="490"/>
      <c r="R19" s="490"/>
      <c r="S19" s="262"/>
      <c r="T19" s="606"/>
      <c r="U19" s="490"/>
      <c r="V19" s="262"/>
      <c r="W19" s="606"/>
      <c r="X19" s="490"/>
      <c r="Y19" s="262"/>
      <c r="Z19" s="606"/>
      <c r="AA19" s="614"/>
      <c r="AB19" s="610"/>
      <c r="AC19" s="486"/>
      <c r="AD19" s="486"/>
      <c r="AE19" s="486"/>
      <c r="AF19" s="491"/>
    </row>
    <row r="20" spans="1:32" x14ac:dyDescent="0.3">
      <c r="A20" s="484"/>
      <c r="B20" s="485"/>
      <c r="C20" s="264"/>
      <c r="D20" s="264"/>
      <c r="E20" s="264"/>
      <c r="F20" s="485"/>
      <c r="G20" s="264"/>
      <c r="H20" s="486"/>
      <c r="I20" s="487"/>
      <c r="J20" s="486"/>
      <c r="K20" s="486"/>
      <c r="L20" s="262"/>
      <c r="M20" s="486"/>
      <c r="N20" s="488"/>
      <c r="O20" s="489"/>
      <c r="P20" s="490"/>
      <c r="Q20" s="490"/>
      <c r="R20" s="490"/>
      <c r="S20" s="262"/>
      <c r="T20" s="606"/>
      <c r="U20" s="490"/>
      <c r="V20" s="262"/>
      <c r="W20" s="606"/>
      <c r="X20" s="490"/>
      <c r="Y20" s="262"/>
      <c r="Z20" s="606"/>
      <c r="AA20" s="614"/>
      <c r="AB20" s="610"/>
      <c r="AC20" s="486"/>
      <c r="AD20" s="486"/>
      <c r="AE20" s="486"/>
      <c r="AF20" s="491"/>
    </row>
    <row r="21" spans="1:32" x14ac:dyDescent="0.3">
      <c r="A21" s="484"/>
      <c r="B21" s="485"/>
      <c r="C21" s="264"/>
      <c r="D21" s="264"/>
      <c r="E21" s="264"/>
      <c r="F21" s="485"/>
      <c r="G21" s="264"/>
      <c r="H21" s="486"/>
      <c r="I21" s="487"/>
      <c r="J21" s="486"/>
      <c r="K21" s="486"/>
      <c r="L21" s="262"/>
      <c r="M21" s="486"/>
      <c r="N21" s="488"/>
      <c r="O21" s="489"/>
      <c r="P21" s="490"/>
      <c r="Q21" s="490"/>
      <c r="R21" s="490"/>
      <c r="S21" s="262"/>
      <c r="T21" s="606"/>
      <c r="U21" s="490"/>
      <c r="V21" s="262"/>
      <c r="W21" s="606"/>
      <c r="X21" s="490"/>
      <c r="Y21" s="262"/>
      <c r="Z21" s="606"/>
      <c r="AA21" s="614"/>
      <c r="AB21" s="610"/>
      <c r="AC21" s="486"/>
      <c r="AD21" s="486"/>
      <c r="AE21" s="486"/>
      <c r="AF21" s="491"/>
    </row>
    <row r="22" spans="1:32" x14ac:dyDescent="0.3">
      <c r="A22" s="484"/>
      <c r="B22" s="485"/>
      <c r="C22" s="264"/>
      <c r="D22" s="264"/>
      <c r="E22" s="264"/>
      <c r="F22" s="485"/>
      <c r="G22" s="264"/>
      <c r="H22" s="486"/>
      <c r="I22" s="487"/>
      <c r="J22" s="486"/>
      <c r="K22" s="486"/>
      <c r="L22" s="262"/>
      <c r="M22" s="486"/>
      <c r="N22" s="488"/>
      <c r="O22" s="489"/>
      <c r="P22" s="490"/>
      <c r="Q22" s="490"/>
      <c r="R22" s="490"/>
      <c r="S22" s="262"/>
      <c r="T22" s="606"/>
      <c r="U22" s="490"/>
      <c r="V22" s="262"/>
      <c r="W22" s="606"/>
      <c r="X22" s="490"/>
      <c r="Y22" s="262"/>
      <c r="Z22" s="606"/>
      <c r="AA22" s="614"/>
      <c r="AB22" s="610"/>
      <c r="AC22" s="486"/>
      <c r="AD22" s="486"/>
      <c r="AE22" s="486"/>
      <c r="AF22" s="491"/>
    </row>
    <row r="23" spans="1:32" x14ac:dyDescent="0.3">
      <c r="A23" s="484"/>
      <c r="B23" s="485"/>
      <c r="C23" s="264"/>
      <c r="D23" s="264"/>
      <c r="E23" s="264"/>
      <c r="F23" s="485"/>
      <c r="G23" s="264"/>
      <c r="H23" s="486"/>
      <c r="I23" s="487"/>
      <c r="J23" s="486"/>
      <c r="K23" s="486"/>
      <c r="L23" s="262"/>
      <c r="M23" s="486"/>
      <c r="N23" s="488"/>
      <c r="O23" s="489"/>
      <c r="P23" s="490"/>
      <c r="Q23" s="490"/>
      <c r="R23" s="490"/>
      <c r="S23" s="262"/>
      <c r="T23" s="606"/>
      <c r="U23" s="490"/>
      <c r="V23" s="262"/>
      <c r="W23" s="606"/>
      <c r="X23" s="490"/>
      <c r="Y23" s="262"/>
      <c r="Z23" s="606"/>
      <c r="AA23" s="614"/>
      <c r="AB23" s="610"/>
      <c r="AC23" s="486"/>
      <c r="AD23" s="486"/>
      <c r="AE23" s="486"/>
      <c r="AF23" s="491"/>
    </row>
    <row r="24" spans="1:32" x14ac:dyDescent="0.3">
      <c r="A24" s="484"/>
      <c r="B24" s="485"/>
      <c r="C24" s="264"/>
      <c r="D24" s="264"/>
      <c r="E24" s="264"/>
      <c r="F24" s="485"/>
      <c r="G24" s="264"/>
      <c r="H24" s="486"/>
      <c r="I24" s="487"/>
      <c r="J24" s="486"/>
      <c r="K24" s="486"/>
      <c r="L24" s="262"/>
      <c r="M24" s="486"/>
      <c r="N24" s="488"/>
      <c r="O24" s="489"/>
      <c r="P24" s="490"/>
      <c r="Q24" s="490"/>
      <c r="R24" s="490"/>
      <c r="S24" s="262"/>
      <c r="T24" s="606"/>
      <c r="U24" s="490"/>
      <c r="V24" s="262"/>
      <c r="W24" s="606"/>
      <c r="X24" s="490"/>
      <c r="Y24" s="262"/>
      <c r="Z24" s="606"/>
      <c r="AA24" s="614"/>
      <c r="AB24" s="610"/>
      <c r="AC24" s="486"/>
      <c r="AD24" s="486"/>
      <c r="AE24" s="486"/>
      <c r="AF24" s="491"/>
    </row>
    <row r="25" spans="1:32" x14ac:dyDescent="0.3">
      <c r="A25" s="484"/>
      <c r="B25" s="485"/>
      <c r="C25" s="264"/>
      <c r="D25" s="264"/>
      <c r="E25" s="264"/>
      <c r="F25" s="485"/>
      <c r="G25" s="264"/>
      <c r="H25" s="486"/>
      <c r="I25" s="487"/>
      <c r="J25" s="486"/>
      <c r="K25" s="486"/>
      <c r="L25" s="262"/>
      <c r="M25" s="486"/>
      <c r="N25" s="488"/>
      <c r="O25" s="489"/>
      <c r="P25" s="490"/>
      <c r="Q25" s="490"/>
      <c r="R25" s="490"/>
      <c r="S25" s="262"/>
      <c r="T25" s="606"/>
      <c r="U25" s="490"/>
      <c r="V25" s="262"/>
      <c r="W25" s="606"/>
      <c r="X25" s="490"/>
      <c r="Y25" s="262"/>
      <c r="Z25" s="606"/>
      <c r="AA25" s="614"/>
      <c r="AB25" s="610"/>
      <c r="AC25" s="486"/>
      <c r="AD25" s="486"/>
      <c r="AE25" s="486"/>
      <c r="AF25" s="491"/>
    </row>
    <row r="26" spans="1:32" ht="15" thickBot="1" x14ac:dyDescent="0.35">
      <c r="A26" s="492"/>
      <c r="B26" s="493"/>
      <c r="C26" s="494"/>
      <c r="D26" s="494"/>
      <c r="E26" s="494"/>
      <c r="F26" s="493"/>
      <c r="G26" s="494"/>
      <c r="H26" s="495"/>
      <c r="I26" s="496"/>
      <c r="J26" s="495"/>
      <c r="K26" s="495"/>
      <c r="L26" s="497"/>
      <c r="M26" s="495"/>
      <c r="N26" s="498"/>
      <c r="O26" s="499"/>
      <c r="P26" s="500"/>
      <c r="Q26" s="500"/>
      <c r="R26" s="500"/>
      <c r="S26" s="497"/>
      <c r="T26" s="607"/>
      <c r="U26" s="500"/>
      <c r="V26" s="497"/>
      <c r="W26" s="607"/>
      <c r="X26" s="500"/>
      <c r="Y26" s="497"/>
      <c r="Z26" s="607"/>
      <c r="AA26" s="615"/>
      <c r="AB26" s="611"/>
      <c r="AC26" s="495"/>
      <c r="AD26" s="495"/>
      <c r="AE26" s="495"/>
      <c r="AF26" s="501"/>
    </row>
    <row r="27" spans="1:32" ht="4.95" customHeight="1" thickBot="1" x14ac:dyDescent="0.35">
      <c r="A27" s="264"/>
      <c r="B27" s="485"/>
      <c r="C27" s="264"/>
      <c r="D27" s="264"/>
      <c r="E27" s="264"/>
      <c r="F27" s="485"/>
      <c r="G27" s="264"/>
      <c r="H27" s="486"/>
      <c r="I27" s="487"/>
      <c r="J27" s="486"/>
      <c r="K27" s="486"/>
      <c r="L27" s="262"/>
      <c r="M27" s="486"/>
      <c r="N27" s="488"/>
      <c r="O27" s="489"/>
      <c r="P27" s="490"/>
      <c r="Q27" s="490"/>
      <c r="R27" s="490"/>
      <c r="S27" s="490"/>
      <c r="T27" s="490"/>
      <c r="U27" s="487"/>
      <c r="V27" s="487"/>
      <c r="W27" s="486"/>
      <c r="X27" s="486"/>
      <c r="Y27" s="486"/>
      <c r="Z27" s="486"/>
      <c r="AA27" s="264"/>
    </row>
    <row r="28" spans="1:32" x14ac:dyDescent="0.3">
      <c r="A28" s="264"/>
      <c r="B28" s="485"/>
      <c r="C28" s="264"/>
      <c r="D28" s="264"/>
      <c r="E28" s="264"/>
      <c r="F28" s="485"/>
      <c r="G28" s="264"/>
      <c r="H28" s="486"/>
      <c r="I28" s="487"/>
      <c r="J28" s="486"/>
      <c r="K28" s="486"/>
      <c r="L28" s="262"/>
      <c r="M28" s="306"/>
      <c r="N28" s="282"/>
      <c r="O28" s="282"/>
      <c r="P28" s="623"/>
      <c r="Q28" s="502" t="s">
        <v>231</v>
      </c>
      <c r="R28" s="624" t="s">
        <v>770</v>
      </c>
      <c r="S28" s="503" t="s">
        <v>771</v>
      </c>
      <c r="T28" s="502" t="s">
        <v>275</v>
      </c>
      <c r="U28" s="624" t="s">
        <v>232</v>
      </c>
      <c r="V28" s="503" t="s">
        <v>771</v>
      </c>
      <c r="W28" s="625" t="s">
        <v>275</v>
      </c>
      <c r="X28" s="624" t="s">
        <v>330</v>
      </c>
      <c r="Y28" s="503" t="s">
        <v>771</v>
      </c>
      <c r="Z28" s="625" t="s">
        <v>275</v>
      </c>
      <c r="AA28" s="264"/>
    </row>
    <row r="29" spans="1:32" x14ac:dyDescent="0.3">
      <c r="A29" s="264"/>
      <c r="B29" s="485"/>
      <c r="C29" s="264"/>
      <c r="D29" s="264"/>
      <c r="E29" s="264"/>
      <c r="F29" s="485"/>
      <c r="G29" s="264"/>
      <c r="H29" s="486"/>
      <c r="I29" s="487"/>
      <c r="J29" s="486"/>
      <c r="K29" s="486"/>
      <c r="L29" s="262"/>
      <c r="M29" s="504" t="s">
        <v>240</v>
      </c>
      <c r="N29" s="505" t="s">
        <v>241</v>
      </c>
      <c r="O29" s="253"/>
      <c r="P29" s="626"/>
      <c r="Q29" s="80" t="e">
        <f t="shared" ref="Q29:Z29" si="4">AVERAGE(Q10:Q26)</f>
        <v>#DIV/0!</v>
      </c>
      <c r="R29" s="627">
        <f t="shared" si="4"/>
        <v>1453.5</v>
      </c>
      <c r="S29" s="628">
        <f t="shared" si="4"/>
        <v>747.5</v>
      </c>
      <c r="T29" s="629">
        <f t="shared" si="4"/>
        <v>1.9484674041046706</v>
      </c>
      <c r="U29" s="627">
        <f t="shared" si="4"/>
        <v>1744.2</v>
      </c>
      <c r="V29" s="628">
        <f t="shared" si="4"/>
        <v>1134.4000000000001</v>
      </c>
      <c r="W29" s="630">
        <f t="shared" si="4"/>
        <v>1.5415917341176977</v>
      </c>
      <c r="X29" s="627">
        <f t="shared" si="4"/>
        <v>2044.75</v>
      </c>
      <c r="Y29" s="628">
        <f t="shared" si="4"/>
        <v>1300</v>
      </c>
      <c r="Z29" s="630">
        <f t="shared" si="4"/>
        <v>1.580035434650044</v>
      </c>
      <c r="AA29" s="264"/>
    </row>
    <row r="30" spans="1:32" x14ac:dyDescent="0.3">
      <c r="A30" s="264"/>
      <c r="B30" s="485"/>
      <c r="C30" s="264"/>
      <c r="D30" s="264"/>
      <c r="E30" s="264"/>
      <c r="F30" s="485"/>
      <c r="G30" s="264"/>
      <c r="H30" s="486"/>
      <c r="I30" s="487"/>
      <c r="J30" s="486"/>
      <c r="K30" s="486"/>
      <c r="L30" s="262"/>
      <c r="M30" s="506" t="s">
        <v>242</v>
      </c>
      <c r="N30" s="507" t="s">
        <v>243</v>
      </c>
      <c r="P30" s="631"/>
      <c r="Q30" s="508">
        <f t="shared" ref="Q30:Z30" si="5">Q7</f>
        <v>0</v>
      </c>
      <c r="R30" s="632">
        <f t="shared" si="5"/>
        <v>1292.2823504019032</v>
      </c>
      <c r="S30" s="628">
        <f t="shared" si="5"/>
        <v>981.5</v>
      </c>
      <c r="T30" s="629">
        <f t="shared" si="5"/>
        <v>1.3166401939907317</v>
      </c>
      <c r="U30" s="627">
        <f t="shared" si="5"/>
        <v>1487.5579959514171</v>
      </c>
      <c r="V30" s="628">
        <f t="shared" si="5"/>
        <v>825</v>
      </c>
      <c r="W30" s="630">
        <f t="shared" si="5"/>
        <v>1.8031006011532329</v>
      </c>
      <c r="X30" s="627">
        <f t="shared" si="5"/>
        <v>1643.8853410740203</v>
      </c>
      <c r="Y30" s="628">
        <f t="shared" si="5"/>
        <v>1127</v>
      </c>
      <c r="Z30" s="630">
        <f t="shared" si="5"/>
        <v>1.4586382795687847</v>
      </c>
      <c r="AA30" s="264"/>
    </row>
    <row r="31" spans="1:32" x14ac:dyDescent="0.3">
      <c r="A31" s="264"/>
      <c r="B31" s="485"/>
      <c r="C31" s="264"/>
      <c r="D31" s="264"/>
      <c r="E31" s="264"/>
      <c r="F31" s="485"/>
      <c r="G31" s="264"/>
      <c r="H31" s="486"/>
      <c r="I31" s="487"/>
      <c r="J31" s="486"/>
      <c r="K31" s="486"/>
      <c r="L31" s="262"/>
      <c r="M31" s="506"/>
      <c r="N31" s="507"/>
      <c r="P31" s="631"/>
      <c r="Q31" s="508"/>
      <c r="R31" s="633"/>
      <c r="S31" s="634"/>
      <c r="T31" s="635"/>
      <c r="U31" s="636"/>
      <c r="V31" s="628"/>
      <c r="W31" s="637"/>
      <c r="X31" s="636"/>
      <c r="Y31" s="628"/>
      <c r="Z31" s="637"/>
      <c r="AA31" s="264"/>
    </row>
    <row r="32" spans="1:32" ht="15" thickBot="1" x14ac:dyDescent="0.35">
      <c r="A32" s="264"/>
      <c r="B32" s="485"/>
      <c r="C32" s="264"/>
      <c r="D32" s="264"/>
      <c r="E32" s="264"/>
      <c r="F32" s="485"/>
      <c r="G32" s="264"/>
      <c r="H32" s="486"/>
      <c r="I32" s="487"/>
      <c r="J32" s="486"/>
      <c r="K32" s="486"/>
      <c r="L32" s="262"/>
      <c r="M32" s="509" t="s">
        <v>244</v>
      </c>
      <c r="N32" s="510" t="s">
        <v>245</v>
      </c>
      <c r="O32" s="257"/>
      <c r="P32" s="638"/>
      <c r="Q32" s="511" t="e">
        <f>Q29-Q30</f>
        <v>#DIV/0!</v>
      </c>
      <c r="R32" s="656">
        <f>R29-R30</f>
        <v>161.21764959809684</v>
      </c>
      <c r="S32" s="639"/>
      <c r="T32" s="654">
        <f>T29-T30</f>
        <v>0.63182721011393883</v>
      </c>
      <c r="U32" s="656">
        <f>U29-U30</f>
        <v>256.64200404858298</v>
      </c>
      <c r="V32" s="639"/>
      <c r="W32" s="655">
        <f>W29-W30</f>
        <v>-0.26150886703553522</v>
      </c>
      <c r="X32" s="656">
        <f>X29-X30</f>
        <v>400.86465892597971</v>
      </c>
      <c r="Y32" s="639"/>
      <c r="Z32" s="655">
        <f>Z29-Z30</f>
        <v>0.12139715508125937</v>
      </c>
      <c r="AA32" s="264"/>
    </row>
    <row r="33" spans="1:27" x14ac:dyDescent="0.3">
      <c r="A33" s="264"/>
      <c r="B33" s="485"/>
      <c r="C33" s="264"/>
      <c r="D33" s="264"/>
      <c r="E33" s="264"/>
      <c r="F33" s="485"/>
      <c r="G33" s="264"/>
      <c r="H33" s="486"/>
      <c r="I33" s="487"/>
      <c r="J33" s="486"/>
      <c r="K33" s="486"/>
      <c r="L33" s="262"/>
      <c r="M33" s="512" t="s">
        <v>246</v>
      </c>
      <c r="N33" s="488"/>
      <c r="O33" s="489"/>
      <c r="P33" s="490"/>
      <c r="Q33" s="490"/>
      <c r="R33" s="490"/>
      <c r="S33" s="490"/>
      <c r="T33" s="490"/>
      <c r="U33" s="487"/>
      <c r="V33" s="487"/>
      <c r="W33" s="486"/>
      <c r="X33" s="486"/>
      <c r="Y33" s="486"/>
      <c r="Z33" s="486"/>
      <c r="AA33" s="264"/>
    </row>
    <row r="34" spans="1:27" x14ac:dyDescent="0.3">
      <c r="A34" s="264"/>
      <c r="B34" s="485"/>
      <c r="C34" s="513"/>
      <c r="D34" s="513"/>
      <c r="E34" s="264"/>
      <c r="F34" s="485"/>
      <c r="G34" s="264"/>
      <c r="H34" s="486"/>
      <c r="I34" s="487"/>
      <c r="J34" s="486"/>
      <c r="K34" s="486"/>
      <c r="L34" s="262"/>
      <c r="N34" s="488"/>
      <c r="O34" s="489"/>
      <c r="P34" s="490"/>
      <c r="Q34" s="490"/>
      <c r="R34" s="490"/>
      <c r="S34" s="490"/>
      <c r="T34" s="490"/>
      <c r="U34" s="487"/>
      <c r="V34" s="487"/>
      <c r="W34" s="486"/>
      <c r="X34" s="486"/>
      <c r="Y34" s="486"/>
      <c r="Z34" s="486"/>
      <c r="AA34" s="264"/>
    </row>
    <row r="35" spans="1:27" x14ac:dyDescent="0.3">
      <c r="A35" s="264"/>
      <c r="B35" s="485"/>
      <c r="C35" s="264"/>
      <c r="D35" s="264"/>
      <c r="E35" s="264"/>
      <c r="F35" s="485"/>
      <c r="G35" s="264"/>
      <c r="H35" s="486"/>
      <c r="I35" s="487"/>
      <c r="J35" s="486"/>
      <c r="K35" s="486"/>
      <c r="L35" s="262"/>
      <c r="M35" s="486"/>
      <c r="N35" s="488"/>
      <c r="O35" s="489"/>
      <c r="P35" s="490"/>
      <c r="Q35" s="490"/>
      <c r="R35" s="490"/>
      <c r="S35" s="490"/>
      <c r="T35" s="490"/>
      <c r="U35" s="487"/>
      <c r="V35" s="487"/>
      <c r="W35" s="486"/>
      <c r="X35" s="486"/>
      <c r="Y35" s="486"/>
      <c r="Z35" s="486"/>
      <c r="AA35" s="264"/>
    </row>
    <row r="36" spans="1:27" x14ac:dyDescent="0.3">
      <c r="A36" s="264"/>
      <c r="B36" s="485"/>
      <c r="C36" s="264"/>
      <c r="D36" s="264"/>
      <c r="E36" s="264"/>
      <c r="F36" s="485"/>
      <c r="G36" s="264"/>
      <c r="H36" s="486"/>
      <c r="I36" s="487"/>
      <c r="J36" s="486"/>
      <c r="K36" s="486"/>
      <c r="L36" s="262"/>
      <c r="M36" s="486"/>
      <c r="N36" s="488"/>
      <c r="O36" s="489"/>
      <c r="P36" s="490"/>
      <c r="Q36" s="490"/>
      <c r="R36" s="490"/>
      <c r="S36" s="490"/>
      <c r="T36" s="490"/>
      <c r="U36" s="487"/>
      <c r="V36" s="487"/>
      <c r="W36" s="486"/>
      <c r="X36" s="486"/>
      <c r="Y36" s="486"/>
      <c r="Z36" s="486"/>
      <c r="AA36" s="264"/>
    </row>
    <row r="37" spans="1:27" x14ac:dyDescent="0.3">
      <c r="A37" s="264"/>
      <c r="B37" s="485"/>
      <c r="C37" s="264"/>
      <c r="D37" s="264"/>
      <c r="E37" s="264"/>
      <c r="F37" s="485"/>
      <c r="G37" s="264"/>
      <c r="H37" s="486"/>
      <c r="I37" s="487"/>
      <c r="J37" s="486"/>
      <c r="K37" s="486"/>
      <c r="L37" s="262"/>
      <c r="M37" s="486"/>
      <c r="N37" s="488"/>
      <c r="O37" s="489"/>
      <c r="P37" s="490"/>
      <c r="Q37" s="490"/>
      <c r="R37" s="490"/>
      <c r="S37" s="490"/>
      <c r="T37" s="490"/>
      <c r="U37" s="487"/>
      <c r="V37" s="487"/>
      <c r="W37" s="486"/>
      <c r="X37" s="486"/>
      <c r="Y37" s="486"/>
      <c r="Z37" s="486"/>
      <c r="AA37" s="264"/>
    </row>
    <row r="38" spans="1:27" x14ac:dyDescent="0.3">
      <c r="A38" s="264"/>
      <c r="B38" s="485"/>
      <c r="C38" s="264"/>
      <c r="D38" s="264"/>
      <c r="E38" s="264"/>
      <c r="F38" s="485"/>
      <c r="G38" s="264"/>
      <c r="H38" s="486"/>
      <c r="I38" s="487"/>
      <c r="J38" s="486"/>
      <c r="K38" s="486"/>
      <c r="L38" s="262"/>
      <c r="M38" s="486"/>
      <c r="N38" s="488"/>
      <c r="O38" s="489"/>
      <c r="P38" s="490"/>
      <c r="Q38" s="490"/>
      <c r="R38" s="490"/>
      <c r="S38" s="490"/>
      <c r="T38" s="490"/>
      <c r="U38" s="487"/>
      <c r="V38" s="487"/>
      <c r="W38" s="486"/>
      <c r="X38" s="486"/>
      <c r="Y38" s="486"/>
      <c r="Z38" s="486"/>
      <c r="AA38" s="264"/>
    </row>
    <row r="39" spans="1:27" x14ac:dyDescent="0.3">
      <c r="A39" s="264"/>
      <c r="B39" s="485"/>
      <c r="C39" s="264"/>
      <c r="D39" s="264"/>
      <c r="E39" s="264"/>
      <c r="F39" s="485"/>
      <c r="G39" s="264"/>
      <c r="H39" s="486"/>
      <c r="I39" s="487"/>
      <c r="J39" s="486"/>
      <c r="K39" s="486"/>
      <c r="L39" s="262"/>
      <c r="M39" s="486"/>
      <c r="N39" s="488"/>
      <c r="O39" s="489"/>
      <c r="P39" s="490"/>
      <c r="Q39" s="490"/>
      <c r="R39" s="490"/>
      <c r="S39" s="490"/>
      <c r="T39" s="490"/>
      <c r="U39" s="487"/>
      <c r="V39" s="487"/>
      <c r="W39" s="486"/>
      <c r="X39" s="486"/>
      <c r="Y39" s="486"/>
      <c r="Z39" s="486"/>
      <c r="AA39" s="264"/>
    </row>
    <row r="40" spans="1:27" x14ac:dyDescent="0.3">
      <c r="A40" s="264"/>
      <c r="B40" s="485"/>
      <c r="C40" s="264"/>
      <c r="D40" s="264"/>
      <c r="E40" s="264"/>
      <c r="F40" s="485"/>
      <c r="G40" s="264"/>
      <c r="H40" s="486"/>
      <c r="I40" s="487"/>
      <c r="J40" s="486"/>
      <c r="K40" s="486"/>
      <c r="L40" s="262"/>
      <c r="M40" s="486"/>
      <c r="N40" s="488"/>
      <c r="O40" s="489"/>
      <c r="P40" s="490"/>
      <c r="Q40" s="490"/>
      <c r="R40" s="490"/>
      <c r="S40" s="490"/>
      <c r="T40" s="490"/>
      <c r="U40" s="487"/>
      <c r="V40" s="487"/>
      <c r="W40" s="486"/>
      <c r="X40" s="486"/>
      <c r="Y40" s="486"/>
      <c r="Z40" s="486"/>
      <c r="AA40" s="264"/>
    </row>
    <row r="41" spans="1:27" x14ac:dyDescent="0.3">
      <c r="A41" s="264"/>
      <c r="B41" s="485"/>
      <c r="C41" s="264"/>
      <c r="D41" s="264"/>
      <c r="E41" s="264"/>
      <c r="F41" s="485"/>
      <c r="G41" s="264"/>
      <c r="H41" s="486"/>
      <c r="I41" s="487"/>
      <c r="J41" s="486"/>
      <c r="K41" s="486"/>
      <c r="L41" s="262"/>
      <c r="M41" s="486"/>
      <c r="N41" s="488"/>
      <c r="O41" s="489"/>
      <c r="P41" s="490"/>
      <c r="Q41" s="490"/>
      <c r="R41" s="490"/>
      <c r="S41" s="490"/>
      <c r="T41" s="490"/>
      <c r="U41" s="487"/>
      <c r="V41" s="487"/>
      <c r="W41" s="486"/>
      <c r="X41" s="486"/>
      <c r="Y41" s="486"/>
      <c r="Z41" s="486"/>
      <c r="AA41" s="264"/>
    </row>
    <row r="42" spans="1:27" x14ac:dyDescent="0.3">
      <c r="A42" s="264"/>
      <c r="B42" s="485"/>
      <c r="C42" s="264"/>
      <c r="D42" s="264"/>
      <c r="E42" s="264"/>
      <c r="F42" s="485"/>
      <c r="G42" s="264"/>
      <c r="H42" s="486"/>
      <c r="I42" s="487"/>
      <c r="J42" s="486"/>
      <c r="K42" s="486"/>
      <c r="L42" s="262"/>
      <c r="M42" s="486"/>
      <c r="N42" s="488"/>
      <c r="O42" s="489"/>
      <c r="P42" s="490"/>
      <c r="Q42" s="490"/>
      <c r="R42" s="490"/>
      <c r="S42" s="490"/>
      <c r="T42" s="490"/>
      <c r="U42" s="487"/>
      <c r="V42" s="487"/>
      <c r="W42" s="486"/>
      <c r="X42" s="486"/>
      <c r="Y42" s="486"/>
      <c r="Z42" s="486"/>
      <c r="AA42" s="264"/>
    </row>
    <row r="43" spans="1:27" x14ac:dyDescent="0.3">
      <c r="A43" s="264"/>
      <c r="B43" s="485"/>
      <c r="C43" s="264"/>
      <c r="D43" s="264"/>
      <c r="E43" s="264"/>
      <c r="F43" s="485"/>
      <c r="G43" s="264"/>
      <c r="H43" s="486"/>
      <c r="I43" s="487"/>
      <c r="J43" s="486"/>
      <c r="K43" s="486"/>
      <c r="L43" s="262"/>
      <c r="M43" s="486"/>
      <c r="N43" s="488"/>
      <c r="O43" s="489"/>
      <c r="P43" s="490"/>
      <c r="Q43" s="490"/>
      <c r="R43" s="490"/>
      <c r="S43" s="490"/>
      <c r="T43" s="490"/>
      <c r="U43" s="487"/>
      <c r="V43" s="487"/>
      <c r="W43" s="486"/>
      <c r="X43" s="486"/>
      <c r="Y43" s="486"/>
      <c r="Z43" s="486"/>
      <c r="AA43" s="264"/>
    </row>
    <row r="44" spans="1:27" x14ac:dyDescent="0.3">
      <c r="A44" s="264"/>
      <c r="B44" s="485"/>
      <c r="C44" s="264"/>
      <c r="D44" s="264"/>
      <c r="E44" s="264"/>
      <c r="F44" s="485"/>
      <c r="G44" s="264"/>
      <c r="H44" s="486"/>
      <c r="I44" s="487"/>
      <c r="J44" s="486"/>
      <c r="K44" s="486"/>
      <c r="L44" s="262"/>
      <c r="M44" s="486"/>
      <c r="N44" s="488"/>
      <c r="O44" s="489"/>
      <c r="P44" s="490"/>
      <c r="Q44" s="490"/>
      <c r="R44" s="490"/>
      <c r="S44" s="490"/>
      <c r="T44" s="490"/>
      <c r="U44" s="487"/>
      <c r="V44" s="487"/>
      <c r="W44" s="486"/>
      <c r="X44" s="486"/>
      <c r="Y44" s="486"/>
      <c r="Z44" s="486"/>
      <c r="AA44" s="264"/>
    </row>
  </sheetData>
  <conditionalFormatting sqref="Q32:R32 T32:U32 W32:X32 Z32">
    <cfRule type="cellIs" dxfId="1" priority="1" operator="lessThanOrEqual">
      <formula>0</formula>
    </cfRule>
    <cfRule type="cellIs" dxfId="0" priority="2" operator="greaterThan">
      <formula>0</formula>
    </cfRule>
  </conditionalFormatting>
  <hyperlinks>
    <hyperlink ref="D10" r:id="rId1" xr:uid="{06D68B2B-D3A4-4973-87D2-5FC38A8223E6}"/>
    <hyperlink ref="D11" r:id="rId2" xr:uid="{5DA4FCD4-1BA8-4581-8EFD-814E42349BFF}"/>
    <hyperlink ref="D12" r:id="rId3" xr:uid="{42E03C4D-7862-4C31-A9D3-F5BC0E6F6477}"/>
    <hyperlink ref="D13" r:id="rId4" xr:uid="{44F632BA-6EC9-4D49-8DC8-3CBE2A056817}"/>
    <hyperlink ref="D14" r:id="rId5" xr:uid="{891CB32B-9ABA-4EA1-9FCA-857DAE407E93}"/>
    <hyperlink ref="D7" r:id="rId6" xr:uid="{09D13A66-E437-4996-8CBE-0D087F63E4D8}"/>
  </hyperlinks>
  <pageMargins left="0.7" right="0.7" top="0.75" bottom="0.75" header="0.3" footer="0.3"/>
  <pageSetup orientation="portrait"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activeCell="B2" sqref="B2"/>
      <selection pane="bottomLeft"/>
    </sheetView>
  </sheetViews>
  <sheetFormatPr defaultColWidth="9.33203125" defaultRowHeight="13.2" outlineLevelRow="1" x14ac:dyDescent="0.25"/>
  <cols>
    <col min="1" max="1" width="9.33203125" style="15"/>
    <col min="2" max="2" width="21.33203125" style="15" customWidth="1"/>
    <col min="3" max="3" width="16" style="15" customWidth="1"/>
    <col min="4" max="4" width="16.44140625" style="15" customWidth="1"/>
    <col min="5" max="7" width="13" style="15" customWidth="1"/>
    <col min="8" max="8" width="2.33203125" style="15" customWidth="1"/>
    <col min="9" max="9" width="21.33203125" style="15" customWidth="1"/>
    <col min="10" max="10" width="16" style="15" customWidth="1"/>
    <col min="11" max="11" width="16.44140625" style="15" customWidth="1"/>
    <col min="12" max="14" width="13" style="15" customWidth="1"/>
    <col min="15" max="15" width="2.33203125" style="15" customWidth="1"/>
    <col min="16" max="16" width="21.33203125" style="15" customWidth="1"/>
    <col min="17" max="17" width="16" style="15" customWidth="1"/>
    <col min="18" max="18" width="16.44140625" style="15" customWidth="1"/>
    <col min="19" max="21" width="13" style="15" customWidth="1"/>
    <col min="22" max="22" width="2.33203125" style="15" customWidth="1"/>
    <col min="23" max="23" width="21.33203125" style="15" customWidth="1"/>
    <col min="24" max="24" width="16" style="15" customWidth="1"/>
    <col min="25" max="25" width="16.44140625" style="15" customWidth="1"/>
    <col min="26" max="28" width="13" style="15" customWidth="1"/>
    <col min="29" max="29" width="2.33203125" style="15" customWidth="1"/>
    <col min="30" max="30" width="21.33203125" style="15" customWidth="1"/>
    <col min="31" max="31" width="16" style="15" customWidth="1"/>
    <col min="32" max="32" width="16.44140625" style="15" customWidth="1"/>
    <col min="33" max="35" width="13" style="15" customWidth="1"/>
    <col min="36" max="36" width="2.33203125" style="15" customWidth="1"/>
    <col min="37" max="37" width="21.33203125" style="15" customWidth="1"/>
    <col min="38" max="38" width="16" style="15" customWidth="1"/>
    <col min="39" max="39" width="16.44140625" style="15" customWidth="1"/>
    <col min="40" max="42" width="13" style="15" customWidth="1"/>
    <col min="43" max="16384" width="9.33203125" style="15"/>
  </cols>
  <sheetData>
    <row r="1" spans="2:42" ht="17.399999999999999" x14ac:dyDescent="0.3">
      <c r="B1" s="14" t="s">
        <v>247</v>
      </c>
      <c r="D1" s="16"/>
      <c r="E1" s="17"/>
      <c r="I1" s="14" t="s">
        <v>248</v>
      </c>
      <c r="P1" s="14" t="s">
        <v>249</v>
      </c>
      <c r="W1" s="14" t="s">
        <v>250</v>
      </c>
      <c r="AD1" s="14" t="s">
        <v>251</v>
      </c>
      <c r="AK1" s="14" t="s">
        <v>252</v>
      </c>
    </row>
    <row r="2" spans="2:42" ht="15" x14ac:dyDescent="0.25">
      <c r="B2" s="18" t="s">
        <v>2</v>
      </c>
      <c r="C2" s="19"/>
      <c r="D2" s="20" t="s">
        <v>253</v>
      </c>
      <c r="E2" s="21"/>
      <c r="G2" s="22"/>
      <c r="I2" s="18" t="s">
        <v>2</v>
      </c>
      <c r="J2" s="19"/>
      <c r="K2" s="20" t="s">
        <v>253</v>
      </c>
      <c r="L2" s="21"/>
      <c r="M2" s="22"/>
      <c r="N2" s="22"/>
      <c r="P2" s="18" t="s">
        <v>2</v>
      </c>
      <c r="Q2" s="19"/>
      <c r="R2" s="20" t="s">
        <v>253</v>
      </c>
      <c r="S2" s="21"/>
      <c r="T2" s="22"/>
      <c r="U2" s="22"/>
      <c r="W2" s="18" t="s">
        <v>2</v>
      </c>
      <c r="X2" s="19"/>
      <c r="Y2" s="20" t="s">
        <v>253</v>
      </c>
      <c r="Z2" s="21"/>
      <c r="AA2" s="22"/>
      <c r="AB2" s="22"/>
      <c r="AD2" s="18" t="s">
        <v>2</v>
      </c>
      <c r="AE2" s="19"/>
      <c r="AF2" s="20" t="s">
        <v>253</v>
      </c>
      <c r="AG2" s="21"/>
      <c r="AH2" s="22"/>
      <c r="AI2" s="22"/>
      <c r="AK2" s="18" t="s">
        <v>2</v>
      </c>
      <c r="AL2" s="19"/>
      <c r="AM2" s="20" t="s">
        <v>253</v>
      </c>
      <c r="AN2" s="21"/>
      <c r="AO2" s="22"/>
      <c r="AP2" s="22"/>
    </row>
    <row r="3" spans="2:42" ht="15" x14ac:dyDescent="0.25">
      <c r="B3" s="23" t="s">
        <v>254</v>
      </c>
      <c r="C3" s="21"/>
      <c r="D3" s="20" t="s">
        <v>255</v>
      </c>
      <c r="E3" s="21"/>
      <c r="G3" s="24"/>
      <c r="I3" s="23" t="s">
        <v>254</v>
      </c>
      <c r="J3" s="21"/>
      <c r="K3" s="20" t="s">
        <v>255</v>
      </c>
      <c r="L3" s="21"/>
      <c r="M3" s="24"/>
      <c r="N3" s="24"/>
      <c r="P3" s="23" t="s">
        <v>254</v>
      </c>
      <c r="Q3" s="21"/>
      <c r="R3" s="20" t="s">
        <v>255</v>
      </c>
      <c r="S3" s="21"/>
      <c r="T3" s="24"/>
      <c r="U3" s="24"/>
      <c r="W3" s="23" t="s">
        <v>254</v>
      </c>
      <c r="X3" s="21"/>
      <c r="Y3" s="20" t="s">
        <v>255</v>
      </c>
      <c r="Z3" s="21"/>
      <c r="AA3" s="24"/>
      <c r="AB3" s="24"/>
      <c r="AD3" s="23" t="s">
        <v>254</v>
      </c>
      <c r="AE3" s="21"/>
      <c r="AF3" s="20" t="s">
        <v>255</v>
      </c>
      <c r="AG3" s="21"/>
      <c r="AH3" s="24"/>
      <c r="AI3" s="24"/>
      <c r="AK3" s="23" t="s">
        <v>254</v>
      </c>
      <c r="AL3" s="21"/>
      <c r="AM3" s="20" t="s">
        <v>255</v>
      </c>
      <c r="AN3" s="21"/>
      <c r="AO3" s="24"/>
      <c r="AP3" s="24"/>
    </row>
    <row r="4" spans="2:42" ht="15" x14ac:dyDescent="0.25">
      <c r="B4" s="18" t="s">
        <v>256</v>
      </c>
      <c r="C4" s="21"/>
      <c r="D4" s="20" t="s">
        <v>257</v>
      </c>
      <c r="E4" s="21"/>
      <c r="G4" s="22"/>
      <c r="I4" s="18" t="s">
        <v>256</v>
      </c>
      <c r="J4" s="21"/>
      <c r="K4" s="20" t="s">
        <v>257</v>
      </c>
      <c r="L4" s="21"/>
      <c r="M4" s="22"/>
      <c r="N4" s="22"/>
      <c r="P4" s="18" t="s">
        <v>256</v>
      </c>
      <c r="Q4" s="21"/>
      <c r="R4" s="20" t="s">
        <v>258</v>
      </c>
      <c r="S4" s="21"/>
      <c r="T4" s="22"/>
      <c r="U4" s="22"/>
      <c r="W4" s="18" t="s">
        <v>256</v>
      </c>
      <c r="X4" s="21"/>
      <c r="Y4" s="20" t="s">
        <v>258</v>
      </c>
      <c r="Z4" s="21"/>
      <c r="AA4" s="22"/>
      <c r="AB4" s="22"/>
      <c r="AD4" s="18" t="s">
        <v>256</v>
      </c>
      <c r="AE4" s="21"/>
      <c r="AF4" s="20" t="s">
        <v>258</v>
      </c>
      <c r="AG4" s="21"/>
      <c r="AH4" s="22"/>
      <c r="AI4" s="22"/>
      <c r="AK4" s="18" t="s">
        <v>256</v>
      </c>
      <c r="AL4" s="21"/>
      <c r="AM4" s="20" t="s">
        <v>257</v>
      </c>
      <c r="AN4" s="21"/>
      <c r="AO4" s="22"/>
      <c r="AP4" s="22"/>
    </row>
    <row r="5" spans="2:42" ht="15" x14ac:dyDescent="0.25">
      <c r="B5" s="18" t="s">
        <v>259</v>
      </c>
      <c r="C5" s="21"/>
      <c r="D5" s="20" t="s">
        <v>260</v>
      </c>
      <c r="E5" s="21"/>
      <c r="F5" s="25" t="s">
        <v>12</v>
      </c>
      <c r="G5" s="25"/>
      <c r="I5" s="18" t="s">
        <v>259</v>
      </c>
      <c r="J5" s="21"/>
      <c r="K5" s="20" t="s">
        <v>260</v>
      </c>
      <c r="L5" s="21"/>
      <c r="M5" s="25" t="s">
        <v>12</v>
      </c>
      <c r="N5" s="22"/>
      <c r="P5" s="18" t="s">
        <v>259</v>
      </c>
      <c r="Q5" s="21"/>
      <c r="R5" s="20" t="s">
        <v>260</v>
      </c>
      <c r="S5" s="21"/>
      <c r="T5" s="25" t="s">
        <v>12</v>
      </c>
      <c r="U5" s="25"/>
      <c r="W5" s="18" t="s">
        <v>259</v>
      </c>
      <c r="X5" s="21"/>
      <c r="Y5" s="20" t="s">
        <v>260</v>
      </c>
      <c r="Z5" s="21"/>
      <c r="AA5" s="25" t="s">
        <v>12</v>
      </c>
      <c r="AB5" s="25"/>
      <c r="AD5" s="18" t="s">
        <v>259</v>
      </c>
      <c r="AE5" s="21"/>
      <c r="AF5" s="20" t="s">
        <v>260</v>
      </c>
      <c r="AG5" s="21"/>
      <c r="AH5" s="25" t="s">
        <v>12</v>
      </c>
      <c r="AI5" s="25"/>
      <c r="AK5" s="18" t="s">
        <v>259</v>
      </c>
      <c r="AL5" s="21"/>
      <c r="AM5" s="20" t="s">
        <v>260</v>
      </c>
      <c r="AN5" s="21"/>
      <c r="AO5" s="25" t="s">
        <v>12</v>
      </c>
      <c r="AP5" s="25"/>
    </row>
    <row r="6" spans="2:42" ht="15" x14ac:dyDescent="0.25">
      <c r="B6" s="18" t="s">
        <v>261</v>
      </c>
      <c r="C6" s="21"/>
      <c r="D6" s="20" t="s">
        <v>262</v>
      </c>
      <c r="E6" s="26"/>
      <c r="F6" s="27" t="e">
        <f>E6/C2</f>
        <v>#DIV/0!</v>
      </c>
      <c r="G6" s="28"/>
      <c r="I6" s="18" t="s">
        <v>261</v>
      </c>
      <c r="J6" s="21"/>
      <c r="K6" s="20" t="s">
        <v>262</v>
      </c>
      <c r="L6" s="26"/>
      <c r="M6" s="27" t="e">
        <f>L6/J2</f>
        <v>#DIV/0!</v>
      </c>
      <c r="N6" s="28"/>
      <c r="P6" s="18" t="s">
        <v>261</v>
      </c>
      <c r="Q6" s="21"/>
      <c r="R6" s="20" t="s">
        <v>262</v>
      </c>
      <c r="S6" s="26"/>
      <c r="T6" s="27" t="e">
        <f>S6/Q2</f>
        <v>#DIV/0!</v>
      </c>
      <c r="U6" s="28"/>
      <c r="W6" s="18" t="s">
        <v>261</v>
      </c>
      <c r="X6" s="21"/>
      <c r="Y6" s="20" t="s">
        <v>262</v>
      </c>
      <c r="Z6" s="26"/>
      <c r="AA6" s="27" t="e">
        <f>Z6/X2</f>
        <v>#DIV/0!</v>
      </c>
      <c r="AB6" s="28"/>
      <c r="AD6" s="18" t="s">
        <v>261</v>
      </c>
      <c r="AE6" s="21"/>
      <c r="AF6" s="20" t="s">
        <v>262</v>
      </c>
      <c r="AG6" s="26"/>
      <c r="AH6" s="27" t="e">
        <f>AG6/AE2</f>
        <v>#DIV/0!</v>
      </c>
      <c r="AI6" s="28"/>
      <c r="AK6" s="18" t="s">
        <v>261</v>
      </c>
      <c r="AL6" s="21"/>
      <c r="AM6" s="20" t="s">
        <v>262</v>
      </c>
      <c r="AN6" s="26"/>
      <c r="AO6" s="27" t="e">
        <f>AN6/AL2</f>
        <v>#DIV/0!</v>
      </c>
      <c r="AP6" s="28"/>
    </row>
    <row r="7" spans="2:42" ht="15" x14ac:dyDescent="0.25">
      <c r="B7" s="18" t="s">
        <v>263</v>
      </c>
      <c r="C7" s="21"/>
      <c r="D7" s="20" t="s">
        <v>264</v>
      </c>
      <c r="E7" s="26"/>
      <c r="F7" s="27" t="e">
        <f>E7/C2</f>
        <v>#DIV/0!</v>
      </c>
      <c r="G7" s="28"/>
      <c r="I7" s="18" t="s">
        <v>263</v>
      </c>
      <c r="J7" s="21"/>
      <c r="K7" s="20" t="s">
        <v>264</v>
      </c>
      <c r="L7" s="26"/>
      <c r="M7" s="27" t="e">
        <f>L7/J2</f>
        <v>#DIV/0!</v>
      </c>
      <c r="N7" s="28"/>
      <c r="P7" s="18" t="s">
        <v>263</v>
      </c>
      <c r="Q7" s="21"/>
      <c r="R7" s="20" t="s">
        <v>264</v>
      </c>
      <c r="S7" s="26"/>
      <c r="T7" s="27" t="e">
        <f>S7/Q2</f>
        <v>#DIV/0!</v>
      </c>
      <c r="U7" s="28"/>
      <c r="W7" s="18" t="s">
        <v>263</v>
      </c>
      <c r="X7" s="21"/>
      <c r="Y7" s="20" t="s">
        <v>264</v>
      </c>
      <c r="Z7" s="26"/>
      <c r="AA7" s="27" t="e">
        <f>Z7/X2</f>
        <v>#DIV/0!</v>
      </c>
      <c r="AB7" s="28"/>
      <c r="AD7" s="18" t="s">
        <v>263</v>
      </c>
      <c r="AE7" s="21"/>
      <c r="AF7" s="20" t="s">
        <v>264</v>
      </c>
      <c r="AG7" s="26"/>
      <c r="AH7" s="27" t="e">
        <f>AG7/AE2</f>
        <v>#DIV/0!</v>
      </c>
      <c r="AI7" s="28"/>
      <c r="AK7" s="18" t="s">
        <v>263</v>
      </c>
      <c r="AL7" s="21"/>
      <c r="AM7" s="20" t="s">
        <v>264</v>
      </c>
      <c r="AN7" s="26"/>
      <c r="AO7" s="27" t="e">
        <f>AN7/AL2</f>
        <v>#DIV/0!</v>
      </c>
      <c r="AP7" s="28"/>
    </row>
    <row r="8" spans="2:42" ht="15" x14ac:dyDescent="0.25">
      <c r="B8" s="18" t="s">
        <v>265</v>
      </c>
      <c r="C8" s="21"/>
      <c r="D8" s="20" t="s">
        <v>112</v>
      </c>
      <c r="E8" s="29">
        <f>SUM(E6:E7)</f>
        <v>0</v>
      </c>
      <c r="F8" s="30" t="e">
        <f>SUM(F6:F7)</f>
        <v>#DIV/0!</v>
      </c>
      <c r="G8" s="28"/>
      <c r="I8" s="18" t="s">
        <v>265</v>
      </c>
      <c r="J8" s="21"/>
      <c r="K8" s="20" t="s">
        <v>112</v>
      </c>
      <c r="L8" s="29">
        <f>SUM(L6:L7)</f>
        <v>0</v>
      </c>
      <c r="M8" s="30" t="e">
        <f>SUM(M6:M7)</f>
        <v>#DIV/0!</v>
      </c>
      <c r="N8" s="28"/>
      <c r="P8" s="18" t="s">
        <v>265</v>
      </c>
      <c r="Q8" s="21"/>
      <c r="R8" s="20" t="s">
        <v>112</v>
      </c>
      <c r="S8" s="29">
        <f>SUM(S6:S7)</f>
        <v>0</v>
      </c>
      <c r="T8" s="30" t="e">
        <f>SUM(T6:T7)</f>
        <v>#DIV/0!</v>
      </c>
      <c r="U8" s="28"/>
      <c r="W8" s="18" t="s">
        <v>265</v>
      </c>
      <c r="X8" s="21"/>
      <c r="Y8" s="20" t="s">
        <v>112</v>
      </c>
      <c r="Z8" s="29">
        <f>SUM(Z6:Z7)</f>
        <v>0</v>
      </c>
      <c r="AA8" s="30" t="e">
        <f>SUM(AA6:AA7)</f>
        <v>#DIV/0!</v>
      </c>
      <c r="AB8" s="28"/>
      <c r="AD8" s="18" t="s">
        <v>265</v>
      </c>
      <c r="AE8" s="21"/>
      <c r="AF8" s="20" t="s">
        <v>112</v>
      </c>
      <c r="AG8" s="29">
        <f>SUM(AG6:AG7)</f>
        <v>0</v>
      </c>
      <c r="AH8" s="30" t="e">
        <f>SUM(AH6:AH7)</f>
        <v>#DIV/0!</v>
      </c>
      <c r="AI8" s="28"/>
      <c r="AK8" s="18" t="s">
        <v>265</v>
      </c>
      <c r="AL8" s="21"/>
      <c r="AM8" s="20" t="s">
        <v>112</v>
      </c>
      <c r="AN8" s="29">
        <f>SUM(AN6:AN7)</f>
        <v>0</v>
      </c>
      <c r="AO8" s="30" t="e">
        <f>SUM(AO6:AO7)</f>
        <v>#DIV/0!</v>
      </c>
      <c r="AP8" s="28"/>
    </row>
    <row r="9" spans="2:42" ht="15" x14ac:dyDescent="0.25">
      <c r="B9" s="18" t="s">
        <v>266</v>
      </c>
      <c r="C9" s="21"/>
      <c r="D9" s="20" t="s">
        <v>267</v>
      </c>
      <c r="E9" s="21"/>
      <c r="G9" s="28"/>
      <c r="I9" s="18" t="s">
        <v>266</v>
      </c>
      <c r="J9" s="21"/>
      <c r="K9" s="20" t="s">
        <v>267</v>
      </c>
      <c r="L9" s="21"/>
      <c r="M9" s="28"/>
      <c r="N9" s="28"/>
      <c r="P9" s="18" t="s">
        <v>266</v>
      </c>
      <c r="Q9" s="21"/>
      <c r="R9" s="20" t="s">
        <v>267</v>
      </c>
      <c r="S9" s="21"/>
      <c r="T9" s="28"/>
      <c r="U9" s="28"/>
      <c r="W9" s="18" t="s">
        <v>266</v>
      </c>
      <c r="X9" s="21"/>
      <c r="Y9" s="20" t="s">
        <v>267</v>
      </c>
      <c r="Z9" s="21"/>
      <c r="AA9" s="28"/>
      <c r="AB9" s="28"/>
      <c r="AD9" s="18" t="s">
        <v>266</v>
      </c>
      <c r="AE9" s="21"/>
      <c r="AF9" s="20" t="s">
        <v>267</v>
      </c>
      <c r="AG9" s="21"/>
      <c r="AH9" s="28"/>
      <c r="AI9" s="28"/>
      <c r="AK9" s="18" t="s">
        <v>266</v>
      </c>
      <c r="AL9" s="21"/>
      <c r="AM9" s="20" t="s">
        <v>267</v>
      </c>
      <c r="AN9" s="21"/>
      <c r="AO9" s="28"/>
      <c r="AP9" s="28"/>
    </row>
    <row r="10" spans="2:42" ht="15" x14ac:dyDescent="0.25">
      <c r="B10" s="18" t="s">
        <v>268</v>
      </c>
      <c r="C10" s="21"/>
      <c r="D10" s="20" t="s">
        <v>269</v>
      </c>
      <c r="E10" s="21"/>
      <c r="G10" s="31"/>
      <c r="I10" s="18" t="s">
        <v>268</v>
      </c>
      <c r="J10" s="21"/>
      <c r="K10" s="20" t="s">
        <v>269</v>
      </c>
      <c r="L10" s="21"/>
      <c r="M10" s="31"/>
      <c r="N10" s="31"/>
      <c r="P10" s="18" t="s">
        <v>268</v>
      </c>
      <c r="Q10" s="21"/>
      <c r="R10" s="20" t="s">
        <v>269</v>
      </c>
      <c r="S10" s="21"/>
      <c r="T10" s="31"/>
      <c r="U10" s="31"/>
      <c r="W10" s="18" t="s">
        <v>268</v>
      </c>
      <c r="X10" s="21"/>
      <c r="Y10" s="20" t="s">
        <v>269</v>
      </c>
      <c r="Z10" s="21"/>
      <c r="AA10" s="31"/>
      <c r="AB10" s="31"/>
      <c r="AD10" s="18" t="s">
        <v>268</v>
      </c>
      <c r="AE10" s="21"/>
      <c r="AF10" s="20" t="s">
        <v>269</v>
      </c>
      <c r="AG10" s="21"/>
      <c r="AH10" s="31"/>
      <c r="AI10" s="31"/>
      <c r="AK10" s="18" t="s">
        <v>268</v>
      </c>
      <c r="AL10" s="21"/>
      <c r="AM10" s="20" t="s">
        <v>269</v>
      </c>
      <c r="AN10" s="21"/>
      <c r="AO10" s="31"/>
      <c r="AP10" s="31"/>
    </row>
    <row r="11" spans="2:42" ht="15" x14ac:dyDescent="0.25">
      <c r="B11" s="18" t="s">
        <v>270</v>
      </c>
      <c r="C11" s="21"/>
      <c r="D11" s="20" t="s">
        <v>271</v>
      </c>
      <c r="E11" s="21"/>
      <c r="G11" s="32"/>
      <c r="I11" s="18" t="s">
        <v>270</v>
      </c>
      <c r="J11" s="21"/>
      <c r="K11" s="20" t="s">
        <v>271</v>
      </c>
      <c r="L11" s="21"/>
      <c r="M11" s="32"/>
      <c r="N11" s="32"/>
      <c r="P11" s="18" t="s">
        <v>270</v>
      </c>
      <c r="Q11" s="21"/>
      <c r="R11" s="20" t="s">
        <v>271</v>
      </c>
      <c r="S11" s="21"/>
      <c r="T11" s="32"/>
      <c r="U11" s="32"/>
      <c r="W11" s="18" t="s">
        <v>270</v>
      </c>
      <c r="X11" s="21"/>
      <c r="Y11" s="20" t="s">
        <v>271</v>
      </c>
      <c r="Z11" s="21"/>
      <c r="AA11" s="32"/>
      <c r="AB11" s="32"/>
      <c r="AD11" s="18" t="s">
        <v>270</v>
      </c>
      <c r="AE11" s="21"/>
      <c r="AF11" s="20" t="s">
        <v>271</v>
      </c>
      <c r="AG11" s="21"/>
      <c r="AH11" s="32"/>
      <c r="AI11" s="32"/>
      <c r="AK11" s="18" t="s">
        <v>270</v>
      </c>
      <c r="AL11" s="21"/>
      <c r="AM11" s="20" t="s">
        <v>271</v>
      </c>
      <c r="AN11" s="21"/>
      <c r="AO11" s="32"/>
      <c r="AP11" s="32"/>
    </row>
    <row r="12" spans="2:42" ht="15" x14ac:dyDescent="0.25">
      <c r="B12" s="18" t="s">
        <v>272</v>
      </c>
      <c r="C12" s="21">
        <v>0</v>
      </c>
      <c r="D12" s="20" t="s">
        <v>273</v>
      </c>
      <c r="E12" s="33">
        <f>IFERROR(C2/E11,0)</f>
        <v>0</v>
      </c>
      <c r="G12" s="32"/>
      <c r="I12" s="18" t="s">
        <v>272</v>
      </c>
      <c r="J12" s="21"/>
      <c r="K12" s="20" t="s">
        <v>273</v>
      </c>
      <c r="L12" s="33">
        <f>IFERROR(J2/L11,0)</f>
        <v>0</v>
      </c>
      <c r="M12" s="32"/>
      <c r="N12" s="32"/>
      <c r="P12" s="18" t="s">
        <v>272</v>
      </c>
      <c r="Q12" s="21"/>
      <c r="R12" s="20" t="s">
        <v>273</v>
      </c>
      <c r="S12" s="33">
        <f>IFERROR(Q2/S11,0)</f>
        <v>0</v>
      </c>
      <c r="T12" s="32"/>
      <c r="U12" s="32"/>
      <c r="W12" s="18" t="s">
        <v>272</v>
      </c>
      <c r="X12" s="21"/>
      <c r="Y12" s="20" t="s">
        <v>273</v>
      </c>
      <c r="Z12" s="33">
        <f>IFERROR(X2/Z11,0)</f>
        <v>0</v>
      </c>
      <c r="AA12" s="32"/>
      <c r="AB12" s="32"/>
      <c r="AD12" s="18" t="s">
        <v>272</v>
      </c>
      <c r="AE12" s="21"/>
      <c r="AF12" s="20" t="s">
        <v>273</v>
      </c>
      <c r="AG12" s="33">
        <f>IFERROR(AE2/AG11,0)</f>
        <v>0</v>
      </c>
      <c r="AH12" s="32"/>
      <c r="AI12" s="32"/>
      <c r="AK12" s="18" t="s">
        <v>272</v>
      </c>
      <c r="AL12" s="21"/>
      <c r="AM12" s="20" t="s">
        <v>273</v>
      </c>
      <c r="AN12" s="33">
        <f>IFERROR(AL2/AN11,0)</f>
        <v>0</v>
      </c>
      <c r="AO12" s="32"/>
      <c r="AP12" s="32"/>
    </row>
    <row r="13" spans="2:42" x14ac:dyDescent="0.25">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x14ac:dyDescent="0.25">
      <c r="B14" s="35" t="s">
        <v>231</v>
      </c>
      <c r="C14" s="35"/>
      <c r="D14" s="36"/>
      <c r="E14" s="36"/>
      <c r="F14" s="36"/>
      <c r="G14" s="36"/>
      <c r="I14" s="35" t="s">
        <v>231</v>
      </c>
      <c r="J14" s="35"/>
      <c r="K14" s="36"/>
      <c r="L14" s="36"/>
      <c r="M14" s="36"/>
      <c r="N14" s="36"/>
      <c r="O14" s="36"/>
      <c r="P14" s="35" t="s">
        <v>231</v>
      </c>
      <c r="Q14" s="35"/>
      <c r="R14" s="36"/>
      <c r="S14" s="36"/>
      <c r="T14" s="36"/>
      <c r="U14" s="36"/>
      <c r="W14" s="35" t="s">
        <v>231</v>
      </c>
      <c r="X14" s="35"/>
      <c r="Y14" s="36"/>
      <c r="Z14" s="36"/>
      <c r="AA14" s="36"/>
      <c r="AB14" s="36"/>
      <c r="AD14" s="35" t="s">
        <v>231</v>
      </c>
      <c r="AE14" s="35"/>
      <c r="AF14" s="36"/>
      <c r="AG14" s="36"/>
      <c r="AH14" s="36"/>
      <c r="AI14" s="36"/>
      <c r="AK14" s="35" t="s">
        <v>231</v>
      </c>
      <c r="AL14" s="35"/>
      <c r="AM14" s="36"/>
      <c r="AN14" s="36"/>
      <c r="AO14" s="36"/>
      <c r="AP14" s="36"/>
    </row>
    <row r="15" spans="2:42" ht="12.75" customHeight="1" x14ac:dyDescent="0.25">
      <c r="B15" s="37" t="s">
        <v>124</v>
      </c>
      <c r="C15" s="38" t="s">
        <v>2</v>
      </c>
      <c r="D15" s="38" t="s">
        <v>107</v>
      </c>
      <c r="E15" s="38" t="s">
        <v>274</v>
      </c>
      <c r="F15" s="39" t="s">
        <v>275</v>
      </c>
      <c r="G15" s="39" t="s">
        <v>276</v>
      </c>
      <c r="I15" s="37" t="s">
        <v>124</v>
      </c>
      <c r="J15" s="38" t="s">
        <v>2</v>
      </c>
      <c r="K15" s="38" t="s">
        <v>107</v>
      </c>
      <c r="L15" s="38" t="s">
        <v>274</v>
      </c>
      <c r="M15" s="39" t="s">
        <v>275</v>
      </c>
      <c r="N15" s="39" t="s">
        <v>276</v>
      </c>
      <c r="O15" s="40"/>
      <c r="P15" s="37" t="s">
        <v>124</v>
      </c>
      <c r="Q15" s="38" t="s">
        <v>2</v>
      </c>
      <c r="R15" s="38" t="s">
        <v>107</v>
      </c>
      <c r="S15" s="38" t="s">
        <v>274</v>
      </c>
      <c r="T15" s="39" t="s">
        <v>275</v>
      </c>
      <c r="U15" s="39" t="s">
        <v>276</v>
      </c>
      <c r="W15" s="37" t="s">
        <v>124</v>
      </c>
      <c r="X15" s="38" t="s">
        <v>2</v>
      </c>
      <c r="Y15" s="38" t="s">
        <v>107</v>
      </c>
      <c r="Z15" s="38" t="s">
        <v>274</v>
      </c>
      <c r="AA15" s="39" t="s">
        <v>275</v>
      </c>
      <c r="AB15" s="39" t="s">
        <v>276</v>
      </c>
      <c r="AD15" s="37" t="s">
        <v>124</v>
      </c>
      <c r="AE15" s="38" t="s">
        <v>2</v>
      </c>
      <c r="AF15" s="38" t="s">
        <v>107</v>
      </c>
      <c r="AG15" s="38" t="s">
        <v>274</v>
      </c>
      <c r="AH15" s="39" t="s">
        <v>275</v>
      </c>
      <c r="AI15" s="39" t="s">
        <v>276</v>
      </c>
      <c r="AK15" s="37" t="s">
        <v>124</v>
      </c>
      <c r="AL15" s="38" t="s">
        <v>2</v>
      </c>
      <c r="AM15" s="38" t="s">
        <v>107</v>
      </c>
      <c r="AN15" s="38" t="s">
        <v>274</v>
      </c>
      <c r="AO15" s="39" t="s">
        <v>275</v>
      </c>
      <c r="AP15" s="39" t="s">
        <v>276</v>
      </c>
    </row>
    <row r="16" spans="2:42" ht="12.75" customHeight="1" x14ac:dyDescent="0.25">
      <c r="B16" s="41" t="s">
        <v>277</v>
      </c>
      <c r="C16" s="42"/>
      <c r="D16" s="43"/>
      <c r="E16" s="44"/>
      <c r="F16" s="437">
        <f t="shared" ref="F16:F29" si="0">IFERROR(E16/D16,0)</f>
        <v>0</v>
      </c>
      <c r="G16" s="438" t="e">
        <f>C16/$C$2</f>
        <v>#DIV/0!</v>
      </c>
      <c r="I16" s="41"/>
      <c r="J16" s="42"/>
      <c r="K16" s="43"/>
      <c r="L16" s="44"/>
      <c r="M16" s="437">
        <f>IFERROR(L16/K16,0)</f>
        <v>0</v>
      </c>
      <c r="N16" s="438" t="e">
        <f>J16/J$2</f>
        <v>#DIV/0!</v>
      </c>
      <c r="O16" s="40"/>
      <c r="P16" s="41"/>
      <c r="Q16" s="42"/>
      <c r="R16" s="43"/>
      <c r="S16" s="44"/>
      <c r="T16" s="437">
        <f>IFERROR(S16/R16,0)</f>
        <v>0</v>
      </c>
      <c r="U16" s="438" t="e">
        <f>Q16/Q$2</f>
        <v>#DIV/0!</v>
      </c>
      <c r="W16" s="41"/>
      <c r="X16" s="42"/>
      <c r="Y16" s="43"/>
      <c r="Z16" s="44"/>
      <c r="AA16" s="437">
        <f>IFERROR(Z16/Y16,0)</f>
        <v>0</v>
      </c>
      <c r="AB16" s="438" t="e">
        <f t="shared" ref="AB16:AB26" si="1">X16/X$2</f>
        <v>#DIV/0!</v>
      </c>
      <c r="AD16" s="41"/>
      <c r="AE16" s="42"/>
      <c r="AF16" s="43"/>
      <c r="AG16" s="44"/>
      <c r="AH16" s="437">
        <f>IFERROR(AG16/AF16,0)</f>
        <v>0</v>
      </c>
      <c r="AI16" s="438" t="e">
        <f>AE16/AE$2</f>
        <v>#DIV/0!</v>
      </c>
      <c r="AK16" s="41"/>
      <c r="AL16" s="42"/>
      <c r="AM16" s="43"/>
      <c r="AN16" s="44"/>
      <c r="AO16" s="437">
        <f>IFERROR(AN16/AM16,0)</f>
        <v>0</v>
      </c>
      <c r="AP16" s="438" t="e">
        <f t="shared" ref="AP16:AP27" si="2">AL16/AL$2</f>
        <v>#DIV/0!</v>
      </c>
    </row>
    <row r="17" spans="1:42" ht="12.75" customHeight="1" x14ac:dyDescent="0.25">
      <c r="B17" s="41" t="s">
        <v>277</v>
      </c>
      <c r="C17" s="42"/>
      <c r="D17" s="43"/>
      <c r="E17" s="44"/>
      <c r="F17" s="437">
        <f t="shared" si="0"/>
        <v>0</v>
      </c>
      <c r="G17" s="438" t="e">
        <f t="shared" ref="G17:G27" si="3">C17/$C$2</f>
        <v>#DIV/0!</v>
      </c>
      <c r="I17" s="41"/>
      <c r="J17" s="42"/>
      <c r="K17" s="43"/>
      <c r="L17" s="44"/>
      <c r="M17" s="437">
        <f t="shared" ref="M17:M27" si="4">IFERROR(L17/K17,0)</f>
        <v>0</v>
      </c>
      <c r="N17" s="438" t="e">
        <f t="shared" ref="N17:N27" si="5">J17/J$2</f>
        <v>#DIV/0!</v>
      </c>
      <c r="O17" s="40"/>
      <c r="P17" s="41"/>
      <c r="Q17" s="42"/>
      <c r="R17" s="43"/>
      <c r="S17" s="44"/>
      <c r="T17" s="437">
        <f t="shared" ref="T17:T27" si="6">IFERROR(S17/R17,0)</f>
        <v>0</v>
      </c>
      <c r="U17" s="438" t="e">
        <f t="shared" ref="U17:U27" si="7">Q17/Q$2</f>
        <v>#DIV/0!</v>
      </c>
      <c r="W17" s="41"/>
      <c r="X17" s="42"/>
      <c r="Y17" s="43"/>
      <c r="Z17" s="44"/>
      <c r="AA17" s="437">
        <f t="shared" ref="AA17:AA27" si="8">IFERROR(Z17/Y17,0)</f>
        <v>0</v>
      </c>
      <c r="AB17" s="438" t="e">
        <f t="shared" si="1"/>
        <v>#DIV/0!</v>
      </c>
      <c r="AD17" s="41"/>
      <c r="AE17" s="42"/>
      <c r="AF17" s="43"/>
      <c r="AG17" s="44"/>
      <c r="AH17" s="437">
        <f t="shared" ref="AH17:AH27" si="9">IFERROR(AG17/AF17,0)</f>
        <v>0</v>
      </c>
      <c r="AI17" s="438" t="e">
        <f t="shared" ref="AI17:AI27" si="10">AE17/AE$2</f>
        <v>#DIV/0!</v>
      </c>
      <c r="AK17" s="41"/>
      <c r="AL17" s="42"/>
      <c r="AM17" s="43"/>
      <c r="AN17" s="44"/>
      <c r="AO17" s="437">
        <f t="shared" ref="AO17:AO27" si="11">IFERROR(AN17/AM17,0)</f>
        <v>0</v>
      </c>
      <c r="AP17" s="438" t="e">
        <f t="shared" si="2"/>
        <v>#DIV/0!</v>
      </c>
    </row>
    <row r="18" spans="1:42" ht="12.75" customHeight="1" x14ac:dyDescent="0.25">
      <c r="B18" s="41" t="s">
        <v>277</v>
      </c>
      <c r="C18" s="42"/>
      <c r="D18" s="43"/>
      <c r="E18" s="44"/>
      <c r="F18" s="437">
        <f t="shared" si="0"/>
        <v>0</v>
      </c>
      <c r="G18" s="438" t="e">
        <f t="shared" si="3"/>
        <v>#DIV/0!</v>
      </c>
      <c r="I18" s="41"/>
      <c r="J18" s="42"/>
      <c r="K18" s="43"/>
      <c r="L18" s="44"/>
      <c r="M18" s="437">
        <f t="shared" si="4"/>
        <v>0</v>
      </c>
      <c r="N18" s="438" t="e">
        <f t="shared" si="5"/>
        <v>#DIV/0!</v>
      </c>
      <c r="O18" s="40"/>
      <c r="P18" s="41"/>
      <c r="Q18" s="42"/>
      <c r="R18" s="43"/>
      <c r="S18" s="44"/>
      <c r="T18" s="437">
        <f t="shared" si="6"/>
        <v>0</v>
      </c>
      <c r="U18" s="438" t="e">
        <f t="shared" si="7"/>
        <v>#DIV/0!</v>
      </c>
      <c r="W18" s="41"/>
      <c r="X18" s="42"/>
      <c r="Y18" s="43"/>
      <c r="Z18" s="44"/>
      <c r="AA18" s="437">
        <f t="shared" si="8"/>
        <v>0</v>
      </c>
      <c r="AB18" s="438" t="e">
        <f t="shared" si="1"/>
        <v>#DIV/0!</v>
      </c>
      <c r="AD18" s="41"/>
      <c r="AE18" s="42"/>
      <c r="AF18" s="43"/>
      <c r="AG18" s="44"/>
      <c r="AH18" s="437">
        <f t="shared" si="9"/>
        <v>0</v>
      </c>
      <c r="AI18" s="438" t="e">
        <f t="shared" si="10"/>
        <v>#DIV/0!</v>
      </c>
      <c r="AK18" s="41"/>
      <c r="AL18" s="42"/>
      <c r="AM18" s="43"/>
      <c r="AN18" s="44"/>
      <c r="AO18" s="437">
        <f t="shared" si="11"/>
        <v>0</v>
      </c>
      <c r="AP18" s="438" t="e">
        <f t="shared" si="2"/>
        <v>#DIV/0!</v>
      </c>
    </row>
    <row r="19" spans="1:42" ht="12.75" customHeight="1" x14ac:dyDescent="0.25">
      <c r="B19" s="41" t="s">
        <v>277</v>
      </c>
      <c r="C19" s="42"/>
      <c r="D19" s="43"/>
      <c r="E19" s="44"/>
      <c r="F19" s="437">
        <f t="shared" si="0"/>
        <v>0</v>
      </c>
      <c r="G19" s="438" t="e">
        <f t="shared" si="3"/>
        <v>#DIV/0!</v>
      </c>
      <c r="I19" s="41"/>
      <c r="J19" s="42"/>
      <c r="K19" s="43"/>
      <c r="L19" s="44"/>
      <c r="M19" s="437">
        <f t="shared" si="4"/>
        <v>0</v>
      </c>
      <c r="N19" s="438" t="e">
        <f t="shared" si="5"/>
        <v>#DIV/0!</v>
      </c>
      <c r="O19" s="40"/>
      <c r="P19" s="41"/>
      <c r="Q19" s="42"/>
      <c r="R19" s="43"/>
      <c r="S19" s="44"/>
      <c r="T19" s="437">
        <f t="shared" si="6"/>
        <v>0</v>
      </c>
      <c r="U19" s="438" t="e">
        <f t="shared" si="7"/>
        <v>#DIV/0!</v>
      </c>
      <c r="W19" s="41"/>
      <c r="X19" s="42"/>
      <c r="Y19" s="43"/>
      <c r="Z19" s="44"/>
      <c r="AA19" s="437">
        <f t="shared" si="8"/>
        <v>0</v>
      </c>
      <c r="AB19" s="438" t="e">
        <f t="shared" si="1"/>
        <v>#DIV/0!</v>
      </c>
      <c r="AD19" s="41"/>
      <c r="AE19" s="42"/>
      <c r="AF19" s="43"/>
      <c r="AG19" s="44"/>
      <c r="AH19" s="437">
        <f t="shared" si="9"/>
        <v>0</v>
      </c>
      <c r="AI19" s="438" t="e">
        <f t="shared" si="10"/>
        <v>#DIV/0!</v>
      </c>
      <c r="AK19" s="41"/>
      <c r="AL19" s="42"/>
      <c r="AM19" s="43"/>
      <c r="AN19" s="44"/>
      <c r="AO19" s="437">
        <f t="shared" si="11"/>
        <v>0</v>
      </c>
      <c r="AP19" s="438" t="e">
        <f t="shared" si="2"/>
        <v>#DIV/0!</v>
      </c>
    </row>
    <row r="20" spans="1:42" ht="12.75" customHeight="1" x14ac:dyDescent="0.25">
      <c r="B20" s="41" t="s">
        <v>277</v>
      </c>
      <c r="C20" s="42"/>
      <c r="D20" s="43"/>
      <c r="E20" s="44"/>
      <c r="F20" s="437">
        <f t="shared" si="0"/>
        <v>0</v>
      </c>
      <c r="G20" s="438" t="e">
        <f t="shared" si="3"/>
        <v>#DIV/0!</v>
      </c>
      <c r="I20" s="41"/>
      <c r="J20" s="42"/>
      <c r="K20" s="43"/>
      <c r="L20" s="44"/>
      <c r="M20" s="437">
        <f t="shared" si="4"/>
        <v>0</v>
      </c>
      <c r="N20" s="438" t="e">
        <f t="shared" si="5"/>
        <v>#DIV/0!</v>
      </c>
      <c r="O20" s="40"/>
      <c r="P20" s="41"/>
      <c r="Q20" s="42"/>
      <c r="R20" s="43"/>
      <c r="S20" s="44"/>
      <c r="T20" s="437">
        <f t="shared" si="6"/>
        <v>0</v>
      </c>
      <c r="U20" s="438" t="e">
        <f t="shared" si="7"/>
        <v>#DIV/0!</v>
      </c>
      <c r="W20" s="41"/>
      <c r="X20" s="42"/>
      <c r="Y20" s="43"/>
      <c r="Z20" s="44"/>
      <c r="AA20" s="437">
        <f t="shared" si="8"/>
        <v>0</v>
      </c>
      <c r="AB20" s="438" t="e">
        <f t="shared" si="1"/>
        <v>#DIV/0!</v>
      </c>
      <c r="AD20" s="41"/>
      <c r="AE20" s="42"/>
      <c r="AF20" s="43"/>
      <c r="AG20" s="44"/>
      <c r="AH20" s="437">
        <f t="shared" si="9"/>
        <v>0</v>
      </c>
      <c r="AI20" s="438" t="e">
        <f t="shared" si="10"/>
        <v>#DIV/0!</v>
      </c>
      <c r="AK20" s="41"/>
      <c r="AL20" s="42"/>
      <c r="AM20" s="43"/>
      <c r="AN20" s="44"/>
      <c r="AO20" s="437">
        <f t="shared" si="11"/>
        <v>0</v>
      </c>
      <c r="AP20" s="438" t="e">
        <f t="shared" si="2"/>
        <v>#DIV/0!</v>
      </c>
    </row>
    <row r="21" spans="1:42" ht="12.75" customHeight="1" x14ac:dyDescent="0.25">
      <c r="B21" s="41" t="s">
        <v>277</v>
      </c>
      <c r="C21" s="42"/>
      <c r="D21" s="43"/>
      <c r="E21" s="44"/>
      <c r="F21" s="437">
        <f t="shared" si="0"/>
        <v>0</v>
      </c>
      <c r="G21" s="438" t="e">
        <f t="shared" si="3"/>
        <v>#DIV/0!</v>
      </c>
      <c r="I21" s="41"/>
      <c r="J21" s="42"/>
      <c r="K21" s="43"/>
      <c r="L21" s="44"/>
      <c r="M21" s="437">
        <f t="shared" si="4"/>
        <v>0</v>
      </c>
      <c r="N21" s="438" t="e">
        <f t="shared" si="5"/>
        <v>#DIV/0!</v>
      </c>
      <c r="O21" s="40"/>
      <c r="P21" s="41"/>
      <c r="Q21" s="42"/>
      <c r="R21" s="43"/>
      <c r="S21" s="44"/>
      <c r="T21" s="437">
        <f t="shared" si="6"/>
        <v>0</v>
      </c>
      <c r="U21" s="438" t="e">
        <f t="shared" si="7"/>
        <v>#DIV/0!</v>
      </c>
      <c r="W21" s="41"/>
      <c r="X21" s="42"/>
      <c r="Y21" s="43"/>
      <c r="Z21" s="44"/>
      <c r="AA21" s="437">
        <f t="shared" si="8"/>
        <v>0</v>
      </c>
      <c r="AB21" s="438" t="e">
        <f t="shared" si="1"/>
        <v>#DIV/0!</v>
      </c>
      <c r="AD21" s="41"/>
      <c r="AE21" s="42"/>
      <c r="AF21" s="43"/>
      <c r="AG21" s="44"/>
      <c r="AH21" s="437">
        <f t="shared" si="9"/>
        <v>0</v>
      </c>
      <c r="AI21" s="438" t="e">
        <f t="shared" si="10"/>
        <v>#DIV/0!</v>
      </c>
      <c r="AK21" s="41"/>
      <c r="AL21" s="42"/>
      <c r="AM21" s="43"/>
      <c r="AN21" s="44"/>
      <c r="AO21" s="437">
        <f t="shared" si="11"/>
        <v>0</v>
      </c>
      <c r="AP21" s="438" t="e">
        <f t="shared" si="2"/>
        <v>#DIV/0!</v>
      </c>
    </row>
    <row r="22" spans="1:42" ht="12.75" customHeight="1" x14ac:dyDescent="0.25">
      <c r="B22" s="41" t="s">
        <v>277</v>
      </c>
      <c r="C22" s="42"/>
      <c r="D22" s="43"/>
      <c r="E22" s="44"/>
      <c r="F22" s="437">
        <f t="shared" si="0"/>
        <v>0</v>
      </c>
      <c r="G22" s="438" t="e">
        <f t="shared" si="3"/>
        <v>#DIV/0!</v>
      </c>
      <c r="I22" s="41"/>
      <c r="J22" s="42"/>
      <c r="K22" s="43"/>
      <c r="L22" s="44"/>
      <c r="M22" s="437">
        <f t="shared" si="4"/>
        <v>0</v>
      </c>
      <c r="N22" s="438" t="e">
        <f t="shared" si="5"/>
        <v>#DIV/0!</v>
      </c>
      <c r="O22" s="40"/>
      <c r="P22" s="41"/>
      <c r="Q22" s="42"/>
      <c r="R22" s="43"/>
      <c r="S22" s="44"/>
      <c r="T22" s="437">
        <f t="shared" si="6"/>
        <v>0</v>
      </c>
      <c r="U22" s="438" t="e">
        <f t="shared" si="7"/>
        <v>#DIV/0!</v>
      </c>
      <c r="W22" s="41"/>
      <c r="X22" s="42"/>
      <c r="Y22" s="43"/>
      <c r="Z22" s="44"/>
      <c r="AA22" s="437">
        <f t="shared" si="8"/>
        <v>0</v>
      </c>
      <c r="AB22" s="438" t="e">
        <f t="shared" si="1"/>
        <v>#DIV/0!</v>
      </c>
      <c r="AD22" s="41"/>
      <c r="AE22" s="42"/>
      <c r="AF22" s="43"/>
      <c r="AG22" s="44"/>
      <c r="AH22" s="437">
        <f t="shared" si="9"/>
        <v>0</v>
      </c>
      <c r="AI22" s="438" t="e">
        <f t="shared" si="10"/>
        <v>#DIV/0!</v>
      </c>
      <c r="AK22" s="41"/>
      <c r="AL22" s="42"/>
      <c r="AM22" s="43"/>
      <c r="AN22" s="44"/>
      <c r="AO22" s="437">
        <f t="shared" si="11"/>
        <v>0</v>
      </c>
      <c r="AP22" s="438" t="e">
        <f t="shared" si="2"/>
        <v>#DIV/0!</v>
      </c>
    </row>
    <row r="23" spans="1:42" ht="12.75" customHeight="1" x14ac:dyDescent="0.25">
      <c r="B23" s="41" t="s">
        <v>277</v>
      </c>
      <c r="C23" s="42"/>
      <c r="D23" s="43"/>
      <c r="E23" s="44"/>
      <c r="F23" s="437">
        <f t="shared" si="0"/>
        <v>0</v>
      </c>
      <c r="G23" s="438" t="e">
        <f t="shared" si="3"/>
        <v>#DIV/0!</v>
      </c>
      <c r="I23" s="41"/>
      <c r="J23" s="42"/>
      <c r="K23" s="43"/>
      <c r="L23" s="44"/>
      <c r="M23" s="437">
        <f t="shared" si="4"/>
        <v>0</v>
      </c>
      <c r="N23" s="438" t="e">
        <f t="shared" si="5"/>
        <v>#DIV/0!</v>
      </c>
      <c r="O23" s="40"/>
      <c r="P23" s="41"/>
      <c r="Q23" s="42"/>
      <c r="R23" s="43"/>
      <c r="S23" s="44"/>
      <c r="T23" s="437">
        <f t="shared" si="6"/>
        <v>0</v>
      </c>
      <c r="U23" s="438" t="e">
        <f t="shared" si="7"/>
        <v>#DIV/0!</v>
      </c>
      <c r="W23" s="41"/>
      <c r="X23" s="42"/>
      <c r="Y23" s="43"/>
      <c r="Z23" s="44"/>
      <c r="AA23" s="437">
        <f t="shared" si="8"/>
        <v>0</v>
      </c>
      <c r="AB23" s="438" t="e">
        <f t="shared" si="1"/>
        <v>#DIV/0!</v>
      </c>
      <c r="AD23" s="41"/>
      <c r="AE23" s="42"/>
      <c r="AF23" s="43"/>
      <c r="AG23" s="44"/>
      <c r="AH23" s="437">
        <f t="shared" si="9"/>
        <v>0</v>
      </c>
      <c r="AI23" s="438" t="e">
        <f t="shared" si="10"/>
        <v>#DIV/0!</v>
      </c>
      <c r="AK23" s="41"/>
      <c r="AL23" s="42"/>
      <c r="AM23" s="43"/>
      <c r="AN23" s="44"/>
      <c r="AO23" s="437">
        <f t="shared" si="11"/>
        <v>0</v>
      </c>
      <c r="AP23" s="438" t="e">
        <f t="shared" si="2"/>
        <v>#DIV/0!</v>
      </c>
    </row>
    <row r="24" spans="1:42" ht="12.75" customHeight="1" x14ac:dyDescent="0.25">
      <c r="B24" s="41" t="s">
        <v>277</v>
      </c>
      <c r="C24" s="42"/>
      <c r="D24" s="43"/>
      <c r="E24" s="44"/>
      <c r="F24" s="437">
        <f t="shared" si="0"/>
        <v>0</v>
      </c>
      <c r="G24" s="438" t="e">
        <f t="shared" si="3"/>
        <v>#DIV/0!</v>
      </c>
      <c r="I24" s="41"/>
      <c r="J24" s="42"/>
      <c r="K24" s="43"/>
      <c r="L24" s="44"/>
      <c r="M24" s="437">
        <f t="shared" si="4"/>
        <v>0</v>
      </c>
      <c r="N24" s="438" t="e">
        <f t="shared" si="5"/>
        <v>#DIV/0!</v>
      </c>
      <c r="O24" s="40"/>
      <c r="P24" s="41"/>
      <c r="Q24" s="42"/>
      <c r="R24" s="43"/>
      <c r="S24" s="44"/>
      <c r="T24" s="437">
        <f t="shared" si="6"/>
        <v>0</v>
      </c>
      <c r="U24" s="438" t="e">
        <f t="shared" si="7"/>
        <v>#DIV/0!</v>
      </c>
      <c r="W24" s="41"/>
      <c r="X24" s="42"/>
      <c r="Y24" s="43"/>
      <c r="Z24" s="44"/>
      <c r="AA24" s="437">
        <f t="shared" si="8"/>
        <v>0</v>
      </c>
      <c r="AB24" s="438" t="e">
        <f t="shared" si="1"/>
        <v>#DIV/0!</v>
      </c>
      <c r="AD24" s="41"/>
      <c r="AE24" s="42"/>
      <c r="AF24" s="43"/>
      <c r="AG24" s="44"/>
      <c r="AH24" s="437">
        <f t="shared" si="9"/>
        <v>0</v>
      </c>
      <c r="AI24" s="438" t="e">
        <f t="shared" si="10"/>
        <v>#DIV/0!</v>
      </c>
      <c r="AK24" s="41"/>
      <c r="AL24" s="42"/>
      <c r="AM24" s="43"/>
      <c r="AN24" s="44"/>
      <c r="AO24" s="437">
        <f t="shared" si="11"/>
        <v>0</v>
      </c>
      <c r="AP24" s="438" t="e">
        <f t="shared" si="2"/>
        <v>#DIV/0!</v>
      </c>
    </row>
    <row r="25" spans="1:42" ht="12.75" customHeight="1" x14ac:dyDescent="0.25">
      <c r="B25" s="41" t="s">
        <v>277</v>
      </c>
      <c r="C25" s="42"/>
      <c r="D25" s="43"/>
      <c r="E25" s="44"/>
      <c r="F25" s="437">
        <f t="shared" si="0"/>
        <v>0</v>
      </c>
      <c r="G25" s="438" t="e">
        <f t="shared" si="3"/>
        <v>#DIV/0!</v>
      </c>
      <c r="I25" s="41"/>
      <c r="J25" s="42"/>
      <c r="K25" s="43"/>
      <c r="L25" s="44"/>
      <c r="M25" s="437">
        <f t="shared" si="4"/>
        <v>0</v>
      </c>
      <c r="N25" s="438" t="e">
        <f t="shared" si="5"/>
        <v>#DIV/0!</v>
      </c>
      <c r="O25" s="40"/>
      <c r="P25" s="41"/>
      <c r="Q25" s="42"/>
      <c r="R25" s="43"/>
      <c r="S25" s="44"/>
      <c r="T25" s="437">
        <f t="shared" si="6"/>
        <v>0</v>
      </c>
      <c r="U25" s="438" t="e">
        <f t="shared" si="7"/>
        <v>#DIV/0!</v>
      </c>
      <c r="W25" s="41"/>
      <c r="X25" s="42"/>
      <c r="Y25" s="43"/>
      <c r="Z25" s="44"/>
      <c r="AA25" s="437">
        <f t="shared" si="8"/>
        <v>0</v>
      </c>
      <c r="AB25" s="438" t="e">
        <f t="shared" si="1"/>
        <v>#DIV/0!</v>
      </c>
      <c r="AD25" s="41"/>
      <c r="AE25" s="42"/>
      <c r="AF25" s="43"/>
      <c r="AG25" s="44"/>
      <c r="AH25" s="437">
        <f t="shared" si="9"/>
        <v>0</v>
      </c>
      <c r="AI25" s="438" t="e">
        <f t="shared" si="10"/>
        <v>#DIV/0!</v>
      </c>
      <c r="AK25" s="41"/>
      <c r="AL25" s="42"/>
      <c r="AM25" s="43"/>
      <c r="AN25" s="44"/>
      <c r="AO25" s="437">
        <f t="shared" si="11"/>
        <v>0</v>
      </c>
      <c r="AP25" s="438" t="e">
        <f t="shared" si="2"/>
        <v>#DIV/0!</v>
      </c>
    </row>
    <row r="26" spans="1:42" ht="12.75" customHeight="1" x14ac:dyDescent="0.25">
      <c r="B26" s="41" t="s">
        <v>277</v>
      </c>
      <c r="C26" s="42"/>
      <c r="D26" s="43"/>
      <c r="E26" s="44"/>
      <c r="F26" s="437">
        <f t="shared" si="0"/>
        <v>0</v>
      </c>
      <c r="G26" s="438" t="e">
        <f t="shared" si="3"/>
        <v>#DIV/0!</v>
      </c>
      <c r="I26" s="41"/>
      <c r="J26" s="42"/>
      <c r="K26" s="43"/>
      <c r="L26" s="44"/>
      <c r="M26" s="437">
        <f t="shared" si="4"/>
        <v>0</v>
      </c>
      <c r="N26" s="438" t="e">
        <f t="shared" si="5"/>
        <v>#DIV/0!</v>
      </c>
      <c r="O26" s="40"/>
      <c r="P26" s="41"/>
      <c r="Q26" s="42"/>
      <c r="R26" s="43"/>
      <c r="S26" s="44"/>
      <c r="T26" s="437">
        <f t="shared" si="6"/>
        <v>0</v>
      </c>
      <c r="U26" s="438" t="e">
        <f t="shared" si="7"/>
        <v>#DIV/0!</v>
      </c>
      <c r="W26" s="41"/>
      <c r="X26" s="42"/>
      <c r="Y26" s="43"/>
      <c r="Z26" s="44"/>
      <c r="AA26" s="437">
        <f t="shared" si="8"/>
        <v>0</v>
      </c>
      <c r="AB26" s="438" t="e">
        <f t="shared" si="1"/>
        <v>#DIV/0!</v>
      </c>
      <c r="AD26" s="41"/>
      <c r="AE26" s="42"/>
      <c r="AF26" s="43"/>
      <c r="AG26" s="44"/>
      <c r="AH26" s="437">
        <f t="shared" si="9"/>
        <v>0</v>
      </c>
      <c r="AI26" s="438" t="e">
        <f t="shared" si="10"/>
        <v>#DIV/0!</v>
      </c>
      <c r="AK26" s="41"/>
      <c r="AL26" s="42"/>
      <c r="AM26" s="43"/>
      <c r="AN26" s="44"/>
      <c r="AO26" s="437">
        <f t="shared" si="11"/>
        <v>0</v>
      </c>
      <c r="AP26" s="438" t="e">
        <f t="shared" si="2"/>
        <v>#DIV/0!</v>
      </c>
    </row>
    <row r="27" spans="1:42" ht="12.75" customHeight="1" x14ac:dyDescent="0.25">
      <c r="B27" s="41" t="s">
        <v>277</v>
      </c>
      <c r="C27" s="42"/>
      <c r="D27" s="43"/>
      <c r="E27" s="44"/>
      <c r="F27" s="437">
        <f t="shared" si="0"/>
        <v>0</v>
      </c>
      <c r="G27" s="438" t="e">
        <f t="shared" si="3"/>
        <v>#DIV/0!</v>
      </c>
      <c r="I27" s="41"/>
      <c r="J27" s="42"/>
      <c r="K27" s="43"/>
      <c r="L27" s="44"/>
      <c r="M27" s="437">
        <f t="shared" si="4"/>
        <v>0</v>
      </c>
      <c r="N27" s="438" t="e">
        <f t="shared" si="5"/>
        <v>#DIV/0!</v>
      </c>
      <c r="O27" s="40"/>
      <c r="P27" s="41"/>
      <c r="Q27" s="42"/>
      <c r="R27" s="43"/>
      <c r="S27" s="44"/>
      <c r="T27" s="437">
        <f t="shared" si="6"/>
        <v>0</v>
      </c>
      <c r="U27" s="438" t="e">
        <f t="shared" si="7"/>
        <v>#DIV/0!</v>
      </c>
      <c r="W27" s="41"/>
      <c r="X27" s="42"/>
      <c r="Y27" s="43"/>
      <c r="Z27" s="44"/>
      <c r="AA27" s="437">
        <f t="shared" si="8"/>
        <v>0</v>
      </c>
      <c r="AB27" s="438" t="e">
        <f>X27/X$2</f>
        <v>#DIV/0!</v>
      </c>
      <c r="AD27" s="41"/>
      <c r="AE27" s="42"/>
      <c r="AF27" s="43"/>
      <c r="AG27" s="44"/>
      <c r="AH27" s="437">
        <f t="shared" si="9"/>
        <v>0</v>
      </c>
      <c r="AI27" s="438" t="e">
        <f t="shared" si="10"/>
        <v>#DIV/0!</v>
      </c>
      <c r="AK27" s="41"/>
      <c r="AL27" s="42"/>
      <c r="AM27" s="43"/>
      <c r="AN27" s="44"/>
      <c r="AO27" s="437">
        <f t="shared" si="11"/>
        <v>0</v>
      </c>
      <c r="AP27" s="438" t="e">
        <f t="shared" si="2"/>
        <v>#DIV/0!</v>
      </c>
    </row>
    <row r="28" spans="1:42" s="45" customFormat="1" ht="12.75" customHeight="1" x14ac:dyDescent="0.25">
      <c r="B28" s="46" t="s">
        <v>112</v>
      </c>
      <c r="C28" s="47">
        <f>SUBTOTAL(9,C16:C27)</f>
        <v>0</v>
      </c>
      <c r="D28" s="48">
        <f>SUMPRODUCT(D16:D27,C16:C27)</f>
        <v>0</v>
      </c>
      <c r="E28" s="49">
        <f>SUMPRODUCT(E16:E27,C16:C27)</f>
        <v>0</v>
      </c>
      <c r="F28" s="50">
        <f t="shared" si="0"/>
        <v>0</v>
      </c>
      <c r="G28" s="51"/>
      <c r="I28" s="46" t="s">
        <v>112</v>
      </c>
      <c r="J28" s="47">
        <f>SUBTOTAL(9,J16:J27)</f>
        <v>0</v>
      </c>
      <c r="K28" s="48">
        <f>SUMPRODUCT(K16:K27,J16:J27)</f>
        <v>0</v>
      </c>
      <c r="L28" s="49">
        <f>SUMPRODUCT(L16:L27,J16:J27)</f>
        <v>0</v>
      </c>
      <c r="M28" s="50">
        <f>IFERROR(L28/K28,0)</f>
        <v>0</v>
      </c>
      <c r="N28" s="51"/>
      <c r="O28" s="52"/>
      <c r="P28" s="46" t="s">
        <v>112</v>
      </c>
      <c r="Q28" s="47">
        <f>SUBTOTAL(9,Q16:Q27)</f>
        <v>0</v>
      </c>
      <c r="R28" s="48">
        <f>SUMPRODUCT(R16:R27,Q16:Q27)</f>
        <v>0</v>
      </c>
      <c r="S28" s="49">
        <f>SUMPRODUCT(S16:S27,Q16:Q27)</f>
        <v>0</v>
      </c>
      <c r="T28" s="50">
        <f>IFERROR(S28/R28,0)</f>
        <v>0</v>
      </c>
      <c r="U28" s="51"/>
      <c r="W28" s="46" t="s">
        <v>112</v>
      </c>
      <c r="X28" s="47">
        <f>SUBTOTAL(9,X16:X27)</f>
        <v>0</v>
      </c>
      <c r="Y28" s="48">
        <f>SUMPRODUCT(Y16:Y27,X16:X27)</f>
        <v>0</v>
      </c>
      <c r="Z28" s="49">
        <f>SUMPRODUCT(Z16:Z27,X16:X27)</f>
        <v>0</v>
      </c>
      <c r="AA28" s="50">
        <f>IFERROR(Z28/Y28,0)</f>
        <v>0</v>
      </c>
      <c r="AB28" s="51"/>
      <c r="AD28" s="46" t="s">
        <v>112</v>
      </c>
      <c r="AE28" s="47">
        <f>SUBTOTAL(9,AE16:AE27)</f>
        <v>0</v>
      </c>
      <c r="AF28" s="48">
        <f>SUMPRODUCT(AF16:AF27,AE16:AE27)</f>
        <v>0</v>
      </c>
      <c r="AG28" s="49">
        <f>SUMPRODUCT(AG16:AG27,AE16:AE27)</f>
        <v>0</v>
      </c>
      <c r="AH28" s="50">
        <f>IFERROR(AG28/AF28,0)</f>
        <v>0</v>
      </c>
      <c r="AI28" s="51"/>
      <c r="AK28" s="46" t="s">
        <v>112</v>
      </c>
      <c r="AL28" s="47">
        <f>SUBTOTAL(9,AL16:AL27)</f>
        <v>0</v>
      </c>
      <c r="AM28" s="48">
        <f>SUMPRODUCT(AM16:AM27,AL16:AL27)</f>
        <v>0</v>
      </c>
      <c r="AN28" s="49">
        <f>SUMPRODUCT(AN16:AN27,AL16:AL27)</f>
        <v>0</v>
      </c>
      <c r="AO28" s="50">
        <f>IFERROR(AN28/AM28,0)</f>
        <v>0</v>
      </c>
      <c r="AP28" s="51"/>
    </row>
    <row r="29" spans="1:42" s="45" customFormat="1" ht="12.75" customHeight="1" x14ac:dyDescent="0.25">
      <c r="B29" s="53" t="s">
        <v>278</v>
      </c>
      <c r="C29" s="54"/>
      <c r="D29" s="48">
        <f>IFERROR(D28/C28,0)</f>
        <v>0</v>
      </c>
      <c r="E29" s="49">
        <f>IFERROR(E28/C28,0)</f>
        <v>0</v>
      </c>
      <c r="F29" s="50">
        <f t="shared" si="0"/>
        <v>0</v>
      </c>
      <c r="G29" s="51"/>
      <c r="I29" s="53" t="s">
        <v>278</v>
      </c>
      <c r="J29" s="54"/>
      <c r="K29" s="48">
        <f>IFERROR(K28/J28,0)</f>
        <v>0</v>
      </c>
      <c r="L29" s="49">
        <f>IFERROR(L28/J28,0)</f>
        <v>0</v>
      </c>
      <c r="M29" s="50">
        <f>IFERROR(L29/K29,0)</f>
        <v>0</v>
      </c>
      <c r="N29" s="51"/>
      <c r="O29" s="52"/>
      <c r="P29" s="53" t="s">
        <v>278</v>
      </c>
      <c r="Q29" s="54"/>
      <c r="R29" s="48">
        <f>IFERROR(R28/Q28,0)</f>
        <v>0</v>
      </c>
      <c r="S29" s="49">
        <f>IFERROR(S28/Q28,0)</f>
        <v>0</v>
      </c>
      <c r="T29" s="50">
        <f>IFERROR(S29/R29,0)</f>
        <v>0</v>
      </c>
      <c r="U29" s="51"/>
      <c r="W29" s="53" t="s">
        <v>278</v>
      </c>
      <c r="X29" s="54"/>
      <c r="Y29" s="48">
        <f>IFERROR(Y28/X28,0)</f>
        <v>0</v>
      </c>
      <c r="Z29" s="49">
        <f>IFERROR(Z28/X28,0)</f>
        <v>0</v>
      </c>
      <c r="AA29" s="50">
        <f>IFERROR(Z29/Y29,0)</f>
        <v>0</v>
      </c>
      <c r="AB29" s="51"/>
      <c r="AD29" s="53" t="s">
        <v>278</v>
      </c>
      <c r="AE29" s="54"/>
      <c r="AF29" s="48">
        <f>IFERROR(AF28/AE28,0)</f>
        <v>0</v>
      </c>
      <c r="AG29" s="49">
        <f>IFERROR(AG28/AE28,0)</f>
        <v>0</v>
      </c>
      <c r="AH29" s="50">
        <f>IFERROR(AG29/AF29,0)</f>
        <v>0</v>
      </c>
      <c r="AI29" s="51"/>
      <c r="AK29" s="53" t="s">
        <v>278</v>
      </c>
      <c r="AL29" s="54"/>
      <c r="AM29" s="48">
        <f>IFERROR(AM28/AL28,0)</f>
        <v>0</v>
      </c>
      <c r="AN29" s="49">
        <f>IFERROR(AN28/AL28,0)</f>
        <v>0</v>
      </c>
      <c r="AO29" s="50">
        <f>IFERROR(AN29/AM29,0)</f>
        <v>0</v>
      </c>
      <c r="AP29" s="51"/>
    </row>
    <row r="30" spans="1:42" x14ac:dyDescent="0.25">
      <c r="G30" s="55"/>
      <c r="N30" s="55"/>
      <c r="U30" s="55"/>
      <c r="AB30" s="55"/>
      <c r="AI30" s="55"/>
      <c r="AP30" s="55"/>
    </row>
    <row r="31" spans="1:42" x14ac:dyDescent="0.25">
      <c r="A31" s="15" t="s">
        <v>279</v>
      </c>
      <c r="B31" s="35" t="s">
        <v>280</v>
      </c>
      <c r="C31" s="35"/>
      <c r="D31" s="36"/>
      <c r="E31" s="36"/>
      <c r="F31" s="36"/>
      <c r="G31" s="56"/>
      <c r="I31" s="35" t="s">
        <v>280</v>
      </c>
      <c r="J31" s="35"/>
      <c r="K31" s="36"/>
      <c r="L31" s="36"/>
      <c r="M31" s="36"/>
      <c r="N31" s="56"/>
      <c r="O31" s="36"/>
      <c r="P31" s="35" t="s">
        <v>280</v>
      </c>
      <c r="Q31" s="35"/>
      <c r="R31" s="36"/>
      <c r="S31" s="36"/>
      <c r="T31" s="36"/>
      <c r="U31" s="56"/>
      <c r="W31" s="35" t="s">
        <v>280</v>
      </c>
      <c r="X31" s="35"/>
      <c r="Y31" s="36"/>
      <c r="Z31" s="36"/>
      <c r="AA31" s="36"/>
      <c r="AB31" s="56"/>
      <c r="AD31" s="35" t="s">
        <v>280</v>
      </c>
      <c r="AE31" s="35"/>
      <c r="AF31" s="36"/>
      <c r="AG31" s="36"/>
      <c r="AH31" s="36"/>
      <c r="AI31" s="56"/>
      <c r="AK31" s="35" t="s">
        <v>280</v>
      </c>
      <c r="AL31" s="35"/>
      <c r="AM31" s="36"/>
      <c r="AN31" s="36"/>
      <c r="AO31" s="36"/>
      <c r="AP31" s="56"/>
    </row>
    <row r="32" spans="1:42" x14ac:dyDescent="0.25">
      <c r="B32" s="37" t="s">
        <v>124</v>
      </c>
      <c r="C32" s="38" t="s">
        <v>2</v>
      </c>
      <c r="D32" s="38" t="s">
        <v>107</v>
      </c>
      <c r="E32" s="38" t="s">
        <v>274</v>
      </c>
      <c r="F32" s="57" t="s">
        <v>275</v>
      </c>
      <c r="G32" s="58" t="s">
        <v>276</v>
      </c>
      <c r="I32" s="37" t="s">
        <v>124</v>
      </c>
      <c r="J32" s="38" t="s">
        <v>2</v>
      </c>
      <c r="K32" s="38" t="s">
        <v>107</v>
      </c>
      <c r="L32" s="38" t="s">
        <v>274</v>
      </c>
      <c r="M32" s="57" t="s">
        <v>275</v>
      </c>
      <c r="N32" s="58" t="s">
        <v>276</v>
      </c>
      <c r="O32" s="40"/>
      <c r="P32" s="37" t="s">
        <v>124</v>
      </c>
      <c r="Q32" s="38" t="s">
        <v>2</v>
      </c>
      <c r="R32" s="38" t="s">
        <v>107</v>
      </c>
      <c r="S32" s="38" t="s">
        <v>274</v>
      </c>
      <c r="T32" s="57" t="s">
        <v>275</v>
      </c>
      <c r="U32" s="58" t="s">
        <v>276</v>
      </c>
      <c r="W32" s="37" t="s">
        <v>124</v>
      </c>
      <c r="X32" s="38" t="s">
        <v>2</v>
      </c>
      <c r="Y32" s="38" t="s">
        <v>107</v>
      </c>
      <c r="Z32" s="38" t="s">
        <v>274</v>
      </c>
      <c r="AA32" s="57" t="s">
        <v>275</v>
      </c>
      <c r="AB32" s="58" t="s">
        <v>276</v>
      </c>
      <c r="AD32" s="37" t="s">
        <v>124</v>
      </c>
      <c r="AE32" s="38" t="s">
        <v>2</v>
      </c>
      <c r="AF32" s="38" t="s">
        <v>107</v>
      </c>
      <c r="AG32" s="38" t="s">
        <v>274</v>
      </c>
      <c r="AH32" s="57" t="s">
        <v>275</v>
      </c>
      <c r="AI32" s="58" t="s">
        <v>276</v>
      </c>
      <c r="AK32" s="37" t="s">
        <v>124</v>
      </c>
      <c r="AL32" s="38" t="s">
        <v>2</v>
      </c>
      <c r="AM32" s="38" t="s">
        <v>107</v>
      </c>
      <c r="AN32" s="38" t="s">
        <v>274</v>
      </c>
      <c r="AO32" s="57" t="s">
        <v>275</v>
      </c>
      <c r="AP32" s="58" t="s">
        <v>276</v>
      </c>
    </row>
    <row r="33" spans="2:42" x14ac:dyDescent="0.25">
      <c r="B33" s="41" t="s">
        <v>281</v>
      </c>
      <c r="C33" s="42"/>
      <c r="D33" s="43"/>
      <c r="E33" s="44"/>
      <c r="F33" s="437">
        <f>IFERROR(E33/D33,0)</f>
        <v>0</v>
      </c>
      <c r="G33" s="438" t="e">
        <f>C33/$C$2</f>
        <v>#DIV/0!</v>
      </c>
      <c r="I33" s="41"/>
      <c r="J33" s="42"/>
      <c r="K33" s="43"/>
      <c r="L33" s="44"/>
      <c r="M33" s="437">
        <f>IFERROR(L33/K33,0)</f>
        <v>0</v>
      </c>
      <c r="N33" s="438" t="e">
        <f t="shared" ref="N33:N56" si="12">J33/J$2</f>
        <v>#DIV/0!</v>
      </c>
      <c r="O33" s="40"/>
      <c r="P33" s="41"/>
      <c r="Q33" s="42"/>
      <c r="R33" s="43"/>
      <c r="S33" s="44"/>
      <c r="T33" s="437">
        <f>IFERROR(S33/R33,0)</f>
        <v>0</v>
      </c>
      <c r="U33" s="438" t="e">
        <f t="shared" ref="U33:U48" si="13">Q33/Q$2</f>
        <v>#DIV/0!</v>
      </c>
      <c r="W33" s="41"/>
      <c r="X33" s="42"/>
      <c r="Y33" s="43"/>
      <c r="Z33" s="44"/>
      <c r="AA33" s="437">
        <f>IFERROR(Z33/Y33,0)</f>
        <v>0</v>
      </c>
      <c r="AB33" s="438" t="e">
        <f t="shared" ref="AB33:AB48" si="14">X33/X$2</f>
        <v>#DIV/0!</v>
      </c>
      <c r="AD33" s="41"/>
      <c r="AE33" s="42"/>
      <c r="AF33" s="43"/>
      <c r="AG33" s="44"/>
      <c r="AH33" s="437">
        <f>IFERROR(AG33/AF33,0)</f>
        <v>0</v>
      </c>
      <c r="AI33" s="438" t="e">
        <f t="shared" ref="AI33:AI48" si="15">AE33/AE$2</f>
        <v>#DIV/0!</v>
      </c>
      <c r="AK33" s="41"/>
      <c r="AL33" s="42"/>
      <c r="AM33" s="43"/>
      <c r="AN33" s="44"/>
      <c r="AO33" s="437">
        <f>IFERROR(AN33/AM33,0)</f>
        <v>0</v>
      </c>
      <c r="AP33" s="438" t="e">
        <f>AL33/AL$2</f>
        <v>#DIV/0!</v>
      </c>
    </row>
    <row r="34" spans="2:42" x14ac:dyDescent="0.25">
      <c r="B34" s="41" t="s">
        <v>281</v>
      </c>
      <c r="C34" s="42"/>
      <c r="D34" s="43"/>
      <c r="E34" s="44"/>
      <c r="F34" s="437">
        <f t="shared" ref="F34:F56" si="16">IFERROR(E34/D34,0)</f>
        <v>0</v>
      </c>
      <c r="G34" s="438" t="e">
        <f t="shared" ref="G34:G44" si="17">C34/$C$2</f>
        <v>#DIV/0!</v>
      </c>
      <c r="I34" s="41"/>
      <c r="J34" s="42"/>
      <c r="K34" s="43"/>
      <c r="L34" s="44"/>
      <c r="M34" s="437">
        <f t="shared" ref="M34:M56" si="18">IFERROR(L34/K34,0)</f>
        <v>0</v>
      </c>
      <c r="N34" s="438" t="e">
        <f t="shared" si="12"/>
        <v>#DIV/0!</v>
      </c>
      <c r="O34" s="40"/>
      <c r="P34" s="41"/>
      <c r="Q34" s="42"/>
      <c r="R34" s="43"/>
      <c r="S34" s="44"/>
      <c r="T34" s="437">
        <f t="shared" ref="T34:T56" si="19">IFERROR(S34/R34,0)</f>
        <v>0</v>
      </c>
      <c r="U34" s="438" t="e">
        <f t="shared" si="13"/>
        <v>#DIV/0!</v>
      </c>
      <c r="W34" s="41"/>
      <c r="X34" s="42"/>
      <c r="Y34" s="43"/>
      <c r="Z34" s="44"/>
      <c r="AA34" s="437">
        <f t="shared" ref="AA34:AA56" si="20">IFERROR(Z34/Y34,0)</f>
        <v>0</v>
      </c>
      <c r="AB34" s="438" t="e">
        <f t="shared" si="14"/>
        <v>#DIV/0!</v>
      </c>
      <c r="AD34" s="41"/>
      <c r="AE34" s="42"/>
      <c r="AF34" s="43"/>
      <c r="AG34" s="44"/>
      <c r="AH34" s="437">
        <f t="shared" ref="AH34:AH56" si="21">IFERROR(AG34/AF34,0)</f>
        <v>0</v>
      </c>
      <c r="AI34" s="438" t="e">
        <f t="shared" si="15"/>
        <v>#DIV/0!</v>
      </c>
      <c r="AK34" s="41"/>
      <c r="AL34" s="42"/>
      <c r="AM34" s="43"/>
      <c r="AN34" s="44"/>
      <c r="AO34" s="437">
        <f t="shared" ref="AO34:AO56" si="22">IFERROR(AN34/AM34,0)</f>
        <v>0</v>
      </c>
      <c r="AP34" s="438" t="e">
        <f t="shared" ref="AP34:AP56" si="23">AL34/AL$2</f>
        <v>#DIV/0!</v>
      </c>
    </row>
    <row r="35" spans="2:42" x14ac:dyDescent="0.25">
      <c r="B35" s="41" t="s">
        <v>281</v>
      </c>
      <c r="C35" s="42"/>
      <c r="D35" s="43"/>
      <c r="E35" s="44"/>
      <c r="F35" s="437">
        <f t="shared" si="16"/>
        <v>0</v>
      </c>
      <c r="G35" s="438" t="e">
        <f t="shared" si="17"/>
        <v>#DIV/0!</v>
      </c>
      <c r="I35" s="41"/>
      <c r="J35" s="42"/>
      <c r="K35" s="43"/>
      <c r="L35" s="44"/>
      <c r="M35" s="437">
        <f t="shared" si="18"/>
        <v>0</v>
      </c>
      <c r="N35" s="438" t="e">
        <f t="shared" si="12"/>
        <v>#DIV/0!</v>
      </c>
      <c r="O35" s="40"/>
      <c r="P35" s="41"/>
      <c r="Q35" s="42"/>
      <c r="R35" s="43"/>
      <c r="S35" s="44"/>
      <c r="T35" s="437">
        <f t="shared" si="19"/>
        <v>0</v>
      </c>
      <c r="U35" s="438" t="e">
        <f t="shared" si="13"/>
        <v>#DIV/0!</v>
      </c>
      <c r="W35" s="41"/>
      <c r="X35" s="42"/>
      <c r="Y35" s="43"/>
      <c r="Z35" s="44"/>
      <c r="AA35" s="437">
        <f t="shared" si="20"/>
        <v>0</v>
      </c>
      <c r="AB35" s="438" t="e">
        <f t="shared" si="14"/>
        <v>#DIV/0!</v>
      </c>
      <c r="AD35" s="41"/>
      <c r="AE35" s="42"/>
      <c r="AF35" s="43"/>
      <c r="AG35" s="44"/>
      <c r="AH35" s="437">
        <f t="shared" si="21"/>
        <v>0</v>
      </c>
      <c r="AI35" s="438" t="e">
        <f t="shared" si="15"/>
        <v>#DIV/0!</v>
      </c>
      <c r="AK35" s="41"/>
      <c r="AL35" s="42"/>
      <c r="AM35" s="43"/>
      <c r="AN35" s="44"/>
      <c r="AO35" s="437">
        <f t="shared" si="22"/>
        <v>0</v>
      </c>
      <c r="AP35" s="438" t="e">
        <f t="shared" si="23"/>
        <v>#DIV/0!</v>
      </c>
    </row>
    <row r="36" spans="2:42" x14ac:dyDescent="0.25">
      <c r="B36" s="41" t="s">
        <v>281</v>
      </c>
      <c r="C36" s="42"/>
      <c r="D36" s="43"/>
      <c r="E36" s="44"/>
      <c r="F36" s="437">
        <f t="shared" si="16"/>
        <v>0</v>
      </c>
      <c r="G36" s="438" t="e">
        <f t="shared" si="17"/>
        <v>#DIV/0!</v>
      </c>
      <c r="I36" s="41"/>
      <c r="J36" s="42"/>
      <c r="K36" s="43"/>
      <c r="L36" s="44"/>
      <c r="M36" s="437">
        <f t="shared" si="18"/>
        <v>0</v>
      </c>
      <c r="N36" s="438" t="e">
        <f t="shared" si="12"/>
        <v>#DIV/0!</v>
      </c>
      <c r="O36" s="40"/>
      <c r="P36" s="41"/>
      <c r="Q36" s="42"/>
      <c r="R36" s="43"/>
      <c r="S36" s="44"/>
      <c r="T36" s="437">
        <f t="shared" si="19"/>
        <v>0</v>
      </c>
      <c r="U36" s="438" t="e">
        <f t="shared" si="13"/>
        <v>#DIV/0!</v>
      </c>
      <c r="W36" s="41"/>
      <c r="X36" s="42"/>
      <c r="Y36" s="43"/>
      <c r="Z36" s="44"/>
      <c r="AA36" s="437">
        <f t="shared" si="20"/>
        <v>0</v>
      </c>
      <c r="AB36" s="438" t="e">
        <f t="shared" si="14"/>
        <v>#DIV/0!</v>
      </c>
      <c r="AD36" s="41"/>
      <c r="AE36" s="42"/>
      <c r="AF36" s="43"/>
      <c r="AG36" s="44"/>
      <c r="AH36" s="437">
        <f t="shared" si="21"/>
        <v>0</v>
      </c>
      <c r="AI36" s="438" t="e">
        <f t="shared" si="15"/>
        <v>#DIV/0!</v>
      </c>
      <c r="AK36" s="41"/>
      <c r="AL36" s="42"/>
      <c r="AM36" s="43"/>
      <c r="AN36" s="44"/>
      <c r="AO36" s="437">
        <f t="shared" si="22"/>
        <v>0</v>
      </c>
      <c r="AP36" s="438" t="e">
        <f t="shared" si="23"/>
        <v>#DIV/0!</v>
      </c>
    </row>
    <row r="37" spans="2:42" x14ac:dyDescent="0.25">
      <c r="B37" s="41" t="s">
        <v>281</v>
      </c>
      <c r="C37" s="42"/>
      <c r="D37" s="43"/>
      <c r="E37" s="44"/>
      <c r="F37" s="437">
        <f t="shared" si="16"/>
        <v>0</v>
      </c>
      <c r="G37" s="438" t="e">
        <f t="shared" si="17"/>
        <v>#DIV/0!</v>
      </c>
      <c r="I37" s="41"/>
      <c r="J37" s="42"/>
      <c r="K37" s="43"/>
      <c r="L37" s="44"/>
      <c r="M37" s="437">
        <f t="shared" si="18"/>
        <v>0</v>
      </c>
      <c r="N37" s="438" t="e">
        <f t="shared" si="12"/>
        <v>#DIV/0!</v>
      </c>
      <c r="O37" s="40"/>
      <c r="P37" s="41"/>
      <c r="Q37" s="42"/>
      <c r="R37" s="43"/>
      <c r="S37" s="44"/>
      <c r="T37" s="437">
        <f t="shared" si="19"/>
        <v>0</v>
      </c>
      <c r="U37" s="438" t="e">
        <f t="shared" si="13"/>
        <v>#DIV/0!</v>
      </c>
      <c r="W37" s="41"/>
      <c r="X37" s="42"/>
      <c r="Y37" s="43"/>
      <c r="Z37" s="44"/>
      <c r="AA37" s="437">
        <f t="shared" si="20"/>
        <v>0</v>
      </c>
      <c r="AB37" s="438" t="e">
        <f t="shared" si="14"/>
        <v>#DIV/0!</v>
      </c>
      <c r="AD37" s="41"/>
      <c r="AE37" s="42"/>
      <c r="AF37" s="43"/>
      <c r="AG37" s="44"/>
      <c r="AH37" s="437">
        <f t="shared" si="21"/>
        <v>0</v>
      </c>
      <c r="AI37" s="438" t="e">
        <f t="shared" si="15"/>
        <v>#DIV/0!</v>
      </c>
      <c r="AK37" s="41"/>
      <c r="AL37" s="42"/>
      <c r="AM37" s="43"/>
      <c r="AN37" s="44"/>
      <c r="AO37" s="437">
        <f t="shared" si="22"/>
        <v>0</v>
      </c>
      <c r="AP37" s="438" t="e">
        <f t="shared" si="23"/>
        <v>#DIV/0!</v>
      </c>
    </row>
    <row r="38" spans="2:42" x14ac:dyDescent="0.25">
      <c r="B38" s="41" t="s">
        <v>281</v>
      </c>
      <c r="C38" s="42"/>
      <c r="D38" s="43"/>
      <c r="E38" s="44"/>
      <c r="F38" s="437">
        <f t="shared" si="16"/>
        <v>0</v>
      </c>
      <c r="G38" s="438" t="e">
        <f t="shared" si="17"/>
        <v>#DIV/0!</v>
      </c>
      <c r="I38" s="41"/>
      <c r="J38" s="42"/>
      <c r="K38" s="43"/>
      <c r="L38" s="44"/>
      <c r="M38" s="437">
        <f t="shared" si="18"/>
        <v>0</v>
      </c>
      <c r="N38" s="438" t="e">
        <f t="shared" si="12"/>
        <v>#DIV/0!</v>
      </c>
      <c r="O38" s="40"/>
      <c r="P38" s="41"/>
      <c r="Q38" s="42"/>
      <c r="R38" s="43"/>
      <c r="S38" s="44"/>
      <c r="T38" s="437">
        <f t="shared" si="19"/>
        <v>0</v>
      </c>
      <c r="U38" s="438" t="e">
        <f t="shared" si="13"/>
        <v>#DIV/0!</v>
      </c>
      <c r="W38" s="41"/>
      <c r="X38" s="42"/>
      <c r="Y38" s="43"/>
      <c r="Z38" s="44"/>
      <c r="AA38" s="437">
        <f t="shared" si="20"/>
        <v>0</v>
      </c>
      <c r="AB38" s="438" t="e">
        <f t="shared" si="14"/>
        <v>#DIV/0!</v>
      </c>
      <c r="AD38" s="41"/>
      <c r="AE38" s="42"/>
      <c r="AF38" s="43"/>
      <c r="AG38" s="44"/>
      <c r="AH38" s="437">
        <f t="shared" si="21"/>
        <v>0</v>
      </c>
      <c r="AI38" s="438" t="e">
        <f t="shared" si="15"/>
        <v>#DIV/0!</v>
      </c>
      <c r="AK38" s="41"/>
      <c r="AL38" s="42"/>
      <c r="AM38" s="43"/>
      <c r="AN38" s="44"/>
      <c r="AO38" s="437">
        <f t="shared" si="22"/>
        <v>0</v>
      </c>
      <c r="AP38" s="438" t="e">
        <f t="shared" si="23"/>
        <v>#DIV/0!</v>
      </c>
    </row>
    <row r="39" spans="2:42" x14ac:dyDescent="0.25">
      <c r="B39" s="41" t="s">
        <v>281</v>
      </c>
      <c r="C39" s="42"/>
      <c r="D39" s="43"/>
      <c r="E39" s="44"/>
      <c r="F39" s="437">
        <f t="shared" si="16"/>
        <v>0</v>
      </c>
      <c r="G39" s="438" t="e">
        <f t="shared" si="17"/>
        <v>#DIV/0!</v>
      </c>
      <c r="I39" s="41"/>
      <c r="J39" s="42"/>
      <c r="K39" s="43"/>
      <c r="L39" s="44"/>
      <c r="M39" s="437">
        <f t="shared" si="18"/>
        <v>0</v>
      </c>
      <c r="N39" s="438" t="e">
        <f t="shared" si="12"/>
        <v>#DIV/0!</v>
      </c>
      <c r="O39" s="40"/>
      <c r="P39" s="41"/>
      <c r="Q39" s="42"/>
      <c r="R39" s="43"/>
      <c r="S39" s="44"/>
      <c r="T39" s="437">
        <f t="shared" si="19"/>
        <v>0</v>
      </c>
      <c r="U39" s="438" t="e">
        <f t="shared" si="13"/>
        <v>#DIV/0!</v>
      </c>
      <c r="W39" s="41"/>
      <c r="X39" s="42"/>
      <c r="Y39" s="43"/>
      <c r="Z39" s="44"/>
      <c r="AA39" s="437">
        <f t="shared" si="20"/>
        <v>0</v>
      </c>
      <c r="AB39" s="438" t="e">
        <f t="shared" si="14"/>
        <v>#DIV/0!</v>
      </c>
      <c r="AD39" s="41"/>
      <c r="AE39" s="42"/>
      <c r="AF39" s="43"/>
      <c r="AG39" s="44"/>
      <c r="AH39" s="437">
        <f t="shared" si="21"/>
        <v>0</v>
      </c>
      <c r="AI39" s="438" t="e">
        <f t="shared" si="15"/>
        <v>#DIV/0!</v>
      </c>
      <c r="AK39" s="41"/>
      <c r="AL39" s="42"/>
      <c r="AM39" s="43"/>
      <c r="AN39" s="44"/>
      <c r="AO39" s="437">
        <f t="shared" si="22"/>
        <v>0</v>
      </c>
      <c r="AP39" s="438" t="e">
        <f t="shared" si="23"/>
        <v>#DIV/0!</v>
      </c>
    </row>
    <row r="40" spans="2:42" x14ac:dyDescent="0.25">
      <c r="B40" s="41" t="s">
        <v>281</v>
      </c>
      <c r="C40" s="42"/>
      <c r="D40" s="43"/>
      <c r="E40" s="44"/>
      <c r="F40" s="437">
        <f t="shared" si="16"/>
        <v>0</v>
      </c>
      <c r="G40" s="438" t="e">
        <f t="shared" si="17"/>
        <v>#DIV/0!</v>
      </c>
      <c r="I40" s="41"/>
      <c r="J40" s="42"/>
      <c r="K40" s="43"/>
      <c r="L40" s="44"/>
      <c r="M40" s="437">
        <f t="shared" si="18"/>
        <v>0</v>
      </c>
      <c r="N40" s="438" t="e">
        <f t="shared" si="12"/>
        <v>#DIV/0!</v>
      </c>
      <c r="O40" s="40"/>
      <c r="P40" s="41"/>
      <c r="Q40" s="42"/>
      <c r="R40" s="43"/>
      <c r="S40" s="44"/>
      <c r="T40" s="437">
        <f t="shared" si="19"/>
        <v>0</v>
      </c>
      <c r="U40" s="438" t="e">
        <f t="shared" si="13"/>
        <v>#DIV/0!</v>
      </c>
      <c r="W40" s="41"/>
      <c r="X40" s="42"/>
      <c r="Y40" s="43"/>
      <c r="Z40" s="44"/>
      <c r="AA40" s="437">
        <f t="shared" si="20"/>
        <v>0</v>
      </c>
      <c r="AB40" s="438" t="e">
        <f t="shared" si="14"/>
        <v>#DIV/0!</v>
      </c>
      <c r="AD40" s="41"/>
      <c r="AE40" s="42"/>
      <c r="AF40" s="43"/>
      <c r="AG40" s="44"/>
      <c r="AH40" s="437">
        <f t="shared" si="21"/>
        <v>0</v>
      </c>
      <c r="AI40" s="438" t="e">
        <f t="shared" si="15"/>
        <v>#DIV/0!</v>
      </c>
      <c r="AK40" s="41"/>
      <c r="AL40" s="42"/>
      <c r="AM40" s="43"/>
      <c r="AN40" s="44"/>
      <c r="AO40" s="437">
        <f t="shared" si="22"/>
        <v>0</v>
      </c>
      <c r="AP40" s="438" t="e">
        <f t="shared" si="23"/>
        <v>#DIV/0!</v>
      </c>
    </row>
    <row r="41" spans="2:42" x14ac:dyDescent="0.25">
      <c r="B41" s="41" t="s">
        <v>281</v>
      </c>
      <c r="C41" s="42"/>
      <c r="D41" s="43"/>
      <c r="E41" s="44"/>
      <c r="F41" s="437">
        <f t="shared" si="16"/>
        <v>0</v>
      </c>
      <c r="G41" s="438" t="e">
        <f t="shared" si="17"/>
        <v>#DIV/0!</v>
      </c>
      <c r="I41" s="41"/>
      <c r="J41" s="42"/>
      <c r="K41" s="43"/>
      <c r="L41" s="44"/>
      <c r="M41" s="437">
        <f t="shared" si="18"/>
        <v>0</v>
      </c>
      <c r="N41" s="438" t="e">
        <f t="shared" si="12"/>
        <v>#DIV/0!</v>
      </c>
      <c r="O41" s="40"/>
      <c r="P41" s="41"/>
      <c r="Q41" s="42"/>
      <c r="R41" s="43"/>
      <c r="S41" s="44"/>
      <c r="T41" s="437">
        <f t="shared" si="19"/>
        <v>0</v>
      </c>
      <c r="U41" s="438" t="e">
        <f t="shared" si="13"/>
        <v>#DIV/0!</v>
      </c>
      <c r="W41" s="41"/>
      <c r="X41" s="42"/>
      <c r="Y41" s="43"/>
      <c r="Z41" s="44"/>
      <c r="AA41" s="437">
        <f t="shared" si="20"/>
        <v>0</v>
      </c>
      <c r="AB41" s="438" t="e">
        <f t="shared" si="14"/>
        <v>#DIV/0!</v>
      </c>
      <c r="AD41" s="41"/>
      <c r="AE41" s="42"/>
      <c r="AF41" s="43"/>
      <c r="AG41" s="44"/>
      <c r="AH41" s="437">
        <f t="shared" si="21"/>
        <v>0</v>
      </c>
      <c r="AI41" s="438" t="e">
        <f t="shared" si="15"/>
        <v>#DIV/0!</v>
      </c>
      <c r="AK41" s="41"/>
      <c r="AL41" s="42"/>
      <c r="AM41" s="43"/>
      <c r="AN41" s="44"/>
      <c r="AO41" s="437">
        <f t="shared" si="22"/>
        <v>0</v>
      </c>
      <c r="AP41" s="438" t="e">
        <f t="shared" si="23"/>
        <v>#DIV/0!</v>
      </c>
    </row>
    <row r="42" spans="2:42" x14ac:dyDescent="0.25">
      <c r="B42" s="41" t="s">
        <v>281</v>
      </c>
      <c r="C42" s="42"/>
      <c r="D42" s="43"/>
      <c r="E42" s="44"/>
      <c r="F42" s="437">
        <f t="shared" si="16"/>
        <v>0</v>
      </c>
      <c r="G42" s="438" t="e">
        <f t="shared" si="17"/>
        <v>#DIV/0!</v>
      </c>
      <c r="I42" s="41"/>
      <c r="J42" s="42"/>
      <c r="K42" s="43"/>
      <c r="L42" s="44"/>
      <c r="M42" s="437">
        <f t="shared" si="18"/>
        <v>0</v>
      </c>
      <c r="N42" s="438" t="e">
        <f t="shared" si="12"/>
        <v>#DIV/0!</v>
      </c>
      <c r="O42" s="40"/>
      <c r="P42" s="41"/>
      <c r="Q42" s="42"/>
      <c r="R42" s="43"/>
      <c r="S42" s="44"/>
      <c r="T42" s="437">
        <f t="shared" si="19"/>
        <v>0</v>
      </c>
      <c r="U42" s="438" t="e">
        <f t="shared" si="13"/>
        <v>#DIV/0!</v>
      </c>
      <c r="W42" s="41"/>
      <c r="X42" s="42"/>
      <c r="Y42" s="43"/>
      <c r="Z42" s="44"/>
      <c r="AA42" s="437">
        <f t="shared" si="20"/>
        <v>0</v>
      </c>
      <c r="AB42" s="438" t="e">
        <f t="shared" si="14"/>
        <v>#DIV/0!</v>
      </c>
      <c r="AD42" s="41"/>
      <c r="AE42" s="42"/>
      <c r="AF42" s="43"/>
      <c r="AG42" s="44"/>
      <c r="AH42" s="437">
        <f t="shared" si="21"/>
        <v>0</v>
      </c>
      <c r="AI42" s="438" t="e">
        <f t="shared" si="15"/>
        <v>#DIV/0!</v>
      </c>
      <c r="AK42" s="41"/>
      <c r="AL42" s="42"/>
      <c r="AM42" s="43"/>
      <c r="AN42" s="44"/>
      <c r="AO42" s="437">
        <f t="shared" si="22"/>
        <v>0</v>
      </c>
      <c r="AP42" s="438" t="e">
        <f t="shared" si="23"/>
        <v>#DIV/0!</v>
      </c>
    </row>
    <row r="43" spans="2:42" x14ac:dyDescent="0.25">
      <c r="B43" s="41" t="s">
        <v>281</v>
      </c>
      <c r="C43" s="42"/>
      <c r="D43" s="43"/>
      <c r="E43" s="44"/>
      <c r="F43" s="437">
        <f t="shared" si="16"/>
        <v>0</v>
      </c>
      <c r="G43" s="438" t="e">
        <f t="shared" si="17"/>
        <v>#DIV/0!</v>
      </c>
      <c r="I43" s="41"/>
      <c r="J43" s="42"/>
      <c r="K43" s="43"/>
      <c r="L43" s="44"/>
      <c r="M43" s="437">
        <f t="shared" si="18"/>
        <v>0</v>
      </c>
      <c r="N43" s="438" t="e">
        <f t="shared" si="12"/>
        <v>#DIV/0!</v>
      </c>
      <c r="O43" s="40"/>
      <c r="P43" s="41"/>
      <c r="Q43" s="42"/>
      <c r="R43" s="43"/>
      <c r="S43" s="44"/>
      <c r="T43" s="437">
        <f t="shared" si="19"/>
        <v>0</v>
      </c>
      <c r="U43" s="438" t="e">
        <f t="shared" si="13"/>
        <v>#DIV/0!</v>
      </c>
      <c r="W43" s="41"/>
      <c r="X43" s="42"/>
      <c r="Y43" s="43"/>
      <c r="Z43" s="44"/>
      <c r="AA43" s="437">
        <f t="shared" si="20"/>
        <v>0</v>
      </c>
      <c r="AB43" s="438" t="e">
        <f t="shared" si="14"/>
        <v>#DIV/0!</v>
      </c>
      <c r="AD43" s="41"/>
      <c r="AE43" s="42"/>
      <c r="AF43" s="43"/>
      <c r="AG43" s="44"/>
      <c r="AH43" s="437">
        <f t="shared" si="21"/>
        <v>0</v>
      </c>
      <c r="AI43" s="438" t="e">
        <f t="shared" si="15"/>
        <v>#DIV/0!</v>
      </c>
      <c r="AK43" s="41"/>
      <c r="AL43" s="42"/>
      <c r="AM43" s="43"/>
      <c r="AN43" s="44"/>
      <c r="AO43" s="437">
        <f t="shared" si="22"/>
        <v>0</v>
      </c>
      <c r="AP43" s="438" t="e">
        <f t="shared" si="23"/>
        <v>#DIV/0!</v>
      </c>
    </row>
    <row r="44" spans="2:42" x14ac:dyDescent="0.25">
      <c r="B44" s="41" t="s">
        <v>281</v>
      </c>
      <c r="C44" s="42"/>
      <c r="D44" s="43"/>
      <c r="E44" s="44"/>
      <c r="F44" s="437">
        <f t="shared" si="16"/>
        <v>0</v>
      </c>
      <c r="G44" s="438" t="e">
        <f t="shared" si="17"/>
        <v>#DIV/0!</v>
      </c>
      <c r="I44" s="41"/>
      <c r="J44" s="42"/>
      <c r="K44" s="43"/>
      <c r="L44" s="44"/>
      <c r="M44" s="437">
        <f t="shared" si="18"/>
        <v>0</v>
      </c>
      <c r="N44" s="438" t="e">
        <f t="shared" si="12"/>
        <v>#DIV/0!</v>
      </c>
      <c r="O44" s="40"/>
      <c r="P44" s="41"/>
      <c r="Q44" s="42"/>
      <c r="R44" s="43"/>
      <c r="S44" s="44"/>
      <c r="T44" s="437">
        <f t="shared" si="19"/>
        <v>0</v>
      </c>
      <c r="U44" s="438" t="e">
        <f t="shared" si="13"/>
        <v>#DIV/0!</v>
      </c>
      <c r="W44" s="41"/>
      <c r="X44" s="42"/>
      <c r="Y44" s="43"/>
      <c r="Z44" s="44"/>
      <c r="AA44" s="437">
        <f t="shared" si="20"/>
        <v>0</v>
      </c>
      <c r="AB44" s="438" t="e">
        <f t="shared" si="14"/>
        <v>#DIV/0!</v>
      </c>
      <c r="AD44" s="41"/>
      <c r="AE44" s="42"/>
      <c r="AF44" s="43"/>
      <c r="AG44" s="44"/>
      <c r="AH44" s="437">
        <f t="shared" si="21"/>
        <v>0</v>
      </c>
      <c r="AI44" s="438" t="e">
        <f t="shared" si="15"/>
        <v>#DIV/0!</v>
      </c>
      <c r="AK44" s="41"/>
      <c r="AL44" s="42"/>
      <c r="AM44" s="43"/>
      <c r="AN44" s="44"/>
      <c r="AO44" s="437">
        <f t="shared" si="22"/>
        <v>0</v>
      </c>
      <c r="AP44" s="438" t="e">
        <f t="shared" si="23"/>
        <v>#DIV/0!</v>
      </c>
    </row>
    <row r="45" spans="2:42" outlineLevel="1" x14ac:dyDescent="0.25">
      <c r="B45" s="41" t="s">
        <v>281</v>
      </c>
      <c r="C45" s="42"/>
      <c r="D45" s="43"/>
      <c r="E45" s="44"/>
      <c r="F45" s="437">
        <f t="shared" si="16"/>
        <v>0</v>
      </c>
      <c r="G45" s="438" t="e">
        <f t="shared" ref="G45:G56" si="24">C45/C$2</f>
        <v>#DIV/0!</v>
      </c>
      <c r="I45" s="41"/>
      <c r="J45" s="42"/>
      <c r="K45" s="43"/>
      <c r="L45" s="44"/>
      <c r="M45" s="437">
        <f t="shared" si="18"/>
        <v>0</v>
      </c>
      <c r="N45" s="438" t="e">
        <f t="shared" si="12"/>
        <v>#DIV/0!</v>
      </c>
      <c r="O45" s="40"/>
      <c r="P45" s="41"/>
      <c r="Q45" s="42"/>
      <c r="R45" s="43"/>
      <c r="S45" s="44"/>
      <c r="T45" s="437">
        <f t="shared" si="19"/>
        <v>0</v>
      </c>
      <c r="U45" s="438" t="e">
        <f t="shared" si="13"/>
        <v>#DIV/0!</v>
      </c>
      <c r="W45" s="41"/>
      <c r="X45" s="42"/>
      <c r="Y45" s="43"/>
      <c r="Z45" s="44"/>
      <c r="AA45" s="437">
        <f t="shared" si="20"/>
        <v>0</v>
      </c>
      <c r="AB45" s="438" t="e">
        <f t="shared" si="14"/>
        <v>#DIV/0!</v>
      </c>
      <c r="AD45" s="41"/>
      <c r="AE45" s="42"/>
      <c r="AF45" s="43"/>
      <c r="AG45" s="44"/>
      <c r="AH45" s="437">
        <f t="shared" si="21"/>
        <v>0</v>
      </c>
      <c r="AI45" s="438" t="e">
        <f t="shared" si="15"/>
        <v>#DIV/0!</v>
      </c>
      <c r="AK45" s="41"/>
      <c r="AL45" s="42"/>
      <c r="AM45" s="43"/>
      <c r="AN45" s="44"/>
      <c r="AO45" s="437">
        <f t="shared" si="22"/>
        <v>0</v>
      </c>
      <c r="AP45" s="438" t="e">
        <f t="shared" si="23"/>
        <v>#DIV/0!</v>
      </c>
    </row>
    <row r="46" spans="2:42" outlineLevel="1" x14ac:dyDescent="0.25">
      <c r="B46" s="41" t="s">
        <v>281</v>
      </c>
      <c r="C46" s="42"/>
      <c r="D46" s="43"/>
      <c r="E46" s="44"/>
      <c r="F46" s="437">
        <f t="shared" si="16"/>
        <v>0</v>
      </c>
      <c r="G46" s="438" t="e">
        <f t="shared" si="24"/>
        <v>#DIV/0!</v>
      </c>
      <c r="I46" s="41"/>
      <c r="J46" s="42"/>
      <c r="K46" s="43"/>
      <c r="L46" s="44"/>
      <c r="M46" s="437">
        <f t="shared" si="18"/>
        <v>0</v>
      </c>
      <c r="N46" s="438" t="e">
        <f t="shared" si="12"/>
        <v>#DIV/0!</v>
      </c>
      <c r="O46" s="40"/>
      <c r="P46" s="41"/>
      <c r="Q46" s="42"/>
      <c r="R46" s="43"/>
      <c r="S46" s="44"/>
      <c r="T46" s="437">
        <f t="shared" si="19"/>
        <v>0</v>
      </c>
      <c r="U46" s="438" t="e">
        <f t="shared" si="13"/>
        <v>#DIV/0!</v>
      </c>
      <c r="W46" s="41"/>
      <c r="X46" s="42"/>
      <c r="Y46" s="43"/>
      <c r="Z46" s="44"/>
      <c r="AA46" s="437">
        <f t="shared" si="20"/>
        <v>0</v>
      </c>
      <c r="AB46" s="438" t="e">
        <f t="shared" si="14"/>
        <v>#DIV/0!</v>
      </c>
      <c r="AD46" s="41"/>
      <c r="AE46" s="42"/>
      <c r="AF46" s="43"/>
      <c r="AG46" s="44"/>
      <c r="AH46" s="437">
        <f t="shared" si="21"/>
        <v>0</v>
      </c>
      <c r="AI46" s="438" t="e">
        <f t="shared" si="15"/>
        <v>#DIV/0!</v>
      </c>
      <c r="AK46" s="41"/>
      <c r="AL46" s="42"/>
      <c r="AM46" s="43"/>
      <c r="AN46" s="44"/>
      <c r="AO46" s="437">
        <f t="shared" si="22"/>
        <v>0</v>
      </c>
      <c r="AP46" s="438" t="e">
        <f t="shared" si="23"/>
        <v>#DIV/0!</v>
      </c>
    </row>
    <row r="47" spans="2:42" outlineLevel="1" x14ac:dyDescent="0.25">
      <c r="B47" s="41" t="s">
        <v>281</v>
      </c>
      <c r="C47" s="42"/>
      <c r="D47" s="43"/>
      <c r="E47" s="44"/>
      <c r="F47" s="437">
        <f t="shared" si="16"/>
        <v>0</v>
      </c>
      <c r="G47" s="438" t="e">
        <f t="shared" si="24"/>
        <v>#DIV/0!</v>
      </c>
      <c r="I47" s="41"/>
      <c r="J47" s="42"/>
      <c r="K47" s="43"/>
      <c r="L47" s="44"/>
      <c r="M47" s="437">
        <f t="shared" si="18"/>
        <v>0</v>
      </c>
      <c r="N47" s="438" t="e">
        <f t="shared" si="12"/>
        <v>#DIV/0!</v>
      </c>
      <c r="O47" s="40"/>
      <c r="P47" s="41"/>
      <c r="Q47" s="42"/>
      <c r="R47" s="43"/>
      <c r="S47" s="44"/>
      <c r="T47" s="437">
        <f t="shared" si="19"/>
        <v>0</v>
      </c>
      <c r="U47" s="438" t="e">
        <f t="shared" si="13"/>
        <v>#DIV/0!</v>
      </c>
      <c r="W47" s="41"/>
      <c r="X47" s="42"/>
      <c r="Y47" s="43"/>
      <c r="Z47" s="44"/>
      <c r="AA47" s="437">
        <f t="shared" si="20"/>
        <v>0</v>
      </c>
      <c r="AB47" s="438" t="e">
        <f t="shared" si="14"/>
        <v>#DIV/0!</v>
      </c>
      <c r="AD47" s="41"/>
      <c r="AE47" s="42"/>
      <c r="AF47" s="43"/>
      <c r="AG47" s="44"/>
      <c r="AH47" s="437">
        <f t="shared" si="21"/>
        <v>0</v>
      </c>
      <c r="AI47" s="438" t="e">
        <f t="shared" si="15"/>
        <v>#DIV/0!</v>
      </c>
      <c r="AK47" s="41"/>
      <c r="AL47" s="42"/>
      <c r="AM47" s="43"/>
      <c r="AN47" s="44"/>
      <c r="AO47" s="437">
        <f t="shared" si="22"/>
        <v>0</v>
      </c>
      <c r="AP47" s="438" t="e">
        <f t="shared" si="23"/>
        <v>#DIV/0!</v>
      </c>
    </row>
    <row r="48" spans="2:42" outlineLevel="1" x14ac:dyDescent="0.25">
      <c r="B48" s="41" t="s">
        <v>281</v>
      </c>
      <c r="C48" s="42"/>
      <c r="D48" s="43"/>
      <c r="E48" s="44"/>
      <c r="F48" s="437">
        <f t="shared" si="16"/>
        <v>0</v>
      </c>
      <c r="G48" s="438" t="e">
        <f t="shared" si="24"/>
        <v>#DIV/0!</v>
      </c>
      <c r="I48" s="41"/>
      <c r="J48" s="42"/>
      <c r="K48" s="43"/>
      <c r="L48" s="44"/>
      <c r="M48" s="437">
        <f t="shared" si="18"/>
        <v>0</v>
      </c>
      <c r="N48" s="438" t="e">
        <f t="shared" si="12"/>
        <v>#DIV/0!</v>
      </c>
      <c r="O48" s="40"/>
      <c r="P48" s="41"/>
      <c r="Q48" s="42"/>
      <c r="R48" s="43"/>
      <c r="S48" s="44"/>
      <c r="T48" s="437">
        <f t="shared" si="19"/>
        <v>0</v>
      </c>
      <c r="U48" s="438" t="e">
        <f t="shared" si="13"/>
        <v>#DIV/0!</v>
      </c>
      <c r="W48" s="41"/>
      <c r="X48" s="42"/>
      <c r="Y48" s="43"/>
      <c r="Z48" s="44"/>
      <c r="AA48" s="437">
        <f t="shared" si="20"/>
        <v>0</v>
      </c>
      <c r="AB48" s="438" t="e">
        <f t="shared" si="14"/>
        <v>#DIV/0!</v>
      </c>
      <c r="AD48" s="41"/>
      <c r="AE48" s="42"/>
      <c r="AF48" s="43"/>
      <c r="AG48" s="44"/>
      <c r="AH48" s="437">
        <f t="shared" si="21"/>
        <v>0</v>
      </c>
      <c r="AI48" s="438" t="e">
        <f t="shared" si="15"/>
        <v>#DIV/0!</v>
      </c>
      <c r="AK48" s="41"/>
      <c r="AL48" s="42"/>
      <c r="AM48" s="43"/>
      <c r="AN48" s="44"/>
      <c r="AO48" s="437">
        <f t="shared" si="22"/>
        <v>0</v>
      </c>
      <c r="AP48" s="438" t="e">
        <f t="shared" si="23"/>
        <v>#DIV/0!</v>
      </c>
    </row>
    <row r="49" spans="1:42" outlineLevel="1" x14ac:dyDescent="0.25">
      <c r="B49" s="41" t="s">
        <v>281</v>
      </c>
      <c r="C49" s="42"/>
      <c r="D49" s="43"/>
      <c r="E49" s="44"/>
      <c r="F49" s="437">
        <f t="shared" si="16"/>
        <v>0</v>
      </c>
      <c r="G49" s="438" t="e">
        <f t="shared" si="24"/>
        <v>#DIV/0!</v>
      </c>
      <c r="I49" s="41"/>
      <c r="J49" s="42"/>
      <c r="K49" s="43"/>
      <c r="L49" s="44"/>
      <c r="M49" s="437">
        <f t="shared" si="18"/>
        <v>0</v>
      </c>
      <c r="N49" s="438" t="e">
        <f t="shared" si="12"/>
        <v>#DIV/0!</v>
      </c>
      <c r="O49" s="40"/>
      <c r="P49" s="41"/>
      <c r="Q49" s="42"/>
      <c r="R49" s="43"/>
      <c r="S49" s="44"/>
      <c r="T49" s="437">
        <f t="shared" si="19"/>
        <v>0</v>
      </c>
      <c r="U49" s="438" t="e">
        <f>Q49/Q$2</f>
        <v>#DIV/0!</v>
      </c>
      <c r="W49" s="41"/>
      <c r="X49" s="42"/>
      <c r="Y49" s="43"/>
      <c r="Z49" s="44"/>
      <c r="AA49" s="437">
        <f t="shared" si="20"/>
        <v>0</v>
      </c>
      <c r="AB49" s="438" t="e">
        <f>X49/X$2</f>
        <v>#DIV/0!</v>
      </c>
      <c r="AD49" s="41"/>
      <c r="AE49" s="42"/>
      <c r="AF49" s="43"/>
      <c r="AG49" s="44"/>
      <c r="AH49" s="437">
        <f t="shared" si="21"/>
        <v>0</v>
      </c>
      <c r="AI49" s="438" t="e">
        <f>AE49/AE$2</f>
        <v>#DIV/0!</v>
      </c>
      <c r="AK49" s="41"/>
      <c r="AL49" s="42"/>
      <c r="AM49" s="43"/>
      <c r="AN49" s="44"/>
      <c r="AO49" s="437">
        <f t="shared" si="22"/>
        <v>0</v>
      </c>
      <c r="AP49" s="438" t="e">
        <f t="shared" si="23"/>
        <v>#DIV/0!</v>
      </c>
    </row>
    <row r="50" spans="1:42" outlineLevel="1" x14ac:dyDescent="0.25">
      <c r="B50" s="41" t="s">
        <v>281</v>
      </c>
      <c r="C50" s="42"/>
      <c r="D50" s="43"/>
      <c r="E50" s="44"/>
      <c r="F50" s="437">
        <f t="shared" si="16"/>
        <v>0</v>
      </c>
      <c r="G50" s="438" t="e">
        <f t="shared" si="24"/>
        <v>#DIV/0!</v>
      </c>
      <c r="I50" s="41"/>
      <c r="J50" s="42"/>
      <c r="K50" s="43"/>
      <c r="L50" s="44"/>
      <c r="M50" s="437">
        <f t="shared" si="18"/>
        <v>0</v>
      </c>
      <c r="N50" s="438" t="e">
        <f t="shared" si="12"/>
        <v>#DIV/0!</v>
      </c>
      <c r="O50" s="40"/>
      <c r="P50" s="41"/>
      <c r="Q50" s="42"/>
      <c r="R50" s="43"/>
      <c r="S50" s="44"/>
      <c r="T50" s="437">
        <f t="shared" si="19"/>
        <v>0</v>
      </c>
      <c r="U50" s="438" t="e">
        <f t="shared" ref="U50:U56" si="25">Q50/Q$2</f>
        <v>#DIV/0!</v>
      </c>
      <c r="W50" s="41"/>
      <c r="X50" s="42"/>
      <c r="Y50" s="43"/>
      <c r="Z50" s="44"/>
      <c r="AA50" s="437">
        <f t="shared" si="20"/>
        <v>0</v>
      </c>
      <c r="AB50" s="438" t="e">
        <f t="shared" ref="AB50:AB56" si="26">X50/X$2</f>
        <v>#DIV/0!</v>
      </c>
      <c r="AD50" s="41"/>
      <c r="AE50" s="42"/>
      <c r="AF50" s="43"/>
      <c r="AG50" s="44"/>
      <c r="AH50" s="437">
        <f t="shared" si="21"/>
        <v>0</v>
      </c>
      <c r="AI50" s="438" t="e">
        <f t="shared" ref="AI50:AI56" si="27">AE50/AE$2</f>
        <v>#DIV/0!</v>
      </c>
      <c r="AK50" s="41"/>
      <c r="AL50" s="42"/>
      <c r="AM50" s="43"/>
      <c r="AN50" s="44"/>
      <c r="AO50" s="437">
        <f t="shared" si="22"/>
        <v>0</v>
      </c>
      <c r="AP50" s="438" t="e">
        <f t="shared" si="23"/>
        <v>#DIV/0!</v>
      </c>
    </row>
    <row r="51" spans="1:42" outlineLevel="1" x14ac:dyDescent="0.25">
      <c r="B51" s="41" t="s">
        <v>281</v>
      </c>
      <c r="C51" s="42"/>
      <c r="D51" s="43"/>
      <c r="E51" s="44"/>
      <c r="F51" s="437">
        <f t="shared" si="16"/>
        <v>0</v>
      </c>
      <c r="G51" s="438" t="e">
        <f t="shared" si="24"/>
        <v>#DIV/0!</v>
      </c>
      <c r="I51" s="41"/>
      <c r="J51" s="42"/>
      <c r="K51" s="43"/>
      <c r="L51" s="44"/>
      <c r="M51" s="437">
        <f t="shared" si="18"/>
        <v>0</v>
      </c>
      <c r="N51" s="438" t="e">
        <f t="shared" si="12"/>
        <v>#DIV/0!</v>
      </c>
      <c r="O51" s="40"/>
      <c r="P51" s="41"/>
      <c r="Q51" s="42"/>
      <c r="R51" s="43"/>
      <c r="S51" s="44"/>
      <c r="T51" s="437">
        <f t="shared" si="19"/>
        <v>0</v>
      </c>
      <c r="U51" s="438" t="e">
        <f t="shared" si="25"/>
        <v>#DIV/0!</v>
      </c>
      <c r="W51" s="41"/>
      <c r="X51" s="42"/>
      <c r="Y51" s="43"/>
      <c r="Z51" s="44"/>
      <c r="AA51" s="437">
        <f t="shared" si="20"/>
        <v>0</v>
      </c>
      <c r="AB51" s="438" t="e">
        <f t="shared" si="26"/>
        <v>#DIV/0!</v>
      </c>
      <c r="AD51" s="41"/>
      <c r="AE51" s="42"/>
      <c r="AF51" s="43"/>
      <c r="AG51" s="44"/>
      <c r="AH51" s="437">
        <f t="shared" si="21"/>
        <v>0</v>
      </c>
      <c r="AI51" s="438" t="e">
        <f t="shared" si="27"/>
        <v>#DIV/0!</v>
      </c>
      <c r="AK51" s="41"/>
      <c r="AL51" s="42"/>
      <c r="AM51" s="43"/>
      <c r="AN51" s="44"/>
      <c r="AO51" s="437">
        <f t="shared" si="22"/>
        <v>0</v>
      </c>
      <c r="AP51" s="438" t="e">
        <f t="shared" si="23"/>
        <v>#DIV/0!</v>
      </c>
    </row>
    <row r="52" spans="1:42" outlineLevel="1" x14ac:dyDescent="0.25">
      <c r="B52" s="41" t="s">
        <v>281</v>
      </c>
      <c r="C52" s="42"/>
      <c r="D52" s="43"/>
      <c r="E52" s="44"/>
      <c r="F52" s="437">
        <f t="shared" si="16"/>
        <v>0</v>
      </c>
      <c r="G52" s="438" t="e">
        <f t="shared" si="24"/>
        <v>#DIV/0!</v>
      </c>
      <c r="I52" s="41"/>
      <c r="J52" s="42"/>
      <c r="K52" s="43"/>
      <c r="L52" s="44"/>
      <c r="M52" s="437">
        <f t="shared" si="18"/>
        <v>0</v>
      </c>
      <c r="N52" s="438" t="e">
        <f t="shared" si="12"/>
        <v>#DIV/0!</v>
      </c>
      <c r="O52" s="40"/>
      <c r="P52" s="41"/>
      <c r="Q52" s="42"/>
      <c r="R52" s="43"/>
      <c r="S52" s="44"/>
      <c r="T52" s="437">
        <f t="shared" si="19"/>
        <v>0</v>
      </c>
      <c r="U52" s="438" t="e">
        <f t="shared" si="25"/>
        <v>#DIV/0!</v>
      </c>
      <c r="W52" s="41"/>
      <c r="X52" s="42"/>
      <c r="Y52" s="43"/>
      <c r="Z52" s="44"/>
      <c r="AA52" s="437">
        <f t="shared" si="20"/>
        <v>0</v>
      </c>
      <c r="AB52" s="438" t="e">
        <f t="shared" si="26"/>
        <v>#DIV/0!</v>
      </c>
      <c r="AD52" s="41"/>
      <c r="AE52" s="42"/>
      <c r="AF52" s="43"/>
      <c r="AG52" s="44"/>
      <c r="AH52" s="437">
        <f t="shared" si="21"/>
        <v>0</v>
      </c>
      <c r="AI52" s="438" t="e">
        <f t="shared" si="27"/>
        <v>#DIV/0!</v>
      </c>
      <c r="AK52" s="41"/>
      <c r="AL52" s="42"/>
      <c r="AM52" s="43"/>
      <c r="AN52" s="44"/>
      <c r="AO52" s="437">
        <f t="shared" si="22"/>
        <v>0</v>
      </c>
      <c r="AP52" s="438" t="e">
        <f t="shared" si="23"/>
        <v>#DIV/0!</v>
      </c>
    </row>
    <row r="53" spans="1:42" outlineLevel="1" x14ac:dyDescent="0.25">
      <c r="B53" s="41" t="s">
        <v>281</v>
      </c>
      <c r="C53" s="42"/>
      <c r="D53" s="43"/>
      <c r="E53" s="44"/>
      <c r="F53" s="437">
        <f t="shared" si="16"/>
        <v>0</v>
      </c>
      <c r="G53" s="438" t="e">
        <f t="shared" si="24"/>
        <v>#DIV/0!</v>
      </c>
      <c r="I53" s="41"/>
      <c r="J53" s="42"/>
      <c r="K53" s="43"/>
      <c r="L53" s="44"/>
      <c r="M53" s="437">
        <f t="shared" si="18"/>
        <v>0</v>
      </c>
      <c r="N53" s="438" t="e">
        <f t="shared" si="12"/>
        <v>#DIV/0!</v>
      </c>
      <c r="O53" s="40"/>
      <c r="P53" s="41"/>
      <c r="Q53" s="42"/>
      <c r="R53" s="43"/>
      <c r="S53" s="44"/>
      <c r="T53" s="437">
        <f t="shared" si="19"/>
        <v>0</v>
      </c>
      <c r="U53" s="438" t="e">
        <f t="shared" si="25"/>
        <v>#DIV/0!</v>
      </c>
      <c r="W53" s="41"/>
      <c r="X53" s="42"/>
      <c r="Y53" s="43"/>
      <c r="Z53" s="44"/>
      <c r="AA53" s="437">
        <f t="shared" si="20"/>
        <v>0</v>
      </c>
      <c r="AB53" s="438" t="e">
        <f t="shared" si="26"/>
        <v>#DIV/0!</v>
      </c>
      <c r="AD53" s="41"/>
      <c r="AE53" s="42"/>
      <c r="AF53" s="43"/>
      <c r="AG53" s="44"/>
      <c r="AH53" s="437">
        <f t="shared" si="21"/>
        <v>0</v>
      </c>
      <c r="AI53" s="438" t="e">
        <f t="shared" si="27"/>
        <v>#DIV/0!</v>
      </c>
      <c r="AK53" s="41"/>
      <c r="AL53" s="42"/>
      <c r="AM53" s="43"/>
      <c r="AN53" s="44"/>
      <c r="AO53" s="437">
        <f t="shared" si="22"/>
        <v>0</v>
      </c>
      <c r="AP53" s="438" t="e">
        <f t="shared" si="23"/>
        <v>#DIV/0!</v>
      </c>
    </row>
    <row r="54" spans="1:42" outlineLevel="1" x14ac:dyDescent="0.25">
      <c r="B54" s="41" t="s">
        <v>281</v>
      </c>
      <c r="C54" s="42"/>
      <c r="D54" s="43"/>
      <c r="E54" s="44"/>
      <c r="F54" s="437">
        <f t="shared" si="16"/>
        <v>0</v>
      </c>
      <c r="G54" s="438" t="e">
        <f t="shared" si="24"/>
        <v>#DIV/0!</v>
      </c>
      <c r="I54" s="41"/>
      <c r="J54" s="42"/>
      <c r="K54" s="43"/>
      <c r="L54" s="44"/>
      <c r="M54" s="437">
        <f t="shared" si="18"/>
        <v>0</v>
      </c>
      <c r="N54" s="438" t="e">
        <f t="shared" si="12"/>
        <v>#DIV/0!</v>
      </c>
      <c r="O54" s="40"/>
      <c r="P54" s="41"/>
      <c r="Q54" s="42"/>
      <c r="R54" s="43"/>
      <c r="S54" s="44"/>
      <c r="T54" s="437">
        <f t="shared" si="19"/>
        <v>0</v>
      </c>
      <c r="U54" s="438" t="e">
        <f t="shared" si="25"/>
        <v>#DIV/0!</v>
      </c>
      <c r="W54" s="41"/>
      <c r="X54" s="42"/>
      <c r="Y54" s="43"/>
      <c r="Z54" s="44"/>
      <c r="AA54" s="437">
        <f t="shared" si="20"/>
        <v>0</v>
      </c>
      <c r="AB54" s="438" t="e">
        <f t="shared" si="26"/>
        <v>#DIV/0!</v>
      </c>
      <c r="AD54" s="41"/>
      <c r="AE54" s="42"/>
      <c r="AF54" s="43"/>
      <c r="AG54" s="44"/>
      <c r="AH54" s="437">
        <f t="shared" si="21"/>
        <v>0</v>
      </c>
      <c r="AI54" s="438" t="e">
        <f t="shared" si="27"/>
        <v>#DIV/0!</v>
      </c>
      <c r="AK54" s="41"/>
      <c r="AL54" s="42"/>
      <c r="AM54" s="43"/>
      <c r="AN54" s="44"/>
      <c r="AO54" s="437">
        <f t="shared" si="22"/>
        <v>0</v>
      </c>
      <c r="AP54" s="438" t="e">
        <f t="shared" si="23"/>
        <v>#DIV/0!</v>
      </c>
    </row>
    <row r="55" spans="1:42" outlineLevel="1" x14ac:dyDescent="0.25">
      <c r="B55" s="41" t="s">
        <v>281</v>
      </c>
      <c r="C55" s="42"/>
      <c r="D55" s="43"/>
      <c r="E55" s="44"/>
      <c r="F55" s="437">
        <f t="shared" si="16"/>
        <v>0</v>
      </c>
      <c r="G55" s="438" t="e">
        <f t="shared" si="24"/>
        <v>#DIV/0!</v>
      </c>
      <c r="I55" s="41"/>
      <c r="J55" s="42"/>
      <c r="K55" s="43"/>
      <c r="L55" s="44"/>
      <c r="M55" s="437">
        <f t="shared" si="18"/>
        <v>0</v>
      </c>
      <c r="N55" s="438" t="e">
        <f t="shared" si="12"/>
        <v>#DIV/0!</v>
      </c>
      <c r="O55" s="40"/>
      <c r="P55" s="41"/>
      <c r="Q55" s="42"/>
      <c r="R55" s="43"/>
      <c r="S55" s="44"/>
      <c r="T55" s="437">
        <f t="shared" si="19"/>
        <v>0</v>
      </c>
      <c r="U55" s="438" t="e">
        <f t="shared" si="25"/>
        <v>#DIV/0!</v>
      </c>
      <c r="W55" s="41"/>
      <c r="X55" s="42"/>
      <c r="Y55" s="43"/>
      <c r="Z55" s="44"/>
      <c r="AA55" s="437">
        <f t="shared" si="20"/>
        <v>0</v>
      </c>
      <c r="AB55" s="438" t="e">
        <f t="shared" si="26"/>
        <v>#DIV/0!</v>
      </c>
      <c r="AD55" s="41"/>
      <c r="AE55" s="42"/>
      <c r="AF55" s="43"/>
      <c r="AG55" s="44"/>
      <c r="AH55" s="437">
        <f t="shared" si="21"/>
        <v>0</v>
      </c>
      <c r="AI55" s="438" t="e">
        <f t="shared" si="27"/>
        <v>#DIV/0!</v>
      </c>
      <c r="AK55" s="41"/>
      <c r="AL55" s="42"/>
      <c r="AM55" s="43"/>
      <c r="AN55" s="44"/>
      <c r="AO55" s="437">
        <f t="shared" si="22"/>
        <v>0</v>
      </c>
      <c r="AP55" s="438" t="e">
        <f t="shared" si="23"/>
        <v>#DIV/0!</v>
      </c>
    </row>
    <row r="56" spans="1:42" outlineLevel="1" x14ac:dyDescent="0.25">
      <c r="B56" s="41" t="s">
        <v>281</v>
      </c>
      <c r="C56" s="42"/>
      <c r="D56" s="43"/>
      <c r="E56" s="44"/>
      <c r="F56" s="437">
        <f t="shared" si="16"/>
        <v>0</v>
      </c>
      <c r="G56" s="438" t="e">
        <f t="shared" si="24"/>
        <v>#DIV/0!</v>
      </c>
      <c r="I56" s="41"/>
      <c r="J56" s="42"/>
      <c r="K56" s="43"/>
      <c r="L56" s="44"/>
      <c r="M56" s="437">
        <f t="shared" si="18"/>
        <v>0</v>
      </c>
      <c r="N56" s="438" t="e">
        <f t="shared" si="12"/>
        <v>#DIV/0!</v>
      </c>
      <c r="O56" s="40"/>
      <c r="P56" s="41"/>
      <c r="Q56" s="42"/>
      <c r="R56" s="43"/>
      <c r="S56" s="44"/>
      <c r="T56" s="437">
        <f t="shared" si="19"/>
        <v>0</v>
      </c>
      <c r="U56" s="438" t="e">
        <f t="shared" si="25"/>
        <v>#DIV/0!</v>
      </c>
      <c r="W56" s="41"/>
      <c r="X56" s="42"/>
      <c r="Y56" s="43"/>
      <c r="Z56" s="44"/>
      <c r="AA56" s="437">
        <f t="shared" si="20"/>
        <v>0</v>
      </c>
      <c r="AB56" s="438" t="e">
        <f t="shared" si="26"/>
        <v>#DIV/0!</v>
      </c>
      <c r="AD56" s="41"/>
      <c r="AE56" s="42"/>
      <c r="AF56" s="43"/>
      <c r="AG56" s="44"/>
      <c r="AH56" s="437">
        <f t="shared" si="21"/>
        <v>0</v>
      </c>
      <c r="AI56" s="438" t="e">
        <f t="shared" si="27"/>
        <v>#DIV/0!</v>
      </c>
      <c r="AK56" s="41"/>
      <c r="AL56" s="42"/>
      <c r="AM56" s="43"/>
      <c r="AN56" s="44"/>
      <c r="AO56" s="437">
        <f t="shared" si="22"/>
        <v>0</v>
      </c>
      <c r="AP56" s="438" t="e">
        <f t="shared" si="23"/>
        <v>#DIV/0!</v>
      </c>
    </row>
    <row r="57" spans="1:42" s="45" customFormat="1" x14ac:dyDescent="0.25">
      <c r="B57" s="46" t="s">
        <v>112</v>
      </c>
      <c r="C57" s="47">
        <f>SUBTOTAL(9,C33:C56)</f>
        <v>0</v>
      </c>
      <c r="D57" s="48">
        <f>SUMPRODUCT(D33:D56,C33:C56)</f>
        <v>0</v>
      </c>
      <c r="E57" s="49">
        <f>SUMPRODUCT(E33:E56,C33:C56)</f>
        <v>0</v>
      </c>
      <c r="F57" s="50">
        <f>IFERROR(E57/D57,0)</f>
        <v>0</v>
      </c>
      <c r="G57" s="51"/>
      <c r="I57" s="46" t="s">
        <v>112</v>
      </c>
      <c r="J57" s="47">
        <f>SUBTOTAL(9,J33:J56)</f>
        <v>0</v>
      </c>
      <c r="K57" s="48">
        <f>SUMPRODUCT(K33:K56,J33:J56)</f>
        <v>0</v>
      </c>
      <c r="L57" s="49">
        <f>SUMPRODUCT(L33:L56,J33:J56)</f>
        <v>0</v>
      </c>
      <c r="M57" s="50">
        <f>IFERROR(L57/K57,0)</f>
        <v>0</v>
      </c>
      <c r="N57" s="51"/>
      <c r="O57" s="52"/>
      <c r="P57" s="46" t="s">
        <v>112</v>
      </c>
      <c r="Q57" s="47">
        <f>SUBTOTAL(9,Q33:Q56)</f>
        <v>0</v>
      </c>
      <c r="R57" s="48">
        <f>SUMPRODUCT(R33:R56,Q33:Q56)</f>
        <v>0</v>
      </c>
      <c r="S57" s="49">
        <f>SUMPRODUCT(S33:S56,Q33:Q56)</f>
        <v>0</v>
      </c>
      <c r="T57" s="50">
        <f>IFERROR(S57/R57,0)</f>
        <v>0</v>
      </c>
      <c r="U57" s="51"/>
      <c r="W57" s="46" t="s">
        <v>112</v>
      </c>
      <c r="X57" s="47">
        <f>SUBTOTAL(9,X33:X56)</f>
        <v>0</v>
      </c>
      <c r="Y57" s="48">
        <f>SUMPRODUCT(Y33:Y56,X33:X56)</f>
        <v>0</v>
      </c>
      <c r="Z57" s="49">
        <f>SUMPRODUCT(Z33:Z56,X33:X56)</f>
        <v>0</v>
      </c>
      <c r="AA57" s="50">
        <f>IFERROR(Z57/Y57,0)</f>
        <v>0</v>
      </c>
      <c r="AB57" s="51"/>
      <c r="AD57" s="46" t="s">
        <v>112</v>
      </c>
      <c r="AE57" s="47">
        <f>SUBTOTAL(9,AE33:AE56)</f>
        <v>0</v>
      </c>
      <c r="AF57" s="48">
        <f>SUMPRODUCT(AF33:AF56,AE33:AE56)</f>
        <v>0</v>
      </c>
      <c r="AG57" s="49">
        <f>SUMPRODUCT(AG33:AG56,AE33:AE56)</f>
        <v>0</v>
      </c>
      <c r="AH57" s="50">
        <f>IFERROR(AG57/AF57,0)</f>
        <v>0</v>
      </c>
      <c r="AI57" s="51"/>
      <c r="AK57" s="46" t="s">
        <v>112</v>
      </c>
      <c r="AL57" s="47">
        <f>SUBTOTAL(9,AL33:AL56)</f>
        <v>0</v>
      </c>
      <c r="AM57" s="48">
        <f>SUMPRODUCT(AM33:AM56,AL33:AL56)</f>
        <v>0</v>
      </c>
      <c r="AN57" s="49">
        <f>SUMPRODUCT(AN33:AN56,AL33:AL56)</f>
        <v>0</v>
      </c>
      <c r="AO57" s="50">
        <f>IFERROR(AN57/AM57,0)</f>
        <v>0</v>
      </c>
      <c r="AP57" s="51"/>
    </row>
    <row r="58" spans="1:42" s="45" customFormat="1" x14ac:dyDescent="0.25">
      <c r="A58" s="59"/>
      <c r="B58" s="53" t="s">
        <v>278</v>
      </c>
      <c r="C58" s="54"/>
      <c r="D58" s="48">
        <f>IFERROR(D57/C57,0)</f>
        <v>0</v>
      </c>
      <c r="E58" s="49">
        <f>IFERROR(E57/C57,0)</f>
        <v>0</v>
      </c>
      <c r="F58" s="50">
        <f>IFERROR(E58/D58,0)</f>
        <v>0</v>
      </c>
      <c r="G58" s="51"/>
      <c r="I58" s="53" t="s">
        <v>278</v>
      </c>
      <c r="J58" s="54"/>
      <c r="K58" s="48">
        <f>IFERROR(K57/J57,0)</f>
        <v>0</v>
      </c>
      <c r="L58" s="49">
        <f>IFERROR(L57/J57,0)</f>
        <v>0</v>
      </c>
      <c r="M58" s="50">
        <f>IFERROR(L58/K58,0)</f>
        <v>0</v>
      </c>
      <c r="N58" s="51"/>
      <c r="O58" s="52"/>
      <c r="P58" s="53" t="s">
        <v>278</v>
      </c>
      <c r="Q58" s="54"/>
      <c r="R58" s="48">
        <f>IFERROR(R57/Q57,0)</f>
        <v>0</v>
      </c>
      <c r="S58" s="49">
        <f>IFERROR(S57/Q57,0)</f>
        <v>0</v>
      </c>
      <c r="T58" s="50">
        <f>IFERROR(S58/R58,0)</f>
        <v>0</v>
      </c>
      <c r="U58" s="51"/>
      <c r="W58" s="53" t="s">
        <v>278</v>
      </c>
      <c r="X58" s="54"/>
      <c r="Y58" s="48">
        <f>IFERROR(Y57/X57,0)</f>
        <v>0</v>
      </c>
      <c r="Z58" s="49">
        <f>IFERROR(Z57/X57,0)</f>
        <v>0</v>
      </c>
      <c r="AA58" s="50">
        <f>IFERROR(Z58/Y58,0)</f>
        <v>0</v>
      </c>
      <c r="AB58" s="51"/>
      <c r="AD58" s="53" t="s">
        <v>278</v>
      </c>
      <c r="AE58" s="54"/>
      <c r="AF58" s="48">
        <f>IFERROR(AF57/AE57,0)</f>
        <v>0</v>
      </c>
      <c r="AG58" s="49">
        <f>IFERROR(AG57/AE57,0)</f>
        <v>0</v>
      </c>
      <c r="AH58" s="50">
        <f>IFERROR(AG58/AF58,0)</f>
        <v>0</v>
      </c>
      <c r="AI58" s="51"/>
      <c r="AK58" s="53" t="s">
        <v>278</v>
      </c>
      <c r="AL58" s="54"/>
      <c r="AM58" s="48">
        <f>IFERROR(AM57/AL57,0)</f>
        <v>0</v>
      </c>
      <c r="AN58" s="49">
        <f>IFERROR(AN57/AL57,0)</f>
        <v>0</v>
      </c>
      <c r="AO58" s="50">
        <f>IFERROR(AN58/AM58,0)</f>
        <v>0</v>
      </c>
      <c r="AP58" s="51"/>
    </row>
    <row r="59" spans="1:42" x14ac:dyDescent="0.25">
      <c r="A59" s="49">
        <f>+A58-E58</f>
        <v>0</v>
      </c>
      <c r="B59" s="35" t="s">
        <v>282</v>
      </c>
      <c r="C59" s="60"/>
      <c r="D59" s="61"/>
      <c r="E59" s="62"/>
      <c r="F59" s="439"/>
      <c r="G59" s="63"/>
      <c r="I59" s="35" t="s">
        <v>282</v>
      </c>
      <c r="J59" s="60"/>
      <c r="K59" s="61"/>
      <c r="L59" s="62"/>
      <c r="M59" s="439"/>
      <c r="N59" s="63"/>
      <c r="O59" s="40"/>
      <c r="P59" s="35" t="s">
        <v>282</v>
      </c>
      <c r="Q59" s="60"/>
      <c r="R59" s="61"/>
      <c r="S59" s="62"/>
      <c r="T59" s="439"/>
      <c r="U59" s="63"/>
      <c r="W59" s="35" t="s">
        <v>282</v>
      </c>
      <c r="X59" s="60"/>
      <c r="Y59" s="61"/>
      <c r="Z59" s="62"/>
      <c r="AA59" s="439"/>
      <c r="AB59" s="63"/>
      <c r="AD59" s="35" t="s">
        <v>282</v>
      </c>
      <c r="AE59" s="60"/>
      <c r="AF59" s="61"/>
      <c r="AG59" s="62"/>
      <c r="AH59" s="439"/>
      <c r="AI59" s="63"/>
      <c r="AK59" s="35" t="s">
        <v>282</v>
      </c>
      <c r="AL59" s="60"/>
      <c r="AM59" s="61"/>
      <c r="AN59" s="62"/>
      <c r="AO59" s="439"/>
      <c r="AP59" s="63"/>
    </row>
    <row r="60" spans="1:42" x14ac:dyDescent="0.25">
      <c r="B60" s="37" t="s">
        <v>124</v>
      </c>
      <c r="C60" s="38" t="s">
        <v>2</v>
      </c>
      <c r="D60" s="38" t="s">
        <v>107</v>
      </c>
      <c r="E60" s="38" t="s">
        <v>274</v>
      </c>
      <c r="F60" s="57" t="s">
        <v>275</v>
      </c>
      <c r="G60" s="58" t="s">
        <v>276</v>
      </c>
      <c r="I60" s="37" t="s">
        <v>124</v>
      </c>
      <c r="J60" s="38" t="s">
        <v>2</v>
      </c>
      <c r="K60" s="38" t="s">
        <v>107</v>
      </c>
      <c r="L60" s="38" t="s">
        <v>274</v>
      </c>
      <c r="M60" s="57" t="s">
        <v>275</v>
      </c>
      <c r="N60" s="58" t="s">
        <v>276</v>
      </c>
      <c r="P60" s="37" t="s">
        <v>124</v>
      </c>
      <c r="Q60" s="38" t="s">
        <v>2</v>
      </c>
      <c r="R60" s="38" t="s">
        <v>107</v>
      </c>
      <c r="S60" s="38" t="s">
        <v>274</v>
      </c>
      <c r="T60" s="57" t="s">
        <v>275</v>
      </c>
      <c r="U60" s="58" t="s">
        <v>276</v>
      </c>
      <c r="W60" s="37" t="s">
        <v>124</v>
      </c>
      <c r="X60" s="38" t="s">
        <v>2</v>
      </c>
      <c r="Y60" s="38" t="s">
        <v>107</v>
      </c>
      <c r="Z60" s="38" t="s">
        <v>274</v>
      </c>
      <c r="AA60" s="57" t="s">
        <v>275</v>
      </c>
      <c r="AB60" s="58" t="s">
        <v>276</v>
      </c>
      <c r="AD60" s="37" t="s">
        <v>124</v>
      </c>
      <c r="AE60" s="38" t="s">
        <v>2</v>
      </c>
      <c r="AF60" s="38" t="s">
        <v>107</v>
      </c>
      <c r="AG60" s="38" t="s">
        <v>274</v>
      </c>
      <c r="AH60" s="57" t="s">
        <v>275</v>
      </c>
      <c r="AI60" s="58" t="s">
        <v>276</v>
      </c>
      <c r="AK60" s="37" t="s">
        <v>124</v>
      </c>
      <c r="AL60" s="38" t="s">
        <v>2</v>
      </c>
      <c r="AM60" s="38" t="s">
        <v>107</v>
      </c>
      <c r="AN60" s="38" t="s">
        <v>274</v>
      </c>
      <c r="AO60" s="57" t="s">
        <v>275</v>
      </c>
      <c r="AP60" s="58" t="s">
        <v>276</v>
      </c>
    </row>
    <row r="61" spans="1:42" x14ac:dyDescent="0.25">
      <c r="B61" s="41" t="s">
        <v>100</v>
      </c>
      <c r="C61" s="42"/>
      <c r="D61" s="43"/>
      <c r="E61" s="44"/>
      <c r="F61" s="437">
        <f>IFERROR(E61/D61,0)</f>
        <v>0</v>
      </c>
      <c r="G61" s="438" t="e">
        <f>C61/$C$2</f>
        <v>#DIV/0!</v>
      </c>
      <c r="I61" s="41"/>
      <c r="J61" s="42"/>
      <c r="K61" s="43"/>
      <c r="L61" s="44"/>
      <c r="M61" s="437">
        <f>IFERROR(L61/K61,0)</f>
        <v>0</v>
      </c>
      <c r="N61" s="438" t="e">
        <f t="shared" ref="N61:N84" si="28">J61/J$2</f>
        <v>#DIV/0!</v>
      </c>
      <c r="P61" s="41"/>
      <c r="Q61" s="42"/>
      <c r="R61" s="43"/>
      <c r="S61" s="44"/>
      <c r="T61" s="437">
        <f>IFERROR(S61/R61,0)</f>
        <v>0</v>
      </c>
      <c r="U61" s="438" t="e">
        <f t="shared" ref="U61:U84" si="29">Q61/Q$2</f>
        <v>#DIV/0!</v>
      </c>
      <c r="W61" s="41"/>
      <c r="X61" s="42"/>
      <c r="Y61" s="43"/>
      <c r="Z61" s="44"/>
      <c r="AA61" s="437">
        <f>IFERROR(Z61/Y61,0)</f>
        <v>0</v>
      </c>
      <c r="AB61" s="438" t="e">
        <f t="shared" ref="AB61:AB84" si="30">X61/X$2</f>
        <v>#DIV/0!</v>
      </c>
      <c r="AD61" s="41"/>
      <c r="AE61" s="42"/>
      <c r="AF61" s="43"/>
      <c r="AG61" s="44"/>
      <c r="AH61" s="437">
        <f>IFERROR(AG61/AF61,0)</f>
        <v>0</v>
      </c>
      <c r="AI61" s="438" t="e">
        <f t="shared" ref="AI61:AI84" si="31">AE61/AE$2</f>
        <v>#DIV/0!</v>
      </c>
      <c r="AK61" s="41"/>
      <c r="AL61" s="42"/>
      <c r="AM61" s="43"/>
      <c r="AN61" s="44"/>
      <c r="AO61" s="437">
        <f>IFERROR(AN61/AM61,0)</f>
        <v>0</v>
      </c>
      <c r="AP61" s="438" t="e">
        <f>AL61/AL$2</f>
        <v>#DIV/0!</v>
      </c>
    </row>
    <row r="62" spans="1:42" x14ac:dyDescent="0.25">
      <c r="B62" s="41" t="s">
        <v>100</v>
      </c>
      <c r="C62" s="42"/>
      <c r="D62" s="43"/>
      <c r="E62" s="44"/>
      <c r="F62" s="437">
        <f t="shared" ref="F62:F84" si="32">IFERROR(E62/D62,0)</f>
        <v>0</v>
      </c>
      <c r="G62" s="438" t="e">
        <f t="shared" ref="G62:G84" si="33">C62/$C$2</f>
        <v>#DIV/0!</v>
      </c>
      <c r="I62" s="41"/>
      <c r="J62" s="42"/>
      <c r="K62" s="43"/>
      <c r="L62" s="44"/>
      <c r="M62" s="437">
        <f t="shared" ref="M62:M84" si="34">IFERROR(L62/K62,0)</f>
        <v>0</v>
      </c>
      <c r="N62" s="438" t="e">
        <f t="shared" si="28"/>
        <v>#DIV/0!</v>
      </c>
      <c r="O62" s="36"/>
      <c r="P62" s="41"/>
      <c r="Q62" s="42"/>
      <c r="R62" s="43"/>
      <c r="S62" s="44"/>
      <c r="T62" s="437">
        <f t="shared" ref="T62:T84" si="35">IFERROR(S62/R62,0)</f>
        <v>0</v>
      </c>
      <c r="U62" s="438" t="e">
        <f t="shared" si="29"/>
        <v>#DIV/0!</v>
      </c>
      <c r="W62" s="41"/>
      <c r="X62" s="42"/>
      <c r="Y62" s="43"/>
      <c r="Z62" s="44"/>
      <c r="AA62" s="437">
        <f t="shared" ref="AA62:AA84" si="36">IFERROR(Z62/Y62,0)</f>
        <v>0</v>
      </c>
      <c r="AB62" s="438" t="e">
        <f t="shared" si="30"/>
        <v>#DIV/0!</v>
      </c>
      <c r="AD62" s="41"/>
      <c r="AE62" s="42"/>
      <c r="AF62" s="43"/>
      <c r="AG62" s="44"/>
      <c r="AH62" s="437">
        <f t="shared" ref="AH62:AH84" si="37">IFERROR(AG62/AF62,0)</f>
        <v>0</v>
      </c>
      <c r="AI62" s="438" t="e">
        <f t="shared" si="31"/>
        <v>#DIV/0!</v>
      </c>
      <c r="AK62" s="41"/>
      <c r="AL62" s="42"/>
      <c r="AM62" s="43"/>
      <c r="AN62" s="44"/>
      <c r="AO62" s="437">
        <f t="shared" ref="AO62:AO84" si="38">IFERROR(AN62/AM62,0)</f>
        <v>0</v>
      </c>
      <c r="AP62" s="438" t="e">
        <f t="shared" ref="AP62:AP84" si="39">AL62/AL$2</f>
        <v>#DIV/0!</v>
      </c>
    </row>
    <row r="63" spans="1:42" x14ac:dyDescent="0.25">
      <c r="B63" s="41" t="s">
        <v>100</v>
      </c>
      <c r="C63" s="42"/>
      <c r="D63" s="43"/>
      <c r="E63" s="44"/>
      <c r="F63" s="437">
        <f t="shared" si="32"/>
        <v>0</v>
      </c>
      <c r="G63" s="438" t="e">
        <f t="shared" si="33"/>
        <v>#DIV/0!</v>
      </c>
      <c r="I63" s="41"/>
      <c r="J63" s="42"/>
      <c r="K63" s="43"/>
      <c r="L63" s="44"/>
      <c r="M63" s="437">
        <f t="shared" si="34"/>
        <v>0</v>
      </c>
      <c r="N63" s="438" t="e">
        <f t="shared" si="28"/>
        <v>#DIV/0!</v>
      </c>
      <c r="O63" s="36"/>
      <c r="P63" s="41"/>
      <c r="Q63" s="42"/>
      <c r="R63" s="43"/>
      <c r="S63" s="44"/>
      <c r="T63" s="437">
        <f t="shared" si="35"/>
        <v>0</v>
      </c>
      <c r="U63" s="438" t="e">
        <f t="shared" si="29"/>
        <v>#DIV/0!</v>
      </c>
      <c r="W63" s="41"/>
      <c r="X63" s="42"/>
      <c r="Y63" s="43"/>
      <c r="Z63" s="44"/>
      <c r="AA63" s="437">
        <f t="shared" si="36"/>
        <v>0</v>
      </c>
      <c r="AB63" s="438" t="e">
        <f t="shared" si="30"/>
        <v>#DIV/0!</v>
      </c>
      <c r="AD63" s="41"/>
      <c r="AE63" s="42"/>
      <c r="AF63" s="43"/>
      <c r="AG63" s="44"/>
      <c r="AH63" s="437">
        <f t="shared" si="37"/>
        <v>0</v>
      </c>
      <c r="AI63" s="438" t="e">
        <f t="shared" si="31"/>
        <v>#DIV/0!</v>
      </c>
      <c r="AK63" s="41"/>
      <c r="AL63" s="42"/>
      <c r="AM63" s="43"/>
      <c r="AN63" s="44"/>
      <c r="AO63" s="437">
        <f t="shared" si="38"/>
        <v>0</v>
      </c>
      <c r="AP63" s="438" t="e">
        <f t="shared" si="39"/>
        <v>#DIV/0!</v>
      </c>
    </row>
    <row r="64" spans="1:42" x14ac:dyDescent="0.25">
      <c r="B64" s="41" t="s">
        <v>100</v>
      </c>
      <c r="C64" s="42"/>
      <c r="D64" s="43"/>
      <c r="E64" s="44"/>
      <c r="F64" s="437">
        <f t="shared" si="32"/>
        <v>0</v>
      </c>
      <c r="G64" s="438" t="e">
        <f t="shared" si="33"/>
        <v>#DIV/0!</v>
      </c>
      <c r="I64" s="41"/>
      <c r="J64" s="42"/>
      <c r="K64" s="43"/>
      <c r="L64" s="44"/>
      <c r="M64" s="437">
        <f t="shared" si="34"/>
        <v>0</v>
      </c>
      <c r="N64" s="438" t="e">
        <f t="shared" si="28"/>
        <v>#DIV/0!</v>
      </c>
      <c r="O64" s="36"/>
      <c r="P64" s="41"/>
      <c r="Q64" s="42"/>
      <c r="R64" s="43"/>
      <c r="S64" s="44"/>
      <c r="T64" s="437">
        <f t="shared" si="35"/>
        <v>0</v>
      </c>
      <c r="U64" s="438" t="e">
        <f t="shared" si="29"/>
        <v>#DIV/0!</v>
      </c>
      <c r="W64" s="41"/>
      <c r="X64" s="42"/>
      <c r="Y64" s="43"/>
      <c r="Z64" s="44"/>
      <c r="AA64" s="437">
        <f t="shared" si="36"/>
        <v>0</v>
      </c>
      <c r="AB64" s="438" t="e">
        <f t="shared" si="30"/>
        <v>#DIV/0!</v>
      </c>
      <c r="AD64" s="41"/>
      <c r="AE64" s="42"/>
      <c r="AF64" s="43"/>
      <c r="AG64" s="44"/>
      <c r="AH64" s="437">
        <f t="shared" si="37"/>
        <v>0</v>
      </c>
      <c r="AI64" s="438" t="e">
        <f t="shared" si="31"/>
        <v>#DIV/0!</v>
      </c>
      <c r="AK64" s="41"/>
      <c r="AL64" s="42"/>
      <c r="AM64" s="43"/>
      <c r="AN64" s="44"/>
      <c r="AO64" s="437">
        <f t="shared" si="38"/>
        <v>0</v>
      </c>
      <c r="AP64" s="438" t="e">
        <f t="shared" si="39"/>
        <v>#DIV/0!</v>
      </c>
    </row>
    <row r="65" spans="2:42" x14ac:dyDescent="0.25">
      <c r="B65" s="41" t="s">
        <v>100</v>
      </c>
      <c r="C65" s="42"/>
      <c r="D65" s="43"/>
      <c r="E65" s="44"/>
      <c r="F65" s="437">
        <f t="shared" si="32"/>
        <v>0</v>
      </c>
      <c r="G65" s="438" t="e">
        <f t="shared" si="33"/>
        <v>#DIV/0!</v>
      </c>
      <c r="I65" s="41"/>
      <c r="J65" s="42"/>
      <c r="K65" s="43"/>
      <c r="L65" s="44"/>
      <c r="M65" s="437">
        <f t="shared" si="34"/>
        <v>0</v>
      </c>
      <c r="N65" s="438" t="e">
        <f t="shared" si="28"/>
        <v>#DIV/0!</v>
      </c>
      <c r="O65" s="36"/>
      <c r="P65" s="41"/>
      <c r="Q65" s="42"/>
      <c r="R65" s="43"/>
      <c r="S65" s="44"/>
      <c r="T65" s="437">
        <f t="shared" si="35"/>
        <v>0</v>
      </c>
      <c r="U65" s="438" t="e">
        <f t="shared" si="29"/>
        <v>#DIV/0!</v>
      </c>
      <c r="W65" s="41"/>
      <c r="X65" s="42"/>
      <c r="Y65" s="43"/>
      <c r="Z65" s="44"/>
      <c r="AA65" s="437">
        <f t="shared" si="36"/>
        <v>0</v>
      </c>
      <c r="AB65" s="438" t="e">
        <f t="shared" si="30"/>
        <v>#DIV/0!</v>
      </c>
      <c r="AD65" s="41"/>
      <c r="AE65" s="42"/>
      <c r="AF65" s="43"/>
      <c r="AG65" s="44"/>
      <c r="AH65" s="437">
        <f t="shared" si="37"/>
        <v>0</v>
      </c>
      <c r="AI65" s="438" t="e">
        <f t="shared" si="31"/>
        <v>#DIV/0!</v>
      </c>
      <c r="AK65" s="41"/>
      <c r="AL65" s="42"/>
      <c r="AM65" s="43"/>
      <c r="AN65" s="44"/>
      <c r="AO65" s="437">
        <f t="shared" si="38"/>
        <v>0</v>
      </c>
      <c r="AP65" s="438" t="e">
        <f t="shared" si="39"/>
        <v>#DIV/0!</v>
      </c>
    </row>
    <row r="66" spans="2:42" x14ac:dyDescent="0.25">
      <c r="B66" s="41" t="s">
        <v>100</v>
      </c>
      <c r="C66" s="42"/>
      <c r="D66" s="43"/>
      <c r="E66" s="44"/>
      <c r="F66" s="437">
        <f t="shared" si="32"/>
        <v>0</v>
      </c>
      <c r="G66" s="438" t="e">
        <f t="shared" si="33"/>
        <v>#DIV/0!</v>
      </c>
      <c r="I66" s="41"/>
      <c r="J66" s="42"/>
      <c r="K66" s="43"/>
      <c r="L66" s="44"/>
      <c r="M66" s="437">
        <f t="shared" si="34"/>
        <v>0</v>
      </c>
      <c r="N66" s="438" t="e">
        <f t="shared" si="28"/>
        <v>#DIV/0!</v>
      </c>
      <c r="O66" s="36"/>
      <c r="P66" s="41"/>
      <c r="Q66" s="42"/>
      <c r="R66" s="43"/>
      <c r="S66" s="44"/>
      <c r="T66" s="437">
        <f t="shared" si="35"/>
        <v>0</v>
      </c>
      <c r="U66" s="438" t="e">
        <f t="shared" si="29"/>
        <v>#DIV/0!</v>
      </c>
      <c r="W66" s="41"/>
      <c r="X66" s="42"/>
      <c r="Y66" s="43"/>
      <c r="Z66" s="44"/>
      <c r="AA66" s="437">
        <f t="shared" si="36"/>
        <v>0</v>
      </c>
      <c r="AB66" s="438" t="e">
        <f t="shared" si="30"/>
        <v>#DIV/0!</v>
      </c>
      <c r="AD66" s="41"/>
      <c r="AE66" s="42"/>
      <c r="AF66" s="43"/>
      <c r="AG66" s="44"/>
      <c r="AH66" s="437">
        <f t="shared" si="37"/>
        <v>0</v>
      </c>
      <c r="AI66" s="438" t="e">
        <f t="shared" si="31"/>
        <v>#DIV/0!</v>
      </c>
      <c r="AK66" s="41"/>
      <c r="AL66" s="42"/>
      <c r="AM66" s="43"/>
      <c r="AN66" s="44"/>
      <c r="AO66" s="437">
        <f t="shared" si="38"/>
        <v>0</v>
      </c>
      <c r="AP66" s="438" t="e">
        <f t="shared" si="39"/>
        <v>#DIV/0!</v>
      </c>
    </row>
    <row r="67" spans="2:42" x14ac:dyDescent="0.25">
      <c r="B67" s="41" t="s">
        <v>100</v>
      </c>
      <c r="C67" s="42"/>
      <c r="D67" s="43"/>
      <c r="E67" s="44"/>
      <c r="F67" s="437">
        <f t="shared" si="32"/>
        <v>0</v>
      </c>
      <c r="G67" s="438" t="e">
        <f t="shared" si="33"/>
        <v>#DIV/0!</v>
      </c>
      <c r="I67" s="41"/>
      <c r="J67" s="42"/>
      <c r="K67" s="43"/>
      <c r="L67" s="44"/>
      <c r="M67" s="437">
        <f t="shared" si="34"/>
        <v>0</v>
      </c>
      <c r="N67" s="438" t="e">
        <f t="shared" si="28"/>
        <v>#DIV/0!</v>
      </c>
      <c r="O67" s="36"/>
      <c r="P67" s="41"/>
      <c r="Q67" s="42"/>
      <c r="R67" s="43"/>
      <c r="S67" s="44"/>
      <c r="T67" s="437">
        <f t="shared" si="35"/>
        <v>0</v>
      </c>
      <c r="U67" s="438" t="e">
        <f t="shared" si="29"/>
        <v>#DIV/0!</v>
      </c>
      <c r="W67" s="41"/>
      <c r="X67" s="42"/>
      <c r="Y67" s="43"/>
      <c r="Z67" s="44"/>
      <c r="AA67" s="437">
        <f t="shared" si="36"/>
        <v>0</v>
      </c>
      <c r="AB67" s="438" t="e">
        <f t="shared" si="30"/>
        <v>#DIV/0!</v>
      </c>
      <c r="AD67" s="41"/>
      <c r="AE67" s="42"/>
      <c r="AF67" s="43"/>
      <c r="AG67" s="44"/>
      <c r="AH67" s="437">
        <f t="shared" si="37"/>
        <v>0</v>
      </c>
      <c r="AI67" s="438" t="e">
        <f t="shared" si="31"/>
        <v>#DIV/0!</v>
      </c>
      <c r="AK67" s="41"/>
      <c r="AL67" s="42"/>
      <c r="AM67" s="43"/>
      <c r="AN67" s="44"/>
      <c r="AO67" s="437">
        <f t="shared" si="38"/>
        <v>0</v>
      </c>
      <c r="AP67" s="438" t="e">
        <f t="shared" si="39"/>
        <v>#DIV/0!</v>
      </c>
    </row>
    <row r="68" spans="2:42" x14ac:dyDescent="0.25">
      <c r="B68" s="41" t="s">
        <v>100</v>
      </c>
      <c r="C68" s="42"/>
      <c r="D68" s="43"/>
      <c r="E68" s="44"/>
      <c r="F68" s="437">
        <f t="shared" si="32"/>
        <v>0</v>
      </c>
      <c r="G68" s="438" t="e">
        <f t="shared" si="33"/>
        <v>#DIV/0!</v>
      </c>
      <c r="I68" s="41"/>
      <c r="J68" s="42"/>
      <c r="K68" s="43"/>
      <c r="L68" s="44"/>
      <c r="M68" s="437">
        <f t="shared" si="34"/>
        <v>0</v>
      </c>
      <c r="N68" s="438" t="e">
        <f t="shared" si="28"/>
        <v>#DIV/0!</v>
      </c>
      <c r="O68" s="36"/>
      <c r="P68" s="41"/>
      <c r="Q68" s="42"/>
      <c r="R68" s="43"/>
      <c r="S68" s="44"/>
      <c r="T68" s="437">
        <f t="shared" si="35"/>
        <v>0</v>
      </c>
      <c r="U68" s="438" t="e">
        <f t="shared" si="29"/>
        <v>#DIV/0!</v>
      </c>
      <c r="W68" s="41"/>
      <c r="X68" s="42"/>
      <c r="Y68" s="43"/>
      <c r="Z68" s="44"/>
      <c r="AA68" s="437">
        <f t="shared" si="36"/>
        <v>0</v>
      </c>
      <c r="AB68" s="438" t="e">
        <f t="shared" si="30"/>
        <v>#DIV/0!</v>
      </c>
      <c r="AD68" s="41"/>
      <c r="AE68" s="42"/>
      <c r="AF68" s="43"/>
      <c r="AG68" s="44"/>
      <c r="AH68" s="437">
        <f t="shared" si="37"/>
        <v>0</v>
      </c>
      <c r="AI68" s="438" t="e">
        <f t="shared" si="31"/>
        <v>#DIV/0!</v>
      </c>
      <c r="AK68" s="41"/>
      <c r="AL68" s="42"/>
      <c r="AM68" s="43"/>
      <c r="AN68" s="44"/>
      <c r="AO68" s="437">
        <f t="shared" si="38"/>
        <v>0</v>
      </c>
      <c r="AP68" s="438" t="e">
        <f t="shared" si="39"/>
        <v>#DIV/0!</v>
      </c>
    </row>
    <row r="69" spans="2:42" x14ac:dyDescent="0.25">
      <c r="B69" s="41" t="s">
        <v>100</v>
      </c>
      <c r="C69" s="42"/>
      <c r="D69" s="43"/>
      <c r="E69" s="44"/>
      <c r="F69" s="437">
        <f t="shared" si="32"/>
        <v>0</v>
      </c>
      <c r="G69" s="438" t="e">
        <f t="shared" si="33"/>
        <v>#DIV/0!</v>
      </c>
      <c r="I69" s="41"/>
      <c r="J69" s="42"/>
      <c r="K69" s="43"/>
      <c r="L69" s="44"/>
      <c r="M69" s="437">
        <f t="shared" si="34"/>
        <v>0</v>
      </c>
      <c r="N69" s="438" t="e">
        <f t="shared" si="28"/>
        <v>#DIV/0!</v>
      </c>
      <c r="O69" s="36"/>
      <c r="P69" s="41"/>
      <c r="Q69" s="42"/>
      <c r="R69" s="43"/>
      <c r="S69" s="44"/>
      <c r="T69" s="437">
        <f t="shared" si="35"/>
        <v>0</v>
      </c>
      <c r="U69" s="438" t="e">
        <f t="shared" si="29"/>
        <v>#DIV/0!</v>
      </c>
      <c r="W69" s="41"/>
      <c r="X69" s="42"/>
      <c r="Y69" s="43"/>
      <c r="Z69" s="44"/>
      <c r="AA69" s="437">
        <f t="shared" si="36"/>
        <v>0</v>
      </c>
      <c r="AB69" s="438" t="e">
        <f t="shared" si="30"/>
        <v>#DIV/0!</v>
      </c>
      <c r="AD69" s="41"/>
      <c r="AE69" s="42"/>
      <c r="AF69" s="43"/>
      <c r="AG69" s="44"/>
      <c r="AH69" s="437">
        <f t="shared" si="37"/>
        <v>0</v>
      </c>
      <c r="AI69" s="438" t="e">
        <f t="shared" si="31"/>
        <v>#DIV/0!</v>
      </c>
      <c r="AK69" s="41"/>
      <c r="AL69" s="42"/>
      <c r="AM69" s="43"/>
      <c r="AN69" s="44"/>
      <c r="AO69" s="437">
        <f t="shared" si="38"/>
        <v>0</v>
      </c>
      <c r="AP69" s="438" t="e">
        <f t="shared" si="39"/>
        <v>#DIV/0!</v>
      </c>
    </row>
    <row r="70" spans="2:42" x14ac:dyDescent="0.25">
      <c r="B70" s="41" t="s">
        <v>100</v>
      </c>
      <c r="C70" s="42"/>
      <c r="D70" s="43"/>
      <c r="E70" s="44"/>
      <c r="F70" s="437">
        <f t="shared" si="32"/>
        <v>0</v>
      </c>
      <c r="G70" s="438" t="e">
        <f t="shared" si="33"/>
        <v>#DIV/0!</v>
      </c>
      <c r="I70" s="41"/>
      <c r="J70" s="42"/>
      <c r="K70" s="43"/>
      <c r="L70" s="44"/>
      <c r="M70" s="437">
        <f t="shared" si="34"/>
        <v>0</v>
      </c>
      <c r="N70" s="438" t="e">
        <f t="shared" si="28"/>
        <v>#DIV/0!</v>
      </c>
      <c r="O70" s="36"/>
      <c r="P70" s="41"/>
      <c r="Q70" s="42"/>
      <c r="R70" s="43"/>
      <c r="S70" s="44"/>
      <c r="T70" s="437">
        <f t="shared" si="35"/>
        <v>0</v>
      </c>
      <c r="U70" s="438" t="e">
        <f t="shared" si="29"/>
        <v>#DIV/0!</v>
      </c>
      <c r="W70" s="41"/>
      <c r="X70" s="42"/>
      <c r="Y70" s="43"/>
      <c r="Z70" s="44"/>
      <c r="AA70" s="437">
        <f t="shared" si="36"/>
        <v>0</v>
      </c>
      <c r="AB70" s="438" t="e">
        <f t="shared" si="30"/>
        <v>#DIV/0!</v>
      </c>
      <c r="AD70" s="41"/>
      <c r="AE70" s="42"/>
      <c r="AF70" s="43"/>
      <c r="AG70" s="44"/>
      <c r="AH70" s="437">
        <f t="shared" si="37"/>
        <v>0</v>
      </c>
      <c r="AI70" s="438" t="e">
        <f t="shared" si="31"/>
        <v>#DIV/0!</v>
      </c>
      <c r="AK70" s="41"/>
      <c r="AL70" s="42"/>
      <c r="AM70" s="43"/>
      <c r="AN70" s="44"/>
      <c r="AO70" s="437">
        <f t="shared" si="38"/>
        <v>0</v>
      </c>
      <c r="AP70" s="438" t="e">
        <f t="shared" si="39"/>
        <v>#DIV/0!</v>
      </c>
    </row>
    <row r="71" spans="2:42" x14ac:dyDescent="0.25">
      <c r="B71" s="41" t="s">
        <v>100</v>
      </c>
      <c r="C71" s="42"/>
      <c r="D71" s="43"/>
      <c r="E71" s="44"/>
      <c r="F71" s="437">
        <f t="shared" si="32"/>
        <v>0</v>
      </c>
      <c r="G71" s="438" t="e">
        <f t="shared" si="33"/>
        <v>#DIV/0!</v>
      </c>
      <c r="I71" s="41"/>
      <c r="J71" s="42"/>
      <c r="K71" s="43"/>
      <c r="L71" s="44"/>
      <c r="M71" s="437">
        <f t="shared" si="34"/>
        <v>0</v>
      </c>
      <c r="N71" s="438" t="e">
        <f t="shared" si="28"/>
        <v>#DIV/0!</v>
      </c>
      <c r="O71" s="36"/>
      <c r="P71" s="41"/>
      <c r="Q71" s="42"/>
      <c r="R71" s="43"/>
      <c r="S71" s="44"/>
      <c r="T71" s="437">
        <f t="shared" si="35"/>
        <v>0</v>
      </c>
      <c r="U71" s="438" t="e">
        <f t="shared" si="29"/>
        <v>#DIV/0!</v>
      </c>
      <c r="W71" s="41"/>
      <c r="X71" s="42"/>
      <c r="Y71" s="43"/>
      <c r="Z71" s="44"/>
      <c r="AA71" s="437">
        <f t="shared" si="36"/>
        <v>0</v>
      </c>
      <c r="AB71" s="438" t="e">
        <f t="shared" si="30"/>
        <v>#DIV/0!</v>
      </c>
      <c r="AD71" s="41"/>
      <c r="AE71" s="42"/>
      <c r="AF71" s="43"/>
      <c r="AG71" s="44"/>
      <c r="AH71" s="437">
        <f t="shared" si="37"/>
        <v>0</v>
      </c>
      <c r="AI71" s="438" t="e">
        <f t="shared" si="31"/>
        <v>#DIV/0!</v>
      </c>
      <c r="AK71" s="41"/>
      <c r="AL71" s="42"/>
      <c r="AM71" s="43"/>
      <c r="AN71" s="44"/>
      <c r="AO71" s="437">
        <f t="shared" si="38"/>
        <v>0</v>
      </c>
      <c r="AP71" s="438" t="e">
        <f t="shared" si="39"/>
        <v>#DIV/0!</v>
      </c>
    </row>
    <row r="72" spans="2:42" x14ac:dyDescent="0.25">
      <c r="B72" s="41" t="s">
        <v>100</v>
      </c>
      <c r="C72" s="42"/>
      <c r="D72" s="43"/>
      <c r="E72" s="44"/>
      <c r="F72" s="437">
        <f t="shared" si="32"/>
        <v>0</v>
      </c>
      <c r="G72" s="438" t="e">
        <f t="shared" si="33"/>
        <v>#DIV/0!</v>
      </c>
      <c r="I72" s="41"/>
      <c r="J72" s="42"/>
      <c r="K72" s="43"/>
      <c r="L72" s="44"/>
      <c r="M72" s="437">
        <f t="shared" si="34"/>
        <v>0</v>
      </c>
      <c r="N72" s="438" t="e">
        <f t="shared" si="28"/>
        <v>#DIV/0!</v>
      </c>
      <c r="O72" s="36"/>
      <c r="P72" s="41"/>
      <c r="Q72" s="42"/>
      <c r="R72" s="43"/>
      <c r="S72" s="44"/>
      <c r="T72" s="437">
        <f t="shared" si="35"/>
        <v>0</v>
      </c>
      <c r="U72" s="438" t="e">
        <f t="shared" si="29"/>
        <v>#DIV/0!</v>
      </c>
      <c r="W72" s="41"/>
      <c r="X72" s="42"/>
      <c r="Y72" s="43"/>
      <c r="Z72" s="44"/>
      <c r="AA72" s="437">
        <f t="shared" si="36"/>
        <v>0</v>
      </c>
      <c r="AB72" s="438" t="e">
        <f t="shared" si="30"/>
        <v>#DIV/0!</v>
      </c>
      <c r="AD72" s="41"/>
      <c r="AE72" s="42"/>
      <c r="AF72" s="43"/>
      <c r="AG72" s="44"/>
      <c r="AH72" s="437">
        <f t="shared" si="37"/>
        <v>0</v>
      </c>
      <c r="AI72" s="438" t="e">
        <f t="shared" si="31"/>
        <v>#DIV/0!</v>
      </c>
      <c r="AK72" s="41"/>
      <c r="AL72" s="42"/>
      <c r="AM72" s="43"/>
      <c r="AN72" s="44"/>
      <c r="AO72" s="437">
        <f t="shared" si="38"/>
        <v>0</v>
      </c>
      <c r="AP72" s="438" t="e">
        <f t="shared" si="39"/>
        <v>#DIV/0!</v>
      </c>
    </row>
    <row r="73" spans="2:42" outlineLevel="1" x14ac:dyDescent="0.25">
      <c r="B73" s="41" t="s">
        <v>100</v>
      </c>
      <c r="C73" s="42"/>
      <c r="D73" s="43"/>
      <c r="E73" s="44"/>
      <c r="F73" s="437">
        <f t="shared" si="32"/>
        <v>0</v>
      </c>
      <c r="G73" s="438" t="e">
        <f t="shared" si="33"/>
        <v>#DIV/0!</v>
      </c>
      <c r="I73" s="41"/>
      <c r="J73" s="42"/>
      <c r="K73" s="43"/>
      <c r="L73" s="44"/>
      <c r="M73" s="437">
        <f t="shared" si="34"/>
        <v>0</v>
      </c>
      <c r="N73" s="438" t="e">
        <f t="shared" si="28"/>
        <v>#DIV/0!</v>
      </c>
      <c r="O73" s="36"/>
      <c r="P73" s="41"/>
      <c r="Q73" s="42"/>
      <c r="R73" s="43"/>
      <c r="S73" s="44"/>
      <c r="T73" s="437">
        <f t="shared" si="35"/>
        <v>0</v>
      </c>
      <c r="U73" s="438" t="e">
        <f t="shared" si="29"/>
        <v>#DIV/0!</v>
      </c>
      <c r="W73" s="41"/>
      <c r="X73" s="42"/>
      <c r="Y73" s="43"/>
      <c r="Z73" s="44"/>
      <c r="AA73" s="437">
        <f t="shared" si="36"/>
        <v>0</v>
      </c>
      <c r="AB73" s="438" t="e">
        <f t="shared" si="30"/>
        <v>#DIV/0!</v>
      </c>
      <c r="AD73" s="41"/>
      <c r="AE73" s="42"/>
      <c r="AF73" s="43"/>
      <c r="AG73" s="44"/>
      <c r="AH73" s="437">
        <f t="shared" si="37"/>
        <v>0</v>
      </c>
      <c r="AI73" s="438" t="e">
        <f t="shared" si="31"/>
        <v>#DIV/0!</v>
      </c>
      <c r="AK73" s="41"/>
      <c r="AL73" s="42"/>
      <c r="AM73" s="43"/>
      <c r="AN73" s="44"/>
      <c r="AO73" s="437">
        <f t="shared" si="38"/>
        <v>0</v>
      </c>
      <c r="AP73" s="438" t="e">
        <f t="shared" si="39"/>
        <v>#DIV/0!</v>
      </c>
    </row>
    <row r="74" spans="2:42" outlineLevel="1" x14ac:dyDescent="0.25">
      <c r="B74" s="41" t="s">
        <v>100</v>
      </c>
      <c r="C74" s="42"/>
      <c r="D74" s="43"/>
      <c r="E74" s="44"/>
      <c r="F74" s="437">
        <f t="shared" si="32"/>
        <v>0</v>
      </c>
      <c r="G74" s="438" t="e">
        <f t="shared" si="33"/>
        <v>#DIV/0!</v>
      </c>
      <c r="I74" s="41"/>
      <c r="J74" s="42"/>
      <c r="K74" s="43"/>
      <c r="L74" s="44"/>
      <c r="M74" s="437">
        <f t="shared" si="34"/>
        <v>0</v>
      </c>
      <c r="N74" s="438" t="e">
        <f t="shared" si="28"/>
        <v>#DIV/0!</v>
      </c>
      <c r="O74" s="36"/>
      <c r="P74" s="41"/>
      <c r="Q74" s="42"/>
      <c r="R74" s="43"/>
      <c r="S74" s="44"/>
      <c r="T74" s="437">
        <f t="shared" si="35"/>
        <v>0</v>
      </c>
      <c r="U74" s="438" t="e">
        <f t="shared" si="29"/>
        <v>#DIV/0!</v>
      </c>
      <c r="W74" s="41"/>
      <c r="X74" s="42"/>
      <c r="Y74" s="43"/>
      <c r="Z74" s="44"/>
      <c r="AA74" s="437">
        <f t="shared" si="36"/>
        <v>0</v>
      </c>
      <c r="AB74" s="438" t="e">
        <f t="shared" si="30"/>
        <v>#DIV/0!</v>
      </c>
      <c r="AD74" s="41"/>
      <c r="AE74" s="42"/>
      <c r="AF74" s="43"/>
      <c r="AG74" s="44"/>
      <c r="AH74" s="437">
        <f t="shared" si="37"/>
        <v>0</v>
      </c>
      <c r="AI74" s="438" t="e">
        <f t="shared" si="31"/>
        <v>#DIV/0!</v>
      </c>
      <c r="AK74" s="41"/>
      <c r="AL74" s="42"/>
      <c r="AM74" s="43"/>
      <c r="AN74" s="44"/>
      <c r="AO74" s="437">
        <f t="shared" si="38"/>
        <v>0</v>
      </c>
      <c r="AP74" s="438" t="e">
        <f t="shared" si="39"/>
        <v>#DIV/0!</v>
      </c>
    </row>
    <row r="75" spans="2:42" outlineLevel="1" x14ac:dyDescent="0.25">
      <c r="B75" s="41" t="s">
        <v>100</v>
      </c>
      <c r="C75" s="42"/>
      <c r="D75" s="43"/>
      <c r="E75" s="44"/>
      <c r="F75" s="437">
        <f t="shared" si="32"/>
        <v>0</v>
      </c>
      <c r="G75" s="438" t="e">
        <f t="shared" si="33"/>
        <v>#DIV/0!</v>
      </c>
      <c r="I75" s="41"/>
      <c r="J75" s="42"/>
      <c r="K75" s="43"/>
      <c r="L75" s="44"/>
      <c r="M75" s="437">
        <f t="shared" si="34"/>
        <v>0</v>
      </c>
      <c r="N75" s="438" t="e">
        <f t="shared" si="28"/>
        <v>#DIV/0!</v>
      </c>
      <c r="O75" s="36"/>
      <c r="P75" s="41"/>
      <c r="Q75" s="42"/>
      <c r="R75" s="43"/>
      <c r="S75" s="44"/>
      <c r="T75" s="437">
        <f t="shared" si="35"/>
        <v>0</v>
      </c>
      <c r="U75" s="438" t="e">
        <f t="shared" si="29"/>
        <v>#DIV/0!</v>
      </c>
      <c r="W75" s="41"/>
      <c r="X75" s="42"/>
      <c r="Y75" s="43"/>
      <c r="Z75" s="44"/>
      <c r="AA75" s="437">
        <f t="shared" si="36"/>
        <v>0</v>
      </c>
      <c r="AB75" s="438" t="e">
        <f t="shared" si="30"/>
        <v>#DIV/0!</v>
      </c>
      <c r="AD75" s="41"/>
      <c r="AE75" s="42"/>
      <c r="AF75" s="43"/>
      <c r="AG75" s="44"/>
      <c r="AH75" s="437">
        <f t="shared" si="37"/>
        <v>0</v>
      </c>
      <c r="AI75" s="438" t="e">
        <f t="shared" si="31"/>
        <v>#DIV/0!</v>
      </c>
      <c r="AK75" s="41"/>
      <c r="AL75" s="42"/>
      <c r="AM75" s="43"/>
      <c r="AN75" s="44"/>
      <c r="AO75" s="437">
        <f t="shared" si="38"/>
        <v>0</v>
      </c>
      <c r="AP75" s="438" t="e">
        <f t="shared" si="39"/>
        <v>#DIV/0!</v>
      </c>
    </row>
    <row r="76" spans="2:42" outlineLevel="1" x14ac:dyDescent="0.25">
      <c r="B76" s="41" t="s">
        <v>100</v>
      </c>
      <c r="C76" s="42"/>
      <c r="D76" s="43"/>
      <c r="E76" s="44"/>
      <c r="F76" s="437">
        <f t="shared" si="32"/>
        <v>0</v>
      </c>
      <c r="G76" s="438" t="e">
        <f t="shared" si="33"/>
        <v>#DIV/0!</v>
      </c>
      <c r="I76" s="41"/>
      <c r="J76" s="42"/>
      <c r="K76" s="43"/>
      <c r="L76" s="44"/>
      <c r="M76" s="437">
        <f t="shared" si="34"/>
        <v>0</v>
      </c>
      <c r="N76" s="438" t="e">
        <f t="shared" si="28"/>
        <v>#DIV/0!</v>
      </c>
      <c r="O76" s="36"/>
      <c r="P76" s="41"/>
      <c r="Q76" s="42"/>
      <c r="R76" s="43"/>
      <c r="S76" s="44"/>
      <c r="T76" s="437">
        <f t="shared" si="35"/>
        <v>0</v>
      </c>
      <c r="U76" s="438" t="e">
        <f t="shared" si="29"/>
        <v>#DIV/0!</v>
      </c>
      <c r="W76" s="41"/>
      <c r="X76" s="42"/>
      <c r="Y76" s="43"/>
      <c r="Z76" s="44"/>
      <c r="AA76" s="437">
        <f t="shared" si="36"/>
        <v>0</v>
      </c>
      <c r="AB76" s="438" t="e">
        <f t="shared" si="30"/>
        <v>#DIV/0!</v>
      </c>
      <c r="AD76" s="41"/>
      <c r="AE76" s="42"/>
      <c r="AF76" s="43"/>
      <c r="AG76" s="44"/>
      <c r="AH76" s="437">
        <f t="shared" si="37"/>
        <v>0</v>
      </c>
      <c r="AI76" s="438" t="e">
        <f t="shared" si="31"/>
        <v>#DIV/0!</v>
      </c>
      <c r="AK76" s="41"/>
      <c r="AL76" s="42"/>
      <c r="AM76" s="43"/>
      <c r="AN76" s="44"/>
      <c r="AO76" s="437">
        <f t="shared" si="38"/>
        <v>0</v>
      </c>
      <c r="AP76" s="438" t="e">
        <f t="shared" si="39"/>
        <v>#DIV/0!</v>
      </c>
    </row>
    <row r="77" spans="2:42" outlineLevel="1" x14ac:dyDescent="0.25">
      <c r="B77" s="41" t="s">
        <v>100</v>
      </c>
      <c r="C77" s="42"/>
      <c r="D77" s="43"/>
      <c r="E77" s="44"/>
      <c r="F77" s="437">
        <f t="shared" si="32"/>
        <v>0</v>
      </c>
      <c r="G77" s="438" t="e">
        <f t="shared" si="33"/>
        <v>#DIV/0!</v>
      </c>
      <c r="I77" s="41"/>
      <c r="J77" s="42"/>
      <c r="K77" s="43"/>
      <c r="L77" s="44"/>
      <c r="M77" s="437">
        <f t="shared" si="34"/>
        <v>0</v>
      </c>
      <c r="N77" s="438" t="e">
        <f t="shared" si="28"/>
        <v>#DIV/0!</v>
      </c>
      <c r="O77" s="36"/>
      <c r="P77" s="41"/>
      <c r="Q77" s="42"/>
      <c r="R77" s="43"/>
      <c r="S77" s="44"/>
      <c r="T77" s="437">
        <f t="shared" si="35"/>
        <v>0</v>
      </c>
      <c r="U77" s="438" t="e">
        <f t="shared" si="29"/>
        <v>#DIV/0!</v>
      </c>
      <c r="W77" s="41"/>
      <c r="X77" s="42"/>
      <c r="Y77" s="43"/>
      <c r="Z77" s="44"/>
      <c r="AA77" s="437">
        <f t="shared" si="36"/>
        <v>0</v>
      </c>
      <c r="AB77" s="438" t="e">
        <f t="shared" si="30"/>
        <v>#DIV/0!</v>
      </c>
      <c r="AD77" s="41"/>
      <c r="AE77" s="42"/>
      <c r="AF77" s="43"/>
      <c r="AG77" s="44"/>
      <c r="AH77" s="437">
        <f t="shared" si="37"/>
        <v>0</v>
      </c>
      <c r="AI77" s="438" t="e">
        <f t="shared" si="31"/>
        <v>#DIV/0!</v>
      </c>
      <c r="AK77" s="41"/>
      <c r="AL77" s="42"/>
      <c r="AM77" s="43"/>
      <c r="AN77" s="44"/>
      <c r="AO77" s="437">
        <f t="shared" si="38"/>
        <v>0</v>
      </c>
      <c r="AP77" s="438" t="e">
        <f t="shared" si="39"/>
        <v>#DIV/0!</v>
      </c>
    </row>
    <row r="78" spans="2:42" outlineLevel="1" x14ac:dyDescent="0.25">
      <c r="B78" s="41" t="s">
        <v>100</v>
      </c>
      <c r="C78" s="42"/>
      <c r="D78" s="43"/>
      <c r="E78" s="44"/>
      <c r="F78" s="437">
        <f t="shared" si="32"/>
        <v>0</v>
      </c>
      <c r="G78" s="438" t="e">
        <f t="shared" si="33"/>
        <v>#DIV/0!</v>
      </c>
      <c r="I78" s="41"/>
      <c r="J78" s="42"/>
      <c r="K78" s="43"/>
      <c r="L78" s="44"/>
      <c r="M78" s="437">
        <f t="shared" si="34"/>
        <v>0</v>
      </c>
      <c r="N78" s="438" t="e">
        <f t="shared" si="28"/>
        <v>#DIV/0!</v>
      </c>
      <c r="O78" s="36"/>
      <c r="P78" s="41"/>
      <c r="Q78" s="42"/>
      <c r="R78" s="43"/>
      <c r="S78" s="44"/>
      <c r="T78" s="437">
        <f t="shared" si="35"/>
        <v>0</v>
      </c>
      <c r="U78" s="438" t="e">
        <f t="shared" si="29"/>
        <v>#DIV/0!</v>
      </c>
      <c r="W78" s="41"/>
      <c r="X78" s="42"/>
      <c r="Y78" s="43"/>
      <c r="Z78" s="44"/>
      <c r="AA78" s="437">
        <f t="shared" si="36"/>
        <v>0</v>
      </c>
      <c r="AB78" s="438" t="e">
        <f t="shared" si="30"/>
        <v>#DIV/0!</v>
      </c>
      <c r="AD78" s="41"/>
      <c r="AE78" s="42"/>
      <c r="AF78" s="43"/>
      <c r="AG78" s="44"/>
      <c r="AH78" s="437">
        <f t="shared" si="37"/>
        <v>0</v>
      </c>
      <c r="AI78" s="438" t="e">
        <f t="shared" si="31"/>
        <v>#DIV/0!</v>
      </c>
      <c r="AK78" s="41"/>
      <c r="AL78" s="42"/>
      <c r="AM78" s="43"/>
      <c r="AN78" s="44"/>
      <c r="AO78" s="437">
        <f t="shared" si="38"/>
        <v>0</v>
      </c>
      <c r="AP78" s="438" t="e">
        <f t="shared" si="39"/>
        <v>#DIV/0!</v>
      </c>
    </row>
    <row r="79" spans="2:42" outlineLevel="1" x14ac:dyDescent="0.25">
      <c r="B79" s="41" t="s">
        <v>100</v>
      </c>
      <c r="C79" s="42"/>
      <c r="D79" s="43"/>
      <c r="E79" s="44"/>
      <c r="F79" s="437">
        <f t="shared" si="32"/>
        <v>0</v>
      </c>
      <c r="G79" s="438" t="e">
        <f t="shared" si="33"/>
        <v>#DIV/0!</v>
      </c>
      <c r="I79" s="41"/>
      <c r="J79" s="42"/>
      <c r="K79" s="43"/>
      <c r="L79" s="44"/>
      <c r="M79" s="437">
        <f t="shared" si="34"/>
        <v>0</v>
      </c>
      <c r="N79" s="438" t="e">
        <f t="shared" si="28"/>
        <v>#DIV/0!</v>
      </c>
      <c r="O79" s="36"/>
      <c r="P79" s="41"/>
      <c r="Q79" s="42"/>
      <c r="R79" s="43"/>
      <c r="S79" s="44"/>
      <c r="T79" s="437">
        <f t="shared" si="35"/>
        <v>0</v>
      </c>
      <c r="U79" s="438" t="e">
        <f t="shared" si="29"/>
        <v>#DIV/0!</v>
      </c>
      <c r="W79" s="41"/>
      <c r="X79" s="42"/>
      <c r="Y79" s="43"/>
      <c r="Z79" s="44"/>
      <c r="AA79" s="437">
        <f t="shared" si="36"/>
        <v>0</v>
      </c>
      <c r="AB79" s="438" t="e">
        <f t="shared" si="30"/>
        <v>#DIV/0!</v>
      </c>
      <c r="AD79" s="41"/>
      <c r="AE79" s="42"/>
      <c r="AF79" s="43"/>
      <c r="AG79" s="44"/>
      <c r="AH79" s="437">
        <f t="shared" si="37"/>
        <v>0</v>
      </c>
      <c r="AI79" s="438" t="e">
        <f t="shared" si="31"/>
        <v>#DIV/0!</v>
      </c>
      <c r="AK79" s="41"/>
      <c r="AL79" s="42"/>
      <c r="AM79" s="43"/>
      <c r="AN79" s="44"/>
      <c r="AO79" s="437">
        <f t="shared" si="38"/>
        <v>0</v>
      </c>
      <c r="AP79" s="438" t="e">
        <f t="shared" si="39"/>
        <v>#DIV/0!</v>
      </c>
    </row>
    <row r="80" spans="2:42" outlineLevel="1" x14ac:dyDescent="0.25">
      <c r="B80" s="41" t="s">
        <v>100</v>
      </c>
      <c r="C80" s="42"/>
      <c r="D80" s="43"/>
      <c r="E80" s="44"/>
      <c r="F80" s="437">
        <f t="shared" si="32"/>
        <v>0</v>
      </c>
      <c r="G80" s="438" t="e">
        <f t="shared" si="33"/>
        <v>#DIV/0!</v>
      </c>
      <c r="I80" s="41"/>
      <c r="J80" s="42"/>
      <c r="K80" s="43"/>
      <c r="L80" s="44"/>
      <c r="M80" s="437">
        <f t="shared" si="34"/>
        <v>0</v>
      </c>
      <c r="N80" s="438" t="e">
        <f t="shared" si="28"/>
        <v>#DIV/0!</v>
      </c>
      <c r="O80" s="36"/>
      <c r="P80" s="41"/>
      <c r="Q80" s="42"/>
      <c r="R80" s="43"/>
      <c r="S80" s="44"/>
      <c r="T80" s="437">
        <f t="shared" si="35"/>
        <v>0</v>
      </c>
      <c r="U80" s="438" t="e">
        <f t="shared" si="29"/>
        <v>#DIV/0!</v>
      </c>
      <c r="W80" s="41"/>
      <c r="X80" s="42"/>
      <c r="Y80" s="43"/>
      <c r="Z80" s="44"/>
      <c r="AA80" s="437">
        <f t="shared" si="36"/>
        <v>0</v>
      </c>
      <c r="AB80" s="438" t="e">
        <f t="shared" si="30"/>
        <v>#DIV/0!</v>
      </c>
      <c r="AD80" s="41"/>
      <c r="AE80" s="42"/>
      <c r="AF80" s="43"/>
      <c r="AG80" s="44"/>
      <c r="AH80" s="437">
        <f t="shared" si="37"/>
        <v>0</v>
      </c>
      <c r="AI80" s="438" t="e">
        <f t="shared" si="31"/>
        <v>#DIV/0!</v>
      </c>
      <c r="AK80" s="41"/>
      <c r="AL80" s="42"/>
      <c r="AM80" s="43"/>
      <c r="AN80" s="44"/>
      <c r="AO80" s="437">
        <f t="shared" si="38"/>
        <v>0</v>
      </c>
      <c r="AP80" s="438" t="e">
        <f t="shared" si="39"/>
        <v>#DIV/0!</v>
      </c>
    </row>
    <row r="81" spans="1:42" outlineLevel="1" x14ac:dyDescent="0.25">
      <c r="B81" s="41" t="s">
        <v>100</v>
      </c>
      <c r="C81" s="42"/>
      <c r="D81" s="43"/>
      <c r="E81" s="44"/>
      <c r="F81" s="437">
        <f t="shared" si="32"/>
        <v>0</v>
      </c>
      <c r="G81" s="438" t="e">
        <f t="shared" si="33"/>
        <v>#DIV/0!</v>
      </c>
      <c r="I81" s="41"/>
      <c r="J81" s="42"/>
      <c r="K81" s="43"/>
      <c r="L81" s="44"/>
      <c r="M81" s="437">
        <f t="shared" si="34"/>
        <v>0</v>
      </c>
      <c r="N81" s="438" t="e">
        <f t="shared" si="28"/>
        <v>#DIV/0!</v>
      </c>
      <c r="O81" s="40"/>
      <c r="P81" s="41"/>
      <c r="Q81" s="42"/>
      <c r="R81" s="43"/>
      <c r="S81" s="44"/>
      <c r="T81" s="437">
        <f t="shared" si="35"/>
        <v>0</v>
      </c>
      <c r="U81" s="438" t="e">
        <f t="shared" si="29"/>
        <v>#DIV/0!</v>
      </c>
      <c r="W81" s="41"/>
      <c r="X81" s="42"/>
      <c r="Y81" s="43"/>
      <c r="Z81" s="44"/>
      <c r="AA81" s="437">
        <f t="shared" si="36"/>
        <v>0</v>
      </c>
      <c r="AB81" s="438" t="e">
        <f t="shared" si="30"/>
        <v>#DIV/0!</v>
      </c>
      <c r="AD81" s="41"/>
      <c r="AE81" s="42"/>
      <c r="AF81" s="43"/>
      <c r="AG81" s="44"/>
      <c r="AH81" s="437">
        <f t="shared" si="37"/>
        <v>0</v>
      </c>
      <c r="AI81" s="438" t="e">
        <f t="shared" si="31"/>
        <v>#DIV/0!</v>
      </c>
      <c r="AK81" s="41"/>
      <c r="AL81" s="42"/>
      <c r="AM81" s="43"/>
      <c r="AN81" s="44"/>
      <c r="AO81" s="437">
        <f t="shared" si="38"/>
        <v>0</v>
      </c>
      <c r="AP81" s="438" t="e">
        <f t="shared" si="39"/>
        <v>#DIV/0!</v>
      </c>
    </row>
    <row r="82" spans="1:42" outlineLevel="1" x14ac:dyDescent="0.25">
      <c r="B82" s="41" t="s">
        <v>100</v>
      </c>
      <c r="C82" s="42"/>
      <c r="D82" s="43"/>
      <c r="E82" s="44"/>
      <c r="F82" s="437">
        <f t="shared" si="32"/>
        <v>0</v>
      </c>
      <c r="G82" s="438" t="e">
        <f t="shared" si="33"/>
        <v>#DIV/0!</v>
      </c>
      <c r="I82" s="41"/>
      <c r="J82" s="42"/>
      <c r="K82" s="43"/>
      <c r="L82" s="44"/>
      <c r="M82" s="437">
        <f t="shared" si="34"/>
        <v>0</v>
      </c>
      <c r="N82" s="438" t="e">
        <f t="shared" si="28"/>
        <v>#DIV/0!</v>
      </c>
      <c r="O82" s="40"/>
      <c r="P82" s="41"/>
      <c r="Q82" s="42"/>
      <c r="R82" s="43"/>
      <c r="S82" s="44"/>
      <c r="T82" s="437">
        <f t="shared" si="35"/>
        <v>0</v>
      </c>
      <c r="U82" s="438" t="e">
        <f t="shared" si="29"/>
        <v>#DIV/0!</v>
      </c>
      <c r="W82" s="41"/>
      <c r="X82" s="42"/>
      <c r="Y82" s="43"/>
      <c r="Z82" s="44"/>
      <c r="AA82" s="437">
        <f t="shared" si="36"/>
        <v>0</v>
      </c>
      <c r="AB82" s="438" t="e">
        <f t="shared" si="30"/>
        <v>#DIV/0!</v>
      </c>
      <c r="AD82" s="41"/>
      <c r="AE82" s="42"/>
      <c r="AF82" s="43"/>
      <c r="AG82" s="44"/>
      <c r="AH82" s="437">
        <f t="shared" si="37"/>
        <v>0</v>
      </c>
      <c r="AI82" s="438" t="e">
        <f t="shared" si="31"/>
        <v>#DIV/0!</v>
      </c>
      <c r="AK82" s="41"/>
      <c r="AL82" s="42"/>
      <c r="AM82" s="43"/>
      <c r="AN82" s="44"/>
      <c r="AO82" s="437">
        <f t="shared" si="38"/>
        <v>0</v>
      </c>
      <c r="AP82" s="438" t="e">
        <f t="shared" si="39"/>
        <v>#DIV/0!</v>
      </c>
    </row>
    <row r="83" spans="1:42" outlineLevel="1" x14ac:dyDescent="0.25">
      <c r="B83" s="41" t="s">
        <v>100</v>
      </c>
      <c r="C83" s="42"/>
      <c r="D83" s="43"/>
      <c r="E83" s="44"/>
      <c r="F83" s="437">
        <f t="shared" si="32"/>
        <v>0</v>
      </c>
      <c r="G83" s="438" t="e">
        <f t="shared" si="33"/>
        <v>#DIV/0!</v>
      </c>
      <c r="I83" s="41"/>
      <c r="J83" s="42"/>
      <c r="K83" s="43"/>
      <c r="L83" s="44"/>
      <c r="M83" s="437">
        <f t="shared" si="34"/>
        <v>0</v>
      </c>
      <c r="N83" s="438" t="e">
        <f t="shared" si="28"/>
        <v>#DIV/0!</v>
      </c>
      <c r="O83" s="40"/>
      <c r="P83" s="41"/>
      <c r="Q83" s="42"/>
      <c r="R83" s="43"/>
      <c r="S83" s="44"/>
      <c r="T83" s="437">
        <f t="shared" si="35"/>
        <v>0</v>
      </c>
      <c r="U83" s="438" t="e">
        <f t="shared" si="29"/>
        <v>#DIV/0!</v>
      </c>
      <c r="W83" s="41"/>
      <c r="X83" s="42"/>
      <c r="Y83" s="43"/>
      <c r="Z83" s="44"/>
      <c r="AA83" s="437">
        <f t="shared" si="36"/>
        <v>0</v>
      </c>
      <c r="AB83" s="438" t="e">
        <f t="shared" si="30"/>
        <v>#DIV/0!</v>
      </c>
      <c r="AD83" s="41"/>
      <c r="AE83" s="42"/>
      <c r="AF83" s="43"/>
      <c r="AG83" s="44"/>
      <c r="AH83" s="437">
        <f t="shared" si="37"/>
        <v>0</v>
      </c>
      <c r="AI83" s="438" t="e">
        <f t="shared" si="31"/>
        <v>#DIV/0!</v>
      </c>
      <c r="AK83" s="41"/>
      <c r="AL83" s="42"/>
      <c r="AM83" s="43"/>
      <c r="AN83" s="44"/>
      <c r="AO83" s="437">
        <f t="shared" si="38"/>
        <v>0</v>
      </c>
      <c r="AP83" s="438" t="e">
        <f t="shared" si="39"/>
        <v>#DIV/0!</v>
      </c>
    </row>
    <row r="84" spans="1:42" outlineLevel="1" x14ac:dyDescent="0.25">
      <c r="B84" s="41" t="s">
        <v>100</v>
      </c>
      <c r="C84" s="42"/>
      <c r="D84" s="43"/>
      <c r="E84" s="44"/>
      <c r="F84" s="437">
        <f t="shared" si="32"/>
        <v>0</v>
      </c>
      <c r="G84" s="438" t="e">
        <f t="shared" si="33"/>
        <v>#DIV/0!</v>
      </c>
      <c r="I84" s="41"/>
      <c r="J84" s="42"/>
      <c r="K84" s="43"/>
      <c r="L84" s="44"/>
      <c r="M84" s="437">
        <f t="shared" si="34"/>
        <v>0</v>
      </c>
      <c r="N84" s="438" t="e">
        <f t="shared" si="28"/>
        <v>#DIV/0!</v>
      </c>
      <c r="O84" s="40"/>
      <c r="P84" s="41"/>
      <c r="Q84" s="42"/>
      <c r="R84" s="43"/>
      <c r="S84" s="44"/>
      <c r="T84" s="437">
        <f t="shared" si="35"/>
        <v>0</v>
      </c>
      <c r="U84" s="438" t="e">
        <f t="shared" si="29"/>
        <v>#DIV/0!</v>
      </c>
      <c r="W84" s="41"/>
      <c r="X84" s="42"/>
      <c r="Y84" s="43"/>
      <c r="Z84" s="44"/>
      <c r="AA84" s="437">
        <f t="shared" si="36"/>
        <v>0</v>
      </c>
      <c r="AB84" s="438" t="e">
        <f t="shared" si="30"/>
        <v>#DIV/0!</v>
      </c>
      <c r="AD84" s="41"/>
      <c r="AE84" s="42"/>
      <c r="AF84" s="43"/>
      <c r="AG84" s="44"/>
      <c r="AH84" s="437">
        <f t="shared" si="37"/>
        <v>0</v>
      </c>
      <c r="AI84" s="438" t="e">
        <f t="shared" si="31"/>
        <v>#DIV/0!</v>
      </c>
      <c r="AK84" s="41"/>
      <c r="AL84" s="42"/>
      <c r="AM84" s="43"/>
      <c r="AN84" s="44"/>
      <c r="AO84" s="437">
        <f t="shared" si="38"/>
        <v>0</v>
      </c>
      <c r="AP84" s="438" t="e">
        <f t="shared" si="39"/>
        <v>#DIV/0!</v>
      </c>
    </row>
    <row r="85" spans="1:42" s="45" customFormat="1" x14ac:dyDescent="0.25">
      <c r="B85" s="46" t="s">
        <v>112</v>
      </c>
      <c r="C85" s="47">
        <f>SUBTOTAL(9,C61:C84)</f>
        <v>0</v>
      </c>
      <c r="D85" s="48">
        <f>SUMPRODUCT(D61:D84,C61:C84)</f>
        <v>0</v>
      </c>
      <c r="E85" s="49">
        <f>SUMPRODUCT(E61:E84,C61:C84)</f>
        <v>0</v>
      </c>
      <c r="F85" s="50">
        <f>IFERROR(E85/D85,0)</f>
        <v>0</v>
      </c>
      <c r="G85" s="51"/>
      <c r="I85" s="46" t="s">
        <v>112</v>
      </c>
      <c r="J85" s="47">
        <f>SUBTOTAL(9,J61:J84)</f>
        <v>0</v>
      </c>
      <c r="K85" s="48">
        <f>SUMPRODUCT(K61:K84,J61:J84)</f>
        <v>0</v>
      </c>
      <c r="L85" s="49">
        <f>SUMPRODUCT(L61:L84,J61:J84)</f>
        <v>0</v>
      </c>
      <c r="M85" s="50">
        <f>IFERROR(L85/K85,0)</f>
        <v>0</v>
      </c>
      <c r="N85" s="51"/>
      <c r="O85" s="52"/>
      <c r="P85" s="46" t="s">
        <v>112</v>
      </c>
      <c r="Q85" s="47">
        <f>SUBTOTAL(9,Q61:Q84)</f>
        <v>0</v>
      </c>
      <c r="R85" s="48">
        <f>SUMPRODUCT(R61:R84,Q61:Q84)</f>
        <v>0</v>
      </c>
      <c r="S85" s="49">
        <f>SUMPRODUCT(S61:S84,Q61:Q84)</f>
        <v>0</v>
      </c>
      <c r="T85" s="50">
        <f>IFERROR(S85/R85,0)</f>
        <v>0</v>
      </c>
      <c r="U85" s="51"/>
      <c r="W85" s="46" t="s">
        <v>112</v>
      </c>
      <c r="X85" s="47">
        <f>SUBTOTAL(9,X61:X84)</f>
        <v>0</v>
      </c>
      <c r="Y85" s="48">
        <f>SUMPRODUCT(Y61:Y84,X61:X84)</f>
        <v>0</v>
      </c>
      <c r="Z85" s="49">
        <f>SUMPRODUCT(Z61:Z84,X61:X84)</f>
        <v>0</v>
      </c>
      <c r="AA85" s="50">
        <f>IFERROR(Z85/Y85,0)</f>
        <v>0</v>
      </c>
      <c r="AB85" s="51"/>
      <c r="AD85" s="46" t="s">
        <v>112</v>
      </c>
      <c r="AE85" s="47">
        <f>SUBTOTAL(9,AE61:AE84)</f>
        <v>0</v>
      </c>
      <c r="AF85" s="48">
        <f>SUMPRODUCT(AF61:AF84,AE61:AE84)</f>
        <v>0</v>
      </c>
      <c r="AG85" s="49">
        <f>SUMPRODUCT(AG61:AG84,AE61:AE84)</f>
        <v>0</v>
      </c>
      <c r="AH85" s="50">
        <f>IFERROR(AG85/AF85,0)</f>
        <v>0</v>
      </c>
      <c r="AI85" s="51"/>
      <c r="AK85" s="46" t="s">
        <v>112</v>
      </c>
      <c r="AL85" s="47">
        <f>SUBTOTAL(9,AL61:AL84)</f>
        <v>0</v>
      </c>
      <c r="AM85" s="48">
        <f>SUMPRODUCT(AM61:AM84,AL61:AL84)</f>
        <v>0</v>
      </c>
      <c r="AN85" s="49">
        <f>SUMPRODUCT(AN61:AN84,AL61:AL84)</f>
        <v>0</v>
      </c>
      <c r="AO85" s="50">
        <f>IFERROR(AN85/AM85,0)</f>
        <v>0</v>
      </c>
      <c r="AP85" s="51"/>
    </row>
    <row r="86" spans="1:42" s="45" customFormat="1" x14ac:dyDescent="0.25">
      <c r="A86" s="64"/>
      <c r="B86" s="53" t="s">
        <v>278</v>
      </c>
      <c r="C86" s="54"/>
      <c r="D86" s="48">
        <f>IFERROR(D85/C85,0)</f>
        <v>0</v>
      </c>
      <c r="E86" s="49">
        <f>IFERROR(E85/C85,0)</f>
        <v>0</v>
      </c>
      <c r="F86" s="50">
        <f>IFERROR(E86/D86,0)</f>
        <v>0</v>
      </c>
      <c r="G86" s="51"/>
      <c r="I86" s="53" t="s">
        <v>278</v>
      </c>
      <c r="J86" s="54"/>
      <c r="K86" s="48">
        <f>IFERROR(K85/J85,0)</f>
        <v>0</v>
      </c>
      <c r="L86" s="49">
        <f>IFERROR(L85/J85,0)</f>
        <v>0</v>
      </c>
      <c r="M86" s="50">
        <f>IFERROR(L86/K86,0)</f>
        <v>0</v>
      </c>
      <c r="N86" s="51"/>
      <c r="O86" s="52"/>
      <c r="P86" s="53" t="s">
        <v>278</v>
      </c>
      <c r="Q86" s="54"/>
      <c r="R86" s="48">
        <f>IFERROR(R85/Q85,0)</f>
        <v>0</v>
      </c>
      <c r="S86" s="49">
        <f>IFERROR(S85/Q85,0)</f>
        <v>0</v>
      </c>
      <c r="T86" s="50">
        <f>IFERROR(S86/R86,0)</f>
        <v>0</v>
      </c>
      <c r="U86" s="51"/>
      <c r="W86" s="53" t="s">
        <v>278</v>
      </c>
      <c r="X86" s="54"/>
      <c r="Y86" s="48">
        <f>IFERROR(Y85/X85,0)</f>
        <v>0</v>
      </c>
      <c r="Z86" s="49">
        <f>IFERROR(Z85/X85,0)</f>
        <v>0</v>
      </c>
      <c r="AA86" s="50">
        <f>IFERROR(Z86/Y86,0)</f>
        <v>0</v>
      </c>
      <c r="AB86" s="51"/>
      <c r="AD86" s="53" t="s">
        <v>278</v>
      </c>
      <c r="AE86" s="54"/>
      <c r="AF86" s="48">
        <f>IFERROR(AF85/AE85,0)</f>
        <v>0</v>
      </c>
      <c r="AG86" s="49">
        <f>IFERROR(AG85/AE85,0)</f>
        <v>0</v>
      </c>
      <c r="AH86" s="50">
        <f>IFERROR(AG86/AF86,0)</f>
        <v>0</v>
      </c>
      <c r="AI86" s="51"/>
      <c r="AK86" s="53" t="s">
        <v>278</v>
      </c>
      <c r="AL86" s="54"/>
      <c r="AM86" s="48">
        <f>IFERROR(AM85/AL85,0)</f>
        <v>0</v>
      </c>
      <c r="AN86" s="49">
        <f>IFERROR(AN85/AL85,0)</f>
        <v>0</v>
      </c>
      <c r="AO86" s="50">
        <f>IFERROR(AN86/AM86,0)</f>
        <v>0</v>
      </c>
      <c r="AP86" s="51"/>
    </row>
    <row r="87" spans="1:42" x14ac:dyDescent="0.25">
      <c r="A87" s="49">
        <f>+A86-E86</f>
        <v>0</v>
      </c>
      <c r="B87" s="35" t="s">
        <v>283</v>
      </c>
      <c r="C87" s="60"/>
      <c r="D87" s="61"/>
      <c r="E87" s="62"/>
      <c r="F87" s="439"/>
      <c r="G87" s="63"/>
      <c r="I87" s="35" t="s">
        <v>283</v>
      </c>
      <c r="J87" s="60"/>
      <c r="K87" s="61"/>
      <c r="L87" s="62"/>
      <c r="M87" s="439"/>
      <c r="N87" s="63"/>
      <c r="O87" s="40"/>
      <c r="P87" s="35" t="s">
        <v>283</v>
      </c>
      <c r="Q87" s="60"/>
      <c r="R87" s="61"/>
      <c r="S87" s="62"/>
      <c r="T87" s="439"/>
      <c r="U87" s="63"/>
      <c r="W87" s="35" t="s">
        <v>283</v>
      </c>
      <c r="X87" s="60"/>
      <c r="Y87" s="61"/>
      <c r="Z87" s="62"/>
      <c r="AA87" s="439"/>
      <c r="AB87" s="63"/>
      <c r="AD87" s="35" t="s">
        <v>283</v>
      </c>
      <c r="AE87" s="60"/>
      <c r="AF87" s="61"/>
      <c r="AG87" s="62"/>
      <c r="AH87" s="439"/>
      <c r="AI87" s="63"/>
      <c r="AK87" s="35" t="s">
        <v>283</v>
      </c>
      <c r="AL87" s="60"/>
      <c r="AM87" s="61"/>
      <c r="AN87" s="62"/>
      <c r="AO87" s="439"/>
      <c r="AP87" s="63"/>
    </row>
    <row r="88" spans="1:42" x14ac:dyDescent="0.25">
      <c r="B88" s="37" t="s">
        <v>124</v>
      </c>
      <c r="C88" s="38" t="s">
        <v>2</v>
      </c>
      <c r="D88" s="38" t="s">
        <v>107</v>
      </c>
      <c r="E88" s="38" t="s">
        <v>274</v>
      </c>
      <c r="F88" s="57" t="s">
        <v>275</v>
      </c>
      <c r="G88" s="58" t="s">
        <v>276</v>
      </c>
      <c r="I88" s="37" t="s">
        <v>124</v>
      </c>
      <c r="J88" s="38" t="s">
        <v>2</v>
      </c>
      <c r="K88" s="38" t="s">
        <v>107</v>
      </c>
      <c r="L88" s="38" t="s">
        <v>274</v>
      </c>
      <c r="M88" s="57" t="s">
        <v>275</v>
      </c>
      <c r="N88" s="58" t="s">
        <v>276</v>
      </c>
      <c r="O88" s="40"/>
      <c r="P88" s="37" t="s">
        <v>124</v>
      </c>
      <c r="Q88" s="38" t="s">
        <v>2</v>
      </c>
      <c r="R88" s="38" t="s">
        <v>107</v>
      </c>
      <c r="S88" s="38" t="s">
        <v>274</v>
      </c>
      <c r="T88" s="57" t="s">
        <v>275</v>
      </c>
      <c r="U88" s="58" t="s">
        <v>276</v>
      </c>
      <c r="W88" s="37" t="s">
        <v>124</v>
      </c>
      <c r="X88" s="38" t="s">
        <v>2</v>
      </c>
      <c r="Y88" s="38" t="s">
        <v>107</v>
      </c>
      <c r="Z88" s="38" t="s">
        <v>274</v>
      </c>
      <c r="AA88" s="57" t="s">
        <v>275</v>
      </c>
      <c r="AB88" s="58" t="s">
        <v>276</v>
      </c>
      <c r="AD88" s="37" t="s">
        <v>124</v>
      </c>
      <c r="AE88" s="38" t="s">
        <v>2</v>
      </c>
      <c r="AF88" s="38" t="s">
        <v>107</v>
      </c>
      <c r="AG88" s="38" t="s">
        <v>274</v>
      </c>
      <c r="AH88" s="57" t="s">
        <v>275</v>
      </c>
      <c r="AI88" s="58" t="s">
        <v>276</v>
      </c>
      <c r="AK88" s="37" t="s">
        <v>124</v>
      </c>
      <c r="AL88" s="38" t="s">
        <v>2</v>
      </c>
      <c r="AM88" s="38" t="s">
        <v>107</v>
      </c>
      <c r="AN88" s="38" t="s">
        <v>274</v>
      </c>
      <c r="AO88" s="57" t="s">
        <v>275</v>
      </c>
      <c r="AP88" s="58" t="s">
        <v>276</v>
      </c>
    </row>
    <row r="89" spans="1:42" x14ac:dyDescent="0.25">
      <c r="B89" s="41" t="s">
        <v>284</v>
      </c>
      <c r="C89" s="42"/>
      <c r="D89" s="43"/>
      <c r="E89" s="44"/>
      <c r="F89" s="437">
        <f t="shared" ref="F89:F100" si="40">IFERROR(E89/D89,0)</f>
        <v>0</v>
      </c>
      <c r="G89" s="438" t="e">
        <f>C89/$C$2</f>
        <v>#DIV/0!</v>
      </c>
      <c r="I89" s="41"/>
      <c r="J89" s="42"/>
      <c r="K89" s="43"/>
      <c r="L89" s="44"/>
      <c r="M89" s="437">
        <f>IFERROR(L89/K89,0)</f>
        <v>0</v>
      </c>
      <c r="N89" s="438" t="e">
        <f t="shared" ref="N89:N100" si="41">J89/J$2</f>
        <v>#DIV/0!</v>
      </c>
      <c r="O89" s="40"/>
      <c r="P89" s="41"/>
      <c r="Q89" s="42"/>
      <c r="R89" s="43"/>
      <c r="S89" s="44"/>
      <c r="T89" s="437">
        <f>IFERROR(S89/R89,0)</f>
        <v>0</v>
      </c>
      <c r="U89" s="438" t="e">
        <f t="shared" ref="U89:U100" si="42">Q89/Q$2</f>
        <v>#DIV/0!</v>
      </c>
      <c r="W89" s="41"/>
      <c r="X89" s="42"/>
      <c r="Y89" s="43"/>
      <c r="Z89" s="44"/>
      <c r="AA89" s="437">
        <f>IFERROR(Z89/Y89,0)</f>
        <v>0</v>
      </c>
      <c r="AB89" s="438" t="e">
        <f t="shared" ref="AB89:AB100" si="43">X89/X$2</f>
        <v>#DIV/0!</v>
      </c>
      <c r="AD89" s="41"/>
      <c r="AE89" s="42"/>
      <c r="AF89" s="43"/>
      <c r="AG89" s="44"/>
      <c r="AH89" s="437">
        <f>IFERROR(AG89/AF89,0)</f>
        <v>0</v>
      </c>
      <c r="AI89" s="438" t="e">
        <f t="shared" ref="AI89:AI100" si="44">AE89/AE$2</f>
        <v>#DIV/0!</v>
      </c>
      <c r="AK89" s="41"/>
      <c r="AL89" s="42"/>
      <c r="AM89" s="43"/>
      <c r="AN89" s="44"/>
      <c r="AO89" s="437">
        <f>IFERROR(AN89/AM89,0)</f>
        <v>0</v>
      </c>
      <c r="AP89" s="438" t="e">
        <f>AL89/AL$2</f>
        <v>#DIV/0!</v>
      </c>
    </row>
    <row r="90" spans="1:42" x14ac:dyDescent="0.25">
      <c r="B90" s="41" t="s">
        <v>284</v>
      </c>
      <c r="C90" s="42"/>
      <c r="D90" s="43"/>
      <c r="E90" s="44"/>
      <c r="F90" s="437">
        <f t="shared" si="40"/>
        <v>0</v>
      </c>
      <c r="G90" s="438" t="e">
        <f t="shared" ref="G90:G100" si="45">C90/$C$2</f>
        <v>#DIV/0!</v>
      </c>
      <c r="I90" s="41"/>
      <c r="J90" s="42"/>
      <c r="K90" s="43"/>
      <c r="L90" s="44"/>
      <c r="M90" s="437">
        <f t="shared" ref="M90:M100" si="46">IFERROR(L90/K90,0)</f>
        <v>0</v>
      </c>
      <c r="N90" s="438" t="e">
        <f t="shared" si="41"/>
        <v>#DIV/0!</v>
      </c>
      <c r="O90" s="40"/>
      <c r="P90" s="41"/>
      <c r="Q90" s="42"/>
      <c r="R90" s="43"/>
      <c r="S90" s="44"/>
      <c r="T90" s="437">
        <f t="shared" ref="T90:T100" si="47">IFERROR(S90/R90,0)</f>
        <v>0</v>
      </c>
      <c r="U90" s="438" t="e">
        <f t="shared" si="42"/>
        <v>#DIV/0!</v>
      </c>
      <c r="W90" s="41"/>
      <c r="X90" s="42"/>
      <c r="Y90" s="43"/>
      <c r="Z90" s="44"/>
      <c r="AA90" s="437">
        <f t="shared" ref="AA90:AA100" si="48">IFERROR(Z90/Y90,0)</f>
        <v>0</v>
      </c>
      <c r="AB90" s="438" t="e">
        <f t="shared" si="43"/>
        <v>#DIV/0!</v>
      </c>
      <c r="AD90" s="41"/>
      <c r="AE90" s="42"/>
      <c r="AF90" s="43"/>
      <c r="AG90" s="44"/>
      <c r="AH90" s="437">
        <f t="shared" ref="AH90:AH100" si="49">IFERROR(AG90/AF90,0)</f>
        <v>0</v>
      </c>
      <c r="AI90" s="438" t="e">
        <f t="shared" si="44"/>
        <v>#DIV/0!</v>
      </c>
      <c r="AK90" s="41"/>
      <c r="AL90" s="42"/>
      <c r="AM90" s="43"/>
      <c r="AN90" s="44"/>
      <c r="AO90" s="437">
        <f t="shared" ref="AO90:AO100" si="50">IFERROR(AN90/AM90,0)</f>
        <v>0</v>
      </c>
      <c r="AP90" s="438" t="e">
        <f t="shared" ref="AP90:AP100" si="51">AL90/AL$2</f>
        <v>#DIV/0!</v>
      </c>
    </row>
    <row r="91" spans="1:42" x14ac:dyDescent="0.25">
      <c r="B91" s="41" t="s">
        <v>284</v>
      </c>
      <c r="C91" s="42"/>
      <c r="D91" s="43"/>
      <c r="E91" s="44"/>
      <c r="F91" s="437">
        <f t="shared" si="40"/>
        <v>0</v>
      </c>
      <c r="G91" s="438" t="e">
        <f t="shared" si="45"/>
        <v>#DIV/0!</v>
      </c>
      <c r="I91" s="41"/>
      <c r="J91" s="42"/>
      <c r="K91" s="43"/>
      <c r="L91" s="44"/>
      <c r="M91" s="437">
        <f t="shared" si="46"/>
        <v>0</v>
      </c>
      <c r="N91" s="438" t="e">
        <f t="shared" si="41"/>
        <v>#DIV/0!</v>
      </c>
      <c r="O91" s="40"/>
      <c r="P91" s="41"/>
      <c r="Q91" s="42"/>
      <c r="R91" s="43"/>
      <c r="S91" s="44"/>
      <c r="T91" s="437">
        <f t="shared" si="47"/>
        <v>0</v>
      </c>
      <c r="U91" s="438" t="e">
        <f t="shared" si="42"/>
        <v>#DIV/0!</v>
      </c>
      <c r="W91" s="41"/>
      <c r="X91" s="42"/>
      <c r="Y91" s="43"/>
      <c r="Z91" s="44"/>
      <c r="AA91" s="437">
        <f t="shared" si="48"/>
        <v>0</v>
      </c>
      <c r="AB91" s="438" t="e">
        <f t="shared" si="43"/>
        <v>#DIV/0!</v>
      </c>
      <c r="AD91" s="41"/>
      <c r="AE91" s="42"/>
      <c r="AF91" s="43"/>
      <c r="AG91" s="44"/>
      <c r="AH91" s="437">
        <f t="shared" si="49"/>
        <v>0</v>
      </c>
      <c r="AI91" s="438" t="e">
        <f t="shared" si="44"/>
        <v>#DIV/0!</v>
      </c>
      <c r="AK91" s="41"/>
      <c r="AL91" s="42"/>
      <c r="AM91" s="43"/>
      <c r="AN91" s="44"/>
      <c r="AO91" s="437">
        <f t="shared" si="50"/>
        <v>0</v>
      </c>
      <c r="AP91" s="438" t="e">
        <f t="shared" si="51"/>
        <v>#DIV/0!</v>
      </c>
    </row>
    <row r="92" spans="1:42" x14ac:dyDescent="0.25">
      <c r="B92" s="41" t="s">
        <v>284</v>
      </c>
      <c r="C92" s="42"/>
      <c r="D92" s="43"/>
      <c r="E92" s="44"/>
      <c r="F92" s="437">
        <f t="shared" si="40"/>
        <v>0</v>
      </c>
      <c r="G92" s="438" t="e">
        <f t="shared" si="45"/>
        <v>#DIV/0!</v>
      </c>
      <c r="I92" s="41"/>
      <c r="J92" s="42"/>
      <c r="K92" s="43"/>
      <c r="L92" s="44"/>
      <c r="M92" s="437">
        <f t="shared" si="46"/>
        <v>0</v>
      </c>
      <c r="N92" s="438" t="e">
        <f t="shared" si="41"/>
        <v>#DIV/0!</v>
      </c>
      <c r="O92" s="40"/>
      <c r="P92" s="41"/>
      <c r="Q92" s="42"/>
      <c r="R92" s="43"/>
      <c r="S92" s="44"/>
      <c r="T92" s="437">
        <f t="shared" si="47"/>
        <v>0</v>
      </c>
      <c r="U92" s="438" t="e">
        <f t="shared" si="42"/>
        <v>#DIV/0!</v>
      </c>
      <c r="W92" s="41"/>
      <c r="X92" s="42"/>
      <c r="Y92" s="43"/>
      <c r="Z92" s="44"/>
      <c r="AA92" s="437">
        <f t="shared" si="48"/>
        <v>0</v>
      </c>
      <c r="AB92" s="438" t="e">
        <f t="shared" si="43"/>
        <v>#DIV/0!</v>
      </c>
      <c r="AD92" s="41"/>
      <c r="AE92" s="42"/>
      <c r="AF92" s="43"/>
      <c r="AG92" s="44"/>
      <c r="AH92" s="437">
        <f t="shared" si="49"/>
        <v>0</v>
      </c>
      <c r="AI92" s="438" t="e">
        <f t="shared" si="44"/>
        <v>#DIV/0!</v>
      </c>
      <c r="AK92" s="41"/>
      <c r="AL92" s="42"/>
      <c r="AM92" s="43"/>
      <c r="AN92" s="44"/>
      <c r="AO92" s="437">
        <f t="shared" si="50"/>
        <v>0</v>
      </c>
      <c r="AP92" s="438" t="e">
        <f t="shared" si="51"/>
        <v>#DIV/0!</v>
      </c>
    </row>
    <row r="93" spans="1:42" x14ac:dyDescent="0.25">
      <c r="B93" s="41" t="s">
        <v>284</v>
      </c>
      <c r="C93" s="42"/>
      <c r="D93" s="43"/>
      <c r="E93" s="44"/>
      <c r="F93" s="437">
        <f t="shared" si="40"/>
        <v>0</v>
      </c>
      <c r="G93" s="438" t="e">
        <f t="shared" si="45"/>
        <v>#DIV/0!</v>
      </c>
      <c r="I93" s="41"/>
      <c r="J93" s="42"/>
      <c r="K93" s="43"/>
      <c r="L93" s="44"/>
      <c r="M93" s="437">
        <f t="shared" si="46"/>
        <v>0</v>
      </c>
      <c r="N93" s="438" t="e">
        <f t="shared" si="41"/>
        <v>#DIV/0!</v>
      </c>
      <c r="O93" s="40"/>
      <c r="P93" s="41"/>
      <c r="Q93" s="42"/>
      <c r="R93" s="43"/>
      <c r="S93" s="44"/>
      <c r="T93" s="437">
        <f t="shared" si="47"/>
        <v>0</v>
      </c>
      <c r="U93" s="438" t="e">
        <f t="shared" si="42"/>
        <v>#DIV/0!</v>
      </c>
      <c r="W93" s="41"/>
      <c r="X93" s="42"/>
      <c r="Y93" s="43"/>
      <c r="Z93" s="44"/>
      <c r="AA93" s="437">
        <f t="shared" si="48"/>
        <v>0</v>
      </c>
      <c r="AB93" s="438" t="e">
        <f t="shared" si="43"/>
        <v>#DIV/0!</v>
      </c>
      <c r="AD93" s="41"/>
      <c r="AE93" s="42"/>
      <c r="AF93" s="43"/>
      <c r="AG93" s="44"/>
      <c r="AH93" s="437">
        <f t="shared" si="49"/>
        <v>0</v>
      </c>
      <c r="AI93" s="438" t="e">
        <f t="shared" si="44"/>
        <v>#DIV/0!</v>
      </c>
      <c r="AK93" s="41"/>
      <c r="AL93" s="42"/>
      <c r="AM93" s="43"/>
      <c r="AN93" s="44"/>
      <c r="AO93" s="437">
        <f t="shared" si="50"/>
        <v>0</v>
      </c>
      <c r="AP93" s="438" t="e">
        <f t="shared" si="51"/>
        <v>#DIV/0!</v>
      </c>
    </row>
    <row r="94" spans="1:42" x14ac:dyDescent="0.25">
      <c r="B94" s="41" t="s">
        <v>284</v>
      </c>
      <c r="C94" s="42"/>
      <c r="D94" s="43"/>
      <c r="E94" s="44"/>
      <c r="F94" s="437">
        <f t="shared" si="40"/>
        <v>0</v>
      </c>
      <c r="G94" s="438" t="e">
        <f t="shared" si="45"/>
        <v>#DIV/0!</v>
      </c>
      <c r="I94" s="41"/>
      <c r="J94" s="42"/>
      <c r="K94" s="43"/>
      <c r="L94" s="44"/>
      <c r="M94" s="437">
        <f t="shared" si="46"/>
        <v>0</v>
      </c>
      <c r="N94" s="438" t="e">
        <f t="shared" si="41"/>
        <v>#DIV/0!</v>
      </c>
      <c r="O94" s="40"/>
      <c r="P94" s="41"/>
      <c r="Q94" s="42"/>
      <c r="R94" s="43"/>
      <c r="S94" s="44"/>
      <c r="T94" s="437">
        <f t="shared" si="47"/>
        <v>0</v>
      </c>
      <c r="U94" s="438" t="e">
        <f t="shared" si="42"/>
        <v>#DIV/0!</v>
      </c>
      <c r="W94" s="41"/>
      <c r="X94" s="42"/>
      <c r="Y94" s="43"/>
      <c r="Z94" s="44"/>
      <c r="AA94" s="437">
        <f t="shared" si="48"/>
        <v>0</v>
      </c>
      <c r="AB94" s="438" t="e">
        <f t="shared" si="43"/>
        <v>#DIV/0!</v>
      </c>
      <c r="AD94" s="41"/>
      <c r="AE94" s="42"/>
      <c r="AF94" s="43"/>
      <c r="AG94" s="44"/>
      <c r="AH94" s="437">
        <f t="shared" si="49"/>
        <v>0</v>
      </c>
      <c r="AI94" s="438" t="e">
        <f t="shared" si="44"/>
        <v>#DIV/0!</v>
      </c>
      <c r="AK94" s="41"/>
      <c r="AL94" s="42"/>
      <c r="AM94" s="43"/>
      <c r="AN94" s="44"/>
      <c r="AO94" s="437">
        <f t="shared" si="50"/>
        <v>0</v>
      </c>
      <c r="AP94" s="438" t="e">
        <f t="shared" si="51"/>
        <v>#DIV/0!</v>
      </c>
    </row>
    <row r="95" spans="1:42" x14ac:dyDescent="0.25">
      <c r="B95" s="41" t="s">
        <v>284</v>
      </c>
      <c r="C95" s="42"/>
      <c r="D95" s="43"/>
      <c r="E95" s="44"/>
      <c r="F95" s="437">
        <f t="shared" si="40"/>
        <v>0</v>
      </c>
      <c r="G95" s="438" t="e">
        <f t="shared" si="45"/>
        <v>#DIV/0!</v>
      </c>
      <c r="I95" s="41"/>
      <c r="J95" s="42"/>
      <c r="K95" s="43"/>
      <c r="L95" s="44"/>
      <c r="M95" s="437">
        <f t="shared" si="46"/>
        <v>0</v>
      </c>
      <c r="N95" s="438" t="e">
        <f t="shared" si="41"/>
        <v>#DIV/0!</v>
      </c>
      <c r="O95" s="40"/>
      <c r="P95" s="41"/>
      <c r="Q95" s="42"/>
      <c r="R95" s="43"/>
      <c r="S95" s="44"/>
      <c r="T95" s="437">
        <f t="shared" si="47"/>
        <v>0</v>
      </c>
      <c r="U95" s="438" t="e">
        <f t="shared" si="42"/>
        <v>#DIV/0!</v>
      </c>
      <c r="W95" s="41"/>
      <c r="X95" s="42"/>
      <c r="Y95" s="43"/>
      <c r="Z95" s="44"/>
      <c r="AA95" s="437">
        <f t="shared" si="48"/>
        <v>0</v>
      </c>
      <c r="AB95" s="438" t="e">
        <f t="shared" si="43"/>
        <v>#DIV/0!</v>
      </c>
      <c r="AD95" s="41"/>
      <c r="AE95" s="42"/>
      <c r="AF95" s="43"/>
      <c r="AG95" s="44"/>
      <c r="AH95" s="437">
        <f t="shared" si="49"/>
        <v>0</v>
      </c>
      <c r="AI95" s="438" t="e">
        <f t="shared" si="44"/>
        <v>#DIV/0!</v>
      </c>
      <c r="AK95" s="41"/>
      <c r="AL95" s="42"/>
      <c r="AM95" s="43"/>
      <c r="AN95" s="44"/>
      <c r="AO95" s="437">
        <f t="shared" si="50"/>
        <v>0</v>
      </c>
      <c r="AP95" s="438" t="e">
        <f t="shared" si="51"/>
        <v>#DIV/0!</v>
      </c>
    </row>
    <row r="96" spans="1:42" x14ac:dyDescent="0.25">
      <c r="B96" s="41" t="s">
        <v>284</v>
      </c>
      <c r="C96" s="42"/>
      <c r="D96" s="43"/>
      <c r="E96" s="44"/>
      <c r="F96" s="437">
        <f t="shared" si="40"/>
        <v>0</v>
      </c>
      <c r="G96" s="438" t="e">
        <f t="shared" si="45"/>
        <v>#DIV/0!</v>
      </c>
      <c r="I96" s="41"/>
      <c r="J96" s="42"/>
      <c r="K96" s="43"/>
      <c r="L96" s="44"/>
      <c r="M96" s="437">
        <f t="shared" si="46"/>
        <v>0</v>
      </c>
      <c r="N96" s="438" t="e">
        <f t="shared" si="41"/>
        <v>#DIV/0!</v>
      </c>
      <c r="O96" s="40"/>
      <c r="P96" s="41"/>
      <c r="Q96" s="42"/>
      <c r="R96" s="43"/>
      <c r="S96" s="44"/>
      <c r="T96" s="437">
        <f t="shared" si="47"/>
        <v>0</v>
      </c>
      <c r="U96" s="438" t="e">
        <f t="shared" si="42"/>
        <v>#DIV/0!</v>
      </c>
      <c r="W96" s="41"/>
      <c r="X96" s="42"/>
      <c r="Y96" s="43"/>
      <c r="Z96" s="44"/>
      <c r="AA96" s="437">
        <f t="shared" si="48"/>
        <v>0</v>
      </c>
      <c r="AB96" s="438" t="e">
        <f t="shared" si="43"/>
        <v>#DIV/0!</v>
      </c>
      <c r="AD96" s="41"/>
      <c r="AE96" s="42"/>
      <c r="AF96" s="43"/>
      <c r="AG96" s="44"/>
      <c r="AH96" s="437">
        <f t="shared" si="49"/>
        <v>0</v>
      </c>
      <c r="AI96" s="438" t="e">
        <f t="shared" si="44"/>
        <v>#DIV/0!</v>
      </c>
      <c r="AK96" s="41"/>
      <c r="AL96" s="42"/>
      <c r="AM96" s="43"/>
      <c r="AN96" s="44"/>
      <c r="AO96" s="437">
        <f t="shared" si="50"/>
        <v>0</v>
      </c>
      <c r="AP96" s="438" t="e">
        <f t="shared" si="51"/>
        <v>#DIV/0!</v>
      </c>
    </row>
    <row r="97" spans="1:42" x14ac:dyDescent="0.25">
      <c r="B97" s="41" t="s">
        <v>284</v>
      </c>
      <c r="C97" s="42"/>
      <c r="D97" s="43"/>
      <c r="E97" s="44"/>
      <c r="F97" s="437">
        <f t="shared" si="40"/>
        <v>0</v>
      </c>
      <c r="G97" s="438" t="e">
        <f t="shared" si="45"/>
        <v>#DIV/0!</v>
      </c>
      <c r="I97" s="41"/>
      <c r="J97" s="42"/>
      <c r="K97" s="43"/>
      <c r="L97" s="44"/>
      <c r="M97" s="437">
        <f>IFERROR(L97/K97,0)</f>
        <v>0</v>
      </c>
      <c r="N97" s="438" t="e">
        <f t="shared" si="41"/>
        <v>#DIV/0!</v>
      </c>
      <c r="P97" s="41"/>
      <c r="Q97" s="42"/>
      <c r="R97" s="43"/>
      <c r="S97" s="44"/>
      <c r="T97" s="437">
        <f t="shared" si="47"/>
        <v>0</v>
      </c>
      <c r="U97" s="438" t="e">
        <f t="shared" si="42"/>
        <v>#DIV/0!</v>
      </c>
      <c r="W97" s="41"/>
      <c r="X97" s="42"/>
      <c r="Y97" s="43"/>
      <c r="Z97" s="44"/>
      <c r="AA97" s="437">
        <f t="shared" si="48"/>
        <v>0</v>
      </c>
      <c r="AB97" s="438" t="e">
        <f t="shared" si="43"/>
        <v>#DIV/0!</v>
      </c>
      <c r="AD97" s="41"/>
      <c r="AE97" s="42"/>
      <c r="AF97" s="43"/>
      <c r="AG97" s="44"/>
      <c r="AH97" s="437">
        <f t="shared" si="49"/>
        <v>0</v>
      </c>
      <c r="AI97" s="438" t="e">
        <f t="shared" si="44"/>
        <v>#DIV/0!</v>
      </c>
      <c r="AK97" s="41"/>
      <c r="AL97" s="42"/>
      <c r="AM97" s="43"/>
      <c r="AN97" s="44"/>
      <c r="AO97" s="437">
        <f t="shared" si="50"/>
        <v>0</v>
      </c>
      <c r="AP97" s="438" t="e">
        <f t="shared" si="51"/>
        <v>#DIV/0!</v>
      </c>
    </row>
    <row r="98" spans="1:42" x14ac:dyDescent="0.25">
      <c r="B98" s="41" t="s">
        <v>284</v>
      </c>
      <c r="C98" s="42"/>
      <c r="D98" s="43"/>
      <c r="E98" s="44"/>
      <c r="F98" s="437">
        <f t="shared" si="40"/>
        <v>0</v>
      </c>
      <c r="G98" s="438" t="e">
        <f t="shared" si="45"/>
        <v>#DIV/0!</v>
      </c>
      <c r="I98" s="41"/>
      <c r="J98" s="42"/>
      <c r="K98" s="43"/>
      <c r="L98" s="44"/>
      <c r="M98" s="437">
        <f t="shared" si="46"/>
        <v>0</v>
      </c>
      <c r="N98" s="438" t="e">
        <f t="shared" si="41"/>
        <v>#DIV/0!</v>
      </c>
      <c r="P98" s="41"/>
      <c r="Q98" s="42"/>
      <c r="R98" s="43"/>
      <c r="S98" s="44"/>
      <c r="T98" s="437">
        <f t="shared" si="47"/>
        <v>0</v>
      </c>
      <c r="U98" s="438" t="e">
        <f t="shared" si="42"/>
        <v>#DIV/0!</v>
      </c>
      <c r="W98" s="41"/>
      <c r="X98" s="42"/>
      <c r="Y98" s="43"/>
      <c r="Z98" s="44"/>
      <c r="AA98" s="437">
        <f t="shared" si="48"/>
        <v>0</v>
      </c>
      <c r="AB98" s="438" t="e">
        <f t="shared" si="43"/>
        <v>#DIV/0!</v>
      </c>
      <c r="AD98" s="41"/>
      <c r="AE98" s="42"/>
      <c r="AF98" s="43"/>
      <c r="AG98" s="44"/>
      <c r="AH98" s="437">
        <f t="shared" si="49"/>
        <v>0</v>
      </c>
      <c r="AI98" s="438" t="e">
        <f t="shared" si="44"/>
        <v>#DIV/0!</v>
      </c>
      <c r="AK98" s="41"/>
      <c r="AL98" s="42"/>
      <c r="AM98" s="43"/>
      <c r="AN98" s="44"/>
      <c r="AO98" s="437">
        <f t="shared" si="50"/>
        <v>0</v>
      </c>
      <c r="AP98" s="438" t="e">
        <f t="shared" si="51"/>
        <v>#DIV/0!</v>
      </c>
    </row>
    <row r="99" spans="1:42" x14ac:dyDescent="0.25">
      <c r="B99" s="41" t="s">
        <v>284</v>
      </c>
      <c r="C99" s="42"/>
      <c r="D99" s="43"/>
      <c r="E99" s="44"/>
      <c r="F99" s="437">
        <f t="shared" si="40"/>
        <v>0</v>
      </c>
      <c r="G99" s="438" t="e">
        <f t="shared" si="45"/>
        <v>#DIV/0!</v>
      </c>
      <c r="I99" s="41"/>
      <c r="J99" s="42"/>
      <c r="K99" s="43"/>
      <c r="L99" s="44"/>
      <c r="M99" s="437">
        <f t="shared" si="46"/>
        <v>0</v>
      </c>
      <c r="N99" s="438" t="e">
        <f t="shared" si="41"/>
        <v>#DIV/0!</v>
      </c>
      <c r="P99" s="41"/>
      <c r="Q99" s="42"/>
      <c r="R99" s="43"/>
      <c r="S99" s="44"/>
      <c r="T99" s="437">
        <f t="shared" si="47"/>
        <v>0</v>
      </c>
      <c r="U99" s="438" t="e">
        <f t="shared" si="42"/>
        <v>#DIV/0!</v>
      </c>
      <c r="W99" s="41"/>
      <c r="X99" s="42"/>
      <c r="Y99" s="43"/>
      <c r="Z99" s="44"/>
      <c r="AA99" s="437">
        <f t="shared" si="48"/>
        <v>0</v>
      </c>
      <c r="AB99" s="438" t="e">
        <f t="shared" si="43"/>
        <v>#DIV/0!</v>
      </c>
      <c r="AD99" s="41"/>
      <c r="AE99" s="42"/>
      <c r="AF99" s="43"/>
      <c r="AG99" s="44"/>
      <c r="AH99" s="437">
        <f t="shared" si="49"/>
        <v>0</v>
      </c>
      <c r="AI99" s="438" t="e">
        <f t="shared" si="44"/>
        <v>#DIV/0!</v>
      </c>
      <c r="AK99" s="41"/>
      <c r="AL99" s="42"/>
      <c r="AM99" s="43"/>
      <c r="AN99" s="44"/>
      <c r="AO99" s="437">
        <f t="shared" si="50"/>
        <v>0</v>
      </c>
      <c r="AP99" s="438" t="e">
        <f t="shared" si="51"/>
        <v>#DIV/0!</v>
      </c>
    </row>
    <row r="100" spans="1:42" x14ac:dyDescent="0.25">
      <c r="B100" s="41" t="s">
        <v>284</v>
      </c>
      <c r="C100" s="42"/>
      <c r="D100" s="43"/>
      <c r="E100" s="44"/>
      <c r="F100" s="437">
        <f t="shared" si="40"/>
        <v>0</v>
      </c>
      <c r="G100" s="438" t="e">
        <f t="shared" si="45"/>
        <v>#DIV/0!</v>
      </c>
      <c r="I100" s="41"/>
      <c r="J100" s="42"/>
      <c r="K100" s="43"/>
      <c r="L100" s="44"/>
      <c r="M100" s="437">
        <f t="shared" si="46"/>
        <v>0</v>
      </c>
      <c r="N100" s="438" t="e">
        <f t="shared" si="41"/>
        <v>#DIV/0!</v>
      </c>
      <c r="P100" s="41"/>
      <c r="Q100" s="42"/>
      <c r="R100" s="43"/>
      <c r="S100" s="44"/>
      <c r="T100" s="437">
        <f t="shared" si="47"/>
        <v>0</v>
      </c>
      <c r="U100" s="438" t="e">
        <f t="shared" si="42"/>
        <v>#DIV/0!</v>
      </c>
      <c r="W100" s="41"/>
      <c r="X100" s="42"/>
      <c r="Y100" s="43"/>
      <c r="Z100" s="44"/>
      <c r="AA100" s="437">
        <f t="shared" si="48"/>
        <v>0</v>
      </c>
      <c r="AB100" s="438" t="e">
        <f t="shared" si="43"/>
        <v>#DIV/0!</v>
      </c>
      <c r="AD100" s="41"/>
      <c r="AE100" s="42"/>
      <c r="AF100" s="43"/>
      <c r="AG100" s="44"/>
      <c r="AH100" s="437">
        <f t="shared" si="49"/>
        <v>0</v>
      </c>
      <c r="AI100" s="438" t="e">
        <f t="shared" si="44"/>
        <v>#DIV/0!</v>
      </c>
      <c r="AK100" s="41"/>
      <c r="AL100" s="42"/>
      <c r="AM100" s="43"/>
      <c r="AN100" s="44"/>
      <c r="AO100" s="437">
        <f t="shared" si="50"/>
        <v>0</v>
      </c>
      <c r="AP100" s="438" t="e">
        <f t="shared" si="51"/>
        <v>#DIV/0!</v>
      </c>
    </row>
    <row r="101" spans="1:42" s="45" customFormat="1" x14ac:dyDescent="0.25">
      <c r="B101" s="46" t="s">
        <v>112</v>
      </c>
      <c r="C101" s="47">
        <f>SUBTOTAL(9,C89:C100)</f>
        <v>0</v>
      </c>
      <c r="D101" s="48">
        <f>SUMPRODUCT(D89:D100,C89:C100)</f>
        <v>0</v>
      </c>
      <c r="E101" s="49">
        <f>SUMPRODUCT(E89:E100,C89:C100)</f>
        <v>0</v>
      </c>
      <c r="F101" s="50">
        <f>IFERROR(E101/D101,0)</f>
        <v>0</v>
      </c>
      <c r="G101" s="65"/>
      <c r="I101" s="46" t="s">
        <v>112</v>
      </c>
      <c r="J101" s="47">
        <f>SUBTOTAL(9,J89:J100)</f>
        <v>0</v>
      </c>
      <c r="K101" s="48">
        <f>SUMPRODUCT(K89:K100,J89:J100)</f>
        <v>0</v>
      </c>
      <c r="L101" s="49">
        <f>SUMPRODUCT(L89:L100,J89:J100)</f>
        <v>0</v>
      </c>
      <c r="M101" s="50">
        <f>IFERROR(L101/K101,0)</f>
        <v>0</v>
      </c>
      <c r="N101" s="65"/>
      <c r="P101" s="46" t="s">
        <v>112</v>
      </c>
      <c r="Q101" s="47">
        <f>SUBTOTAL(9,Q89:Q100)</f>
        <v>0</v>
      </c>
      <c r="R101" s="48">
        <f>SUMPRODUCT(R89:R100,Q89:Q100)</f>
        <v>0</v>
      </c>
      <c r="S101" s="49">
        <f>SUMPRODUCT(S89:S100,Q89:Q100)</f>
        <v>0</v>
      </c>
      <c r="T101" s="50">
        <f>IFERROR(S101/R101,0)</f>
        <v>0</v>
      </c>
      <c r="U101" s="65"/>
      <c r="W101" s="46" t="s">
        <v>112</v>
      </c>
      <c r="X101" s="47">
        <f>SUBTOTAL(9,X89:X100)</f>
        <v>0</v>
      </c>
      <c r="Y101" s="48">
        <f>SUMPRODUCT(Y89:Y100,X89:X100)</f>
        <v>0</v>
      </c>
      <c r="Z101" s="49">
        <f>SUMPRODUCT(Z89:Z100,X89:X100)</f>
        <v>0</v>
      </c>
      <c r="AA101" s="50">
        <f>IFERROR(Z101/Y101,0)</f>
        <v>0</v>
      </c>
      <c r="AB101" s="65"/>
      <c r="AD101" s="46" t="s">
        <v>112</v>
      </c>
      <c r="AE101" s="47">
        <f>SUBTOTAL(9,AE89:AE100)</f>
        <v>0</v>
      </c>
      <c r="AF101" s="48">
        <f>SUMPRODUCT(AF89:AF100,AE89:AE100)</f>
        <v>0</v>
      </c>
      <c r="AG101" s="49">
        <f>SUMPRODUCT(AG89:AG100,AE89:AE100)</f>
        <v>0</v>
      </c>
      <c r="AH101" s="50">
        <f>IFERROR(AG101/AF101,0)</f>
        <v>0</v>
      </c>
      <c r="AI101" s="65"/>
      <c r="AK101" s="46" t="s">
        <v>112</v>
      </c>
      <c r="AL101" s="47">
        <f>SUBTOTAL(9,AL89:AL100)</f>
        <v>0</v>
      </c>
      <c r="AM101" s="48">
        <f>SUMPRODUCT(AM89:AM100,AL89:AL100)</f>
        <v>0</v>
      </c>
      <c r="AN101" s="49">
        <f>SUMPRODUCT(AN89:AN100,AL89:AL100)</f>
        <v>0</v>
      </c>
      <c r="AO101" s="50">
        <f>IFERROR(AN101/AM101,0)</f>
        <v>0</v>
      </c>
      <c r="AP101" s="65"/>
    </row>
    <row r="102" spans="1:42" s="45" customFormat="1" x14ac:dyDescent="0.25">
      <c r="A102" s="64"/>
      <c r="B102" s="53" t="s">
        <v>278</v>
      </c>
      <c r="C102" s="54"/>
      <c r="D102" s="48">
        <f>IFERROR(D101/C101,)</f>
        <v>0</v>
      </c>
      <c r="E102" s="49">
        <f>IFERROR(E101/C101,0)</f>
        <v>0</v>
      </c>
      <c r="F102" s="50">
        <f>IFERROR(E102/D102,0)</f>
        <v>0</v>
      </c>
      <c r="G102" s="65"/>
      <c r="I102" s="53" t="s">
        <v>278</v>
      </c>
      <c r="J102" s="54"/>
      <c r="K102" s="48">
        <f>IFERROR(K101/J101,)</f>
        <v>0</v>
      </c>
      <c r="L102" s="49">
        <f>IFERROR(L101/J101,0)</f>
        <v>0</v>
      </c>
      <c r="M102" s="50">
        <f>IFERROR(L102/K102,0)</f>
        <v>0</v>
      </c>
      <c r="N102" s="65"/>
      <c r="P102" s="53" t="s">
        <v>278</v>
      </c>
      <c r="Q102" s="54"/>
      <c r="R102" s="48">
        <f>IFERROR(R101/Q101,)</f>
        <v>0</v>
      </c>
      <c r="S102" s="49">
        <f>IFERROR(S101/Q101,0)</f>
        <v>0</v>
      </c>
      <c r="T102" s="50">
        <f>IFERROR(S102/R102,0)</f>
        <v>0</v>
      </c>
      <c r="U102" s="65"/>
      <c r="W102" s="53" t="s">
        <v>278</v>
      </c>
      <c r="X102" s="54"/>
      <c r="Y102" s="48">
        <f>IFERROR(Y101/X101,)</f>
        <v>0</v>
      </c>
      <c r="Z102" s="49">
        <f>IFERROR(Z101/X101,0)</f>
        <v>0</v>
      </c>
      <c r="AA102" s="50">
        <f>IFERROR(Z102/Y102,0)</f>
        <v>0</v>
      </c>
      <c r="AB102" s="65"/>
      <c r="AD102" s="53" t="s">
        <v>278</v>
      </c>
      <c r="AE102" s="54"/>
      <c r="AF102" s="48">
        <f>IFERROR(AF101/AE101,)</f>
        <v>0</v>
      </c>
      <c r="AG102" s="49">
        <f>IFERROR(AG101/AE101,0)</f>
        <v>0</v>
      </c>
      <c r="AH102" s="50">
        <f>IFERROR(AG102/AF102,0)</f>
        <v>0</v>
      </c>
      <c r="AI102" s="65"/>
      <c r="AK102" s="53" t="s">
        <v>278</v>
      </c>
      <c r="AL102" s="54"/>
      <c r="AM102" s="48">
        <f>IFERROR(AM101/AL101,)</f>
        <v>0</v>
      </c>
      <c r="AN102" s="49">
        <f>IFERROR(AN101/AL101,0)</f>
        <v>0</v>
      </c>
      <c r="AO102" s="50">
        <f>IFERROR(AN102/AM102,0)</f>
        <v>0</v>
      </c>
      <c r="AP102" s="65"/>
    </row>
    <row r="103" spans="1:42" ht="14.4" x14ac:dyDescent="0.3">
      <c r="A103" s="49">
        <f>+A102-E102</f>
        <v>0</v>
      </c>
      <c r="F103" s="66"/>
      <c r="M103" s="66"/>
      <c r="T103" s="66"/>
      <c r="AA103" s="66"/>
      <c r="AH103" s="66"/>
      <c r="AO103" s="66"/>
    </row>
    <row r="104" spans="1:42" x14ac:dyDescent="0.25">
      <c r="B104" s="67" t="s">
        <v>285</v>
      </c>
      <c r="C104" s="39" t="s">
        <v>2</v>
      </c>
      <c r="D104" s="39" t="s">
        <v>286</v>
      </c>
      <c r="E104" s="39" t="s">
        <v>287</v>
      </c>
      <c r="F104" s="57" t="s">
        <v>275</v>
      </c>
      <c r="G104" s="39" t="s">
        <v>276</v>
      </c>
      <c r="I104" s="67" t="s">
        <v>285</v>
      </c>
      <c r="J104" s="39" t="s">
        <v>2</v>
      </c>
      <c r="K104" s="39" t="s">
        <v>286</v>
      </c>
      <c r="L104" s="39" t="s">
        <v>287</v>
      </c>
      <c r="M104" s="57" t="s">
        <v>275</v>
      </c>
      <c r="N104" s="39" t="s">
        <v>276</v>
      </c>
      <c r="P104" s="67" t="s">
        <v>285</v>
      </c>
      <c r="Q104" s="39" t="s">
        <v>2</v>
      </c>
      <c r="R104" s="39" t="s">
        <v>286</v>
      </c>
      <c r="S104" s="39" t="s">
        <v>287</v>
      </c>
      <c r="T104" s="57" t="s">
        <v>275</v>
      </c>
      <c r="U104" s="39" t="s">
        <v>276</v>
      </c>
      <c r="W104" s="67" t="s">
        <v>285</v>
      </c>
      <c r="X104" s="39" t="s">
        <v>2</v>
      </c>
      <c r="Y104" s="39" t="s">
        <v>286</v>
      </c>
      <c r="Z104" s="39" t="s">
        <v>287</v>
      </c>
      <c r="AA104" s="57" t="s">
        <v>275</v>
      </c>
      <c r="AB104" s="39" t="s">
        <v>276</v>
      </c>
      <c r="AD104" s="67" t="s">
        <v>285</v>
      </c>
      <c r="AE104" s="39" t="s">
        <v>2</v>
      </c>
      <c r="AF104" s="39" t="s">
        <v>286</v>
      </c>
      <c r="AG104" s="39" t="s">
        <v>287</v>
      </c>
      <c r="AH104" s="57" t="s">
        <v>275</v>
      </c>
      <c r="AI104" s="39" t="s">
        <v>276</v>
      </c>
      <c r="AK104" s="67" t="s">
        <v>285</v>
      </c>
      <c r="AL104" s="39" t="s">
        <v>2</v>
      </c>
      <c r="AM104" s="39" t="s">
        <v>286</v>
      </c>
      <c r="AN104" s="39" t="s">
        <v>287</v>
      </c>
      <c r="AO104" s="57" t="s">
        <v>275</v>
      </c>
      <c r="AP104" s="39" t="s">
        <v>276</v>
      </c>
    </row>
    <row r="105" spans="1:42" x14ac:dyDescent="0.25">
      <c r="B105" s="68" t="s">
        <v>288</v>
      </c>
      <c r="C105" s="69">
        <f>+C28</f>
        <v>0</v>
      </c>
      <c r="D105" s="70">
        <f>D29</f>
        <v>0</v>
      </c>
      <c r="E105" s="71">
        <f>E29</f>
        <v>0</v>
      </c>
      <c r="F105" s="440">
        <f>IFERROR(E105/D105,0)</f>
        <v>0</v>
      </c>
      <c r="G105" s="441" t="e">
        <f>C105/C2</f>
        <v>#DIV/0!</v>
      </c>
      <c r="I105" s="68" t="s">
        <v>288</v>
      </c>
      <c r="J105" s="69">
        <f>+J28</f>
        <v>0</v>
      </c>
      <c r="K105" s="70">
        <f>K29</f>
        <v>0</v>
      </c>
      <c r="L105" s="71">
        <f>L29</f>
        <v>0</v>
      </c>
      <c r="M105" s="440">
        <f>IFERROR(L105/K105,0)</f>
        <v>0</v>
      </c>
      <c r="N105" s="441" t="e">
        <f>J105/J2</f>
        <v>#DIV/0!</v>
      </c>
      <c r="P105" s="68" t="s">
        <v>288</v>
      </c>
      <c r="Q105" s="69">
        <f>+Q28</f>
        <v>0</v>
      </c>
      <c r="R105" s="70">
        <f>R29</f>
        <v>0</v>
      </c>
      <c r="S105" s="71">
        <f>S29</f>
        <v>0</v>
      </c>
      <c r="T105" s="440">
        <f>IFERROR(S105/R105,0)</f>
        <v>0</v>
      </c>
      <c r="U105" s="441" t="e">
        <f>Q105/Q2</f>
        <v>#DIV/0!</v>
      </c>
      <c r="W105" s="68" t="s">
        <v>288</v>
      </c>
      <c r="X105" s="69">
        <f>+X28</f>
        <v>0</v>
      </c>
      <c r="Y105" s="70">
        <f>Y29</f>
        <v>0</v>
      </c>
      <c r="Z105" s="71">
        <f>Z29</f>
        <v>0</v>
      </c>
      <c r="AA105" s="440">
        <f>IFERROR(Z105/Y105,0)</f>
        <v>0</v>
      </c>
      <c r="AB105" s="441" t="e">
        <f>X105/X2</f>
        <v>#DIV/0!</v>
      </c>
      <c r="AD105" s="68" t="s">
        <v>288</v>
      </c>
      <c r="AE105" s="69">
        <f>+AE28</f>
        <v>0</v>
      </c>
      <c r="AF105" s="70">
        <f>AF29</f>
        <v>0</v>
      </c>
      <c r="AG105" s="71">
        <f>AG29</f>
        <v>0</v>
      </c>
      <c r="AH105" s="440">
        <f>IFERROR(AG105/AF105,0)</f>
        <v>0</v>
      </c>
      <c r="AI105" s="441" t="e">
        <f>AE105/AE2</f>
        <v>#DIV/0!</v>
      </c>
      <c r="AK105" s="68" t="s">
        <v>288</v>
      </c>
      <c r="AL105" s="69">
        <f>+AL28</f>
        <v>0</v>
      </c>
      <c r="AM105" s="70">
        <f>AM29</f>
        <v>0</v>
      </c>
      <c r="AN105" s="71">
        <f>AN29</f>
        <v>0</v>
      </c>
      <c r="AO105" s="440">
        <f>IFERROR(AN105/AM105,0)</f>
        <v>0</v>
      </c>
      <c r="AP105" s="441" t="e">
        <f>AL105/AL2</f>
        <v>#DIV/0!</v>
      </c>
    </row>
    <row r="106" spans="1:42" x14ac:dyDescent="0.25">
      <c r="B106" s="68" t="s">
        <v>289</v>
      </c>
      <c r="C106" s="69">
        <f>C57</f>
        <v>0</v>
      </c>
      <c r="D106" s="70">
        <f>D58</f>
        <v>0</v>
      </c>
      <c r="E106" s="71">
        <f>E58</f>
        <v>0</v>
      </c>
      <c r="F106" s="440">
        <f>IFERROR(E106/D106,0)</f>
        <v>0</v>
      </c>
      <c r="G106" s="441" t="e">
        <f>C106/C2</f>
        <v>#DIV/0!</v>
      </c>
      <c r="I106" s="68" t="s">
        <v>289</v>
      </c>
      <c r="J106" s="69">
        <f>J57</f>
        <v>0</v>
      </c>
      <c r="K106" s="70">
        <f>K58</f>
        <v>0</v>
      </c>
      <c r="L106" s="71">
        <f>L58</f>
        <v>0</v>
      </c>
      <c r="M106" s="440">
        <f>IFERROR(L106/K106,0)</f>
        <v>0</v>
      </c>
      <c r="N106" s="441" t="e">
        <f>J106/J2</f>
        <v>#DIV/0!</v>
      </c>
      <c r="P106" s="68" t="s">
        <v>289</v>
      </c>
      <c r="Q106" s="69">
        <f>Q57</f>
        <v>0</v>
      </c>
      <c r="R106" s="70">
        <f>R58</f>
        <v>0</v>
      </c>
      <c r="S106" s="71">
        <f>S58</f>
        <v>0</v>
      </c>
      <c r="T106" s="440">
        <f>IFERROR(S106/R106,0)</f>
        <v>0</v>
      </c>
      <c r="U106" s="441" t="e">
        <f>Q106/Q2</f>
        <v>#DIV/0!</v>
      </c>
      <c r="W106" s="68" t="s">
        <v>289</v>
      </c>
      <c r="X106" s="69">
        <f>X57</f>
        <v>0</v>
      </c>
      <c r="Y106" s="70">
        <f>Y58</f>
        <v>0</v>
      </c>
      <c r="Z106" s="71">
        <f>Z58</f>
        <v>0</v>
      </c>
      <c r="AA106" s="440">
        <f>IFERROR(Z106/Y106,0)</f>
        <v>0</v>
      </c>
      <c r="AB106" s="441" t="e">
        <f>X106/X2</f>
        <v>#DIV/0!</v>
      </c>
      <c r="AD106" s="68" t="s">
        <v>289</v>
      </c>
      <c r="AE106" s="69">
        <f>AE57</f>
        <v>0</v>
      </c>
      <c r="AF106" s="70">
        <f>AF58</f>
        <v>0</v>
      </c>
      <c r="AG106" s="71">
        <f>AG58</f>
        <v>0</v>
      </c>
      <c r="AH106" s="440">
        <f>IFERROR(AG106/AF106,0)</f>
        <v>0</v>
      </c>
      <c r="AI106" s="441" t="e">
        <f>AE106/AE2</f>
        <v>#DIV/0!</v>
      </c>
      <c r="AK106" s="68" t="s">
        <v>289</v>
      </c>
      <c r="AL106" s="69">
        <f>AL57</f>
        <v>0</v>
      </c>
      <c r="AM106" s="70">
        <f>AM58</f>
        <v>0</v>
      </c>
      <c r="AN106" s="71">
        <f>AN58</f>
        <v>0</v>
      </c>
      <c r="AO106" s="440">
        <f>IFERROR(AN106/AM106,0)</f>
        <v>0</v>
      </c>
      <c r="AP106" s="441" t="e">
        <f>AL106/AL2</f>
        <v>#DIV/0!</v>
      </c>
    </row>
    <row r="107" spans="1:42" x14ac:dyDescent="0.25">
      <c r="B107" s="68" t="s">
        <v>290</v>
      </c>
      <c r="C107" s="69">
        <f>C85</f>
        <v>0</v>
      </c>
      <c r="D107" s="70">
        <f>D86</f>
        <v>0</v>
      </c>
      <c r="E107" s="71">
        <f>E86</f>
        <v>0</v>
      </c>
      <c r="F107" s="440">
        <f>IFERROR(E107/D107,0)</f>
        <v>0</v>
      </c>
      <c r="G107" s="441" t="e">
        <f>C107/C2</f>
        <v>#DIV/0!</v>
      </c>
      <c r="I107" s="68" t="s">
        <v>290</v>
      </c>
      <c r="J107" s="69">
        <f>J85</f>
        <v>0</v>
      </c>
      <c r="K107" s="70">
        <f>K86</f>
        <v>0</v>
      </c>
      <c r="L107" s="71">
        <f>L86</f>
        <v>0</v>
      </c>
      <c r="M107" s="440">
        <f>IFERROR(L107/K107,0)</f>
        <v>0</v>
      </c>
      <c r="N107" s="441" t="e">
        <f>J107/J2</f>
        <v>#DIV/0!</v>
      </c>
      <c r="P107" s="68" t="s">
        <v>290</v>
      </c>
      <c r="Q107" s="69">
        <f>Q85</f>
        <v>0</v>
      </c>
      <c r="R107" s="70">
        <f>R86</f>
        <v>0</v>
      </c>
      <c r="S107" s="71">
        <f>S86</f>
        <v>0</v>
      </c>
      <c r="T107" s="440">
        <f>IFERROR(S107/R107,0)</f>
        <v>0</v>
      </c>
      <c r="U107" s="441" t="e">
        <f>Q107/Q2</f>
        <v>#DIV/0!</v>
      </c>
      <c r="W107" s="68" t="s">
        <v>290</v>
      </c>
      <c r="X107" s="69">
        <f>X85</f>
        <v>0</v>
      </c>
      <c r="Y107" s="70">
        <f>Y86</f>
        <v>0</v>
      </c>
      <c r="Z107" s="71">
        <f>Z86</f>
        <v>0</v>
      </c>
      <c r="AA107" s="440">
        <f>IFERROR(Z107/Y107,0)</f>
        <v>0</v>
      </c>
      <c r="AB107" s="441" t="e">
        <f>X107/X2</f>
        <v>#DIV/0!</v>
      </c>
      <c r="AD107" s="68" t="s">
        <v>290</v>
      </c>
      <c r="AE107" s="69">
        <f>AE85</f>
        <v>0</v>
      </c>
      <c r="AF107" s="70">
        <f>AF86</f>
        <v>0</v>
      </c>
      <c r="AG107" s="71">
        <f>AG86</f>
        <v>0</v>
      </c>
      <c r="AH107" s="440">
        <f>IFERROR(AG107/AF107,0)</f>
        <v>0</v>
      </c>
      <c r="AI107" s="441" t="e">
        <f>AE107/AE2</f>
        <v>#DIV/0!</v>
      </c>
      <c r="AK107" s="68" t="s">
        <v>290</v>
      </c>
      <c r="AL107" s="69">
        <f>AL85</f>
        <v>0</v>
      </c>
      <c r="AM107" s="70">
        <f>AM86</f>
        <v>0</v>
      </c>
      <c r="AN107" s="71">
        <f>AN86</f>
        <v>0</v>
      </c>
      <c r="AO107" s="440">
        <f>IFERROR(AN107/AM107,0)</f>
        <v>0</v>
      </c>
      <c r="AP107" s="441" t="e">
        <f>AL107/AL2</f>
        <v>#DIV/0!</v>
      </c>
    </row>
    <row r="108" spans="1:42" x14ac:dyDescent="0.25">
      <c r="B108" s="68" t="s">
        <v>291</v>
      </c>
      <c r="C108" s="69">
        <f>C101</f>
        <v>0</v>
      </c>
      <c r="D108" s="70">
        <f>D102</f>
        <v>0</v>
      </c>
      <c r="E108" s="71">
        <f>E102</f>
        <v>0</v>
      </c>
      <c r="F108" s="440">
        <f>IFERROR(E108/D108,0)</f>
        <v>0</v>
      </c>
      <c r="G108" s="441" t="e">
        <f>C108/C2</f>
        <v>#DIV/0!</v>
      </c>
      <c r="I108" s="68" t="s">
        <v>291</v>
      </c>
      <c r="J108" s="69">
        <f>J101</f>
        <v>0</v>
      </c>
      <c r="K108" s="70">
        <f>K102</f>
        <v>0</v>
      </c>
      <c r="L108" s="71">
        <f>L102</f>
        <v>0</v>
      </c>
      <c r="M108" s="440">
        <f>IFERROR(L108/K108,0)</f>
        <v>0</v>
      </c>
      <c r="N108" s="441" t="e">
        <f>J108/J2</f>
        <v>#DIV/0!</v>
      </c>
      <c r="P108" s="68" t="s">
        <v>291</v>
      </c>
      <c r="Q108" s="69">
        <f>Q101</f>
        <v>0</v>
      </c>
      <c r="R108" s="70">
        <f>R102</f>
        <v>0</v>
      </c>
      <c r="S108" s="71">
        <f>S102</f>
        <v>0</v>
      </c>
      <c r="T108" s="440">
        <f>IFERROR(S108/R108,0)</f>
        <v>0</v>
      </c>
      <c r="U108" s="441" t="e">
        <f>Q108/Q2</f>
        <v>#DIV/0!</v>
      </c>
      <c r="W108" s="68" t="s">
        <v>291</v>
      </c>
      <c r="X108" s="69">
        <f>X101</f>
        <v>0</v>
      </c>
      <c r="Y108" s="70">
        <f>Y102</f>
        <v>0</v>
      </c>
      <c r="Z108" s="71">
        <f>Z102</f>
        <v>0</v>
      </c>
      <c r="AA108" s="440">
        <f>IFERROR(Z108/Y108,0)</f>
        <v>0</v>
      </c>
      <c r="AB108" s="441" t="e">
        <f>X108/X2</f>
        <v>#DIV/0!</v>
      </c>
      <c r="AD108" s="68" t="s">
        <v>291</v>
      </c>
      <c r="AE108" s="69">
        <f>AE101</f>
        <v>0</v>
      </c>
      <c r="AF108" s="70">
        <f>AF102</f>
        <v>0</v>
      </c>
      <c r="AG108" s="71">
        <f>AG102</f>
        <v>0</v>
      </c>
      <c r="AH108" s="440">
        <f>IFERROR(AG108/AF108,0)</f>
        <v>0</v>
      </c>
      <c r="AI108" s="441" t="e">
        <f>AE108/AE2</f>
        <v>#DIV/0!</v>
      </c>
      <c r="AK108" s="68" t="s">
        <v>291</v>
      </c>
      <c r="AL108" s="69">
        <f>AL101</f>
        <v>0</v>
      </c>
      <c r="AM108" s="70">
        <f>AM102</f>
        <v>0</v>
      </c>
      <c r="AN108" s="71">
        <f>AN102</f>
        <v>0</v>
      </c>
      <c r="AO108" s="440">
        <f>IFERROR(AN108/AM108,0)</f>
        <v>0</v>
      </c>
      <c r="AP108" s="441" t="e">
        <f>AL108/AL2</f>
        <v>#DIV/0!</v>
      </c>
    </row>
    <row r="109" spans="1:42" ht="13.8" thickBot="1" x14ac:dyDescent="0.3">
      <c r="B109" s="72" t="s">
        <v>292</v>
      </c>
      <c r="C109" s="73">
        <f>SUM(C105:C108)</f>
        <v>0</v>
      </c>
      <c r="D109" s="74">
        <f>IFERROR(SUMPRODUCT(D105:D108,C105:C108)/C109,0)</f>
        <v>0</v>
      </c>
      <c r="E109" s="75">
        <f>IFERROR(SUMPRODUCT(E105:E108,C105:C108)/C109,0)</f>
        <v>0</v>
      </c>
      <c r="F109" s="76">
        <f>IFERROR(SUMPRODUCT(F105:F108,C105:C108)/C109,0)</f>
        <v>0</v>
      </c>
      <c r="G109" s="77" t="e">
        <f>SUM(G105:G108)</f>
        <v>#DIV/0!</v>
      </c>
      <c r="I109" s="72" t="s">
        <v>292</v>
      </c>
      <c r="J109" s="73">
        <f>SUM(J105:J108)</f>
        <v>0</v>
      </c>
      <c r="K109" s="74">
        <f>IFERROR(SUMPRODUCT(K105:K108,J105:J108)/J109,0)</f>
        <v>0</v>
      </c>
      <c r="L109" s="75">
        <f>IFERROR(SUMPRODUCT(L105:L108,J105:J108)/J109,0)</f>
        <v>0</v>
      </c>
      <c r="M109" s="76">
        <f>IFERROR(SUMPRODUCT(M105:M108,J105:J108)/J109,0)</f>
        <v>0</v>
      </c>
      <c r="N109" s="77" t="e">
        <f>SUM(N105:N108)</f>
        <v>#DIV/0!</v>
      </c>
      <c r="P109" s="72" t="s">
        <v>292</v>
      </c>
      <c r="Q109" s="73">
        <f>SUM(Q105:Q108)</f>
        <v>0</v>
      </c>
      <c r="R109" s="74">
        <f>IFERROR(SUMPRODUCT(R105:R108,Q105:Q108)/Q109,0)</f>
        <v>0</v>
      </c>
      <c r="S109" s="75">
        <f>IFERROR(SUMPRODUCT(S105:S108,Q105:Q108)/Q109,0)</f>
        <v>0</v>
      </c>
      <c r="T109" s="76">
        <f>IFERROR(SUMPRODUCT(T105:T108,Q105:Q108)/Q109,0)</f>
        <v>0</v>
      </c>
      <c r="U109" s="77" t="e">
        <f>SUM(U105:U108)</f>
        <v>#DIV/0!</v>
      </c>
      <c r="W109" s="72" t="s">
        <v>292</v>
      </c>
      <c r="X109" s="73">
        <f>SUM(X105:X108)</f>
        <v>0</v>
      </c>
      <c r="Y109" s="74">
        <f>IFERROR(SUMPRODUCT(Y105:Y108,X105:X108)/X109,0)</f>
        <v>0</v>
      </c>
      <c r="Z109" s="75">
        <f>IFERROR(SUMPRODUCT(Z105:Z108,X105:X108)/X109,0)</f>
        <v>0</v>
      </c>
      <c r="AA109" s="76">
        <f>IFERROR(SUMPRODUCT(AA105:AA108,X105:X108)/X109,0)</f>
        <v>0</v>
      </c>
      <c r="AB109" s="77" t="e">
        <f>SUM(AB105:AB108)</f>
        <v>#DIV/0!</v>
      </c>
      <c r="AD109" s="72" t="s">
        <v>292</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292</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x14ac:dyDescent="0.25">
      <c r="B110" s="666" t="s">
        <v>293</v>
      </c>
      <c r="C110" s="667"/>
      <c r="D110" s="667"/>
      <c r="E110" s="667"/>
      <c r="F110" s="667"/>
      <c r="G110" s="668"/>
      <c r="I110" s="666" t="s">
        <v>293</v>
      </c>
      <c r="J110" s="667"/>
      <c r="K110" s="667"/>
      <c r="L110" s="667"/>
      <c r="M110" s="667"/>
      <c r="N110" s="668"/>
      <c r="P110" s="666" t="s">
        <v>293</v>
      </c>
      <c r="Q110" s="667"/>
      <c r="R110" s="667"/>
      <c r="S110" s="667"/>
      <c r="T110" s="667"/>
      <c r="U110" s="668"/>
      <c r="W110" s="666" t="s">
        <v>293</v>
      </c>
      <c r="X110" s="667"/>
      <c r="Y110" s="667"/>
      <c r="Z110" s="667"/>
      <c r="AA110" s="667"/>
      <c r="AB110" s="668"/>
      <c r="AD110" s="666" t="s">
        <v>293</v>
      </c>
      <c r="AE110" s="667"/>
      <c r="AF110" s="667"/>
      <c r="AG110" s="667"/>
      <c r="AH110" s="667"/>
      <c r="AI110" s="668"/>
      <c r="AK110" s="666" t="s">
        <v>293</v>
      </c>
      <c r="AL110" s="667"/>
      <c r="AM110" s="667"/>
      <c r="AN110" s="667"/>
      <c r="AO110" s="667"/>
      <c r="AP110" s="668"/>
    </row>
    <row r="111" spans="1:42" x14ac:dyDescent="0.25">
      <c r="B111" s="669"/>
      <c r="C111" s="670"/>
      <c r="D111" s="670"/>
      <c r="E111" s="670"/>
      <c r="F111" s="670"/>
      <c r="G111" s="671"/>
      <c r="I111" s="669"/>
      <c r="J111" s="670"/>
      <c r="K111" s="670"/>
      <c r="L111" s="670"/>
      <c r="M111" s="670"/>
      <c r="N111" s="671"/>
      <c r="P111" s="669"/>
      <c r="Q111" s="670"/>
      <c r="R111" s="670"/>
      <c r="S111" s="670"/>
      <c r="T111" s="670"/>
      <c r="U111" s="671"/>
      <c r="W111" s="669"/>
      <c r="X111" s="670"/>
      <c r="Y111" s="670"/>
      <c r="Z111" s="670"/>
      <c r="AA111" s="670"/>
      <c r="AB111" s="671"/>
      <c r="AD111" s="669"/>
      <c r="AE111" s="670"/>
      <c r="AF111" s="670"/>
      <c r="AG111" s="670"/>
      <c r="AH111" s="670"/>
      <c r="AI111" s="671"/>
      <c r="AK111" s="669"/>
      <c r="AL111" s="670"/>
      <c r="AM111" s="670"/>
      <c r="AN111" s="670"/>
      <c r="AO111" s="670"/>
      <c r="AP111" s="671"/>
    </row>
    <row r="112" spans="1:42" x14ac:dyDescent="0.25">
      <c r="B112" s="669"/>
      <c r="C112" s="670"/>
      <c r="D112" s="670"/>
      <c r="E112" s="670"/>
      <c r="F112" s="670"/>
      <c r="G112" s="671"/>
      <c r="I112" s="669"/>
      <c r="J112" s="670"/>
      <c r="K112" s="670"/>
      <c r="L112" s="670"/>
      <c r="M112" s="670"/>
      <c r="N112" s="671"/>
      <c r="P112" s="669"/>
      <c r="Q112" s="670"/>
      <c r="R112" s="670"/>
      <c r="S112" s="670"/>
      <c r="T112" s="670"/>
      <c r="U112" s="671"/>
      <c r="W112" s="669"/>
      <c r="X112" s="670"/>
      <c r="Y112" s="670"/>
      <c r="Z112" s="670"/>
      <c r="AA112" s="670"/>
      <c r="AB112" s="671"/>
      <c r="AD112" s="669"/>
      <c r="AE112" s="670"/>
      <c r="AF112" s="670"/>
      <c r="AG112" s="670"/>
      <c r="AH112" s="670"/>
      <c r="AI112" s="671"/>
      <c r="AK112" s="669"/>
      <c r="AL112" s="670"/>
      <c r="AM112" s="670"/>
      <c r="AN112" s="670"/>
      <c r="AO112" s="670"/>
      <c r="AP112" s="671"/>
    </row>
    <row r="113" spans="2:42" x14ac:dyDescent="0.25">
      <c r="B113" s="669"/>
      <c r="C113" s="670"/>
      <c r="D113" s="670"/>
      <c r="E113" s="670"/>
      <c r="F113" s="670"/>
      <c r="G113" s="671"/>
      <c r="I113" s="669"/>
      <c r="J113" s="670"/>
      <c r="K113" s="670"/>
      <c r="L113" s="670"/>
      <c r="M113" s="670"/>
      <c r="N113" s="671"/>
      <c r="P113" s="669"/>
      <c r="Q113" s="670"/>
      <c r="R113" s="670"/>
      <c r="S113" s="670"/>
      <c r="T113" s="670"/>
      <c r="U113" s="671"/>
      <c r="W113" s="669"/>
      <c r="X113" s="670"/>
      <c r="Y113" s="670"/>
      <c r="Z113" s="670"/>
      <c r="AA113" s="670"/>
      <c r="AB113" s="671"/>
      <c r="AD113" s="669"/>
      <c r="AE113" s="670"/>
      <c r="AF113" s="670"/>
      <c r="AG113" s="670"/>
      <c r="AH113" s="670"/>
      <c r="AI113" s="671"/>
      <c r="AK113" s="669"/>
      <c r="AL113" s="670"/>
      <c r="AM113" s="670"/>
      <c r="AN113" s="670"/>
      <c r="AO113" s="670"/>
      <c r="AP113" s="671"/>
    </row>
    <row r="114" spans="2:42" x14ac:dyDescent="0.25">
      <c r="B114" s="669"/>
      <c r="C114" s="670"/>
      <c r="D114" s="670"/>
      <c r="E114" s="670"/>
      <c r="F114" s="670"/>
      <c r="G114" s="671"/>
      <c r="I114" s="669"/>
      <c r="J114" s="670"/>
      <c r="K114" s="670"/>
      <c r="L114" s="670"/>
      <c r="M114" s="670"/>
      <c r="N114" s="671"/>
      <c r="P114" s="669"/>
      <c r="Q114" s="670"/>
      <c r="R114" s="670"/>
      <c r="S114" s="670"/>
      <c r="T114" s="670"/>
      <c r="U114" s="671"/>
      <c r="W114" s="669"/>
      <c r="X114" s="670"/>
      <c r="Y114" s="670"/>
      <c r="Z114" s="670"/>
      <c r="AA114" s="670"/>
      <c r="AB114" s="671"/>
      <c r="AD114" s="669"/>
      <c r="AE114" s="670"/>
      <c r="AF114" s="670"/>
      <c r="AG114" s="670"/>
      <c r="AH114" s="670"/>
      <c r="AI114" s="671"/>
      <c r="AK114" s="669"/>
      <c r="AL114" s="670"/>
      <c r="AM114" s="670"/>
      <c r="AN114" s="670"/>
      <c r="AO114" s="670"/>
      <c r="AP114" s="671"/>
    </row>
    <row r="115" spans="2:42" ht="13.8" thickBot="1" x14ac:dyDescent="0.3">
      <c r="B115" s="672"/>
      <c r="C115" s="673"/>
      <c r="D115" s="673"/>
      <c r="E115" s="673"/>
      <c r="F115" s="673"/>
      <c r="G115" s="674"/>
      <c r="I115" s="672"/>
      <c r="J115" s="673"/>
      <c r="K115" s="673"/>
      <c r="L115" s="673"/>
      <c r="M115" s="673"/>
      <c r="N115" s="674"/>
      <c r="P115" s="672"/>
      <c r="Q115" s="673"/>
      <c r="R115" s="673"/>
      <c r="S115" s="673"/>
      <c r="T115" s="673"/>
      <c r="U115" s="674"/>
      <c r="W115" s="672"/>
      <c r="X115" s="673"/>
      <c r="Y115" s="673"/>
      <c r="Z115" s="673"/>
      <c r="AA115" s="673"/>
      <c r="AB115" s="674"/>
      <c r="AD115" s="672"/>
      <c r="AE115" s="673"/>
      <c r="AF115" s="673"/>
      <c r="AG115" s="673"/>
      <c r="AH115" s="673"/>
      <c r="AI115" s="674"/>
      <c r="AK115" s="672"/>
      <c r="AL115" s="673"/>
      <c r="AM115" s="673"/>
      <c r="AN115" s="673"/>
      <c r="AO115" s="673"/>
      <c r="AP115" s="674"/>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85741A-5576-4E9C-B516-7E1174345F81}">
  <ds:schemaRefs>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purl.org/dc/elements/1.1/"/>
    <ds:schemaRef ds:uri="http://www.w3.org/XML/1998/namespace"/>
    <ds:schemaRef ds:uri="http://purl.org/dc/dcmitype/"/>
    <ds:schemaRef ds:uri="http://schemas.microsoft.com/office/infopath/2007/PartnerControls"/>
    <ds:schemaRef ds:uri="1ae70799-0d70-4b12-8b56-98b16a28bfc2"/>
    <ds:schemaRef ds:uri="ad4533d6-bdea-4645-9570-fd22df110271"/>
  </ds:schemaRefs>
</ds:datastoreItem>
</file>

<file path=customXml/itemProps2.xml><?xml version="1.0" encoding="utf-8"?>
<ds:datastoreItem xmlns:ds="http://schemas.openxmlformats.org/officeDocument/2006/customXml" ds:itemID="{05B4DA6E-2A9F-4134-B372-39157B2137A6}">
  <ds:schemaRefs>
    <ds:schemaRef ds:uri="http://schemas.microsoft.com/sharepoint/v3/contenttype/forms"/>
  </ds:schemaRefs>
</ds:datastoreItem>
</file>

<file path=customXml/itemProps3.xml><?xml version="1.0" encoding="utf-8"?>
<ds:datastoreItem xmlns:ds="http://schemas.openxmlformats.org/officeDocument/2006/customXml" ds:itemID="{45911459-7CDF-43B8-B2BE-E83C9A886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33d6-bdea-4645-9570-fd22df110271"/>
    <ds:schemaRef ds:uri="1ae70799-0d70-4b12-8b56-98b16a28b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CFS-Main Page</vt:lpstr>
      <vt:lpstr>Rent</vt:lpstr>
      <vt:lpstr>Sources &amp; Usage</vt:lpstr>
      <vt:lpstr>Loan</vt:lpstr>
      <vt:lpstr>Historical Analysis</vt:lpstr>
      <vt:lpstr>Rent Comp</vt:lpstr>
      <vt:lpstr>Quick Comps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Analyst</cp:lastModifiedBy>
  <cp:revision/>
  <dcterms:created xsi:type="dcterms:W3CDTF">2015-06-05T18:17:20Z</dcterms:created>
  <dcterms:modified xsi:type="dcterms:W3CDTF">2026-04-06T21:44:02Z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