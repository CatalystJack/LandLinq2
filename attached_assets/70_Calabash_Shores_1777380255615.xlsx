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70 Calabash Shores/"/>
    </mc:Choice>
  </mc:AlternateContent>
  <xr:revisionPtr revIDLastSave="1908" documentId="8_{CD9B3479-65CE-4B7A-8912-CF7FFD72340D}" xr6:coauthVersionLast="47" xr6:coauthVersionMax="47" xr10:uidLastSave="{77AD0B8E-EB03-4CC0-A1A5-B8A9B2A5CB0A}"/>
  <bookViews>
    <workbookView xWindow="28680" yWindow="-120" windowWidth="29040" windowHeight="15720" xr2:uid="{00000000-000D-0000-FFFF-FFFF00000000}"/>
  </bookViews>
  <sheets>
    <sheet name="CFS-Main Page" sheetId="1" r:id="rId1"/>
    <sheet name="Rent" sheetId="6" r:id="rId2"/>
    <sheet name="Sources &amp; Usage" sheetId="8" r:id="rId3"/>
    <sheet name="Loan" sheetId="7" r:id="rId4"/>
    <sheet name="Historical Analysis" sheetId="5" r:id="rId5"/>
    <sheet name="Rent Comp" sheetId="12" r:id="rId6"/>
    <sheet name="Quick Comps" sheetId="11" state="hidden" r:id="rId7"/>
  </sheets>
  <externalReferences>
    <externalReference r:id="rId8"/>
  </externalReferences>
  <definedNames>
    <definedName name="_xlnm._FilterDatabase" localSheetId="1" hidden="1">Rent!$B$8:$O$28</definedName>
    <definedName name="data" hidden="1">{"data",#N/A,FALSE,"INPUT"}</definedName>
    <definedName name="units" localSheetId="6">[1]Rents!$C$51</definedName>
    <definedName name="Units">Rent!$D$29</definedName>
    <definedName name="wrn.data." hidden="1">{"data",#N/A,FALSE,"INPUT"}</definedName>
  </definedNames>
  <calcPr calcId="191028" calcMode="autoNoTable" iterate="1"/>
  <pivotCaches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H59" i="1"/>
  <c r="H58" i="1"/>
  <c r="H56" i="1"/>
  <c r="H47" i="1"/>
  <c r="R106" i="5"/>
  <c r="Q93" i="5"/>
  <c r="R64" i="5"/>
  <c r="R32" i="5"/>
  <c r="E107" i="5"/>
  <c r="F107" i="5"/>
  <c r="G107" i="5"/>
  <c r="H107" i="5"/>
  <c r="I107" i="5"/>
  <c r="J107" i="5"/>
  <c r="K107" i="5"/>
  <c r="L107" i="5"/>
  <c r="M107" i="5"/>
  <c r="N107" i="5"/>
  <c r="O107" i="5"/>
  <c r="D107" i="5"/>
  <c r="Z12" i="12"/>
  <c r="W14" i="12"/>
  <c r="T14" i="12"/>
  <c r="Z13" i="12"/>
  <c r="H49" i="1" l="1"/>
  <c r="H52" i="1"/>
  <c r="H51" i="1"/>
  <c r="H50" i="1"/>
  <c r="H43" i="1"/>
  <c r="H41" i="1"/>
  <c r="C13" i="7" l="1"/>
  <c r="T11" i="12"/>
  <c r="R160" i="5" l="1"/>
  <c r="Q165" i="5"/>
  <c r="Q175" i="5"/>
  <c r="Y29" i="12"/>
  <c r="X29" i="12"/>
  <c r="Q30" i="12"/>
  <c r="V29" i="12"/>
  <c r="U29" i="12"/>
  <c r="S29" i="12"/>
  <c r="R29" i="12"/>
  <c r="Q29" i="12"/>
  <c r="Q32" i="12" s="1"/>
  <c r="L7" i="12" l="1"/>
  <c r="E7" i="12"/>
  <c r="C7" i="12"/>
  <c r="W13" i="12"/>
  <c r="T13" i="12"/>
  <c r="W12" i="12"/>
  <c r="T12" i="12"/>
  <c r="Z11" i="12"/>
  <c r="W11" i="12"/>
  <c r="A11" i="12"/>
  <c r="A12" i="12" s="1"/>
  <c r="A13" i="12" s="1"/>
  <c r="Z10" i="12"/>
  <c r="W10" i="12"/>
  <c r="T10" i="12"/>
  <c r="T29" i="12" s="1"/>
  <c r="W29" i="12" l="1"/>
  <c r="Z29" i="12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1061" i="6" l="1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B2" i="6" l="1"/>
  <c r="D2" i="6"/>
  <c r="E2" i="6"/>
  <c r="D3" i="6"/>
  <c r="B4" i="6"/>
  <c r="D4" i="6"/>
  <c r="E4" i="6"/>
  <c r="D9" i="6"/>
  <c r="I9" i="6" s="1"/>
  <c r="D10" i="6"/>
  <c r="J10" i="6" s="1"/>
  <c r="D11" i="6"/>
  <c r="J11" i="6" s="1"/>
  <c r="D12" i="6"/>
  <c r="D13" i="6"/>
  <c r="D14" i="6"/>
  <c r="J14" i="6" s="1"/>
  <c r="D15" i="6"/>
  <c r="I15" i="6" s="1"/>
  <c r="D16" i="6"/>
  <c r="I16" i="6" s="1"/>
  <c r="D17" i="6"/>
  <c r="J17" i="6" s="1"/>
  <c r="D18" i="6"/>
  <c r="D19" i="6"/>
  <c r="D20" i="6"/>
  <c r="J20" i="6" s="1"/>
  <c r="D21" i="6"/>
  <c r="I21" i="6" s="1"/>
  <c r="D22" i="6"/>
  <c r="D23" i="6"/>
  <c r="J23" i="6" s="1"/>
  <c r="D24" i="6"/>
  <c r="D25" i="6"/>
  <c r="D26" i="6"/>
  <c r="J26" i="6" s="1"/>
  <c r="D27" i="6"/>
  <c r="I27" i="6" s="1"/>
  <c r="E27" i="6"/>
  <c r="M27" i="6" s="1"/>
  <c r="D28" i="6"/>
  <c r="J28" i="6" s="1"/>
  <c r="E28" i="6"/>
  <c r="Y7" i="12" l="1"/>
  <c r="I28" i="6"/>
  <c r="J9" i="6"/>
  <c r="H28" i="6"/>
  <c r="J16" i="6"/>
  <c r="I23" i="6"/>
  <c r="J21" i="6"/>
  <c r="I14" i="6"/>
  <c r="H27" i="6"/>
  <c r="I20" i="6"/>
  <c r="M28" i="6"/>
  <c r="F28" i="6"/>
  <c r="J27" i="6"/>
  <c r="I11" i="6"/>
  <c r="I22" i="6"/>
  <c r="I17" i="6"/>
  <c r="J15" i="6"/>
  <c r="J22" i="6"/>
  <c r="F27" i="6"/>
  <c r="I26" i="6"/>
  <c r="K29" i="6"/>
  <c r="I24" i="6"/>
  <c r="J24" i="6"/>
  <c r="I18" i="6"/>
  <c r="J18" i="6"/>
  <c r="D29" i="6"/>
  <c r="I25" i="6"/>
  <c r="J25" i="6"/>
  <c r="I19" i="6"/>
  <c r="J19" i="6"/>
  <c r="I13" i="6"/>
  <c r="J13" i="6"/>
  <c r="I12" i="6"/>
  <c r="J12" i="6"/>
  <c r="I10" i="6"/>
  <c r="V7" i="12" l="1"/>
  <c r="V30" i="12" s="1"/>
  <c r="S7" i="12"/>
  <c r="S30" i="12" s="1"/>
  <c r="J7" i="12"/>
  <c r="D3" i="1"/>
  <c r="Y30" i="12"/>
  <c r="N28" i="6"/>
  <c r="O28" i="6" s="1"/>
  <c r="N27" i="6"/>
  <c r="O27" i="6" s="1"/>
  <c r="G9" i="6"/>
  <c r="G10" i="6"/>
  <c r="G18" i="6"/>
  <c r="I29" i="6"/>
  <c r="K30" i="6"/>
  <c r="G11" i="6"/>
  <c r="G17" i="6"/>
  <c r="G23" i="6"/>
  <c r="G16" i="6"/>
  <c r="G22" i="6"/>
  <c r="G28" i="6"/>
  <c r="G15" i="6"/>
  <c r="J32" i="6"/>
  <c r="G21" i="6"/>
  <c r="G27" i="6"/>
  <c r="G19" i="6"/>
  <c r="G25" i="6"/>
  <c r="G14" i="6"/>
  <c r="G20" i="6"/>
  <c r="G26" i="6"/>
  <c r="K32" i="6"/>
  <c r="G13" i="6"/>
  <c r="J30" i="6"/>
  <c r="P7" i="12" s="1"/>
  <c r="G24" i="6"/>
  <c r="J29" i="6"/>
  <c r="H30" i="6" s="1"/>
  <c r="G12" i="6"/>
  <c r="G29" i="6" l="1"/>
  <c r="K31" i="6"/>
  <c r="J31" i="6"/>
  <c r="O7" i="12" s="1"/>
  <c r="H33" i="1" l="1"/>
  <c r="H35" i="1" s="1"/>
  <c r="H60" i="1"/>
  <c r="I42" i="1"/>
  <c r="I31" i="1" a="1"/>
  <c r="I31" i="1" s="1"/>
  <c r="E31" i="1" s="1"/>
  <c r="Q15" i="5"/>
  <c r="Q129" i="5"/>
  <c r="H19" i="1" l="1"/>
  <c r="H40" i="1"/>
  <c r="H44" i="1" s="1"/>
  <c r="H61" i="1" s="1"/>
  <c r="H22" i="1"/>
  <c r="H23" i="1"/>
  <c r="H21" i="1"/>
  <c r="H20" i="1"/>
  <c r="H25" i="1"/>
  <c r="R655" i="5"/>
  <c r="Q655" i="5"/>
  <c r="R654" i="5"/>
  <c r="Q654" i="5"/>
  <c r="R653" i="5"/>
  <c r="Q653" i="5"/>
  <c r="R652" i="5"/>
  <c r="Q652" i="5"/>
  <c r="R651" i="5"/>
  <c r="Q651" i="5"/>
  <c r="R650" i="5"/>
  <c r="Q650" i="5"/>
  <c r="R649" i="5"/>
  <c r="Q649" i="5"/>
  <c r="R648" i="5"/>
  <c r="Q648" i="5"/>
  <c r="R647" i="5"/>
  <c r="Q647" i="5"/>
  <c r="R646" i="5"/>
  <c r="Q646" i="5"/>
  <c r="R645" i="5"/>
  <c r="Q645" i="5"/>
  <c r="R644" i="5"/>
  <c r="Q644" i="5"/>
  <c r="R643" i="5"/>
  <c r="Q643" i="5"/>
  <c r="R642" i="5"/>
  <c r="Q642" i="5"/>
  <c r="R641" i="5"/>
  <c r="Q641" i="5"/>
  <c r="R640" i="5"/>
  <c r="Q640" i="5"/>
  <c r="R639" i="5"/>
  <c r="Q639" i="5"/>
  <c r="R638" i="5"/>
  <c r="Q638" i="5"/>
  <c r="R637" i="5"/>
  <c r="Q637" i="5"/>
  <c r="R636" i="5"/>
  <c r="Q636" i="5"/>
  <c r="R635" i="5"/>
  <c r="Q635" i="5"/>
  <c r="R634" i="5"/>
  <c r="Q634" i="5"/>
  <c r="R633" i="5"/>
  <c r="Q633" i="5"/>
  <c r="R632" i="5"/>
  <c r="Q632" i="5"/>
  <c r="R631" i="5"/>
  <c r="Q631" i="5"/>
  <c r="R630" i="5"/>
  <c r="Q630" i="5"/>
  <c r="R629" i="5"/>
  <c r="Q629" i="5"/>
  <c r="R628" i="5"/>
  <c r="Q628" i="5"/>
  <c r="R627" i="5"/>
  <c r="Q627" i="5"/>
  <c r="R626" i="5"/>
  <c r="Q626" i="5"/>
  <c r="R625" i="5"/>
  <c r="Q625" i="5"/>
  <c r="R624" i="5"/>
  <c r="Q624" i="5"/>
  <c r="R623" i="5"/>
  <c r="Q623" i="5"/>
  <c r="R622" i="5"/>
  <c r="Q622" i="5"/>
  <c r="R621" i="5"/>
  <c r="Q621" i="5"/>
  <c r="R620" i="5"/>
  <c r="Q620" i="5"/>
  <c r="R619" i="5"/>
  <c r="Q619" i="5"/>
  <c r="R618" i="5"/>
  <c r="Q618" i="5"/>
  <c r="R617" i="5"/>
  <c r="Q617" i="5"/>
  <c r="R616" i="5"/>
  <c r="Q616" i="5"/>
  <c r="R615" i="5"/>
  <c r="Q615" i="5"/>
  <c r="R614" i="5"/>
  <c r="Q614" i="5"/>
  <c r="R613" i="5"/>
  <c r="Q613" i="5"/>
  <c r="R612" i="5"/>
  <c r="Q612" i="5"/>
  <c r="R611" i="5"/>
  <c r="Q611" i="5"/>
  <c r="R610" i="5"/>
  <c r="Q610" i="5"/>
  <c r="R609" i="5"/>
  <c r="Q609" i="5"/>
  <c r="R608" i="5"/>
  <c r="Q608" i="5"/>
  <c r="R607" i="5"/>
  <c r="Q607" i="5"/>
  <c r="R606" i="5"/>
  <c r="Q606" i="5"/>
  <c r="R605" i="5"/>
  <c r="Q605" i="5"/>
  <c r="R604" i="5"/>
  <c r="Q604" i="5"/>
  <c r="R603" i="5"/>
  <c r="Q603" i="5"/>
  <c r="R602" i="5"/>
  <c r="Q602" i="5"/>
  <c r="R601" i="5"/>
  <c r="Q601" i="5"/>
  <c r="R600" i="5"/>
  <c r="Q600" i="5"/>
  <c r="R599" i="5"/>
  <c r="Q599" i="5"/>
  <c r="R598" i="5"/>
  <c r="Q598" i="5"/>
  <c r="R597" i="5"/>
  <c r="Q597" i="5"/>
  <c r="R596" i="5"/>
  <c r="Q596" i="5"/>
  <c r="R595" i="5"/>
  <c r="Q595" i="5"/>
  <c r="R594" i="5"/>
  <c r="Q594" i="5"/>
  <c r="R593" i="5"/>
  <c r="Q593" i="5"/>
  <c r="R592" i="5"/>
  <c r="Q592" i="5"/>
  <c r="R591" i="5"/>
  <c r="Q591" i="5"/>
  <c r="R590" i="5"/>
  <c r="Q590" i="5"/>
  <c r="R589" i="5"/>
  <c r="Q589" i="5"/>
  <c r="R588" i="5"/>
  <c r="Q588" i="5"/>
  <c r="R587" i="5"/>
  <c r="Q587" i="5"/>
  <c r="R586" i="5"/>
  <c r="Q586" i="5"/>
  <c r="R585" i="5"/>
  <c r="Q585" i="5"/>
  <c r="R584" i="5"/>
  <c r="Q584" i="5"/>
  <c r="R583" i="5"/>
  <c r="Q583" i="5"/>
  <c r="R582" i="5"/>
  <c r="Q582" i="5"/>
  <c r="R581" i="5"/>
  <c r="Q581" i="5"/>
  <c r="R580" i="5"/>
  <c r="Q580" i="5"/>
  <c r="R579" i="5"/>
  <c r="Q579" i="5"/>
  <c r="R578" i="5"/>
  <c r="Q578" i="5"/>
  <c r="R577" i="5"/>
  <c r="Q577" i="5"/>
  <c r="R576" i="5"/>
  <c r="Q576" i="5"/>
  <c r="R575" i="5"/>
  <c r="Q575" i="5"/>
  <c r="R574" i="5"/>
  <c r="Q574" i="5"/>
  <c r="R573" i="5"/>
  <c r="Q573" i="5"/>
  <c r="R572" i="5"/>
  <c r="Q572" i="5"/>
  <c r="R571" i="5"/>
  <c r="Q571" i="5"/>
  <c r="R570" i="5"/>
  <c r="Q570" i="5"/>
  <c r="R569" i="5"/>
  <c r="Q569" i="5"/>
  <c r="R568" i="5"/>
  <c r="Q568" i="5"/>
  <c r="R567" i="5"/>
  <c r="Q567" i="5"/>
  <c r="R566" i="5"/>
  <c r="Q566" i="5"/>
  <c r="R565" i="5"/>
  <c r="Q565" i="5"/>
  <c r="R564" i="5"/>
  <c r="Q564" i="5"/>
  <c r="R563" i="5"/>
  <c r="Q563" i="5"/>
  <c r="R562" i="5"/>
  <c r="Q562" i="5"/>
  <c r="R561" i="5"/>
  <c r="Q561" i="5"/>
  <c r="R560" i="5"/>
  <c r="Q560" i="5"/>
  <c r="R559" i="5"/>
  <c r="Q559" i="5"/>
  <c r="R558" i="5"/>
  <c r="Q558" i="5"/>
  <c r="R557" i="5"/>
  <c r="Q557" i="5"/>
  <c r="R556" i="5"/>
  <c r="Q556" i="5"/>
  <c r="R555" i="5"/>
  <c r="Q555" i="5"/>
  <c r="R554" i="5"/>
  <c r="Q554" i="5"/>
  <c r="R553" i="5"/>
  <c r="Q553" i="5"/>
  <c r="R552" i="5"/>
  <c r="Q552" i="5"/>
  <c r="R551" i="5"/>
  <c r="Q551" i="5"/>
  <c r="R550" i="5"/>
  <c r="Q550" i="5"/>
  <c r="R549" i="5"/>
  <c r="Q549" i="5"/>
  <c r="R548" i="5"/>
  <c r="Q548" i="5"/>
  <c r="R547" i="5"/>
  <c r="Q547" i="5"/>
  <c r="R546" i="5"/>
  <c r="Q546" i="5"/>
  <c r="R545" i="5"/>
  <c r="Q545" i="5"/>
  <c r="R544" i="5"/>
  <c r="Q544" i="5"/>
  <c r="R543" i="5"/>
  <c r="Q543" i="5"/>
  <c r="R542" i="5"/>
  <c r="Q542" i="5"/>
  <c r="R541" i="5"/>
  <c r="Q541" i="5"/>
  <c r="R540" i="5"/>
  <c r="Q540" i="5"/>
  <c r="R539" i="5"/>
  <c r="Q539" i="5"/>
  <c r="R538" i="5"/>
  <c r="Q538" i="5"/>
  <c r="R537" i="5"/>
  <c r="Q537" i="5"/>
  <c r="R536" i="5"/>
  <c r="Q536" i="5"/>
  <c r="R535" i="5"/>
  <c r="Q535" i="5"/>
  <c r="R534" i="5"/>
  <c r="Q534" i="5"/>
  <c r="R533" i="5"/>
  <c r="Q533" i="5"/>
  <c r="R532" i="5"/>
  <c r="Q532" i="5"/>
  <c r="R531" i="5"/>
  <c r="Q531" i="5"/>
  <c r="R530" i="5"/>
  <c r="Q530" i="5"/>
  <c r="R529" i="5"/>
  <c r="Q529" i="5"/>
  <c r="R528" i="5"/>
  <c r="Q528" i="5"/>
  <c r="R527" i="5"/>
  <c r="Q527" i="5"/>
  <c r="R526" i="5"/>
  <c r="Q526" i="5"/>
  <c r="R525" i="5"/>
  <c r="Q525" i="5"/>
  <c r="R524" i="5"/>
  <c r="Q524" i="5"/>
  <c r="R523" i="5"/>
  <c r="Q523" i="5"/>
  <c r="R522" i="5"/>
  <c r="Q522" i="5"/>
  <c r="R521" i="5"/>
  <c r="Q521" i="5"/>
  <c r="R520" i="5"/>
  <c r="Q520" i="5"/>
  <c r="R519" i="5"/>
  <c r="Q519" i="5"/>
  <c r="R518" i="5"/>
  <c r="Q518" i="5"/>
  <c r="R517" i="5"/>
  <c r="Q517" i="5"/>
  <c r="R516" i="5"/>
  <c r="Q516" i="5"/>
  <c r="R515" i="5"/>
  <c r="Q515" i="5"/>
  <c r="R514" i="5"/>
  <c r="Q514" i="5"/>
  <c r="R513" i="5"/>
  <c r="Q513" i="5"/>
  <c r="R512" i="5"/>
  <c r="Q512" i="5"/>
  <c r="R511" i="5"/>
  <c r="Q511" i="5"/>
  <c r="R510" i="5"/>
  <c r="Q510" i="5"/>
  <c r="R509" i="5"/>
  <c r="Q509" i="5"/>
  <c r="R508" i="5"/>
  <c r="Q508" i="5"/>
  <c r="R507" i="5"/>
  <c r="Q507" i="5"/>
  <c r="R506" i="5"/>
  <c r="Q506" i="5"/>
  <c r="R505" i="5"/>
  <c r="Q505" i="5"/>
  <c r="R504" i="5"/>
  <c r="Q504" i="5"/>
  <c r="R503" i="5"/>
  <c r="Q503" i="5"/>
  <c r="R502" i="5"/>
  <c r="Q502" i="5"/>
  <c r="R501" i="5"/>
  <c r="Q501" i="5"/>
  <c r="R500" i="5"/>
  <c r="Q500" i="5"/>
  <c r="R499" i="5"/>
  <c r="Q499" i="5"/>
  <c r="R498" i="5"/>
  <c r="Q498" i="5"/>
  <c r="R497" i="5"/>
  <c r="Q497" i="5"/>
  <c r="R496" i="5"/>
  <c r="Q496" i="5"/>
  <c r="R495" i="5"/>
  <c r="Q495" i="5"/>
  <c r="R494" i="5"/>
  <c r="Q494" i="5"/>
  <c r="R493" i="5"/>
  <c r="Q493" i="5"/>
  <c r="R492" i="5"/>
  <c r="Q492" i="5"/>
  <c r="R491" i="5"/>
  <c r="Q491" i="5"/>
  <c r="R490" i="5"/>
  <c r="Q490" i="5"/>
  <c r="R489" i="5"/>
  <c r="Q489" i="5"/>
  <c r="R488" i="5"/>
  <c r="Q488" i="5"/>
  <c r="R487" i="5"/>
  <c r="Q487" i="5"/>
  <c r="R486" i="5"/>
  <c r="Q486" i="5"/>
  <c r="R485" i="5"/>
  <c r="Q485" i="5"/>
  <c r="R484" i="5"/>
  <c r="Q484" i="5"/>
  <c r="R483" i="5"/>
  <c r="Q483" i="5"/>
  <c r="R482" i="5"/>
  <c r="Q482" i="5"/>
  <c r="R481" i="5"/>
  <c r="Q481" i="5"/>
  <c r="R480" i="5"/>
  <c r="Q480" i="5"/>
  <c r="R479" i="5"/>
  <c r="Q479" i="5"/>
  <c r="R478" i="5"/>
  <c r="Q478" i="5"/>
  <c r="R477" i="5"/>
  <c r="Q477" i="5"/>
  <c r="R476" i="5"/>
  <c r="Q476" i="5"/>
  <c r="R475" i="5"/>
  <c r="Q475" i="5"/>
  <c r="R474" i="5"/>
  <c r="Q474" i="5"/>
  <c r="R473" i="5"/>
  <c r="Q473" i="5"/>
  <c r="R472" i="5"/>
  <c r="Q472" i="5"/>
  <c r="R471" i="5"/>
  <c r="Q471" i="5"/>
  <c r="R470" i="5"/>
  <c r="Q470" i="5"/>
  <c r="R469" i="5"/>
  <c r="Q469" i="5"/>
  <c r="R468" i="5"/>
  <c r="Q468" i="5"/>
  <c r="R467" i="5"/>
  <c r="Q467" i="5"/>
  <c r="R466" i="5"/>
  <c r="Q466" i="5"/>
  <c r="R465" i="5"/>
  <c r="Q465" i="5"/>
  <c r="R464" i="5"/>
  <c r="Q464" i="5"/>
  <c r="R463" i="5"/>
  <c r="Q463" i="5"/>
  <c r="R462" i="5"/>
  <c r="Q462" i="5"/>
  <c r="R461" i="5"/>
  <c r="Q461" i="5"/>
  <c r="R460" i="5"/>
  <c r="Q460" i="5"/>
  <c r="R459" i="5"/>
  <c r="Q459" i="5"/>
  <c r="R458" i="5"/>
  <c r="Q458" i="5"/>
  <c r="R457" i="5"/>
  <c r="Q457" i="5"/>
  <c r="R456" i="5"/>
  <c r="Q456" i="5"/>
  <c r="R455" i="5"/>
  <c r="Q455" i="5"/>
  <c r="R454" i="5"/>
  <c r="Q454" i="5"/>
  <c r="R453" i="5"/>
  <c r="Q453" i="5"/>
  <c r="R452" i="5"/>
  <c r="Q452" i="5"/>
  <c r="R451" i="5"/>
  <c r="Q451" i="5"/>
  <c r="R450" i="5"/>
  <c r="Q450" i="5"/>
  <c r="R449" i="5"/>
  <c r="Q449" i="5"/>
  <c r="R448" i="5"/>
  <c r="Q448" i="5"/>
  <c r="R447" i="5"/>
  <c r="Q447" i="5"/>
  <c r="R446" i="5"/>
  <c r="Q446" i="5"/>
  <c r="R445" i="5"/>
  <c r="Q445" i="5"/>
  <c r="R444" i="5"/>
  <c r="Q444" i="5"/>
  <c r="R443" i="5"/>
  <c r="Q443" i="5"/>
  <c r="R442" i="5"/>
  <c r="Q442" i="5"/>
  <c r="R441" i="5"/>
  <c r="Q441" i="5"/>
  <c r="R440" i="5"/>
  <c r="Q440" i="5"/>
  <c r="R439" i="5"/>
  <c r="Q439" i="5"/>
  <c r="R438" i="5"/>
  <c r="Q438" i="5"/>
  <c r="R437" i="5"/>
  <c r="Q437" i="5"/>
  <c r="R436" i="5"/>
  <c r="Q436" i="5"/>
  <c r="R435" i="5"/>
  <c r="Q435" i="5"/>
  <c r="R434" i="5"/>
  <c r="Q434" i="5"/>
  <c r="R433" i="5"/>
  <c r="Q433" i="5"/>
  <c r="R432" i="5"/>
  <c r="Q432" i="5"/>
  <c r="R431" i="5"/>
  <c r="Q431" i="5"/>
  <c r="R430" i="5"/>
  <c r="Q430" i="5"/>
  <c r="R429" i="5"/>
  <c r="Q429" i="5"/>
  <c r="R428" i="5"/>
  <c r="Q428" i="5"/>
  <c r="R427" i="5"/>
  <c r="Q427" i="5"/>
  <c r="R426" i="5"/>
  <c r="Q426" i="5"/>
  <c r="R425" i="5"/>
  <c r="Q425" i="5"/>
  <c r="R424" i="5"/>
  <c r="Q424" i="5"/>
  <c r="R423" i="5"/>
  <c r="Q423" i="5"/>
  <c r="R422" i="5"/>
  <c r="Q422" i="5"/>
  <c r="R421" i="5"/>
  <c r="Q421" i="5"/>
  <c r="R420" i="5"/>
  <c r="Q420" i="5"/>
  <c r="R419" i="5"/>
  <c r="Q419" i="5"/>
  <c r="R418" i="5"/>
  <c r="Q418" i="5"/>
  <c r="R417" i="5"/>
  <c r="Q417" i="5"/>
  <c r="R416" i="5"/>
  <c r="Q416" i="5"/>
  <c r="R415" i="5"/>
  <c r="Q415" i="5"/>
  <c r="R414" i="5"/>
  <c r="Q414" i="5"/>
  <c r="R413" i="5"/>
  <c r="Q413" i="5"/>
  <c r="R412" i="5"/>
  <c r="Q412" i="5"/>
  <c r="R411" i="5"/>
  <c r="Q411" i="5"/>
  <c r="R410" i="5"/>
  <c r="Q410" i="5"/>
  <c r="R409" i="5"/>
  <c r="Q409" i="5"/>
  <c r="R408" i="5"/>
  <c r="Q408" i="5"/>
  <c r="R407" i="5"/>
  <c r="Q407" i="5"/>
  <c r="R406" i="5"/>
  <c r="Q406" i="5"/>
  <c r="R405" i="5"/>
  <c r="Q405" i="5"/>
  <c r="R404" i="5"/>
  <c r="Q404" i="5"/>
  <c r="R403" i="5"/>
  <c r="Q403" i="5"/>
  <c r="R402" i="5"/>
  <c r="Q402" i="5"/>
  <c r="R401" i="5"/>
  <c r="Q401" i="5"/>
  <c r="R400" i="5"/>
  <c r="Q400" i="5"/>
  <c r="R399" i="5"/>
  <c r="Q399" i="5"/>
  <c r="R398" i="5"/>
  <c r="Q398" i="5"/>
  <c r="R397" i="5"/>
  <c r="Q397" i="5"/>
  <c r="R396" i="5"/>
  <c r="Q396" i="5"/>
  <c r="R395" i="5"/>
  <c r="Q395" i="5"/>
  <c r="R394" i="5"/>
  <c r="Q394" i="5"/>
  <c r="R393" i="5"/>
  <c r="Q393" i="5"/>
  <c r="R392" i="5"/>
  <c r="Q392" i="5"/>
  <c r="R391" i="5"/>
  <c r="Q391" i="5"/>
  <c r="R390" i="5"/>
  <c r="Q390" i="5"/>
  <c r="R389" i="5"/>
  <c r="Q389" i="5"/>
  <c r="R388" i="5"/>
  <c r="Q388" i="5"/>
  <c r="R387" i="5"/>
  <c r="Q387" i="5"/>
  <c r="R386" i="5"/>
  <c r="Q386" i="5"/>
  <c r="R385" i="5"/>
  <c r="Q385" i="5"/>
  <c r="R384" i="5"/>
  <c r="Q384" i="5"/>
  <c r="R383" i="5"/>
  <c r="Q383" i="5"/>
  <c r="R382" i="5"/>
  <c r="Q382" i="5"/>
  <c r="R381" i="5"/>
  <c r="Q381" i="5"/>
  <c r="R380" i="5"/>
  <c r="Q380" i="5"/>
  <c r="R379" i="5"/>
  <c r="Q379" i="5"/>
  <c r="R378" i="5"/>
  <c r="Q378" i="5"/>
  <c r="R377" i="5"/>
  <c r="Q377" i="5"/>
  <c r="R376" i="5"/>
  <c r="Q376" i="5"/>
  <c r="R375" i="5"/>
  <c r="Q375" i="5"/>
  <c r="R374" i="5"/>
  <c r="Q374" i="5"/>
  <c r="R373" i="5"/>
  <c r="Q373" i="5"/>
  <c r="R372" i="5"/>
  <c r="Q372" i="5"/>
  <c r="R371" i="5"/>
  <c r="Q371" i="5"/>
  <c r="R370" i="5"/>
  <c r="Q370" i="5"/>
  <c r="R369" i="5"/>
  <c r="Q369" i="5"/>
  <c r="R368" i="5"/>
  <c r="Q368" i="5"/>
  <c r="R367" i="5"/>
  <c r="Q367" i="5"/>
  <c r="R366" i="5"/>
  <c r="Q366" i="5"/>
  <c r="R365" i="5"/>
  <c r="Q365" i="5"/>
  <c r="R364" i="5"/>
  <c r="Q364" i="5"/>
  <c r="R363" i="5"/>
  <c r="Q363" i="5"/>
  <c r="R362" i="5"/>
  <c r="Q362" i="5"/>
  <c r="R361" i="5"/>
  <c r="Q361" i="5"/>
  <c r="R360" i="5"/>
  <c r="Q360" i="5"/>
  <c r="R359" i="5"/>
  <c r="Q359" i="5"/>
  <c r="R358" i="5"/>
  <c r="Q358" i="5"/>
  <c r="R357" i="5"/>
  <c r="Q357" i="5"/>
  <c r="R356" i="5"/>
  <c r="Q356" i="5"/>
  <c r="R355" i="5"/>
  <c r="Q355" i="5"/>
  <c r="R354" i="5"/>
  <c r="Q354" i="5"/>
  <c r="R353" i="5"/>
  <c r="Q353" i="5"/>
  <c r="R352" i="5"/>
  <c r="Q352" i="5"/>
  <c r="R351" i="5"/>
  <c r="Q351" i="5"/>
  <c r="R350" i="5"/>
  <c r="Q350" i="5"/>
  <c r="R349" i="5"/>
  <c r="Q349" i="5"/>
  <c r="R348" i="5"/>
  <c r="Q348" i="5"/>
  <c r="R347" i="5"/>
  <c r="Q347" i="5"/>
  <c r="R346" i="5"/>
  <c r="Q346" i="5"/>
  <c r="R345" i="5"/>
  <c r="Q345" i="5"/>
  <c r="R344" i="5"/>
  <c r="Q344" i="5"/>
  <c r="R343" i="5"/>
  <c r="Q343" i="5"/>
  <c r="R342" i="5"/>
  <c r="Q342" i="5"/>
  <c r="R341" i="5"/>
  <c r="Q341" i="5"/>
  <c r="R340" i="5"/>
  <c r="Q340" i="5"/>
  <c r="R339" i="5"/>
  <c r="Q339" i="5"/>
  <c r="R338" i="5"/>
  <c r="Q338" i="5"/>
  <c r="R337" i="5"/>
  <c r="Q337" i="5"/>
  <c r="R336" i="5"/>
  <c r="Q336" i="5"/>
  <c r="R335" i="5"/>
  <c r="Q335" i="5"/>
  <c r="R334" i="5"/>
  <c r="Q334" i="5"/>
  <c r="R333" i="5"/>
  <c r="Q333" i="5"/>
  <c r="R332" i="5"/>
  <c r="Q332" i="5"/>
  <c r="R331" i="5"/>
  <c r="Q331" i="5"/>
  <c r="R330" i="5"/>
  <c r="Q330" i="5"/>
  <c r="R329" i="5"/>
  <c r="Q329" i="5"/>
  <c r="R328" i="5"/>
  <c r="Q328" i="5"/>
  <c r="R327" i="5"/>
  <c r="Q327" i="5"/>
  <c r="R326" i="5"/>
  <c r="Q326" i="5"/>
  <c r="R325" i="5"/>
  <c r="Q325" i="5"/>
  <c r="R324" i="5"/>
  <c r="Q324" i="5"/>
  <c r="R323" i="5"/>
  <c r="Q323" i="5"/>
  <c r="R322" i="5"/>
  <c r="Q322" i="5"/>
  <c r="R321" i="5"/>
  <c r="Q321" i="5"/>
  <c r="R320" i="5"/>
  <c r="Q320" i="5"/>
  <c r="R319" i="5"/>
  <c r="Q319" i="5"/>
  <c r="R318" i="5"/>
  <c r="Q318" i="5"/>
  <c r="R317" i="5"/>
  <c r="Q317" i="5"/>
  <c r="R316" i="5"/>
  <c r="Q316" i="5"/>
  <c r="R315" i="5"/>
  <c r="Q315" i="5"/>
  <c r="R314" i="5"/>
  <c r="Q314" i="5"/>
  <c r="R313" i="5"/>
  <c r="Q313" i="5"/>
  <c r="R312" i="5"/>
  <c r="Q312" i="5"/>
  <c r="R311" i="5"/>
  <c r="Q311" i="5"/>
  <c r="R310" i="5"/>
  <c r="Q310" i="5"/>
  <c r="R309" i="5"/>
  <c r="Q309" i="5"/>
  <c r="R308" i="5"/>
  <c r="Q308" i="5"/>
  <c r="R307" i="5"/>
  <c r="Q307" i="5"/>
  <c r="R306" i="5"/>
  <c r="Q306" i="5"/>
  <c r="R305" i="5"/>
  <c r="Q305" i="5"/>
  <c r="R304" i="5"/>
  <c r="Q304" i="5"/>
  <c r="R303" i="5"/>
  <c r="Q303" i="5"/>
  <c r="R302" i="5"/>
  <c r="Q302" i="5"/>
  <c r="R301" i="5"/>
  <c r="Q301" i="5"/>
  <c r="R300" i="5"/>
  <c r="Q300" i="5"/>
  <c r="R299" i="5"/>
  <c r="Q299" i="5"/>
  <c r="R298" i="5"/>
  <c r="Q298" i="5"/>
  <c r="R297" i="5"/>
  <c r="Q297" i="5"/>
  <c r="R296" i="5"/>
  <c r="Q296" i="5"/>
  <c r="R295" i="5"/>
  <c r="Q295" i="5"/>
  <c r="R294" i="5"/>
  <c r="Q294" i="5"/>
  <c r="R293" i="5"/>
  <c r="Q293" i="5"/>
  <c r="R292" i="5"/>
  <c r="Q292" i="5"/>
  <c r="R291" i="5"/>
  <c r="Q291" i="5"/>
  <c r="R290" i="5"/>
  <c r="Q290" i="5"/>
  <c r="R289" i="5"/>
  <c r="Q289" i="5"/>
  <c r="R288" i="5"/>
  <c r="Q288" i="5"/>
  <c r="R287" i="5"/>
  <c r="Q287" i="5"/>
  <c r="R286" i="5"/>
  <c r="Q286" i="5"/>
  <c r="R285" i="5"/>
  <c r="Q285" i="5"/>
  <c r="R284" i="5"/>
  <c r="Q284" i="5"/>
  <c r="R283" i="5"/>
  <c r="Q283" i="5"/>
  <c r="R282" i="5"/>
  <c r="Q282" i="5"/>
  <c r="R281" i="5"/>
  <c r="Q281" i="5"/>
  <c r="R280" i="5"/>
  <c r="Q280" i="5"/>
  <c r="R279" i="5"/>
  <c r="Q279" i="5"/>
  <c r="R278" i="5"/>
  <c r="Q278" i="5"/>
  <c r="R277" i="5"/>
  <c r="Q277" i="5"/>
  <c r="R276" i="5"/>
  <c r="Q276" i="5"/>
  <c r="R275" i="5"/>
  <c r="Q275" i="5"/>
  <c r="R274" i="5"/>
  <c r="Q274" i="5"/>
  <c r="R273" i="5"/>
  <c r="Q273" i="5"/>
  <c r="R272" i="5"/>
  <c r="Q272" i="5"/>
  <c r="R271" i="5"/>
  <c r="Q271" i="5"/>
  <c r="R270" i="5"/>
  <c r="Q270" i="5"/>
  <c r="R269" i="5"/>
  <c r="Q269" i="5"/>
  <c r="R268" i="5"/>
  <c r="Q268" i="5"/>
  <c r="R267" i="5"/>
  <c r="Q267" i="5"/>
  <c r="R266" i="5"/>
  <c r="Q266" i="5"/>
  <c r="R265" i="5"/>
  <c r="Q265" i="5"/>
  <c r="R264" i="5"/>
  <c r="Q264" i="5"/>
  <c r="R263" i="5"/>
  <c r="Q263" i="5"/>
  <c r="R262" i="5"/>
  <c r="Q262" i="5"/>
  <c r="R261" i="5"/>
  <c r="Q261" i="5"/>
  <c r="R260" i="5"/>
  <c r="Q260" i="5"/>
  <c r="R259" i="5"/>
  <c r="Q259" i="5"/>
  <c r="R258" i="5"/>
  <c r="Q258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R164" i="5"/>
  <c r="Q164" i="5"/>
  <c r="R163" i="5"/>
  <c r="Q163" i="5"/>
  <c r="R162" i="5"/>
  <c r="Q162" i="5"/>
  <c r="R161" i="5"/>
  <c r="Q161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H27" i="1" l="1"/>
  <c r="H63" i="1"/>
  <c r="H66" i="1" s="1"/>
  <c r="L9" i="1" l="1"/>
  <c r="G5" i="1"/>
  <c r="C38" i="6" l="1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37" i="6"/>
  <c r="N19" i="1"/>
  <c r="O19" i="1" s="1"/>
  <c r="P19" i="1" s="1"/>
  <c r="Q19" i="1" s="1"/>
  <c r="R19" i="1" s="1"/>
  <c r="S19" i="1" s="1"/>
  <c r="D39" i="6" l="1"/>
  <c r="D51" i="6"/>
  <c r="H51" i="6" s="1"/>
  <c r="D50" i="6"/>
  <c r="H50" i="6" s="1"/>
  <c r="D41" i="6"/>
  <c r="H41" i="6" s="1"/>
  <c r="D55" i="6"/>
  <c r="H55" i="6" s="1"/>
  <c r="D38" i="6"/>
  <c r="D45" i="6"/>
  <c r="D48" i="6"/>
  <c r="H48" i="6" s="1"/>
  <c r="D54" i="6"/>
  <c r="H54" i="6" s="1"/>
  <c r="D49" i="6"/>
  <c r="H49" i="6" s="1"/>
  <c r="D56" i="6"/>
  <c r="H56" i="6" s="1"/>
  <c r="D53" i="6"/>
  <c r="H53" i="6" s="1"/>
  <c r="D42" i="6"/>
  <c r="H42" i="6" s="1"/>
  <c r="D40" i="6"/>
  <c r="H40" i="6" s="1"/>
  <c r="D46" i="6"/>
  <c r="D52" i="6"/>
  <c r="H52" i="6" s="1"/>
  <c r="D47" i="6"/>
  <c r="H47" i="6" s="1"/>
  <c r="J8" i="1" l="1"/>
  <c r="C7" i="1" s="1"/>
  <c r="H14" i="1" s="1"/>
  <c r="Q16" i="1"/>
  <c r="G15" i="1" s="1"/>
  <c r="H15" i="1" l="1"/>
  <c r="I53" i="1"/>
  <c r="D10" i="7"/>
  <c r="I7" i="1" l="1"/>
  <c r="AC70" i="1"/>
  <c r="AB70" i="1"/>
  <c r="AA70" i="1"/>
  <c r="Z70" i="1"/>
  <c r="Y70" i="1"/>
  <c r="X70" i="1"/>
  <c r="W70" i="1"/>
  <c r="V70" i="1"/>
  <c r="U70" i="1"/>
  <c r="T70" i="1"/>
  <c r="S70" i="1"/>
  <c r="AC68" i="1"/>
  <c r="AB68" i="1"/>
  <c r="AA68" i="1"/>
  <c r="Z68" i="1"/>
  <c r="Y68" i="1"/>
  <c r="X68" i="1"/>
  <c r="W68" i="1"/>
  <c r="V68" i="1"/>
  <c r="U68" i="1"/>
  <c r="T68" i="1"/>
  <c r="S68" i="1"/>
  <c r="C2" i="8"/>
  <c r="D2" i="8"/>
  <c r="C3" i="8"/>
  <c r="C4" i="8"/>
  <c r="D4" i="8"/>
  <c r="C2" i="7"/>
  <c r="D2" i="7"/>
  <c r="C3" i="7"/>
  <c r="C4" i="7"/>
  <c r="D4" i="7"/>
  <c r="D18" i="1"/>
  <c r="Q8" i="5" l="1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R15" i="5"/>
  <c r="Q16" i="5"/>
  <c r="R16" i="5"/>
  <c r="Q17" i="5"/>
  <c r="R17" i="5"/>
  <c r="I68" i="6"/>
  <c r="I69" i="6"/>
  <c r="I62" i="6"/>
  <c r="I65" i="6"/>
  <c r="I77" i="6"/>
  <c r="I70" i="6"/>
  <c r="I78" i="6"/>
  <c r="I79" i="6"/>
  <c r="I71" i="6"/>
  <c r="I72" i="6"/>
  <c r="I75" i="6"/>
  <c r="I76" i="6"/>
  <c r="I73" i="6"/>
  <c r="I74" i="6"/>
  <c r="I63" i="6"/>
  <c r="I64" i="6"/>
  <c r="I66" i="6"/>
  <c r="I67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C12" i="7"/>
  <c r="C9" i="7" s="1"/>
  <c r="E26" i="6" l="1"/>
  <c r="E24" i="6"/>
  <c r="E23" i="6"/>
  <c r="E25" i="6"/>
  <c r="E15" i="6"/>
  <c r="E19" i="6"/>
  <c r="E17" i="6"/>
  <c r="E10" i="6"/>
  <c r="E12" i="6"/>
  <c r="E22" i="6"/>
  <c r="E11" i="6"/>
  <c r="E9" i="6"/>
  <c r="E18" i="6"/>
  <c r="E20" i="6"/>
  <c r="E13" i="6"/>
  <c r="E16" i="6"/>
  <c r="E14" i="6"/>
  <c r="E21" i="6"/>
  <c r="D37" i="6"/>
  <c r="D44" i="6"/>
  <c r="H44" i="6" s="1"/>
  <c r="H45" i="6"/>
  <c r="D43" i="6"/>
  <c r="H43" i="6" s="1"/>
  <c r="D16" i="8"/>
  <c r="H39" i="6"/>
  <c r="H38" i="6"/>
  <c r="H46" i="6"/>
  <c r="X7" i="12" l="1"/>
  <c r="Z7" i="12" s="1"/>
  <c r="M23" i="6"/>
  <c r="H23" i="6"/>
  <c r="F23" i="6"/>
  <c r="F25" i="6"/>
  <c r="H25" i="6"/>
  <c r="M25" i="6"/>
  <c r="F24" i="6"/>
  <c r="H24" i="6"/>
  <c r="M24" i="6"/>
  <c r="N24" i="6" s="1"/>
  <c r="O24" i="6" s="1"/>
  <c r="M26" i="6"/>
  <c r="F26" i="6"/>
  <c r="H26" i="6"/>
  <c r="G5" i="6" a="1"/>
  <c r="G5" i="6" s="1"/>
  <c r="R7" i="12" s="1"/>
  <c r="I5" i="6" a="1"/>
  <c r="I5" i="6" s="1"/>
  <c r="U7" i="12" s="1"/>
  <c r="H16" i="6"/>
  <c r="M16" i="6"/>
  <c r="F16" i="6"/>
  <c r="M20" i="6"/>
  <c r="H20" i="6"/>
  <c r="F20" i="6"/>
  <c r="M9" i="6"/>
  <c r="H9" i="6"/>
  <c r="F9" i="6"/>
  <c r="E29" i="6"/>
  <c r="H29" i="6" s="1"/>
  <c r="AA7" i="12" s="1"/>
  <c r="H22" i="6"/>
  <c r="M22" i="6"/>
  <c r="F22" i="6"/>
  <c r="F13" i="6"/>
  <c r="H13" i="6"/>
  <c r="M13" i="6"/>
  <c r="H18" i="6"/>
  <c r="M18" i="6"/>
  <c r="F18" i="6"/>
  <c r="H11" i="6"/>
  <c r="M11" i="6"/>
  <c r="F11" i="6"/>
  <c r="H12" i="6"/>
  <c r="M12" i="6"/>
  <c r="F12" i="6"/>
  <c r="H10" i="6"/>
  <c r="M10" i="6"/>
  <c r="F10" i="6"/>
  <c r="H17" i="6"/>
  <c r="M17" i="6"/>
  <c r="F17" i="6"/>
  <c r="M21" i="6"/>
  <c r="H21" i="6"/>
  <c r="F21" i="6"/>
  <c r="M19" i="6"/>
  <c r="F19" i="6"/>
  <c r="H19" i="6"/>
  <c r="M14" i="6"/>
  <c r="F14" i="6"/>
  <c r="H14" i="6"/>
  <c r="H15" i="6"/>
  <c r="M15" i="6"/>
  <c r="F15" i="6"/>
  <c r="I41" i="1"/>
  <c r="N13" i="6" l="1"/>
  <c r="O13" i="6" s="1"/>
  <c r="Z30" i="12"/>
  <c r="Z32" i="12" s="1"/>
  <c r="X30" i="12"/>
  <c r="X32" i="12" s="1"/>
  <c r="U30" i="12"/>
  <c r="U32" i="12" s="1"/>
  <c r="W7" i="12"/>
  <c r="W30" i="12" s="1"/>
  <c r="W32" i="12" s="1"/>
  <c r="T7" i="12"/>
  <c r="T30" i="12" s="1"/>
  <c r="T32" i="12" s="1"/>
  <c r="R30" i="12"/>
  <c r="R32" i="12" s="1"/>
  <c r="N25" i="6"/>
  <c r="O25" i="6" s="1"/>
  <c r="N26" i="6"/>
  <c r="O26" i="6" s="1"/>
  <c r="N23" i="6"/>
  <c r="O23" i="6" s="1"/>
  <c r="N20" i="6"/>
  <c r="O20" i="6" s="1"/>
  <c r="N19" i="6"/>
  <c r="O19" i="6" s="1"/>
  <c r="M30" i="6"/>
  <c r="M31" i="6" s="1"/>
  <c r="N11" i="6"/>
  <c r="O11" i="6" s="1"/>
  <c r="N21" i="6"/>
  <c r="O21" i="6" s="1"/>
  <c r="F29" i="6"/>
  <c r="N15" i="6"/>
  <c r="O15" i="6" s="1"/>
  <c r="N17" i="6"/>
  <c r="O17" i="6" s="1"/>
  <c r="N18" i="6"/>
  <c r="O18" i="6" s="1"/>
  <c r="N9" i="6"/>
  <c r="N10" i="6"/>
  <c r="O10" i="6" s="1"/>
  <c r="N14" i="6"/>
  <c r="O14" i="6" s="1"/>
  <c r="M32" i="6"/>
  <c r="N16" i="6"/>
  <c r="O16" i="6" s="1"/>
  <c r="N12" i="6"/>
  <c r="O12" i="6" s="1"/>
  <c r="N22" i="6"/>
  <c r="O22" i="6" s="1"/>
  <c r="M29" i="6"/>
  <c r="E3" i="6"/>
  <c r="H21" i="7"/>
  <c r="H26" i="7"/>
  <c r="E21" i="7"/>
  <c r="M21" i="7"/>
  <c r="L21" i="7"/>
  <c r="J21" i="7"/>
  <c r="G21" i="7"/>
  <c r="F21" i="7"/>
  <c r="O9" i="6" l="1"/>
  <c r="N29" i="6"/>
  <c r="H31" i="6" s="1"/>
  <c r="H32" i="6" s="1"/>
  <c r="C32" i="7"/>
  <c r="G27" i="7"/>
  <c r="E6" i="5" l="1"/>
  <c r="F6" i="5" s="1"/>
  <c r="G6" i="5" s="1"/>
  <c r="H6" i="5" s="1"/>
  <c r="I6" i="5" s="1"/>
  <c r="J6" i="5" s="1"/>
  <c r="K6" i="5" s="1"/>
  <c r="L6" i="5" s="1"/>
  <c r="M6" i="5" s="1"/>
  <c r="N6" i="5" s="1"/>
  <c r="O6" i="5" s="1"/>
  <c r="C6" i="5" s="1"/>
  <c r="H37" i="6"/>
  <c r="F30" i="1"/>
  <c r="F46" i="1" s="1"/>
  <c r="D5" i="5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AN101" i="11"/>
  <c r="AO101" i="11" s="1"/>
  <c r="AM101" i="11"/>
  <c r="AL101" i="11"/>
  <c r="AL108" i="11" s="1"/>
  <c r="AG101" i="11"/>
  <c r="AF101" i="11"/>
  <c r="AE101" i="11"/>
  <c r="AE108" i="11" s="1"/>
  <c r="AI108" i="11" s="1"/>
  <c r="Z101" i="11"/>
  <c r="Y101" i="11"/>
  <c r="X101" i="11"/>
  <c r="X108" i="11" s="1"/>
  <c r="AB108" i="11" s="1"/>
  <c r="S101" i="11"/>
  <c r="R101" i="11"/>
  <c r="Q101" i="11"/>
  <c r="Q108" i="11" s="1"/>
  <c r="U108" i="11" s="1"/>
  <c r="L101" i="11"/>
  <c r="K101" i="11"/>
  <c r="J101" i="11"/>
  <c r="J108" i="11" s="1"/>
  <c r="N108" i="11" s="1"/>
  <c r="E101" i="11"/>
  <c r="E102" i="11" s="1"/>
  <c r="E108" i="11" s="1"/>
  <c r="D101" i="11"/>
  <c r="D102" i="11" s="1"/>
  <c r="D108" i="11" s="1"/>
  <c r="C101" i="11"/>
  <c r="C108" i="11" s="1"/>
  <c r="G108" i="11" s="1"/>
  <c r="AP100" i="11"/>
  <c r="AO100" i="11"/>
  <c r="AI100" i="11"/>
  <c r="AH100" i="11"/>
  <c r="AB100" i="11"/>
  <c r="AA100" i="11"/>
  <c r="U100" i="11"/>
  <c r="T100" i="11"/>
  <c r="N100" i="11"/>
  <c r="M100" i="11"/>
  <c r="G100" i="11"/>
  <c r="F100" i="11"/>
  <c r="AP99" i="11"/>
  <c r="AO99" i="11"/>
  <c r="AI99" i="11"/>
  <c r="AH99" i="11"/>
  <c r="AB99" i="11"/>
  <c r="AA99" i="11"/>
  <c r="U99" i="11"/>
  <c r="T99" i="11"/>
  <c r="N99" i="11"/>
  <c r="M99" i="11"/>
  <c r="G99" i="11"/>
  <c r="F99" i="11"/>
  <c r="AP98" i="11"/>
  <c r="AO98" i="11"/>
  <c r="AI98" i="11"/>
  <c r="AH98" i="11"/>
  <c r="AB98" i="11"/>
  <c r="AA98" i="11"/>
  <c r="U98" i="11"/>
  <c r="T98" i="11"/>
  <c r="N98" i="11"/>
  <c r="M98" i="11"/>
  <c r="G98" i="11"/>
  <c r="F98" i="11"/>
  <c r="AP97" i="11"/>
  <c r="AO97" i="11"/>
  <c r="AI97" i="11"/>
  <c r="AH97" i="11"/>
  <c r="AB97" i="11"/>
  <c r="AA97" i="11"/>
  <c r="U97" i="11"/>
  <c r="T97" i="11"/>
  <c r="N97" i="11"/>
  <c r="M97" i="11"/>
  <c r="G97" i="11"/>
  <c r="F97" i="11"/>
  <c r="AP96" i="11"/>
  <c r="AO96" i="11"/>
  <c r="AI96" i="11"/>
  <c r="AH96" i="11"/>
  <c r="AB96" i="11"/>
  <c r="AA96" i="11"/>
  <c r="U96" i="11"/>
  <c r="T96" i="11"/>
  <c r="N96" i="11"/>
  <c r="M96" i="11"/>
  <c r="G96" i="11"/>
  <c r="F96" i="11"/>
  <c r="AP95" i="11"/>
  <c r="AO95" i="11"/>
  <c r="AI95" i="11"/>
  <c r="AH95" i="11"/>
  <c r="AB95" i="11"/>
  <c r="AA95" i="11"/>
  <c r="U95" i="11"/>
  <c r="T95" i="11"/>
  <c r="N95" i="11"/>
  <c r="M95" i="11"/>
  <c r="G95" i="11"/>
  <c r="F95" i="11"/>
  <c r="AP94" i="11"/>
  <c r="AO94" i="11"/>
  <c r="AI94" i="11"/>
  <c r="AH94" i="11"/>
  <c r="AB94" i="11"/>
  <c r="AA94" i="11"/>
  <c r="U94" i="11"/>
  <c r="T94" i="11"/>
  <c r="N94" i="11"/>
  <c r="M94" i="11"/>
  <c r="G94" i="11"/>
  <c r="F94" i="11"/>
  <c r="AP93" i="11"/>
  <c r="AO93" i="11"/>
  <c r="AI93" i="11"/>
  <c r="AH93" i="11"/>
  <c r="AB93" i="11"/>
  <c r="AA93" i="11"/>
  <c r="U93" i="11"/>
  <c r="T93" i="11"/>
  <c r="N93" i="11"/>
  <c r="M93" i="11"/>
  <c r="G93" i="11"/>
  <c r="F93" i="11"/>
  <c r="AP92" i="11"/>
  <c r="AO92" i="11"/>
  <c r="AI92" i="11"/>
  <c r="AH92" i="11"/>
  <c r="AB92" i="11"/>
  <c r="AA92" i="11"/>
  <c r="U92" i="11"/>
  <c r="T92" i="11"/>
  <c r="N92" i="11"/>
  <c r="M92" i="11"/>
  <c r="G92" i="11"/>
  <c r="F92" i="11"/>
  <c r="AP91" i="11"/>
  <c r="AO91" i="11"/>
  <c r="AI91" i="11"/>
  <c r="AH91" i="11"/>
  <c r="AB91" i="11"/>
  <c r="AA91" i="11"/>
  <c r="U91" i="11"/>
  <c r="T91" i="11"/>
  <c r="N91" i="11"/>
  <c r="M91" i="11"/>
  <c r="G91" i="11"/>
  <c r="F91" i="11"/>
  <c r="AP90" i="11"/>
  <c r="AO90" i="11"/>
  <c r="AI90" i="11"/>
  <c r="AH90" i="11"/>
  <c r="AB90" i="11"/>
  <c r="AA90" i="11"/>
  <c r="U90" i="11"/>
  <c r="T90" i="11"/>
  <c r="N90" i="11"/>
  <c r="M90" i="11"/>
  <c r="G90" i="11"/>
  <c r="F90" i="11"/>
  <c r="AP89" i="11"/>
  <c r="AO89" i="11"/>
  <c r="AI89" i="11"/>
  <c r="AH89" i="11"/>
  <c r="AB89" i="11"/>
  <c r="AA89" i="11"/>
  <c r="U89" i="11"/>
  <c r="T89" i="11"/>
  <c r="N89" i="11"/>
  <c r="M89" i="11"/>
  <c r="G89" i="11"/>
  <c r="F89" i="11"/>
  <c r="AN85" i="11"/>
  <c r="AM85" i="11"/>
  <c r="AL85" i="11"/>
  <c r="AL107" i="11" s="1"/>
  <c r="AP107" i="11" s="1"/>
  <c r="AG85" i="11"/>
  <c r="AF85" i="11"/>
  <c r="AE85" i="11"/>
  <c r="AE107" i="11" s="1"/>
  <c r="AI107" i="11" s="1"/>
  <c r="Z85" i="11"/>
  <c r="AA85" i="11" s="1"/>
  <c r="Y85" i="11"/>
  <c r="X85" i="11"/>
  <c r="S85" i="11"/>
  <c r="R85" i="11"/>
  <c r="Q85" i="11"/>
  <c r="L85" i="11"/>
  <c r="L86" i="11" s="1"/>
  <c r="K85" i="11"/>
  <c r="K86" i="11" s="1"/>
  <c r="K107" i="11" s="1"/>
  <c r="J85" i="11"/>
  <c r="J107" i="11" s="1"/>
  <c r="N107" i="11" s="1"/>
  <c r="E85" i="11"/>
  <c r="D85" i="11"/>
  <c r="C85" i="11"/>
  <c r="AP84" i="11"/>
  <c r="AO84" i="11"/>
  <c r="AI84" i="11"/>
  <c r="AH84" i="11"/>
  <c r="AB84" i="11"/>
  <c r="AA84" i="11"/>
  <c r="U84" i="11"/>
  <c r="T84" i="11"/>
  <c r="N84" i="11"/>
  <c r="M84" i="11"/>
  <c r="G84" i="11"/>
  <c r="F84" i="11"/>
  <c r="AP83" i="11"/>
  <c r="AO83" i="11"/>
  <c r="AI83" i="11"/>
  <c r="AH83" i="11"/>
  <c r="AB83" i="11"/>
  <c r="AA83" i="11"/>
  <c r="U83" i="11"/>
  <c r="T83" i="11"/>
  <c r="N83" i="11"/>
  <c r="M83" i="11"/>
  <c r="G83" i="11"/>
  <c r="F83" i="11"/>
  <c r="AP82" i="11"/>
  <c r="AO82" i="11"/>
  <c r="AI82" i="11"/>
  <c r="AH82" i="11"/>
  <c r="AB82" i="11"/>
  <c r="AA82" i="11"/>
  <c r="U82" i="11"/>
  <c r="T82" i="11"/>
  <c r="N82" i="11"/>
  <c r="M82" i="11"/>
  <c r="G82" i="11"/>
  <c r="F82" i="11"/>
  <c r="AP81" i="11"/>
  <c r="AO81" i="11"/>
  <c r="AI81" i="11"/>
  <c r="AH81" i="11"/>
  <c r="AB81" i="11"/>
  <c r="AA81" i="11"/>
  <c r="U81" i="11"/>
  <c r="T81" i="11"/>
  <c r="N81" i="11"/>
  <c r="M81" i="11"/>
  <c r="G81" i="11"/>
  <c r="F81" i="11"/>
  <c r="AP80" i="11"/>
  <c r="AO80" i="11"/>
  <c r="AI80" i="11"/>
  <c r="AH80" i="11"/>
  <c r="AB80" i="11"/>
  <c r="AA80" i="11"/>
  <c r="U80" i="11"/>
  <c r="T80" i="11"/>
  <c r="N80" i="11"/>
  <c r="M80" i="11"/>
  <c r="G80" i="11"/>
  <c r="F80" i="11"/>
  <c r="AP79" i="11"/>
  <c r="AO79" i="11"/>
  <c r="AI79" i="11"/>
  <c r="AH79" i="11"/>
  <c r="AB79" i="11"/>
  <c r="AA79" i="11"/>
  <c r="U79" i="11"/>
  <c r="T79" i="11"/>
  <c r="N79" i="11"/>
  <c r="M79" i="11"/>
  <c r="G79" i="11"/>
  <c r="F79" i="11"/>
  <c r="AP78" i="11"/>
  <c r="AO78" i="11"/>
  <c r="AI78" i="11"/>
  <c r="AH78" i="11"/>
  <c r="AB78" i="11"/>
  <c r="AA78" i="11"/>
  <c r="U78" i="11"/>
  <c r="T78" i="11"/>
  <c r="N78" i="11"/>
  <c r="M78" i="11"/>
  <c r="G78" i="11"/>
  <c r="F78" i="11"/>
  <c r="AP77" i="11"/>
  <c r="AO77" i="11"/>
  <c r="AI77" i="11"/>
  <c r="AH77" i="11"/>
  <c r="AB77" i="11"/>
  <c r="AA77" i="11"/>
  <c r="U77" i="11"/>
  <c r="T77" i="11"/>
  <c r="N77" i="11"/>
  <c r="M77" i="11"/>
  <c r="G77" i="11"/>
  <c r="F77" i="11"/>
  <c r="AP76" i="11"/>
  <c r="AO76" i="11"/>
  <c r="AI76" i="11"/>
  <c r="AH76" i="11"/>
  <c r="AB76" i="11"/>
  <c r="AA76" i="11"/>
  <c r="U76" i="11"/>
  <c r="T76" i="11"/>
  <c r="N76" i="11"/>
  <c r="M76" i="11"/>
  <c r="G76" i="11"/>
  <c r="F76" i="11"/>
  <c r="AP75" i="11"/>
  <c r="AO75" i="11"/>
  <c r="AI75" i="11"/>
  <c r="AH75" i="11"/>
  <c r="AB75" i="11"/>
  <c r="AA75" i="11"/>
  <c r="U75" i="11"/>
  <c r="T75" i="11"/>
  <c r="N75" i="11"/>
  <c r="M75" i="11"/>
  <c r="G75" i="11"/>
  <c r="F75" i="11"/>
  <c r="AP74" i="11"/>
  <c r="AO74" i="11"/>
  <c r="AI74" i="11"/>
  <c r="AH74" i="11"/>
  <c r="AB74" i="11"/>
  <c r="AA74" i="11"/>
  <c r="U74" i="11"/>
  <c r="T74" i="11"/>
  <c r="N74" i="11"/>
  <c r="M74" i="11"/>
  <c r="G74" i="11"/>
  <c r="F74" i="11"/>
  <c r="AP73" i="11"/>
  <c r="AO73" i="11"/>
  <c r="AI73" i="11"/>
  <c r="AH73" i="11"/>
  <c r="AB73" i="11"/>
  <c r="AA73" i="11"/>
  <c r="U73" i="11"/>
  <c r="T73" i="11"/>
  <c r="N73" i="11"/>
  <c r="M73" i="11"/>
  <c r="G73" i="11"/>
  <c r="F73" i="11"/>
  <c r="AP72" i="11"/>
  <c r="AO72" i="11"/>
  <c r="AI72" i="11"/>
  <c r="AH72" i="11"/>
  <c r="AB72" i="11"/>
  <c r="AA72" i="11"/>
  <c r="U72" i="11"/>
  <c r="T72" i="11"/>
  <c r="N72" i="11"/>
  <c r="M72" i="11"/>
  <c r="G72" i="11"/>
  <c r="F72" i="11"/>
  <c r="AP71" i="11"/>
  <c r="AO71" i="11"/>
  <c r="AI71" i="11"/>
  <c r="AH71" i="11"/>
  <c r="AB71" i="11"/>
  <c r="AA71" i="11"/>
  <c r="U71" i="11"/>
  <c r="T71" i="11"/>
  <c r="N71" i="11"/>
  <c r="M71" i="11"/>
  <c r="G71" i="11"/>
  <c r="F71" i="11"/>
  <c r="AP70" i="11"/>
  <c r="AO70" i="11"/>
  <c r="AI70" i="11"/>
  <c r="AH70" i="11"/>
  <c r="AB70" i="11"/>
  <c r="AA70" i="11"/>
  <c r="U70" i="11"/>
  <c r="T70" i="11"/>
  <c r="N70" i="11"/>
  <c r="M70" i="11"/>
  <c r="G70" i="11"/>
  <c r="F70" i="11"/>
  <c r="AP69" i="11"/>
  <c r="AO69" i="11"/>
  <c r="AI69" i="11"/>
  <c r="AH69" i="11"/>
  <c r="AB69" i="11"/>
  <c r="AA69" i="11"/>
  <c r="U69" i="11"/>
  <c r="T69" i="11"/>
  <c r="N69" i="11"/>
  <c r="M69" i="11"/>
  <c r="G69" i="11"/>
  <c r="F69" i="11"/>
  <c r="AP68" i="11"/>
  <c r="AO68" i="11"/>
  <c r="AI68" i="11"/>
  <c r="AH68" i="11"/>
  <c r="AB68" i="11"/>
  <c r="AA68" i="11"/>
  <c r="U68" i="11"/>
  <c r="T68" i="11"/>
  <c r="N68" i="11"/>
  <c r="M68" i="11"/>
  <c r="G68" i="11"/>
  <c r="F68" i="11"/>
  <c r="AP67" i="11"/>
  <c r="AO67" i="11"/>
  <c r="AI67" i="11"/>
  <c r="AH67" i="11"/>
  <c r="AB67" i="11"/>
  <c r="AA67" i="11"/>
  <c r="U67" i="11"/>
  <c r="T67" i="11"/>
  <c r="N67" i="11"/>
  <c r="M67" i="11"/>
  <c r="G67" i="11"/>
  <c r="F67" i="11"/>
  <c r="AP66" i="11"/>
  <c r="AO66" i="11"/>
  <c r="AI66" i="11"/>
  <c r="AH66" i="11"/>
  <c r="AB66" i="11"/>
  <c r="AA66" i="11"/>
  <c r="U66" i="11"/>
  <c r="T66" i="11"/>
  <c r="N66" i="11"/>
  <c r="M66" i="11"/>
  <c r="G66" i="11"/>
  <c r="F66" i="11"/>
  <c r="AP65" i="11"/>
  <c r="AO65" i="11"/>
  <c r="AI65" i="11"/>
  <c r="AH65" i="11"/>
  <c r="AB65" i="11"/>
  <c r="AA65" i="11"/>
  <c r="U65" i="11"/>
  <c r="T65" i="11"/>
  <c r="N65" i="11"/>
  <c r="M65" i="11"/>
  <c r="G65" i="11"/>
  <c r="F65" i="11"/>
  <c r="AP64" i="11"/>
  <c r="AO64" i="11"/>
  <c r="AI64" i="11"/>
  <c r="AH64" i="11"/>
  <c r="AB64" i="11"/>
  <c r="AA64" i="11"/>
  <c r="U64" i="11"/>
  <c r="T64" i="11"/>
  <c r="N64" i="11"/>
  <c r="M64" i="11"/>
  <c r="G64" i="11"/>
  <c r="F64" i="11"/>
  <c r="AP63" i="11"/>
  <c r="AO63" i="11"/>
  <c r="AI63" i="11"/>
  <c r="AH63" i="11"/>
  <c r="AB63" i="11"/>
  <c r="AA63" i="11"/>
  <c r="U63" i="11"/>
  <c r="T63" i="11"/>
  <c r="N63" i="11"/>
  <c r="M63" i="11"/>
  <c r="G63" i="11"/>
  <c r="F63" i="11"/>
  <c r="AP62" i="11"/>
  <c r="AO62" i="11"/>
  <c r="AI62" i="11"/>
  <c r="AH62" i="11"/>
  <c r="AB62" i="11"/>
  <c r="AA62" i="11"/>
  <c r="U62" i="11"/>
  <c r="T62" i="11"/>
  <c r="N62" i="11"/>
  <c r="M62" i="11"/>
  <c r="G62" i="11"/>
  <c r="F62" i="11"/>
  <c r="AP61" i="11"/>
  <c r="AO61" i="11"/>
  <c r="AI61" i="11"/>
  <c r="AH61" i="11"/>
  <c r="AB61" i="11"/>
  <c r="AA61" i="11"/>
  <c r="U61" i="11"/>
  <c r="T61" i="11"/>
  <c r="N61" i="11"/>
  <c r="M61" i="11"/>
  <c r="G61" i="11"/>
  <c r="F61" i="11"/>
  <c r="AN57" i="11"/>
  <c r="AM57" i="11"/>
  <c r="AO57" i="11" s="1"/>
  <c r="AL57" i="11"/>
  <c r="AG57" i="11"/>
  <c r="AG58" i="11" s="1"/>
  <c r="AG106" i="11" s="1"/>
  <c r="AF57" i="11"/>
  <c r="AE57" i="11"/>
  <c r="AE106" i="11" s="1"/>
  <c r="AI106" i="11" s="1"/>
  <c r="Z57" i="11"/>
  <c r="Y57" i="11"/>
  <c r="X57" i="11"/>
  <c r="X106" i="11" s="1"/>
  <c r="AB106" i="11" s="1"/>
  <c r="S57" i="11"/>
  <c r="R57" i="11"/>
  <c r="Q57" i="11"/>
  <c r="L57" i="11"/>
  <c r="K57" i="11"/>
  <c r="J57" i="11"/>
  <c r="J106" i="11" s="1"/>
  <c r="E57" i="11"/>
  <c r="D57" i="11"/>
  <c r="C57" i="11"/>
  <c r="AP56" i="11"/>
  <c r="AO56" i="11"/>
  <c r="AI56" i="11"/>
  <c r="AH56" i="11"/>
  <c r="AB56" i="11"/>
  <c r="AA56" i="11"/>
  <c r="U56" i="11"/>
  <c r="T56" i="11"/>
  <c r="N56" i="11"/>
  <c r="M56" i="11"/>
  <c r="G56" i="11"/>
  <c r="F56" i="11"/>
  <c r="AP55" i="11"/>
  <c r="AO55" i="11"/>
  <c r="AI55" i="11"/>
  <c r="AH55" i="11"/>
  <c r="AB55" i="11"/>
  <c r="AA55" i="11"/>
  <c r="U55" i="11"/>
  <c r="T55" i="11"/>
  <c r="N55" i="11"/>
  <c r="M55" i="11"/>
  <c r="G55" i="11"/>
  <c r="F55" i="11"/>
  <c r="AP54" i="11"/>
  <c r="AO54" i="11"/>
  <c r="AI54" i="11"/>
  <c r="AH54" i="11"/>
  <c r="AB54" i="11"/>
  <c r="AA54" i="11"/>
  <c r="U54" i="11"/>
  <c r="T54" i="11"/>
  <c r="N54" i="11"/>
  <c r="M54" i="11"/>
  <c r="G54" i="11"/>
  <c r="F54" i="11"/>
  <c r="AP53" i="11"/>
  <c r="AO53" i="11"/>
  <c r="AI53" i="11"/>
  <c r="AH53" i="11"/>
  <c r="AB53" i="11"/>
  <c r="AA53" i="11"/>
  <c r="U53" i="11"/>
  <c r="T53" i="11"/>
  <c r="N53" i="11"/>
  <c r="M53" i="11"/>
  <c r="G53" i="11"/>
  <c r="F53" i="11"/>
  <c r="AP52" i="11"/>
  <c r="AO52" i="11"/>
  <c r="AI52" i="11"/>
  <c r="AH52" i="11"/>
  <c r="AB52" i="11"/>
  <c r="AA52" i="11"/>
  <c r="U52" i="11"/>
  <c r="T52" i="11"/>
  <c r="N52" i="11"/>
  <c r="M52" i="11"/>
  <c r="G52" i="11"/>
  <c r="F52" i="11"/>
  <c r="AP51" i="11"/>
  <c r="AO51" i="11"/>
  <c r="AI51" i="11"/>
  <c r="AH51" i="11"/>
  <c r="AB51" i="11"/>
  <c r="AA51" i="11"/>
  <c r="U51" i="11"/>
  <c r="T51" i="11"/>
  <c r="N51" i="11"/>
  <c r="M51" i="11"/>
  <c r="G51" i="11"/>
  <c r="F51" i="11"/>
  <c r="AP50" i="11"/>
  <c r="AO50" i="11"/>
  <c r="AI50" i="11"/>
  <c r="AH50" i="11"/>
  <c r="AB50" i="11"/>
  <c r="AA50" i="11"/>
  <c r="U50" i="11"/>
  <c r="T50" i="11"/>
  <c r="N50" i="11"/>
  <c r="M50" i="11"/>
  <c r="G50" i="11"/>
  <c r="F50" i="11"/>
  <c r="AP49" i="11"/>
  <c r="AO49" i="11"/>
  <c r="AI49" i="11"/>
  <c r="AH49" i="11"/>
  <c r="AB49" i="11"/>
  <c r="AA49" i="11"/>
  <c r="U49" i="11"/>
  <c r="T49" i="11"/>
  <c r="N49" i="11"/>
  <c r="M49" i="11"/>
  <c r="G49" i="11"/>
  <c r="F49" i="11"/>
  <c r="AP48" i="11"/>
  <c r="AO48" i="11"/>
  <c r="AI48" i="11"/>
  <c r="AH48" i="11"/>
  <c r="AB48" i="11"/>
  <c r="AA48" i="11"/>
  <c r="U48" i="11"/>
  <c r="T48" i="11"/>
  <c r="N48" i="11"/>
  <c r="M48" i="11"/>
  <c r="G48" i="11"/>
  <c r="F48" i="11"/>
  <c r="AP47" i="11"/>
  <c r="AO47" i="11"/>
  <c r="AI47" i="11"/>
  <c r="AH47" i="11"/>
  <c r="AB47" i="11"/>
  <c r="AA47" i="11"/>
  <c r="U47" i="11"/>
  <c r="T47" i="11"/>
  <c r="N47" i="11"/>
  <c r="M47" i="11"/>
  <c r="G47" i="11"/>
  <c r="F47" i="11"/>
  <c r="AP46" i="11"/>
  <c r="AO46" i="11"/>
  <c r="AI46" i="11"/>
  <c r="AH46" i="11"/>
  <c r="AB46" i="11"/>
  <c r="AA46" i="11"/>
  <c r="U46" i="11"/>
  <c r="T46" i="11"/>
  <c r="N46" i="11"/>
  <c r="M46" i="11"/>
  <c r="G46" i="11"/>
  <c r="F46" i="11"/>
  <c r="AP45" i="11"/>
  <c r="AO45" i="11"/>
  <c r="AI45" i="11"/>
  <c r="AH45" i="11"/>
  <c r="AB45" i="11"/>
  <c r="AA45" i="11"/>
  <c r="U45" i="11"/>
  <c r="T45" i="11"/>
  <c r="N45" i="11"/>
  <c r="M45" i="11"/>
  <c r="G45" i="11"/>
  <c r="F45" i="11"/>
  <c r="AP44" i="11"/>
  <c r="AO44" i="11"/>
  <c r="AI44" i="11"/>
  <c r="AH44" i="11"/>
  <c r="AB44" i="11"/>
  <c r="AA44" i="11"/>
  <c r="U44" i="11"/>
  <c r="T44" i="11"/>
  <c r="N44" i="11"/>
  <c r="M44" i="11"/>
  <c r="G44" i="11"/>
  <c r="F44" i="11"/>
  <c r="AP43" i="11"/>
  <c r="AO43" i="11"/>
  <c r="AI43" i="11"/>
  <c r="AH43" i="11"/>
  <c r="AB43" i="11"/>
  <c r="AA43" i="11"/>
  <c r="U43" i="11"/>
  <c r="T43" i="11"/>
  <c r="N43" i="11"/>
  <c r="M43" i="11"/>
  <c r="G43" i="11"/>
  <c r="F43" i="11"/>
  <c r="AP42" i="11"/>
  <c r="AO42" i="11"/>
  <c r="AI42" i="11"/>
  <c r="AH42" i="11"/>
  <c r="AB42" i="11"/>
  <c r="AA42" i="11"/>
  <c r="U42" i="11"/>
  <c r="T42" i="11"/>
  <c r="N42" i="11"/>
  <c r="M42" i="11"/>
  <c r="G42" i="11"/>
  <c r="F42" i="11"/>
  <c r="AP41" i="11"/>
  <c r="AO41" i="11"/>
  <c r="AI41" i="11"/>
  <c r="AH41" i="11"/>
  <c r="AB41" i="11"/>
  <c r="AA41" i="11"/>
  <c r="U41" i="11"/>
  <c r="T41" i="11"/>
  <c r="N41" i="11"/>
  <c r="M41" i="11"/>
  <c r="G41" i="11"/>
  <c r="F41" i="11"/>
  <c r="AP40" i="11"/>
  <c r="AO40" i="11"/>
  <c r="AI40" i="11"/>
  <c r="AH40" i="11"/>
  <c r="AB40" i="11"/>
  <c r="AA40" i="11"/>
  <c r="U40" i="11"/>
  <c r="T40" i="11"/>
  <c r="N40" i="11"/>
  <c r="M40" i="11"/>
  <c r="G40" i="11"/>
  <c r="F40" i="11"/>
  <c r="AP39" i="11"/>
  <c r="AO39" i="11"/>
  <c r="AI39" i="11"/>
  <c r="AH39" i="11"/>
  <c r="AB39" i="11"/>
  <c r="AA39" i="11"/>
  <c r="U39" i="11"/>
  <c r="T39" i="11"/>
  <c r="N39" i="11"/>
  <c r="M39" i="11"/>
  <c r="G39" i="11"/>
  <c r="F39" i="11"/>
  <c r="AP38" i="11"/>
  <c r="AO38" i="11"/>
  <c r="AI38" i="11"/>
  <c r="AH38" i="11"/>
  <c r="AB38" i="11"/>
  <c r="AA38" i="11"/>
  <c r="U38" i="11"/>
  <c r="T38" i="11"/>
  <c r="N38" i="11"/>
  <c r="M38" i="11"/>
  <c r="G38" i="11"/>
  <c r="F38" i="11"/>
  <c r="AP37" i="11"/>
  <c r="AO37" i="11"/>
  <c r="AI37" i="11"/>
  <c r="AH37" i="11"/>
  <c r="AB37" i="11"/>
  <c r="AA37" i="11"/>
  <c r="U37" i="11"/>
  <c r="T37" i="11"/>
  <c r="N37" i="11"/>
  <c r="M37" i="11"/>
  <c r="G37" i="11"/>
  <c r="F37" i="11"/>
  <c r="AP36" i="11"/>
  <c r="AO36" i="11"/>
  <c r="AI36" i="11"/>
  <c r="AH36" i="11"/>
  <c r="AB36" i="11"/>
  <c r="AA36" i="11"/>
  <c r="U36" i="11"/>
  <c r="T36" i="11"/>
  <c r="N36" i="11"/>
  <c r="M36" i="11"/>
  <c r="G36" i="11"/>
  <c r="F36" i="11"/>
  <c r="AP35" i="11"/>
  <c r="AO35" i="11"/>
  <c r="AI35" i="11"/>
  <c r="AH35" i="11"/>
  <c r="AB35" i="11"/>
  <c r="AA35" i="11"/>
  <c r="U35" i="11"/>
  <c r="T35" i="11"/>
  <c r="N35" i="11"/>
  <c r="M35" i="11"/>
  <c r="G35" i="11"/>
  <c r="F35" i="11"/>
  <c r="AP34" i="11"/>
  <c r="AO34" i="11"/>
  <c r="AI34" i="11"/>
  <c r="AH34" i="11"/>
  <c r="AB34" i="11"/>
  <c r="AA34" i="11"/>
  <c r="U34" i="11"/>
  <c r="T34" i="11"/>
  <c r="N34" i="11"/>
  <c r="M34" i="11"/>
  <c r="G34" i="11"/>
  <c r="F34" i="11"/>
  <c r="AP33" i="11"/>
  <c r="AO33" i="11"/>
  <c r="AI33" i="11"/>
  <c r="AH33" i="11"/>
  <c r="AB33" i="11"/>
  <c r="AA33" i="11"/>
  <c r="U33" i="11"/>
  <c r="T33" i="11"/>
  <c r="N33" i="11"/>
  <c r="M33" i="11"/>
  <c r="G33" i="11"/>
  <c r="F33" i="11"/>
  <c r="AN28" i="11"/>
  <c r="AM28" i="11"/>
  <c r="AM29" i="11" s="1"/>
  <c r="AM105" i="11" s="1"/>
  <c r="AL28" i="11"/>
  <c r="AG28" i="11"/>
  <c r="AF28" i="11"/>
  <c r="AE28" i="11"/>
  <c r="AE105" i="11" s="1"/>
  <c r="AI105" i="11" s="1"/>
  <c r="AI109" i="11" s="1"/>
  <c r="Z28" i="11"/>
  <c r="Y28" i="11"/>
  <c r="X28" i="11"/>
  <c r="S28" i="11"/>
  <c r="R28" i="11"/>
  <c r="Q28" i="11"/>
  <c r="Q105" i="11" s="1"/>
  <c r="L28" i="11"/>
  <c r="K28" i="11"/>
  <c r="J28" i="11"/>
  <c r="J105" i="11" s="1"/>
  <c r="N105" i="11" s="1"/>
  <c r="N109" i="11" s="1"/>
  <c r="E28" i="11"/>
  <c r="D28" i="11"/>
  <c r="C28" i="11"/>
  <c r="C105" i="11" s="1"/>
  <c r="G105" i="11" s="1"/>
  <c r="G109" i="11" s="1"/>
  <c r="AP27" i="11"/>
  <c r="AO27" i="11"/>
  <c r="AI27" i="11"/>
  <c r="AH27" i="11"/>
  <c r="AB27" i="11"/>
  <c r="AA27" i="11"/>
  <c r="U27" i="11"/>
  <c r="T27" i="11"/>
  <c r="N27" i="11"/>
  <c r="M27" i="11"/>
  <c r="G27" i="11"/>
  <c r="F27" i="11"/>
  <c r="AP26" i="11"/>
  <c r="AO26" i="11"/>
  <c r="AI26" i="11"/>
  <c r="AH26" i="11"/>
  <c r="AB26" i="11"/>
  <c r="AA26" i="11"/>
  <c r="U26" i="11"/>
  <c r="T26" i="11"/>
  <c r="N26" i="11"/>
  <c r="M26" i="11"/>
  <c r="G26" i="11"/>
  <c r="F26" i="11"/>
  <c r="AP25" i="11"/>
  <c r="AO25" i="11"/>
  <c r="AI25" i="11"/>
  <c r="AH25" i="11"/>
  <c r="AB25" i="11"/>
  <c r="AA25" i="11"/>
  <c r="U25" i="11"/>
  <c r="T25" i="11"/>
  <c r="N25" i="11"/>
  <c r="M25" i="11"/>
  <c r="G25" i="11"/>
  <c r="F25" i="11"/>
  <c r="AP24" i="11"/>
  <c r="AO24" i="11"/>
  <c r="AI24" i="11"/>
  <c r="AH24" i="11"/>
  <c r="AB24" i="11"/>
  <c r="AA24" i="11"/>
  <c r="U24" i="11"/>
  <c r="T24" i="11"/>
  <c r="N24" i="11"/>
  <c r="M24" i="11"/>
  <c r="G24" i="11"/>
  <c r="F24" i="11"/>
  <c r="AP23" i="11"/>
  <c r="AO23" i="11"/>
  <c r="AI23" i="11"/>
  <c r="AH23" i="11"/>
  <c r="AB23" i="11"/>
  <c r="AA23" i="11"/>
  <c r="U23" i="11"/>
  <c r="T23" i="11"/>
  <c r="N23" i="11"/>
  <c r="M23" i="11"/>
  <c r="G23" i="11"/>
  <c r="F23" i="11"/>
  <c r="AP22" i="11"/>
  <c r="AO22" i="11"/>
  <c r="AI22" i="11"/>
  <c r="AH22" i="11"/>
  <c r="AB22" i="11"/>
  <c r="AA22" i="11"/>
  <c r="U22" i="11"/>
  <c r="T22" i="11"/>
  <c r="N22" i="11"/>
  <c r="M22" i="11"/>
  <c r="G22" i="11"/>
  <c r="F22" i="11"/>
  <c r="AP21" i="11"/>
  <c r="AO21" i="11"/>
  <c r="AI21" i="11"/>
  <c r="AH21" i="11"/>
  <c r="AB21" i="11"/>
  <c r="AA21" i="11"/>
  <c r="U21" i="11"/>
  <c r="T21" i="11"/>
  <c r="N21" i="11"/>
  <c r="M21" i="11"/>
  <c r="G21" i="11"/>
  <c r="F21" i="11"/>
  <c r="AP20" i="11"/>
  <c r="AO20" i="11"/>
  <c r="AI20" i="11"/>
  <c r="AH20" i="11"/>
  <c r="AB20" i="11"/>
  <c r="AA20" i="11"/>
  <c r="U20" i="11"/>
  <c r="T20" i="11"/>
  <c r="N20" i="11"/>
  <c r="M20" i="11"/>
  <c r="G20" i="11"/>
  <c r="F20" i="11"/>
  <c r="AP19" i="11"/>
  <c r="AO19" i="11"/>
  <c r="AI19" i="11"/>
  <c r="AH19" i="11"/>
  <c r="AB19" i="11"/>
  <c r="AA19" i="11"/>
  <c r="U19" i="11"/>
  <c r="T19" i="11"/>
  <c r="N19" i="11"/>
  <c r="M19" i="11"/>
  <c r="G19" i="11"/>
  <c r="F19" i="11"/>
  <c r="AP18" i="11"/>
  <c r="AO18" i="11"/>
  <c r="AI18" i="11"/>
  <c r="AH18" i="11"/>
  <c r="AB18" i="11"/>
  <c r="AA18" i="11"/>
  <c r="U18" i="11"/>
  <c r="T18" i="11"/>
  <c r="N18" i="11"/>
  <c r="M18" i="11"/>
  <c r="G18" i="11"/>
  <c r="F18" i="11"/>
  <c r="AP17" i="11"/>
  <c r="AO17" i="11"/>
  <c r="AI17" i="11"/>
  <c r="AH17" i="11"/>
  <c r="AB17" i="11"/>
  <c r="AA17" i="11"/>
  <c r="U17" i="11"/>
  <c r="T17" i="11"/>
  <c r="N17" i="11"/>
  <c r="M17" i="11"/>
  <c r="G17" i="11"/>
  <c r="F17" i="11"/>
  <c r="AP16" i="11"/>
  <c r="AO16" i="11"/>
  <c r="AI16" i="11"/>
  <c r="AH16" i="11"/>
  <c r="AB16" i="11"/>
  <c r="AA16" i="11"/>
  <c r="U16" i="11"/>
  <c r="T16" i="11"/>
  <c r="N16" i="11"/>
  <c r="M16" i="11"/>
  <c r="G16" i="11"/>
  <c r="F16" i="11"/>
  <c r="AN12" i="11"/>
  <c r="AG12" i="11"/>
  <c r="Z12" i="11"/>
  <c r="S12" i="11"/>
  <c r="L12" i="11"/>
  <c r="E12" i="11"/>
  <c r="AN8" i="11"/>
  <c r="AG8" i="11"/>
  <c r="Z8" i="11"/>
  <c r="S8" i="11"/>
  <c r="L8" i="11"/>
  <c r="E8" i="11"/>
  <c r="AO7" i="11"/>
  <c r="AH7" i="11"/>
  <c r="AA7" i="11"/>
  <c r="T7" i="11"/>
  <c r="M7" i="11"/>
  <c r="F7" i="11"/>
  <c r="AO6" i="11"/>
  <c r="AO8" i="11" s="1"/>
  <c r="AH6" i="11"/>
  <c r="AH8" i="11" s="1"/>
  <c r="AA6" i="11"/>
  <c r="AA8" i="11" s="1"/>
  <c r="T6" i="11"/>
  <c r="T8" i="11" s="1"/>
  <c r="M6" i="11"/>
  <c r="M8" i="11" s="1"/>
  <c r="F6" i="11"/>
  <c r="F8" i="11" s="1"/>
  <c r="Q107" i="11"/>
  <c r="U107" i="11" s="1"/>
  <c r="B4" i="7"/>
  <c r="B4" i="8" s="1"/>
  <c r="B4" i="5" s="1"/>
  <c r="B2" i="7"/>
  <c r="B2" i="8" s="1"/>
  <c r="B2" i="5" s="1"/>
  <c r="K39" i="7"/>
  <c r="D45" i="7"/>
  <c r="D46" i="7" s="1"/>
  <c r="H30" i="7"/>
  <c r="C11" i="1"/>
  <c r="I74" i="1"/>
  <c r="C15" i="7"/>
  <c r="J46" i="1"/>
  <c r="J30" i="1"/>
  <c r="J18" i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I67" i="1"/>
  <c r="J74" i="1" l="1"/>
  <c r="T101" i="11"/>
  <c r="D29" i="11"/>
  <c r="D105" i="11" s="1"/>
  <c r="AO28" i="11"/>
  <c r="I65" i="1"/>
  <c r="E65" i="1" s="1"/>
  <c r="W42" i="5"/>
  <c r="X42" i="5"/>
  <c r="X41" i="5"/>
  <c r="F65" i="1" s="1"/>
  <c r="W41" i="5"/>
  <c r="G65" i="1" s="1"/>
  <c r="D65" i="1" s="1"/>
  <c r="X20" i="5"/>
  <c r="F42" i="1" s="1"/>
  <c r="W19" i="5"/>
  <c r="G41" i="1" s="1"/>
  <c r="D41" i="1" s="1"/>
  <c r="W20" i="5"/>
  <c r="G42" i="1" s="1"/>
  <c r="D42" i="1" s="1"/>
  <c r="X19" i="5"/>
  <c r="F41" i="1" s="1"/>
  <c r="W34" i="5"/>
  <c r="G57" i="1" s="1"/>
  <c r="D57" i="1" s="1"/>
  <c r="W30" i="5"/>
  <c r="G52" i="1" s="1"/>
  <c r="W26" i="5"/>
  <c r="G48" i="1" s="1"/>
  <c r="D48" i="1" s="1"/>
  <c r="W16" i="5"/>
  <c r="G38" i="1" s="1"/>
  <c r="D38" i="1" s="1"/>
  <c r="W10" i="5"/>
  <c r="G32" i="1" s="1"/>
  <c r="D32" i="1" s="1"/>
  <c r="X37" i="5"/>
  <c r="F59" i="1" s="1"/>
  <c r="X33" i="5"/>
  <c r="F53" i="1" s="1"/>
  <c r="X29" i="5"/>
  <c r="F51" i="1" s="1"/>
  <c r="X25" i="5"/>
  <c r="X15" i="5"/>
  <c r="F37" i="1" s="1"/>
  <c r="X9" i="5"/>
  <c r="W12" i="5"/>
  <c r="G34" i="1" s="1"/>
  <c r="D34" i="1" s="1"/>
  <c r="W37" i="5"/>
  <c r="G59" i="1" s="1"/>
  <c r="D59" i="1" s="1"/>
  <c r="W33" i="5"/>
  <c r="G53" i="1" s="1"/>
  <c r="W29" i="5"/>
  <c r="G51" i="1" s="1"/>
  <c r="W25" i="5"/>
  <c r="W15" i="5"/>
  <c r="G37" i="1" s="1"/>
  <c r="D37" i="1" s="1"/>
  <c r="W9" i="5"/>
  <c r="W17" i="5"/>
  <c r="G39" i="1" s="1"/>
  <c r="D39" i="1" s="1"/>
  <c r="X36" i="5"/>
  <c r="F58" i="1" s="1"/>
  <c r="X32" i="5"/>
  <c r="F56" i="1" s="1"/>
  <c r="X28" i="5"/>
  <c r="F50" i="1" s="1"/>
  <c r="X21" i="5"/>
  <c r="F43" i="1" s="1"/>
  <c r="X14" i="5"/>
  <c r="W27" i="5"/>
  <c r="G49" i="1" s="1"/>
  <c r="D49" i="1" s="1"/>
  <c r="W36" i="5"/>
  <c r="G58" i="1" s="1"/>
  <c r="D58" i="1" s="1"/>
  <c r="W32" i="5"/>
  <c r="G56" i="1" s="1"/>
  <c r="D56" i="1" s="1"/>
  <c r="W28" i="5"/>
  <c r="G50" i="1" s="1"/>
  <c r="W21" i="5"/>
  <c r="G43" i="1" s="1"/>
  <c r="D43" i="1" s="1"/>
  <c r="W14" i="5"/>
  <c r="W31" i="5"/>
  <c r="G55" i="1" s="1"/>
  <c r="D55" i="1" s="1"/>
  <c r="X35" i="5"/>
  <c r="F54" i="1" s="1"/>
  <c r="X31" i="5"/>
  <c r="F55" i="1" s="1"/>
  <c r="X27" i="5"/>
  <c r="F49" i="1" s="1"/>
  <c r="X17" i="5"/>
  <c r="F39" i="1" s="1"/>
  <c r="X12" i="5"/>
  <c r="F34" i="1" s="1"/>
  <c r="W35" i="5"/>
  <c r="G54" i="1" s="1"/>
  <c r="D54" i="1" s="1"/>
  <c r="X34" i="5"/>
  <c r="F57" i="1" s="1"/>
  <c r="X30" i="5"/>
  <c r="F52" i="1" s="1"/>
  <c r="X26" i="5"/>
  <c r="F48" i="1" s="1"/>
  <c r="X16" i="5"/>
  <c r="F38" i="1" s="1"/>
  <c r="X10" i="5"/>
  <c r="F32" i="1" s="1"/>
  <c r="I57" i="6"/>
  <c r="D19" i="8"/>
  <c r="K30" i="1"/>
  <c r="D17" i="8"/>
  <c r="D18" i="8"/>
  <c r="Y86" i="11"/>
  <c r="Y107" i="11" s="1"/>
  <c r="AF58" i="11"/>
  <c r="AF106" i="11" s="1"/>
  <c r="AH106" i="11" s="1"/>
  <c r="AN58" i="11"/>
  <c r="AF86" i="11"/>
  <c r="AF107" i="11" s="1"/>
  <c r="S102" i="11"/>
  <c r="S108" i="11" s="1"/>
  <c r="R102" i="11"/>
  <c r="R108" i="11" s="1"/>
  <c r="M101" i="11"/>
  <c r="Y58" i="11"/>
  <c r="Y106" i="11" s="1"/>
  <c r="AG102" i="11"/>
  <c r="AG108" i="11" s="1"/>
  <c r="L29" i="11"/>
  <c r="AN29" i="11"/>
  <c r="AN105" i="11" s="1"/>
  <c r="Z86" i="11"/>
  <c r="Z107" i="11" s="1"/>
  <c r="AA107" i="11" s="1"/>
  <c r="AM86" i="11"/>
  <c r="AM107" i="11" s="1"/>
  <c r="Z29" i="11"/>
  <c r="Z105" i="11" s="1"/>
  <c r="L107" i="11"/>
  <c r="M107" i="11" s="1"/>
  <c r="M86" i="11"/>
  <c r="AG29" i="11"/>
  <c r="AG105" i="11" s="1"/>
  <c r="AO105" i="11"/>
  <c r="K58" i="11"/>
  <c r="K106" i="11" s="1"/>
  <c r="Z58" i="11"/>
  <c r="AA58" i="11" s="1"/>
  <c r="T85" i="11"/>
  <c r="AH85" i="11"/>
  <c r="L58" i="11"/>
  <c r="L106" i="11" s="1"/>
  <c r="F85" i="11"/>
  <c r="AH101" i="11"/>
  <c r="M85" i="11"/>
  <c r="Y102" i="11"/>
  <c r="Y108" i="11" s="1"/>
  <c r="K102" i="11"/>
  <c r="K108" i="11" s="1"/>
  <c r="AO85" i="11"/>
  <c r="AF29" i="11"/>
  <c r="AF105" i="11" s="1"/>
  <c r="L102" i="11"/>
  <c r="L108" i="11" s="1"/>
  <c r="H39" i="7"/>
  <c r="H44" i="7" s="1"/>
  <c r="M39" i="7"/>
  <c r="M44" i="7" s="1"/>
  <c r="AH58" i="11"/>
  <c r="AN106" i="11"/>
  <c r="L105" i="11"/>
  <c r="N106" i="11"/>
  <c r="J109" i="11"/>
  <c r="F108" i="11"/>
  <c r="F101" i="11"/>
  <c r="L39" i="7"/>
  <c r="L44" i="7" s="1"/>
  <c r="X107" i="11"/>
  <c r="AB107" i="11" s="1"/>
  <c r="M57" i="11"/>
  <c r="AL105" i="11"/>
  <c r="AP105" i="11" s="1"/>
  <c r="AP109" i="11" s="1"/>
  <c r="AH57" i="11"/>
  <c r="AA101" i="11"/>
  <c r="A103" i="11"/>
  <c r="AF102" i="11"/>
  <c r="AF108" i="11" s="1"/>
  <c r="AH108" i="11" s="1"/>
  <c r="S86" i="11"/>
  <c r="S107" i="11" s="1"/>
  <c r="AN86" i="11"/>
  <c r="X105" i="11"/>
  <c r="AB105" i="11" s="1"/>
  <c r="AB109" i="11" s="1"/>
  <c r="AL106" i="11"/>
  <c r="AP106" i="11" s="1"/>
  <c r="AG86" i="11"/>
  <c r="Y29" i="11"/>
  <c r="Y105" i="11" s="1"/>
  <c r="AM58" i="11"/>
  <c r="AM106" i="11" s="1"/>
  <c r="F39" i="7"/>
  <c r="F44" i="7" s="1"/>
  <c r="AA57" i="11"/>
  <c r="J39" i="7"/>
  <c r="J44" i="7" s="1"/>
  <c r="AH28" i="11"/>
  <c r="K29" i="11"/>
  <c r="K105" i="11" s="1"/>
  <c r="R86" i="11"/>
  <c r="R107" i="11" s="1"/>
  <c r="F102" i="11"/>
  <c r="E39" i="7"/>
  <c r="E44" i="7" s="1"/>
  <c r="T108" i="11"/>
  <c r="AA28" i="11"/>
  <c r="AE109" i="11"/>
  <c r="E58" i="11"/>
  <c r="T26" i="1"/>
  <c r="T28" i="1"/>
  <c r="U18" i="1"/>
  <c r="T27" i="1"/>
  <c r="T25" i="1"/>
  <c r="S29" i="11"/>
  <c r="T28" i="11"/>
  <c r="AP108" i="11"/>
  <c r="J67" i="1"/>
  <c r="K46" i="1"/>
  <c r="E29" i="11"/>
  <c r="F28" i="11"/>
  <c r="D86" i="11"/>
  <c r="D107" i="11" s="1"/>
  <c r="E86" i="11"/>
  <c r="AM102" i="11"/>
  <c r="AM108" i="11" s="1"/>
  <c r="AN102" i="11"/>
  <c r="M28" i="11"/>
  <c r="C106" i="11"/>
  <c r="S58" i="11"/>
  <c r="Q106" i="11"/>
  <c r="U106" i="11" s="1"/>
  <c r="U105" i="11"/>
  <c r="U109" i="11" s="1"/>
  <c r="T57" i="11"/>
  <c r="R58" i="11"/>
  <c r="R106" i="11" s="1"/>
  <c r="Z102" i="11"/>
  <c r="R29" i="11"/>
  <c r="R105" i="11" s="1"/>
  <c r="D58" i="11"/>
  <c r="C107" i="11"/>
  <c r="G107" i="11" s="1"/>
  <c r="F57" i="11"/>
  <c r="G39" i="7"/>
  <c r="G44" i="7" s="1"/>
  <c r="D57" i="6"/>
  <c r="G57" i="6" s="1"/>
  <c r="H57" i="6"/>
  <c r="C15" i="8" s="1"/>
  <c r="D15" i="8" s="1"/>
  <c r="G36" i="1" l="1"/>
  <c r="F36" i="1"/>
  <c r="I32" i="1"/>
  <c r="D53" i="1"/>
  <c r="K74" i="1"/>
  <c r="T102" i="11"/>
  <c r="AO29" i="11"/>
  <c r="J65" i="1"/>
  <c r="K65" i="1" s="1"/>
  <c r="D24" i="1"/>
  <c r="D20" i="1"/>
  <c r="D51" i="1"/>
  <c r="D52" i="1"/>
  <c r="D36" i="1"/>
  <c r="D50" i="1"/>
  <c r="D3" i="8"/>
  <c r="D3" i="7"/>
  <c r="D11" i="1"/>
  <c r="X11" i="5"/>
  <c r="X13" i="5" s="1"/>
  <c r="X18" i="5" s="1"/>
  <c r="X22" i="5" s="1"/>
  <c r="F31" i="1"/>
  <c r="F33" i="1" s="1"/>
  <c r="F19" i="1" s="1"/>
  <c r="W11" i="5"/>
  <c r="W13" i="5" s="1"/>
  <c r="W18" i="5" s="1"/>
  <c r="W22" i="5" s="1"/>
  <c r="G31" i="1"/>
  <c r="X38" i="5"/>
  <c r="F47" i="1"/>
  <c r="F60" i="1" s="1"/>
  <c r="W38" i="5"/>
  <c r="G47" i="1"/>
  <c r="G60" i="1" s="1"/>
  <c r="L30" i="1"/>
  <c r="Z106" i="11"/>
  <c r="AA106" i="11" s="1"/>
  <c r="AA86" i="11"/>
  <c r="M29" i="11"/>
  <c r="AH29" i="11"/>
  <c r="T86" i="11"/>
  <c r="AA105" i="11"/>
  <c r="T107" i="11"/>
  <c r="M108" i="11"/>
  <c r="X109" i="11"/>
  <c r="Y109" i="11" s="1"/>
  <c r="AF109" i="11"/>
  <c r="M58" i="11"/>
  <c r="AH105" i="11"/>
  <c r="M102" i="11"/>
  <c r="M106" i="11"/>
  <c r="L109" i="11"/>
  <c r="AL109" i="11"/>
  <c r="AM109" i="11" s="1"/>
  <c r="K109" i="11"/>
  <c r="A59" i="11"/>
  <c r="E106" i="11"/>
  <c r="AA29" i="11"/>
  <c r="AG107" i="11"/>
  <c r="AH107" i="11" s="1"/>
  <c r="AH109" i="11" s="1"/>
  <c r="AH86" i="11"/>
  <c r="M105" i="11"/>
  <c r="AH102" i="11"/>
  <c r="AO106" i="11"/>
  <c r="AN107" i="11"/>
  <c r="AO107" i="11" s="1"/>
  <c r="AO86" i="11"/>
  <c r="AO58" i="11"/>
  <c r="E105" i="11"/>
  <c r="F29" i="11"/>
  <c r="U25" i="1"/>
  <c r="V18" i="1"/>
  <c r="U28" i="1"/>
  <c r="U26" i="1"/>
  <c r="U27" i="1"/>
  <c r="S106" i="11"/>
  <c r="T106" i="11" s="1"/>
  <c r="T58" i="11"/>
  <c r="L46" i="1"/>
  <c r="K67" i="1"/>
  <c r="G106" i="11"/>
  <c r="C109" i="11"/>
  <c r="Z108" i="11"/>
  <c r="AA108" i="11" s="1"/>
  <c r="AA109" i="11" s="1"/>
  <c r="AA102" i="11"/>
  <c r="A87" i="11"/>
  <c r="F86" i="11"/>
  <c r="E107" i="11"/>
  <c r="F107" i="11" s="1"/>
  <c r="AN108" i="11"/>
  <c r="AO108" i="11" s="1"/>
  <c r="AO102" i="11"/>
  <c r="T29" i="11"/>
  <c r="S105" i="11"/>
  <c r="T105" i="11" s="1"/>
  <c r="D106" i="11"/>
  <c r="F58" i="11"/>
  <c r="Q109" i="11"/>
  <c r="J32" i="1" l="1"/>
  <c r="K32" i="1" s="1"/>
  <c r="E32" i="1"/>
  <c r="L74" i="1"/>
  <c r="D31" i="1"/>
  <c r="C12" i="8"/>
  <c r="C22" i="8" s="1"/>
  <c r="D22" i="8" s="1"/>
  <c r="D7" i="1"/>
  <c r="X40" i="5"/>
  <c r="M30" i="1"/>
  <c r="F35" i="1"/>
  <c r="W40" i="5"/>
  <c r="D47" i="1"/>
  <c r="D60" i="1" s="1"/>
  <c r="I56" i="1" s="1"/>
  <c r="J56" i="1" s="1"/>
  <c r="K56" i="1" s="1"/>
  <c r="L56" i="1" s="1"/>
  <c r="Y12" i="5"/>
  <c r="G33" i="1"/>
  <c r="D33" i="1" s="1"/>
  <c r="M109" i="11"/>
  <c r="F106" i="11"/>
  <c r="AG109" i="11"/>
  <c r="AO109" i="11"/>
  <c r="D109" i="11"/>
  <c r="T109" i="11"/>
  <c r="R109" i="11"/>
  <c r="S109" i="11"/>
  <c r="L67" i="1"/>
  <c r="M46" i="1"/>
  <c r="V25" i="1"/>
  <c r="V26" i="1"/>
  <c r="W18" i="1"/>
  <c r="V27" i="1"/>
  <c r="V28" i="1"/>
  <c r="Z109" i="11"/>
  <c r="E109" i="11"/>
  <c r="F105" i="11"/>
  <c r="L65" i="1"/>
  <c r="AN109" i="11"/>
  <c r="Y35" i="5"/>
  <c r="F40" i="1" l="1"/>
  <c r="F27" i="1" s="1"/>
  <c r="F25" i="1"/>
  <c r="M74" i="1"/>
  <c r="J53" i="1"/>
  <c r="K53" i="1" s="1"/>
  <c r="L53" i="1" s="1"/>
  <c r="M53" i="1" s="1"/>
  <c r="C14" i="8"/>
  <c r="D12" i="8"/>
  <c r="D21" i="8"/>
  <c r="N30" i="1"/>
  <c r="I49" i="1"/>
  <c r="J49" i="1" s="1"/>
  <c r="K49" i="1" s="1"/>
  <c r="L49" i="1" s="1"/>
  <c r="M49" i="1" s="1"/>
  <c r="I48" i="1"/>
  <c r="J48" i="1" s="1"/>
  <c r="K48" i="1" s="1"/>
  <c r="L48" i="1" s="1"/>
  <c r="M48" i="1" s="1"/>
  <c r="I57" i="1"/>
  <c r="I59" i="1"/>
  <c r="J59" i="1" s="1"/>
  <c r="K59" i="1" s="1"/>
  <c r="L59" i="1" s="1"/>
  <c r="M59" i="1" s="1"/>
  <c r="I47" i="1"/>
  <c r="I55" i="1"/>
  <c r="J55" i="1" s="1"/>
  <c r="K55" i="1" s="1"/>
  <c r="L55" i="1" s="1"/>
  <c r="M55" i="1" s="1"/>
  <c r="G19" i="1"/>
  <c r="G35" i="1"/>
  <c r="F20" i="1" s="1"/>
  <c r="I58" i="1"/>
  <c r="J58" i="1" s="1"/>
  <c r="K58" i="1" s="1"/>
  <c r="L58" i="1" s="1"/>
  <c r="M58" i="1" s="1"/>
  <c r="M56" i="1"/>
  <c r="F109" i="11"/>
  <c r="M65" i="1"/>
  <c r="W26" i="1"/>
  <c r="X18" i="1"/>
  <c r="W27" i="1"/>
  <c r="W28" i="1"/>
  <c r="W25" i="1"/>
  <c r="N46" i="1"/>
  <c r="F44" i="1" l="1"/>
  <c r="F61" i="1" s="1"/>
  <c r="J47" i="1"/>
  <c r="N53" i="1"/>
  <c r="N74" i="1"/>
  <c r="O74" i="1" s="1"/>
  <c r="P74" i="1" s="1"/>
  <c r="E53" i="1"/>
  <c r="D14" i="8"/>
  <c r="J57" i="1"/>
  <c r="K57" i="1" s="1"/>
  <c r="L57" i="1" s="1"/>
  <c r="M57" i="1" s="1"/>
  <c r="N57" i="1" s="1"/>
  <c r="D20" i="8"/>
  <c r="O30" i="1"/>
  <c r="O38" i="1" s="1"/>
  <c r="D35" i="1"/>
  <c r="G20" i="1"/>
  <c r="F21" i="1"/>
  <c r="F22" i="1"/>
  <c r="G40" i="1"/>
  <c r="F23" i="1"/>
  <c r="G21" i="1"/>
  <c r="G25" i="1"/>
  <c r="G22" i="1"/>
  <c r="G23" i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N59" i="1"/>
  <c r="N56" i="1"/>
  <c r="X25" i="1"/>
  <c r="X27" i="1"/>
  <c r="Y18" i="1"/>
  <c r="X28" i="1"/>
  <c r="X26" i="1"/>
  <c r="O46" i="1"/>
  <c r="N67" i="1"/>
  <c r="N58" i="1"/>
  <c r="N55" i="1"/>
  <c r="N48" i="1"/>
  <c r="N65" i="1"/>
  <c r="N49" i="1"/>
  <c r="F63" i="1" l="1"/>
  <c r="K47" i="1"/>
  <c r="O43" i="1"/>
  <c r="O42" i="1"/>
  <c r="O32" i="1"/>
  <c r="O34" i="1"/>
  <c r="O53" i="1"/>
  <c r="Q74" i="1"/>
  <c r="P79" i="1"/>
  <c r="O31" i="1"/>
  <c r="D40" i="1"/>
  <c r="G44" i="1"/>
  <c r="G61" i="1" s="1"/>
  <c r="P30" i="1"/>
  <c r="P38" i="1" s="1"/>
  <c r="K22" i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M21" i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G27" i="1"/>
  <c r="O49" i="1"/>
  <c r="O59" i="1"/>
  <c r="O65" i="1"/>
  <c r="O48" i="1"/>
  <c r="O55" i="1"/>
  <c r="O56" i="1"/>
  <c r="O58" i="1"/>
  <c r="O57" i="1"/>
  <c r="P46" i="1"/>
  <c r="Y25" i="1"/>
  <c r="Y26" i="1"/>
  <c r="Y27" i="1"/>
  <c r="Y28" i="1"/>
  <c r="Z18" i="1"/>
  <c r="L47" i="1" l="1"/>
  <c r="P43" i="1"/>
  <c r="P42" i="1"/>
  <c r="P53" i="1"/>
  <c r="P32" i="1"/>
  <c r="P34" i="1"/>
  <c r="R74" i="1"/>
  <c r="Q79" i="1"/>
  <c r="P31" i="1"/>
  <c r="P72" i="1"/>
  <c r="M20" i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Q30" i="1"/>
  <c r="Q38" i="1" s="1"/>
  <c r="G63" i="1"/>
  <c r="D44" i="1"/>
  <c r="P56" i="1"/>
  <c r="P48" i="1"/>
  <c r="AA18" i="1"/>
  <c r="Z26" i="1"/>
  <c r="Z28" i="1"/>
  <c r="Z25" i="1"/>
  <c r="Z27" i="1"/>
  <c r="Q46" i="1"/>
  <c r="P67" i="1"/>
  <c r="P55" i="1"/>
  <c r="P57" i="1"/>
  <c r="P59" i="1"/>
  <c r="P65" i="1"/>
  <c r="P58" i="1"/>
  <c r="P49" i="1"/>
  <c r="M47" i="1" l="1"/>
  <c r="N47" i="1" s="1"/>
  <c r="Q43" i="1"/>
  <c r="Q42" i="1"/>
  <c r="Q53" i="1"/>
  <c r="Q31" i="1"/>
  <c r="Q32" i="1"/>
  <c r="Q34" i="1"/>
  <c r="R79" i="1"/>
  <c r="S74" i="1"/>
  <c r="Q72" i="1"/>
  <c r="Q51" i="1"/>
  <c r="Q50" i="1"/>
  <c r="Q41" i="1"/>
  <c r="Q52" i="1"/>
  <c r="Q61" i="1"/>
  <c r="R30" i="1"/>
  <c r="R38" i="1" s="1"/>
  <c r="G66" i="1"/>
  <c r="Q56" i="1"/>
  <c r="Q59" i="1"/>
  <c r="Q57" i="1"/>
  <c r="Q48" i="1"/>
  <c r="Q58" i="1"/>
  <c r="Q49" i="1"/>
  <c r="Q55" i="1"/>
  <c r="AA25" i="1"/>
  <c r="AB18" i="1"/>
  <c r="AA28" i="1"/>
  <c r="AA26" i="1"/>
  <c r="AA27" i="1"/>
  <c r="R46" i="1"/>
  <c r="Q65" i="1"/>
  <c r="Q67" i="1"/>
  <c r="R43" i="1" l="1"/>
  <c r="R42" i="1"/>
  <c r="R53" i="1"/>
  <c r="R31" i="1"/>
  <c r="R34" i="1"/>
  <c r="R32" i="1"/>
  <c r="T74" i="1"/>
  <c r="S79" i="1"/>
  <c r="R72" i="1"/>
  <c r="R41" i="1"/>
  <c r="R51" i="1"/>
  <c r="R50" i="1"/>
  <c r="R52" i="1"/>
  <c r="R61" i="1"/>
  <c r="S30" i="1"/>
  <c r="S38" i="1" s="1"/>
  <c r="R57" i="1"/>
  <c r="AB28" i="1"/>
  <c r="AB26" i="1"/>
  <c r="AB27" i="1"/>
  <c r="AC18" i="1"/>
  <c r="AB25" i="1"/>
  <c r="R56" i="1"/>
  <c r="S46" i="1"/>
  <c r="R65" i="1"/>
  <c r="R49" i="1"/>
  <c r="R59" i="1"/>
  <c r="R55" i="1"/>
  <c r="R48" i="1"/>
  <c r="R58" i="1"/>
  <c r="O47" i="1"/>
  <c r="S43" i="1" l="1"/>
  <c r="S42" i="1"/>
  <c r="S31" i="1"/>
  <c r="S34" i="1"/>
  <c r="S32" i="1"/>
  <c r="S53" i="1"/>
  <c r="U74" i="1"/>
  <c r="T79" i="1"/>
  <c r="S72" i="1"/>
  <c r="S80" i="1" s="1"/>
  <c r="S51" i="1"/>
  <c r="S50" i="1"/>
  <c r="S52" i="1"/>
  <c r="S41" i="1"/>
  <c r="S61" i="1"/>
  <c r="S71" i="1"/>
  <c r="T30" i="1"/>
  <c r="T38" i="1" s="1"/>
  <c r="S69" i="1"/>
  <c r="S58" i="1"/>
  <c r="S48" i="1"/>
  <c r="S49" i="1"/>
  <c r="S56" i="1"/>
  <c r="T46" i="1"/>
  <c r="S65" i="1"/>
  <c r="S67" i="1"/>
  <c r="S59" i="1"/>
  <c r="S55" i="1"/>
  <c r="AC27" i="1"/>
  <c r="AC26" i="1"/>
  <c r="AC25" i="1"/>
  <c r="AC28" i="1"/>
  <c r="S57" i="1"/>
  <c r="P47" i="1"/>
  <c r="T42" i="1" l="1"/>
  <c r="T43" i="1"/>
  <c r="T53" i="1"/>
  <c r="T31" i="1"/>
  <c r="T34" i="1"/>
  <c r="T32" i="1"/>
  <c r="V74" i="1"/>
  <c r="U79" i="1"/>
  <c r="T72" i="1"/>
  <c r="T80" i="1" s="1"/>
  <c r="T51" i="1"/>
  <c r="T50" i="1"/>
  <c r="T41" i="1"/>
  <c r="T52" i="1"/>
  <c r="T61" i="1"/>
  <c r="T71" i="1"/>
  <c r="T45" i="1"/>
  <c r="T44" i="1"/>
  <c r="T33" i="1"/>
  <c r="T40" i="1"/>
  <c r="T36" i="1"/>
  <c r="T39" i="1"/>
  <c r="U30" i="1"/>
  <c r="U38" i="1" s="1"/>
  <c r="T37" i="1"/>
  <c r="T35" i="1"/>
  <c r="T54" i="1"/>
  <c r="T69" i="1"/>
  <c r="T56" i="1"/>
  <c r="T49" i="1"/>
  <c r="U46" i="1"/>
  <c r="T59" i="1"/>
  <c r="T65" i="1"/>
  <c r="T60" i="1"/>
  <c r="T58" i="1"/>
  <c r="T67" i="1"/>
  <c r="T64" i="1"/>
  <c r="T55" i="1"/>
  <c r="T57" i="1"/>
  <c r="T48" i="1"/>
  <c r="T66" i="1"/>
  <c r="T47" i="1"/>
  <c r="T63" i="1"/>
  <c r="Q47" i="1"/>
  <c r="U42" i="1" l="1"/>
  <c r="U43" i="1"/>
  <c r="U53" i="1"/>
  <c r="U31" i="1"/>
  <c r="U34" i="1"/>
  <c r="U32" i="1"/>
  <c r="W74" i="1"/>
  <c r="V79" i="1"/>
  <c r="U72" i="1"/>
  <c r="U80" i="1" s="1"/>
  <c r="U51" i="1"/>
  <c r="U50" i="1"/>
  <c r="U41" i="1"/>
  <c r="U52" i="1"/>
  <c r="U61" i="1"/>
  <c r="U71" i="1"/>
  <c r="U45" i="1"/>
  <c r="U44" i="1"/>
  <c r="U37" i="1"/>
  <c r="U35" i="1"/>
  <c r="U39" i="1"/>
  <c r="U40" i="1"/>
  <c r="U36" i="1"/>
  <c r="U33" i="1"/>
  <c r="V30" i="1"/>
  <c r="V38" i="1" s="1"/>
  <c r="U54" i="1"/>
  <c r="U69" i="1"/>
  <c r="U47" i="1"/>
  <c r="U64" i="1"/>
  <c r="U60" i="1"/>
  <c r="U48" i="1"/>
  <c r="U63" i="1"/>
  <c r="U55" i="1"/>
  <c r="U66" i="1"/>
  <c r="U56" i="1"/>
  <c r="U58" i="1"/>
  <c r="U67" i="1"/>
  <c r="V46" i="1"/>
  <c r="U49" i="1"/>
  <c r="U57" i="1"/>
  <c r="U65" i="1"/>
  <c r="U59" i="1"/>
  <c r="R47" i="1"/>
  <c r="V42" i="1" l="1"/>
  <c r="V43" i="1"/>
  <c r="V53" i="1"/>
  <c r="V31" i="1"/>
  <c r="V34" i="1"/>
  <c r="V32" i="1"/>
  <c r="X74" i="1"/>
  <c r="W79" i="1"/>
  <c r="V72" i="1"/>
  <c r="V80" i="1" s="1"/>
  <c r="V41" i="1"/>
  <c r="V51" i="1"/>
  <c r="V50" i="1"/>
  <c r="V52" i="1"/>
  <c r="V61" i="1"/>
  <c r="V71" i="1"/>
  <c r="V45" i="1"/>
  <c r="V44" i="1"/>
  <c r="V39" i="1"/>
  <c r="V33" i="1"/>
  <c r="V36" i="1"/>
  <c r="W30" i="1"/>
  <c r="W38" i="1" s="1"/>
  <c r="V37" i="1"/>
  <c r="V40" i="1"/>
  <c r="V35" i="1"/>
  <c r="V54" i="1"/>
  <c r="V69" i="1"/>
  <c r="V67" i="1"/>
  <c r="V47" i="1"/>
  <c r="V60" i="1"/>
  <c r="V57" i="1"/>
  <c r="V65" i="1"/>
  <c r="V59" i="1"/>
  <c r="W46" i="1"/>
  <c r="V55" i="1"/>
  <c r="V49" i="1"/>
  <c r="V56" i="1"/>
  <c r="V63" i="1"/>
  <c r="V64" i="1"/>
  <c r="V58" i="1"/>
  <c r="V48" i="1"/>
  <c r="V66" i="1"/>
  <c r="S47" i="1"/>
  <c r="W42" i="1" l="1"/>
  <c r="W43" i="1"/>
  <c r="W53" i="1"/>
  <c r="W31" i="1"/>
  <c r="W34" i="1"/>
  <c r="W32" i="1"/>
  <c r="T19" i="1"/>
  <c r="Y74" i="1"/>
  <c r="X79" i="1"/>
  <c r="W72" i="1"/>
  <c r="W80" i="1" s="1"/>
  <c r="W51" i="1"/>
  <c r="W50" i="1"/>
  <c r="W41" i="1"/>
  <c r="W52" i="1"/>
  <c r="W61" i="1"/>
  <c r="W71" i="1"/>
  <c r="W45" i="1"/>
  <c r="W44" i="1"/>
  <c r="X30" i="1"/>
  <c r="X38" i="1" s="1"/>
  <c r="W36" i="1"/>
  <c r="W37" i="1"/>
  <c r="W35" i="1"/>
  <c r="W39" i="1"/>
  <c r="W40" i="1"/>
  <c r="W33" i="1"/>
  <c r="W54" i="1"/>
  <c r="W69" i="1"/>
  <c r="W60" i="1"/>
  <c r="W58" i="1"/>
  <c r="W48" i="1"/>
  <c r="W59" i="1"/>
  <c r="X46" i="1"/>
  <c r="W65" i="1"/>
  <c r="W47" i="1"/>
  <c r="W55" i="1"/>
  <c r="W66" i="1"/>
  <c r="W49" i="1"/>
  <c r="W64" i="1"/>
  <c r="W63" i="1"/>
  <c r="W57" i="1"/>
  <c r="W56" i="1"/>
  <c r="W67" i="1"/>
  <c r="X42" i="1" l="1"/>
  <c r="X43" i="1"/>
  <c r="X53" i="1"/>
  <c r="X31" i="1"/>
  <c r="X32" i="1"/>
  <c r="X34" i="1"/>
  <c r="U19" i="1"/>
  <c r="Z74" i="1"/>
  <c r="Y79" i="1"/>
  <c r="X72" i="1"/>
  <c r="X80" i="1" s="1"/>
  <c r="X41" i="1"/>
  <c r="X51" i="1"/>
  <c r="X50" i="1"/>
  <c r="X52" i="1"/>
  <c r="X61" i="1"/>
  <c r="X71" i="1"/>
  <c r="X45" i="1"/>
  <c r="X44" i="1"/>
  <c r="Y30" i="1"/>
  <c r="Y38" i="1" s="1"/>
  <c r="X39" i="1"/>
  <c r="X37" i="1"/>
  <c r="X33" i="1"/>
  <c r="X40" i="1"/>
  <c r="X36" i="1"/>
  <c r="X35" i="1"/>
  <c r="X54" i="1"/>
  <c r="X69" i="1"/>
  <c r="X48" i="1"/>
  <c r="X59" i="1"/>
  <c r="X55" i="1"/>
  <c r="X47" i="1"/>
  <c r="X56" i="1"/>
  <c r="X66" i="1"/>
  <c r="X49" i="1"/>
  <c r="Y46" i="1"/>
  <c r="X58" i="1"/>
  <c r="X64" i="1"/>
  <c r="X57" i="1"/>
  <c r="X67" i="1"/>
  <c r="X63" i="1"/>
  <c r="X60" i="1"/>
  <c r="X65" i="1"/>
  <c r="Y43" i="1" l="1"/>
  <c r="Y42" i="1"/>
  <c r="Y31" i="1"/>
  <c r="Y32" i="1"/>
  <c r="Y34" i="1"/>
  <c r="Y53" i="1"/>
  <c r="V19" i="1"/>
  <c r="AA74" i="1"/>
  <c r="Z79" i="1"/>
  <c r="Y72" i="1"/>
  <c r="Y80" i="1" s="1"/>
  <c r="Y51" i="1"/>
  <c r="Y50" i="1"/>
  <c r="Y52" i="1"/>
  <c r="Y41" i="1"/>
  <c r="Y61" i="1"/>
  <c r="Y71" i="1"/>
  <c r="Y45" i="1"/>
  <c r="Y44" i="1"/>
  <c r="Y40" i="1"/>
  <c r="Y39" i="1"/>
  <c r="Y35" i="1"/>
  <c r="Y36" i="1"/>
  <c r="Y37" i="1"/>
  <c r="Y33" i="1"/>
  <c r="Z30" i="1"/>
  <c r="Z38" i="1" s="1"/>
  <c r="Y54" i="1"/>
  <c r="Y69" i="1"/>
  <c r="Y48" i="1"/>
  <c r="Y56" i="1"/>
  <c r="Y49" i="1"/>
  <c r="Y67" i="1"/>
  <c r="Y60" i="1"/>
  <c r="Y47" i="1"/>
  <c r="Y59" i="1"/>
  <c r="Y64" i="1"/>
  <c r="Y63" i="1"/>
  <c r="Y55" i="1"/>
  <c r="Z46" i="1"/>
  <c r="Y65" i="1"/>
  <c r="Y58" i="1"/>
  <c r="Y57" i="1"/>
  <c r="Y66" i="1"/>
  <c r="Z43" i="1" l="1"/>
  <c r="Z42" i="1"/>
  <c r="Z53" i="1"/>
  <c r="Z31" i="1"/>
  <c r="Z32" i="1"/>
  <c r="Z34" i="1"/>
  <c r="W19" i="1"/>
  <c r="AB74" i="1"/>
  <c r="AA79" i="1"/>
  <c r="Z72" i="1"/>
  <c r="Z80" i="1" s="1"/>
  <c r="Z41" i="1"/>
  <c r="Z51" i="1"/>
  <c r="Z50" i="1"/>
  <c r="Z52" i="1"/>
  <c r="Z61" i="1"/>
  <c r="Z71" i="1"/>
  <c r="Z45" i="1"/>
  <c r="Z44" i="1"/>
  <c r="Z40" i="1"/>
  <c r="Z37" i="1"/>
  <c r="AA30" i="1"/>
  <c r="AA38" i="1" s="1"/>
  <c r="Z36" i="1"/>
  <c r="Z39" i="1"/>
  <c r="Z35" i="1"/>
  <c r="Z33" i="1"/>
  <c r="Z54" i="1"/>
  <c r="Z69" i="1"/>
  <c r="Z57" i="1"/>
  <c r="Z59" i="1"/>
  <c r="AA46" i="1"/>
  <c r="Z63" i="1"/>
  <c r="Z67" i="1"/>
  <c r="Z55" i="1"/>
  <c r="Z65" i="1"/>
  <c r="Z47" i="1"/>
  <c r="Z58" i="1"/>
  <c r="Z60" i="1"/>
  <c r="Z66" i="1"/>
  <c r="Z64" i="1"/>
  <c r="Z56" i="1"/>
  <c r="Z48" i="1"/>
  <c r="Z49" i="1"/>
  <c r="AA43" i="1" l="1"/>
  <c r="AA42" i="1"/>
  <c r="AA31" i="1"/>
  <c r="AA32" i="1"/>
  <c r="AA34" i="1"/>
  <c r="AA53" i="1"/>
  <c r="X19" i="1"/>
  <c r="AC74" i="1"/>
  <c r="AC79" i="1" s="1"/>
  <c r="AB79" i="1"/>
  <c r="AA72" i="1"/>
  <c r="AA80" i="1" s="1"/>
  <c r="AA51" i="1"/>
  <c r="AA50" i="1"/>
  <c r="AA41" i="1"/>
  <c r="AA52" i="1"/>
  <c r="AA61" i="1"/>
  <c r="AA71" i="1"/>
  <c r="AA45" i="1"/>
  <c r="AA44" i="1"/>
  <c r="AA39" i="1"/>
  <c r="AA36" i="1"/>
  <c r="AA33" i="1"/>
  <c r="AA40" i="1"/>
  <c r="AA35" i="1"/>
  <c r="AB30" i="1"/>
  <c r="AB38" i="1" s="1"/>
  <c r="AA37" i="1"/>
  <c r="AA54" i="1"/>
  <c r="AA69" i="1"/>
  <c r="AA59" i="1"/>
  <c r="AA60" i="1"/>
  <c r="AA58" i="1"/>
  <c r="AB46" i="1"/>
  <c r="AA66" i="1"/>
  <c r="AA67" i="1"/>
  <c r="AA48" i="1"/>
  <c r="AA55" i="1"/>
  <c r="AA63" i="1"/>
  <c r="AA47" i="1"/>
  <c r="AA49" i="1"/>
  <c r="AA64" i="1"/>
  <c r="AA65" i="1"/>
  <c r="AA57" i="1"/>
  <c r="AA56" i="1"/>
  <c r="AB43" i="1" l="1"/>
  <c r="AB42" i="1"/>
  <c r="AB53" i="1"/>
  <c r="AB31" i="1"/>
  <c r="AB32" i="1"/>
  <c r="AB34" i="1"/>
  <c r="Y19" i="1"/>
  <c r="AB72" i="1"/>
  <c r="AB80" i="1" s="1"/>
  <c r="AB51" i="1"/>
  <c r="AB50" i="1"/>
  <c r="AB41" i="1"/>
  <c r="AB52" i="1"/>
  <c r="AB61" i="1"/>
  <c r="AB71" i="1"/>
  <c r="AB45" i="1"/>
  <c r="AB44" i="1"/>
  <c r="AB37" i="1"/>
  <c r="AB39" i="1"/>
  <c r="AB35" i="1"/>
  <c r="AC30" i="1"/>
  <c r="AC38" i="1" s="1"/>
  <c r="AB40" i="1"/>
  <c r="AB33" i="1"/>
  <c r="AB36" i="1"/>
  <c r="AB54" i="1"/>
  <c r="AB69" i="1"/>
  <c r="AB58" i="1"/>
  <c r="AB48" i="1"/>
  <c r="AB65" i="1"/>
  <c r="AB55" i="1"/>
  <c r="AB47" i="1"/>
  <c r="AB49" i="1"/>
  <c r="AB59" i="1"/>
  <c r="AB60" i="1"/>
  <c r="AC46" i="1"/>
  <c r="AB57" i="1"/>
  <c r="AB67" i="1"/>
  <c r="AB64" i="1"/>
  <c r="AB56" i="1"/>
  <c r="AB63" i="1"/>
  <c r="AB66" i="1"/>
  <c r="AC43" i="1" l="1"/>
  <c r="AC42" i="1"/>
  <c r="AC31" i="1"/>
  <c r="AC32" i="1"/>
  <c r="AC34" i="1"/>
  <c r="AC53" i="1"/>
  <c r="Z19" i="1"/>
  <c r="AC72" i="1"/>
  <c r="AC80" i="1" s="1"/>
  <c r="AC41" i="1"/>
  <c r="AC51" i="1"/>
  <c r="AC50" i="1"/>
  <c r="AC52" i="1"/>
  <c r="AC61" i="1"/>
  <c r="AC71" i="1"/>
  <c r="AC45" i="1"/>
  <c r="AC44" i="1"/>
  <c r="AC36" i="1"/>
  <c r="AC35" i="1"/>
  <c r="AC33" i="1"/>
  <c r="AC40" i="1"/>
  <c r="AC39" i="1"/>
  <c r="AC37" i="1"/>
  <c r="AC54" i="1"/>
  <c r="AC69" i="1"/>
  <c r="AC66" i="1"/>
  <c r="AC58" i="1"/>
  <c r="AC67" i="1"/>
  <c r="AC57" i="1"/>
  <c r="AC64" i="1"/>
  <c r="AC55" i="1"/>
  <c r="AC49" i="1"/>
  <c r="AC63" i="1"/>
  <c r="AC48" i="1"/>
  <c r="AC47" i="1"/>
  <c r="AC59" i="1"/>
  <c r="AC56" i="1"/>
  <c r="AC60" i="1"/>
  <c r="AC65" i="1"/>
  <c r="AA19" i="1" l="1"/>
  <c r="I70" i="1"/>
  <c r="J70" i="1"/>
  <c r="K70" i="1"/>
  <c r="L70" i="1"/>
  <c r="N70" i="1"/>
  <c r="P70" i="1"/>
  <c r="Q70" i="1"/>
  <c r="AB19" i="1" l="1"/>
  <c r="I39" i="7"/>
  <c r="E36" i="7" l="1"/>
  <c r="E38" i="7" s="1"/>
  <c r="F36" i="7"/>
  <c r="F38" i="7" s="1"/>
  <c r="F41" i="7" s="1"/>
  <c r="G36" i="7"/>
  <c r="G38" i="7" s="1"/>
  <c r="H36" i="7"/>
  <c r="H37" i="7" s="1"/>
  <c r="D41" i="7"/>
  <c r="F37" i="7" l="1"/>
  <c r="F40" i="7" s="1"/>
  <c r="E37" i="7"/>
  <c r="E40" i="7" s="1"/>
  <c r="E41" i="7"/>
  <c r="H38" i="7"/>
  <c r="H40" i="7" s="1"/>
  <c r="G37" i="7"/>
  <c r="G40" i="7" s="1"/>
  <c r="G41" i="7"/>
  <c r="H41" i="7" l="1"/>
  <c r="I36" i="7" s="1"/>
  <c r="I38" i="7" s="1"/>
  <c r="I41" i="7" s="1"/>
  <c r="I37" i="7" l="1"/>
  <c r="I40" i="7" s="1"/>
  <c r="E20" i="7" l="1"/>
  <c r="E43" i="7" s="1"/>
  <c r="F20" i="7"/>
  <c r="F43" i="7" s="1"/>
  <c r="G20" i="7"/>
  <c r="G43" i="7" s="1"/>
  <c r="L20" i="7" l="1"/>
  <c r="M20" i="7" l="1"/>
  <c r="N20" i="7" l="1"/>
  <c r="D23" i="7" l="1"/>
  <c r="E18" i="7" s="1"/>
  <c r="E19" i="7" s="1"/>
  <c r="E22" i="7" s="1"/>
  <c r="C16" i="7"/>
  <c r="C10" i="7"/>
  <c r="E23" i="7" l="1"/>
  <c r="F18" i="7" s="1"/>
  <c r="E45" i="7"/>
  <c r="E46" i="7" s="1"/>
  <c r="I68" i="1" s="1"/>
  <c r="F19" i="7" l="1"/>
  <c r="F23" i="7"/>
  <c r="G18" i="7" s="1"/>
  <c r="G23" i="7" l="1"/>
  <c r="H18" i="7" s="1"/>
  <c r="G19" i="7"/>
  <c r="F22" i="7"/>
  <c r="F45" i="7"/>
  <c r="F46" i="7" s="1"/>
  <c r="J68" i="1" s="1"/>
  <c r="H19" i="7" l="1"/>
  <c r="H20" i="7" s="1"/>
  <c r="G22" i="7"/>
  <c r="G45" i="7"/>
  <c r="G46" i="7" s="1"/>
  <c r="K68" i="1" s="1"/>
  <c r="H23" i="7" l="1"/>
  <c r="I18" i="7" s="1"/>
  <c r="H43" i="7"/>
  <c r="H45" i="7"/>
  <c r="H22" i="7"/>
  <c r="H46" i="7" l="1"/>
  <c r="L68" i="1" s="1"/>
  <c r="I19" i="7"/>
  <c r="I20" i="7" l="1"/>
  <c r="I45" i="7"/>
  <c r="I22" i="7" l="1"/>
  <c r="I21" i="7"/>
  <c r="I23" i="7" s="1"/>
  <c r="J18" i="7" s="1"/>
  <c r="I43" i="7"/>
  <c r="I46" i="7" s="1"/>
  <c r="M68" i="1" s="1"/>
  <c r="L19" i="7"/>
  <c r="J19" i="7" l="1"/>
  <c r="L22" i="7"/>
  <c r="M19" i="7"/>
  <c r="J20" i="7" l="1"/>
  <c r="N19" i="7"/>
  <c r="N21" i="7"/>
  <c r="M22" i="7"/>
  <c r="J23" i="7" l="1"/>
  <c r="K18" i="7" s="1"/>
  <c r="J22" i="7"/>
  <c r="N22" i="7"/>
  <c r="K19" i="7" l="1"/>
  <c r="C7" i="8"/>
  <c r="D7" i="8" s="1"/>
  <c r="J36" i="7"/>
  <c r="K20" i="7" l="1"/>
  <c r="K22" i="7" s="1"/>
  <c r="C13" i="8"/>
  <c r="C23" i="8" s="1"/>
  <c r="J37" i="7"/>
  <c r="J45" i="7" s="1"/>
  <c r="I44" i="7"/>
  <c r="M70" i="1" s="1"/>
  <c r="K21" i="7" l="1"/>
  <c r="D13" i="8"/>
  <c r="D23" i="8" s="1"/>
  <c r="E13" i="8"/>
  <c r="E16" i="8"/>
  <c r="E15" i="8"/>
  <c r="E14" i="8"/>
  <c r="E18" i="8"/>
  <c r="E12" i="8"/>
  <c r="C7" i="7"/>
  <c r="D8" i="7" s="1"/>
  <c r="E22" i="8"/>
  <c r="C26" i="7"/>
  <c r="C29" i="7" s="1"/>
  <c r="E17" i="8"/>
  <c r="E21" i="8"/>
  <c r="E19" i="8"/>
  <c r="C8" i="8"/>
  <c r="E20" i="8"/>
  <c r="H33" i="7" l="1"/>
  <c r="K23" i="7"/>
  <c r="L18" i="7" s="1"/>
  <c r="L23" i="7" s="1"/>
  <c r="M18" i="7" s="1"/>
  <c r="M23" i="7" s="1"/>
  <c r="N18" i="7" s="1"/>
  <c r="N23" i="7" s="1"/>
  <c r="K71" i="1"/>
  <c r="H81" i="1"/>
  <c r="L71" i="1"/>
  <c r="P71" i="1"/>
  <c r="M71" i="1"/>
  <c r="H80" i="1"/>
  <c r="Q71" i="1"/>
  <c r="I71" i="1"/>
  <c r="J71" i="1"/>
  <c r="O71" i="1"/>
  <c r="R71" i="1"/>
  <c r="N71" i="1"/>
  <c r="D8" i="8"/>
  <c r="D9" i="8" s="1"/>
  <c r="C9" i="8"/>
  <c r="C9" i="1" l="1"/>
  <c r="D9" i="1" s="1"/>
  <c r="H79" i="1"/>
  <c r="E7" i="8"/>
  <c r="E8" i="8"/>
  <c r="E9" i="8" l="1"/>
  <c r="Q33" i="1" l="1"/>
  <c r="Q35" i="1" l="1"/>
  <c r="S33" i="1"/>
  <c r="R33" i="1"/>
  <c r="Q37" i="1" l="1"/>
  <c r="Q25" i="1"/>
  <c r="Q26" i="1"/>
  <c r="Q36" i="1"/>
  <c r="Q39" i="1"/>
  <c r="R35" i="1"/>
  <c r="S35" i="1"/>
  <c r="Q40" i="1" l="1"/>
  <c r="Q27" i="1" s="1"/>
  <c r="S39" i="1"/>
  <c r="S37" i="1"/>
  <c r="S25" i="1"/>
  <c r="S26" i="1"/>
  <c r="S36" i="1"/>
  <c r="R37" i="1"/>
  <c r="R25" i="1"/>
  <c r="R26" i="1"/>
  <c r="R36" i="1"/>
  <c r="R39" i="1"/>
  <c r="Q28" i="1" l="1"/>
  <c r="Q44" i="1"/>
  <c r="Q54" i="1" s="1"/>
  <c r="Q60" i="1" s="1"/>
  <c r="Q63" i="1" s="1"/>
  <c r="S40" i="1"/>
  <c r="S44" i="1" s="1"/>
  <c r="R40" i="1"/>
  <c r="R27" i="1" s="1"/>
  <c r="S27" i="1" l="1"/>
  <c r="R44" i="1"/>
  <c r="R45" i="1" s="1"/>
  <c r="S28" i="1"/>
  <c r="R28" i="1"/>
  <c r="S54" i="1"/>
  <c r="S60" i="1" s="1"/>
  <c r="S63" i="1" s="1"/>
  <c r="Q66" i="1"/>
  <c r="Q64" i="1"/>
  <c r="P75" i="1"/>
  <c r="S45" i="1" l="1"/>
  <c r="R54" i="1"/>
  <c r="R60" i="1" s="1"/>
  <c r="R63" i="1" s="1"/>
  <c r="R64" i="1" s="1"/>
  <c r="Q75" i="1"/>
  <c r="S66" i="1"/>
  <c r="R66" i="1" l="1"/>
  <c r="S64" i="1"/>
  <c r="R67" i="1"/>
  <c r="R75" i="1" l="1"/>
  <c r="J38" i="7"/>
  <c r="J40" i="7" l="1"/>
  <c r="J43" i="7"/>
  <c r="J46" i="7" s="1"/>
  <c r="N68" i="1" s="1"/>
  <c r="J41" i="7"/>
  <c r="K36" i="7" s="1"/>
  <c r="K38" i="7" l="1"/>
  <c r="K43" i="7" s="1"/>
  <c r="K37" i="7"/>
  <c r="K41" i="7" l="1"/>
  <c r="L36" i="7" s="1"/>
  <c r="K44" i="7" s="1"/>
  <c r="O70" i="1" s="1"/>
  <c r="K40" i="7"/>
  <c r="K45" i="7"/>
  <c r="K46" i="7" s="1"/>
  <c r="O68" i="1" s="1"/>
  <c r="L37" i="7" l="1"/>
  <c r="L38" i="7"/>
  <c r="L43" i="7" s="1"/>
  <c r="L41" i="7" l="1"/>
  <c r="M36" i="7" s="1"/>
  <c r="L40" i="7"/>
  <c r="L45" i="7"/>
  <c r="L46" i="7" s="1"/>
  <c r="P68" i="1" s="1"/>
  <c r="P76" i="1" l="1"/>
  <c r="P69" i="1"/>
  <c r="M37" i="7"/>
  <c r="P80" i="1" l="1"/>
  <c r="M45" i="7"/>
  <c r="M38" i="7"/>
  <c r="M43" i="7" l="1"/>
  <c r="M46" i="7" s="1"/>
  <c r="Q68" i="1" s="1"/>
  <c r="M41" i="7"/>
  <c r="N36" i="7" s="1"/>
  <c r="M40" i="7"/>
  <c r="Q69" i="1" l="1"/>
  <c r="Q76" i="1"/>
  <c r="N37" i="7"/>
  <c r="N38" i="7"/>
  <c r="N43" i="7" s="1"/>
  <c r="Q80" i="1" l="1"/>
  <c r="N39" i="7"/>
  <c r="N44" i="7" s="1"/>
  <c r="R70" i="1" s="1"/>
  <c r="N40" i="7"/>
  <c r="N45" i="7"/>
  <c r="N46" i="7" s="1"/>
  <c r="R68" i="1" s="1"/>
  <c r="R76" i="1" l="1"/>
  <c r="R69" i="1"/>
  <c r="N41" i="7"/>
  <c r="R80" i="1" l="1"/>
  <c r="H8" i="1" l="1"/>
  <c r="L32" i="1"/>
  <c r="M32" i="1" s="1"/>
  <c r="N32" i="1" s="1"/>
  <c r="O33" i="1" l="1"/>
  <c r="O35" i="1" s="1"/>
  <c r="P33" i="1"/>
  <c r="P35" i="1" s="1"/>
  <c r="O26" i="1" l="1"/>
  <c r="O39" i="1"/>
  <c r="O25" i="1"/>
  <c r="O36" i="1"/>
  <c r="O37" i="1"/>
  <c r="P36" i="1"/>
  <c r="P39" i="1"/>
  <c r="P25" i="1"/>
  <c r="P37" i="1"/>
  <c r="P26" i="1"/>
  <c r="O40" i="1" l="1"/>
  <c r="O28" i="1" s="1"/>
  <c r="P40" i="1"/>
  <c r="O27" i="1" l="1"/>
  <c r="P27" i="1"/>
  <c r="P28" i="1"/>
  <c r="I50" i="1" l="1"/>
  <c r="J50" i="1" l="1"/>
  <c r="I51" i="1"/>
  <c r="K50" i="1" l="1"/>
  <c r="J51" i="1"/>
  <c r="K51" i="1" s="1"/>
  <c r="L51" i="1" s="1"/>
  <c r="M51" i="1" s="1"/>
  <c r="N51" i="1" s="1"/>
  <c r="O51" i="1" s="1"/>
  <c r="P51" i="1" s="1"/>
  <c r="I52" i="1"/>
  <c r="L50" i="1" l="1"/>
  <c r="J52" i="1"/>
  <c r="J41" i="1"/>
  <c r="M50" i="1" l="1"/>
  <c r="K52" i="1"/>
  <c r="L52" i="1" s="1"/>
  <c r="M52" i="1" s="1"/>
  <c r="N52" i="1" s="1"/>
  <c r="O52" i="1" s="1"/>
  <c r="P52" i="1" s="1"/>
  <c r="K41" i="1"/>
  <c r="N50" i="1" l="1"/>
  <c r="L41" i="1"/>
  <c r="O50" i="1" l="1"/>
  <c r="P50" i="1" s="1"/>
  <c r="M41" i="1"/>
  <c r="N41" i="1" l="1"/>
  <c r="O41" i="1" l="1"/>
  <c r="O44" i="1" l="1"/>
  <c r="P41" i="1"/>
  <c r="P44" i="1" s="1"/>
  <c r="O54" i="1" l="1"/>
  <c r="O60" i="1" s="1"/>
  <c r="P54" i="1"/>
  <c r="P60" i="1" s="1"/>
  <c r="O61" i="1" l="1"/>
  <c r="O63" i="1"/>
  <c r="P61" i="1"/>
  <c r="P63" i="1"/>
  <c r="O66" i="1" l="1"/>
  <c r="O64" i="1"/>
  <c r="N79" i="1"/>
  <c r="N75" i="1"/>
  <c r="N72" i="1"/>
  <c r="N80" i="1" s="1"/>
  <c r="N76" i="1"/>
  <c r="N69" i="1"/>
  <c r="P64" i="1"/>
  <c r="P66" i="1"/>
  <c r="O76" i="1" l="1"/>
  <c r="O75" i="1"/>
  <c r="O67" i="1"/>
  <c r="O79" i="1" l="1"/>
  <c r="O72" i="1"/>
  <c r="O80" i="1" s="1"/>
  <c r="O69" i="1"/>
  <c r="I35" i="1" l="1"/>
  <c r="E35" i="1" l="1"/>
  <c r="I38" i="1"/>
  <c r="E38" i="1" s="1"/>
  <c r="I37" i="1"/>
  <c r="E37" i="1" s="1"/>
  <c r="J31" i="1" l="1"/>
  <c r="I33" i="1"/>
  <c r="E33" i="1" s="1"/>
  <c r="D19" i="1"/>
  <c r="I34" i="1" l="1"/>
  <c r="J33" i="1"/>
  <c r="K31" i="1"/>
  <c r="I36" i="1"/>
  <c r="E36" i="1" s="1"/>
  <c r="I39" i="1"/>
  <c r="E39" i="1" s="1"/>
  <c r="I25" i="1"/>
  <c r="I26" i="1"/>
  <c r="I19" i="1" l="1"/>
  <c r="E34" i="1"/>
  <c r="J34" i="1"/>
  <c r="I40" i="1"/>
  <c r="E40" i="1" s="1"/>
  <c r="K33" i="1"/>
  <c r="L31" i="1"/>
  <c r="K34" i="1" l="1"/>
  <c r="I28" i="1"/>
  <c r="I27" i="1"/>
  <c r="M31" i="1"/>
  <c r="L33" i="1"/>
  <c r="L34" i="1" l="1"/>
  <c r="N31" i="1"/>
  <c r="N33" i="1" s="1"/>
  <c r="M33" i="1"/>
  <c r="N34" i="1" l="1"/>
  <c r="M34" i="1"/>
  <c r="J35" i="1" l="1"/>
  <c r="J38" i="1" s="1"/>
  <c r="J26" i="1" l="1"/>
  <c r="J39" i="1"/>
  <c r="J37" i="1"/>
  <c r="J25" i="1"/>
  <c r="J36" i="1"/>
  <c r="J40" i="1" l="1"/>
  <c r="J27" i="1" l="1"/>
  <c r="J28" i="1"/>
  <c r="L35" i="1" l="1"/>
  <c r="L38" i="1" s="1"/>
  <c r="K35" i="1"/>
  <c r="K38" i="1" s="1"/>
  <c r="M35" i="1"/>
  <c r="M38" i="1" s="1"/>
  <c r="N35" i="1"/>
  <c r="N39" i="1" l="1"/>
  <c r="N38" i="1"/>
  <c r="K36" i="1"/>
  <c r="K39" i="1"/>
  <c r="L37" i="1"/>
  <c r="L36" i="1"/>
  <c r="K26" i="1"/>
  <c r="K37" i="1"/>
  <c r="L26" i="1"/>
  <c r="K25" i="1"/>
  <c r="M26" i="1"/>
  <c r="N26" i="1"/>
  <c r="L39" i="1"/>
  <c r="L25" i="1"/>
  <c r="M25" i="1"/>
  <c r="M39" i="1"/>
  <c r="M36" i="1"/>
  <c r="M37" i="1"/>
  <c r="N36" i="1"/>
  <c r="N25" i="1"/>
  <c r="N37" i="1"/>
  <c r="K40" i="1" l="1"/>
  <c r="L40" i="1"/>
  <c r="N40" i="1"/>
  <c r="M40" i="1"/>
  <c r="L28" i="1" l="1"/>
  <c r="L27" i="1"/>
  <c r="K27" i="1"/>
  <c r="K28" i="1"/>
  <c r="N28" i="1"/>
  <c r="N27" i="1"/>
  <c r="M27" i="1"/>
  <c r="M28" i="1"/>
  <c r="I43" i="1" l="1"/>
  <c r="J43" i="1" s="1"/>
  <c r="K43" i="1" s="1"/>
  <c r="L43" i="1" s="1"/>
  <c r="M43" i="1" s="1"/>
  <c r="N43" i="1" s="1"/>
  <c r="I44" i="1" l="1"/>
  <c r="J42" i="1"/>
  <c r="K42" i="1" s="1"/>
  <c r="L42" i="1" s="1"/>
  <c r="M42" i="1" s="1"/>
  <c r="N42" i="1" s="1"/>
  <c r="I54" i="1" l="1"/>
  <c r="I60" i="1" s="1"/>
  <c r="J44" i="1"/>
  <c r="E54" i="1" l="1"/>
  <c r="E60" i="1" s="1"/>
  <c r="E44" i="1"/>
  <c r="J54" i="1"/>
  <c r="J60" i="1" s="1"/>
  <c r="K44" i="1"/>
  <c r="I63" i="1" l="1"/>
  <c r="I61" i="1"/>
  <c r="K54" i="1"/>
  <c r="K60" i="1" s="1"/>
  <c r="L44" i="1"/>
  <c r="J61" i="1"/>
  <c r="J63" i="1"/>
  <c r="K13" i="1" l="1"/>
  <c r="J13" i="1"/>
  <c r="J9" i="1"/>
  <c r="J10" i="1" s="1"/>
  <c r="K9" i="1"/>
  <c r="K10" i="1" s="1"/>
  <c r="I64" i="1"/>
  <c r="I66" i="1"/>
  <c r="C8" i="1" s="1"/>
  <c r="L54" i="1"/>
  <c r="L60" i="1" s="1"/>
  <c r="M44" i="1"/>
  <c r="N44" i="1"/>
  <c r="J64" i="1"/>
  <c r="J66" i="1"/>
  <c r="K61" i="1"/>
  <c r="K63" i="1"/>
  <c r="L61" i="1" l="1"/>
  <c r="L63" i="1"/>
  <c r="I79" i="1"/>
  <c r="I72" i="1"/>
  <c r="I80" i="1" s="1"/>
  <c r="I76" i="1"/>
  <c r="C12" i="1" s="1"/>
  <c r="I75" i="1"/>
  <c r="I69" i="1"/>
  <c r="M54" i="1"/>
  <c r="M60" i="1" s="1"/>
  <c r="N54" i="1"/>
  <c r="N60" i="1" s="1"/>
  <c r="J79" i="1"/>
  <c r="J76" i="1"/>
  <c r="J75" i="1"/>
  <c r="J72" i="1"/>
  <c r="J80" i="1" s="1"/>
  <c r="J69" i="1"/>
  <c r="K64" i="1"/>
  <c r="K66" i="1"/>
  <c r="L66" i="1" l="1"/>
  <c r="L64" i="1"/>
  <c r="C10" i="1"/>
  <c r="D8" i="1"/>
  <c r="K79" i="1"/>
  <c r="K75" i="1"/>
  <c r="K76" i="1"/>
  <c r="K72" i="1"/>
  <c r="K80" i="1" s="1"/>
  <c r="K69" i="1"/>
  <c r="M61" i="1"/>
  <c r="M63" i="1"/>
  <c r="N61" i="1"/>
  <c r="N63" i="1"/>
  <c r="L79" i="1" l="1"/>
  <c r="L75" i="1"/>
  <c r="L72" i="1"/>
  <c r="L80" i="1" s="1"/>
  <c r="L69" i="1"/>
  <c r="L76" i="1"/>
  <c r="M64" i="1"/>
  <c r="M66" i="1"/>
  <c r="H27" i="7" a="1"/>
  <c r="H27" i="7" s="1"/>
  <c r="H31" i="7" s="1"/>
  <c r="H32" i="7" s="1"/>
  <c r="N64" i="1"/>
  <c r="N66" i="1"/>
  <c r="M67" i="1" s="1"/>
  <c r="M75" i="1" l="1"/>
  <c r="G75" i="1" s="1"/>
  <c r="M76" i="1"/>
  <c r="G76" i="1" s="1"/>
  <c r="C15" i="1"/>
  <c r="D15" i="1" s="1"/>
  <c r="K11" i="1" l="1"/>
  <c r="J11" i="1"/>
  <c r="C16" i="1"/>
  <c r="D16" i="1" s="1"/>
  <c r="M69" i="1"/>
  <c r="M72" i="1"/>
  <c r="M80" i="1" s="1"/>
  <c r="G78" i="1" s="1"/>
  <c r="M79" i="1"/>
  <c r="G77" i="1" s="1"/>
  <c r="K12" i="1" l="1"/>
  <c r="J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<sst xmlns="http://schemas.openxmlformats.org/spreadsheetml/2006/main" count="2054" uniqueCount="623">
  <si>
    <t>Address:</t>
  </si>
  <si>
    <t>Cashflow Statement - Main Page</t>
  </si>
  <si>
    <t>Units</t>
  </si>
  <si>
    <t>Year Built/Reno</t>
  </si>
  <si>
    <t>Scenario</t>
  </si>
  <si>
    <t>Tax rate info.</t>
  </si>
  <si>
    <t>County Link:</t>
  </si>
  <si>
    <t>Analysis Start Date</t>
  </si>
  <si>
    <t>Districts</t>
  </si>
  <si>
    <t>Jurisdictions</t>
  </si>
  <si>
    <t>2025 Rate</t>
  </si>
  <si>
    <t>Investment Assumptions/Summary</t>
  </si>
  <si>
    <t>Per Unit</t>
  </si>
  <si>
    <t>Pro forma Assumptions</t>
  </si>
  <si>
    <t>Key Metrics</t>
  </si>
  <si>
    <t>Purchase Price</t>
  </si>
  <si>
    <t>Rent Increase (Y2 Onwards)</t>
  </si>
  <si>
    <t>Other Income Increase (Y2)</t>
  </si>
  <si>
    <t>Asking Price</t>
  </si>
  <si>
    <t>-</t>
  </si>
  <si>
    <t xml:space="preserve">All in Cost </t>
  </si>
  <si>
    <t>Expense Increase (Year 2 Onwards)</t>
  </si>
  <si>
    <t>Property Management Fee</t>
  </si>
  <si>
    <t>Cap rate</t>
  </si>
  <si>
    <t>Total Rentable Square Feet</t>
  </si>
  <si>
    <t>Asset Management Fee</t>
  </si>
  <si>
    <t>Levered COC</t>
  </si>
  <si>
    <t>Cost of Exit (Brokerage)</t>
  </si>
  <si>
    <t>Levered IRR</t>
  </si>
  <si>
    <t>Exit Year</t>
  </si>
  <si>
    <t>Replacement Reserve (Per Unit)</t>
  </si>
  <si>
    <t>Exit Cap Rate</t>
  </si>
  <si>
    <t>Assesment Ratio</t>
  </si>
  <si>
    <t>Exit NOI (After Reserve)</t>
  </si>
  <si>
    <t>Exit Price</t>
  </si>
  <si>
    <t>Millage Rate</t>
  </si>
  <si>
    <t>Rental Assumptions</t>
  </si>
  <si>
    <t>T3</t>
  </si>
  <si>
    <t>T12</t>
  </si>
  <si>
    <t>Loss to Lease</t>
  </si>
  <si>
    <t>Vacancy</t>
  </si>
  <si>
    <t>Concession/Discount</t>
  </si>
  <si>
    <t>Bad Debt</t>
  </si>
  <si>
    <t>Non Revenue Units</t>
  </si>
  <si>
    <t>Average Rent (GRP)</t>
  </si>
  <si>
    <t>GRP Increases</t>
  </si>
  <si>
    <t>Economic Occupancy</t>
  </si>
  <si>
    <t>GEI Increases</t>
  </si>
  <si>
    <t>Income</t>
  </si>
  <si>
    <t>Per Unit (T12)</t>
  </si>
  <si>
    <t xml:space="preserve">Market Rent Potential </t>
  </si>
  <si>
    <t>Renovation Premium</t>
  </si>
  <si>
    <t>Total Market Rent Potential</t>
  </si>
  <si>
    <t>Scheduled Rental Income</t>
  </si>
  <si>
    <t xml:space="preserve">Bad Debt </t>
  </si>
  <si>
    <t>Gross Effective Income</t>
  </si>
  <si>
    <t>Utility Reimbursements</t>
  </si>
  <si>
    <t>Other Reimbursements</t>
  </si>
  <si>
    <t xml:space="preserve">Other Income </t>
  </si>
  <si>
    <t>Total Operating Revenue</t>
  </si>
  <si>
    <t>Operating Expenses</t>
  </si>
  <si>
    <t>Per Unit Y1</t>
  </si>
  <si>
    <t>Repair &amp; Maintenance</t>
  </si>
  <si>
    <t>Cleaning &amp; Decorating</t>
  </si>
  <si>
    <t>Contract &amp; Services</t>
  </si>
  <si>
    <t>Utility</t>
  </si>
  <si>
    <t>Utility- Water/Sewage</t>
  </si>
  <si>
    <t>Utility- Gas, Telephone &amp; Others</t>
  </si>
  <si>
    <t>RE Taxes</t>
  </si>
  <si>
    <t>Property Mangement fees</t>
  </si>
  <si>
    <t>Marketing</t>
  </si>
  <si>
    <t>Payroll</t>
  </si>
  <si>
    <t>Insurance</t>
  </si>
  <si>
    <t>General &amp; Administrative</t>
  </si>
  <si>
    <t>Other taxes/Permit license</t>
  </si>
  <si>
    <t>Total Operating Expenses</t>
  </si>
  <si>
    <t>Expense Ratio</t>
  </si>
  <si>
    <t>Net Operating Income (NOI)</t>
  </si>
  <si>
    <t>% Increase in NOI</t>
  </si>
  <si>
    <t>Replacement Reserves</t>
  </si>
  <si>
    <t>Net Operating Cash Flow</t>
  </si>
  <si>
    <t>Sale Proceed</t>
  </si>
  <si>
    <t xml:space="preserve">Debt Service </t>
  </si>
  <si>
    <t>DSCR</t>
  </si>
  <si>
    <t>Loan Payoff</t>
  </si>
  <si>
    <t>Levered Cash Flow</t>
  </si>
  <si>
    <t>Return Metrics</t>
  </si>
  <si>
    <t>Avg return</t>
  </si>
  <si>
    <t>Cash on Cash Return (Unlevered)</t>
  </si>
  <si>
    <t>Cash on Cash Return (levered)</t>
  </si>
  <si>
    <t>IRR-Unlevered</t>
  </si>
  <si>
    <t>IRR-levered</t>
  </si>
  <si>
    <t>Cashflow -Unlevered</t>
  </si>
  <si>
    <t>Cashflow -levered</t>
  </si>
  <si>
    <t>Equity Required</t>
  </si>
  <si>
    <t>Underwriting Notes &amp; Assumptions</t>
  </si>
  <si>
    <t>General Modeling Notes</t>
  </si>
  <si>
    <t>Rent Roll Analysis</t>
  </si>
  <si>
    <t>Rent Roll as on</t>
  </si>
  <si>
    <t>Avg Rent</t>
  </si>
  <si>
    <t>2x2</t>
  </si>
  <si>
    <t>Rent Schedule</t>
  </si>
  <si>
    <t>Type</t>
  </si>
  <si>
    <t>Occupied</t>
  </si>
  <si>
    <t>Vacant/Model</t>
  </si>
  <si>
    <t>Unit Mix %</t>
  </si>
  <si>
    <t>Occupancy %</t>
  </si>
  <si>
    <t>Square Feet</t>
  </si>
  <si>
    <t>MR - Based on Comps</t>
  </si>
  <si>
    <t>Effective Rent</t>
  </si>
  <si>
    <t>GRP</t>
  </si>
  <si>
    <t>GRP/unit</t>
  </si>
  <si>
    <t>Total</t>
  </si>
  <si>
    <t>MRP</t>
  </si>
  <si>
    <t>Rent per Unit</t>
  </si>
  <si>
    <t>Rent per Sq ft</t>
  </si>
  <si>
    <t>Loss/(Gain) to lease</t>
  </si>
  <si>
    <t>Average sq ft</t>
  </si>
  <si>
    <t>Renovation Rent Premium and Cost Schdule</t>
  </si>
  <si>
    <t>Cost Per Unit</t>
  </si>
  <si>
    <t>Total Cost</t>
  </si>
  <si>
    <t>Premium Per Unit</t>
  </si>
  <si>
    <t>Unit type</t>
  </si>
  <si>
    <t>Unit</t>
  </si>
  <si>
    <t>Unit Type</t>
  </si>
  <si>
    <t>Sq Ft</t>
  </si>
  <si>
    <t>Tenant Name</t>
  </si>
  <si>
    <t>Market Rent</t>
  </si>
  <si>
    <t>Lease Rent</t>
  </si>
  <si>
    <t>Occupancy</t>
  </si>
  <si>
    <t>(blank)</t>
  </si>
  <si>
    <t>Grand Total</t>
  </si>
  <si>
    <t>Loan Schedule</t>
  </si>
  <si>
    <t>Loan Assumptions - Acquisition Loan</t>
  </si>
  <si>
    <t>Project Cost</t>
  </si>
  <si>
    <t>LTV</t>
  </si>
  <si>
    <t>Loan Amount</t>
  </si>
  <si>
    <t>Processing Fees</t>
  </si>
  <si>
    <t>Amortization Period (Years)</t>
  </si>
  <si>
    <t>Loan Termination for Refinance</t>
  </si>
  <si>
    <t>← Input 0 if not using</t>
  </si>
  <si>
    <t>Interest Rate</t>
  </si>
  <si>
    <t xml:space="preserve">I/O Period </t>
  </si>
  <si>
    <t>Debt Service Constant</t>
  </si>
  <si>
    <t>Annual Payment Constant</t>
  </si>
  <si>
    <t>Loan Schedule (First)</t>
  </si>
  <si>
    <t>Loan Amount BB</t>
  </si>
  <si>
    <t>Interest Payment</t>
  </si>
  <si>
    <t>Principal Payment</t>
  </si>
  <si>
    <t>Total Debt Payment</t>
  </si>
  <si>
    <t>Loan Balance End of Year</t>
  </si>
  <si>
    <t>Loan Assumptions - Refinance</t>
  </si>
  <si>
    <t>Refinancing assumptions</t>
  </si>
  <si>
    <t>Total cost</t>
  </si>
  <si>
    <t>Year of Refinance</t>
  </si>
  <si>
    <t>DCR Sizing</t>
  </si>
  <si>
    <t>LTC</t>
  </si>
  <si>
    <t>← Input 0 if not using Refinance and Loan amount can be Hardcoded. =ROUND(IF(H26=0,C28*C26,H33),-4)</t>
  </si>
  <si>
    <t>Constant</t>
  </si>
  <si>
    <t>Debt Service</t>
  </si>
  <si>
    <t>Loan Term (Years)_Holding</t>
  </si>
  <si>
    <t>Max Proceed</t>
  </si>
  <si>
    <t>Bridge Loan payoff</t>
  </si>
  <si>
    <t>Loan Schedule (Refinance)</t>
  </si>
  <si>
    <t>Principal</t>
  </si>
  <si>
    <t>Total Principal Payment</t>
  </si>
  <si>
    <t>Total Loan Payoff</t>
  </si>
  <si>
    <t>Total Interest Payment</t>
  </si>
  <si>
    <t>Sources &amp; Usage</t>
  </si>
  <si>
    <t>Source of Funding (Pre Refinance)</t>
  </si>
  <si>
    <t>Amount</t>
  </si>
  <si>
    <t>Debt</t>
  </si>
  <si>
    <t>Equity</t>
  </si>
  <si>
    <t>Usage of Funding</t>
  </si>
  <si>
    <t>Loan Processing Fees</t>
  </si>
  <si>
    <t>Acquisition Fees</t>
  </si>
  <si>
    <t>Renovation Cost</t>
  </si>
  <si>
    <t>Additional Capex</t>
  </si>
  <si>
    <t>Equity Fees</t>
  </si>
  <si>
    <t>Legal</t>
  </si>
  <si>
    <t>Other Closing Cost</t>
  </si>
  <si>
    <t>Historical Analysis</t>
  </si>
  <si>
    <t>Category</t>
  </si>
  <si>
    <t>Summary</t>
  </si>
  <si>
    <t xml:space="preserve">1 - Market Rent Potential </t>
  </si>
  <si>
    <t>Operating Incomes</t>
  </si>
  <si>
    <t>2 - Increase in Rent from Renovation</t>
  </si>
  <si>
    <t>3 - Loss to Lease</t>
  </si>
  <si>
    <t>Increase in Market Rent Potential from Renovation</t>
  </si>
  <si>
    <t>4 - Vacancy</t>
  </si>
  <si>
    <t>5 - Concession/Discount</t>
  </si>
  <si>
    <t xml:space="preserve">6 - Bad Debt </t>
  </si>
  <si>
    <t>Gross Rent Potential</t>
  </si>
  <si>
    <t>7 - Non Revenue Units</t>
  </si>
  <si>
    <t>8 - Utility Reimbursements</t>
  </si>
  <si>
    <t>9 - Other Reimbursements</t>
  </si>
  <si>
    <t>10 - Other Income</t>
  </si>
  <si>
    <t>11 - Repair &amp; Maintenance</t>
  </si>
  <si>
    <t>12 - Cleaning &amp; Decorating</t>
  </si>
  <si>
    <t>13 - Contract &amp; Services</t>
  </si>
  <si>
    <t>14 - Utility- Electricity</t>
  </si>
  <si>
    <t>15 - Utility- Water</t>
  </si>
  <si>
    <t>16 - Utility- Others</t>
  </si>
  <si>
    <t>17 - Marketing</t>
  </si>
  <si>
    <t>18 - Payroll</t>
  </si>
  <si>
    <t>19 - RE Taxes</t>
  </si>
  <si>
    <t>20 - Insurance</t>
  </si>
  <si>
    <t>21 - Property Mangement fees</t>
  </si>
  <si>
    <t>22 - General &amp; Administrative Expenses</t>
  </si>
  <si>
    <t>Utility- Water</t>
  </si>
  <si>
    <t>23 - Other taxes/Permit license fees</t>
  </si>
  <si>
    <t>Utility- Others</t>
  </si>
  <si>
    <t>24 - NOI</t>
  </si>
  <si>
    <t>General &amp; Administrative Expenses</t>
  </si>
  <si>
    <t>Other taxes/Permit license fees</t>
  </si>
  <si>
    <t>Replacement Reserve</t>
  </si>
  <si>
    <t>NOI as per T 12</t>
  </si>
  <si>
    <t>Property Id</t>
  </si>
  <si>
    <t>Map #</t>
  </si>
  <si>
    <t>Building Name</t>
  </si>
  <si>
    <t>Address</t>
  </si>
  <si>
    <t>Rating</t>
  </si>
  <si>
    <t>Apartments.com Ad Level</t>
  </si>
  <si>
    <t>Common View Last 60 Days</t>
  </si>
  <si>
    <t>% Overlap with Subject Property</t>
  </si>
  <si>
    <t>Stories</t>
  </si>
  <si>
    <t>Yr Blt/Ren</t>
  </si>
  <si>
    <t>Avg SF</t>
  </si>
  <si>
    <t>mi Away</t>
  </si>
  <si>
    <t>Rent/SF</t>
  </si>
  <si>
    <t>Rent/Unit</t>
  </si>
  <si>
    <t>Studio</t>
  </si>
  <si>
    <t>2 Beds</t>
  </si>
  <si>
    <t>Occ %</t>
  </si>
  <si>
    <t>Concess %</t>
  </si>
  <si>
    <t>#3 Beds</t>
  </si>
  <si>
    <t>Neighborhood</t>
  </si>
  <si>
    <t>Subject Property</t>
  </si>
  <si>
    <t>Actual rents from Rent Roll</t>
  </si>
  <si>
    <t>Comps</t>
  </si>
  <si>
    <t>A.</t>
  </si>
  <si>
    <t>Avg Rent of Comps</t>
  </si>
  <si>
    <t>B.</t>
  </si>
  <si>
    <t>Subject Prop Rent</t>
  </si>
  <si>
    <t>C.</t>
  </si>
  <si>
    <t>C=A-B</t>
  </si>
  <si>
    <t>*Source - Hello Data</t>
  </si>
  <si>
    <t>Comp 1</t>
  </si>
  <si>
    <t>Comp 2</t>
  </si>
  <si>
    <t>Comp 3</t>
  </si>
  <si>
    <t>Comp 4</t>
  </si>
  <si>
    <t>Comp 5</t>
  </si>
  <si>
    <t>Comp 6</t>
  </si>
  <si>
    <t>PIN/Parcel ID</t>
  </si>
  <si>
    <t>Built in:</t>
  </si>
  <si>
    <t>Last Sales Date</t>
  </si>
  <si>
    <t>Managed By:</t>
  </si>
  <si>
    <t>Price / Unit</t>
  </si>
  <si>
    <t xml:space="preserve">Price / </t>
  </si>
  <si>
    <t>Rent Survey Date:</t>
  </si>
  <si>
    <t>Year Assessed</t>
  </si>
  <si>
    <t>Occupancy:</t>
  </si>
  <si>
    <t>Land</t>
  </si>
  <si>
    <t>Last Rent Increase:</t>
  </si>
  <si>
    <t>Improvements</t>
  </si>
  <si>
    <t>Concessions?</t>
  </si>
  <si>
    <t>Income Restricted?</t>
  </si>
  <si>
    <t>Tax District</t>
  </si>
  <si>
    <t>Tax Credit?</t>
  </si>
  <si>
    <t>Zoning</t>
  </si>
  <si>
    <t>Building Style</t>
  </si>
  <si>
    <t>Acres</t>
  </si>
  <si>
    <t>Distance from Subject</t>
  </si>
  <si>
    <t>Density</t>
  </si>
  <si>
    <t>Base Rent</t>
  </si>
  <si>
    <t>PSF</t>
  </si>
  <si>
    <t>% of Mix</t>
  </si>
  <si>
    <t>0x1</t>
  </si>
  <si>
    <t>Average</t>
  </si>
  <si>
    <t>Proforma</t>
  </si>
  <si>
    <t>One Bedroom</t>
  </si>
  <si>
    <t>1x1</t>
  </si>
  <si>
    <t>Two Bedroom</t>
  </si>
  <si>
    <t>Three Bedroom</t>
  </si>
  <si>
    <t>3x2</t>
  </si>
  <si>
    <t>Property Mix Total</t>
  </si>
  <si>
    <t>SF</t>
  </si>
  <si>
    <t>Rent</t>
  </si>
  <si>
    <t>Efficiency</t>
  </si>
  <si>
    <t>1 Bedroom</t>
  </si>
  <si>
    <t>2 Bedroom</t>
  </si>
  <si>
    <t xml:space="preserve">3 Bedroom </t>
  </si>
  <si>
    <t>Total/Average</t>
  </si>
  <si>
    <t>Notes:</t>
  </si>
  <si>
    <t>1 bed</t>
  </si>
  <si>
    <t>Our Assumptions</t>
  </si>
  <si>
    <t>Questions to Brokers</t>
  </si>
  <si>
    <t>Question to the team Catalyst</t>
  </si>
  <si>
    <t>1. General assumptions (including market rent growth, expense growth, tax growth, and property management fees) are consistent with those applied in the prior model.</t>
  </si>
  <si>
    <t>MR - Based on RR</t>
  </si>
  <si>
    <t>RR/Comps</t>
  </si>
  <si>
    <t>Beds X Baths</t>
  </si>
  <si>
    <t>Y1 Tax Reassessed</t>
  </si>
  <si>
    <t>Broker Numbers</t>
  </si>
  <si>
    <t>Net Operating Income (NOI) before reserve</t>
  </si>
  <si>
    <t>Tax growth (Y2 Onwards)</t>
  </si>
  <si>
    <t>NOI After Reserve</t>
  </si>
  <si>
    <t>PP Cap Rate</t>
  </si>
  <si>
    <t>Cash on Cash Return</t>
  </si>
  <si>
    <t>Y1 NOI</t>
  </si>
  <si>
    <t>Y1 Yield on Cost</t>
  </si>
  <si>
    <t>Broker's Numbers</t>
  </si>
  <si>
    <t>3. We have added a switch for the Taxes in the Pro Forma Assumptions to choose between T12 taxes and taxes on Reassessed value.</t>
  </si>
  <si>
    <t xml:space="preserve">    </t>
  </si>
  <si>
    <t>3 Beds</t>
  </si>
  <si>
    <t>1. We have used the Rent comps from Hello Data and added the screenshot for the rent comps as well.</t>
  </si>
  <si>
    <t>General Assumptions</t>
  </si>
  <si>
    <t>Asking Price and Exit Assumptions</t>
  </si>
  <si>
    <t>Expenses</t>
  </si>
  <si>
    <t>1.We used the similar expenses per unit for our projections based on T12 &amp; T3.</t>
  </si>
  <si>
    <t>Taxes</t>
  </si>
  <si>
    <t>SqFt</t>
  </si>
  <si>
    <t>Rent psf</t>
  </si>
  <si>
    <t>Link to Website</t>
  </si>
  <si>
    <t>1 Beds</t>
  </si>
  <si>
    <t>Sqft</t>
  </si>
  <si>
    <t>Calabash Shores</t>
  </si>
  <si>
    <t>660 Aubrey Ln Calabash, NC, 28467</t>
  </si>
  <si>
    <t>Seaglass - 3</t>
  </si>
  <si>
    <t>Surfside - 1</t>
  </si>
  <si>
    <t>Driftwood - 2</t>
  </si>
  <si>
    <t>Driftwood - 2ADA</t>
  </si>
  <si>
    <t>Surfside - 1ADA</t>
  </si>
  <si>
    <t>Shoreline - 4</t>
  </si>
  <si>
    <t>Lighthouse - 5</t>
  </si>
  <si>
    <t>Ocean Breeze - End Unit</t>
  </si>
  <si>
    <t>Beach Haven In-line Unit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</si>
  <si>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</si>
  <si>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</si>
  <si>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</si>
  <si>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</si>
  <si>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</si>
  <si>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</si>
  <si>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</si>
  <si>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</si>
  <si>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</si>
  <si>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</si>
  <si>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</si>
  <si>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</si>
  <si>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</si>
  <si>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</si>
  <si>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</si>
  <si>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</si>
  <si>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</si>
  <si>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</si>
  <si>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</si>
  <si>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</si>
  <si>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</si>
  <si>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</si>
  <si>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</si>
  <si>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</si>
  <si>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</si>
  <si>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</si>
  <si>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</si>
  <si>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</si>
  <si>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</si>
  <si>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</si>
  <si>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</si>
  <si>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</si>
  <si>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</si>
  <si>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</si>
  <si>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</si>
  <si>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</si>
  <si>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</si>
  <si>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</si>
  <si>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</si>
  <si>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</si>
  <si>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</si>
  <si>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</si>
  <si>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</si>
  <si>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</si>
  <si>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</si>
  <si>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</si>
  <si>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</si>
  <si>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</si>
  <si>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</si>
  <si>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</si>
  <si>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</si>
  <si>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</si>
  <si>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</si>
  <si>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</si>
  <si>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</si>
  <si>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</si>
  <si>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</si>
  <si>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</si>
  <si>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</si>
  <si>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</si>
  <si>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</si>
  <si>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</si>
  <si>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</si>
  <si>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</si>
  <si>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</si>
  <si>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</si>
  <si>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</si>
  <si>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</si>
  <si>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</si>
  <si>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</si>
  <si>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</si>
  <si>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</si>
  <si>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127-A</t>
  </si>
  <si>
    <t>127-B</t>
  </si>
  <si>
    <t>127-C</t>
  </si>
  <si>
    <t>127-D</t>
  </si>
  <si>
    <t>128-A</t>
  </si>
  <si>
    <t>128-B</t>
  </si>
  <si>
    <t>128-C</t>
  </si>
  <si>
    <t>128-D</t>
  </si>
  <si>
    <t>156-A</t>
  </si>
  <si>
    <t>156-B</t>
  </si>
  <si>
    <t>156-C</t>
  </si>
  <si>
    <t>156-D</t>
  </si>
  <si>
    <t>164-A</t>
  </si>
  <si>
    <t>164-B</t>
  </si>
  <si>
    <t>164-C</t>
  </si>
  <si>
    <t>164-D</t>
  </si>
  <si>
    <t>165-A</t>
  </si>
  <si>
    <t>165-B</t>
  </si>
  <si>
    <t>165-C</t>
  </si>
  <si>
    <t>165-D</t>
  </si>
  <si>
    <t>165-E</t>
  </si>
  <si>
    <t>165-F</t>
  </si>
  <si>
    <t>168-A</t>
  </si>
  <si>
    <t>168-B</t>
  </si>
  <si>
    <t>168-C</t>
  </si>
  <si>
    <t>168-D</t>
  </si>
  <si>
    <t>171-A</t>
  </si>
  <si>
    <t>171-B</t>
  </si>
  <si>
    <t>171-C</t>
  </si>
  <si>
    <t>171-D</t>
  </si>
  <si>
    <t>171-E</t>
  </si>
  <si>
    <t>171-F</t>
  </si>
  <si>
    <t>172-A</t>
  </si>
  <si>
    <t>172-B</t>
  </si>
  <si>
    <t>172-C</t>
  </si>
  <si>
    <t>172-D</t>
  </si>
  <si>
    <t>172-E</t>
  </si>
  <si>
    <t>172-F</t>
  </si>
  <si>
    <t>172-G</t>
  </si>
  <si>
    <t>172-H</t>
  </si>
  <si>
    <t>760-A</t>
  </si>
  <si>
    <t>760-B</t>
  </si>
  <si>
    <t>760-C</t>
  </si>
  <si>
    <t>760-D</t>
  </si>
  <si>
    <t>760-E</t>
  </si>
  <si>
    <t>760-F</t>
  </si>
  <si>
    <t>764-A</t>
  </si>
  <si>
    <t>764-B</t>
  </si>
  <si>
    <t>764-C</t>
  </si>
  <si>
    <t>764-D</t>
  </si>
  <si>
    <t>764-E</t>
  </si>
  <si>
    <t>764-F</t>
  </si>
  <si>
    <t>767-A</t>
  </si>
  <si>
    <t>767-B</t>
  </si>
  <si>
    <t>767-C</t>
  </si>
  <si>
    <t>767-D</t>
  </si>
  <si>
    <t>767-E</t>
  </si>
  <si>
    <t>767-F</t>
  </si>
  <si>
    <t>767-G</t>
  </si>
  <si>
    <t>767-H</t>
  </si>
  <si>
    <t>Vacant Unit</t>
  </si>
  <si>
    <t>Brunswick Resources</t>
  </si>
  <si>
    <t>Grace Batchelor</t>
  </si>
  <si>
    <t>James Marchak</t>
  </si>
  <si>
    <t>Sandra Macey</t>
  </si>
  <si>
    <t>Phillip Smith</t>
  </si>
  <si>
    <t>Julie Covert</t>
  </si>
  <si>
    <t>Eulada Pitts</t>
  </si>
  <si>
    <t>Michelle Riddle</t>
  </si>
  <si>
    <t>Vickie Mariniello</t>
  </si>
  <si>
    <t>Rick Hames</t>
  </si>
  <si>
    <t>Cameron McMahon</t>
  </si>
  <si>
    <t>Dolores Vance, Andrew Vance</t>
  </si>
  <si>
    <t>Nancylou Mediavilla</t>
  </si>
  <si>
    <t>Walter Congleton</t>
  </si>
  <si>
    <t>Henry Judkins</t>
  </si>
  <si>
    <t>Doris Roberts</t>
  </si>
  <si>
    <t>John Stewart</t>
  </si>
  <si>
    <t>Betty Hoy</t>
  </si>
  <si>
    <t>Donna Donohoe</t>
  </si>
  <si>
    <t>Norma Hayes</t>
  </si>
  <si>
    <t>Mary French</t>
  </si>
  <si>
    <t>Sharon L. Tudor Morrow</t>
  </si>
  <si>
    <t>Phyllis McNally</t>
  </si>
  <si>
    <t>Carol Dicintio</t>
  </si>
  <si>
    <t>Antoinette Lacroix</t>
  </si>
  <si>
    <t>John Morano, Carolyn Morano</t>
  </si>
  <si>
    <t>Craig Peters</t>
  </si>
  <si>
    <t>Nicholas Camardo</t>
  </si>
  <si>
    <t>Doug Cunha</t>
  </si>
  <si>
    <t>2x1</t>
  </si>
  <si>
    <t>Net Rental Income</t>
  </si>
  <si>
    <t>Gross Possible Rent</t>
  </si>
  <si>
    <t>Gross Potential Rent</t>
  </si>
  <si>
    <t>Vacancy Loss</t>
  </si>
  <si>
    <t>Vacancy Loss - Model Units</t>
  </si>
  <si>
    <t>Rent Concessions</t>
  </si>
  <si>
    <t>Referral Discount</t>
  </si>
  <si>
    <t>Miscellaneous Credit</t>
  </si>
  <si>
    <t>Deductions</t>
  </si>
  <si>
    <t>Total Deductions</t>
  </si>
  <si>
    <t>Total Net Rental Income</t>
  </si>
  <si>
    <t>Electric Income</t>
  </si>
  <si>
    <t>Water Income</t>
  </si>
  <si>
    <t>Broadband Income</t>
  </si>
  <si>
    <t>Insurance Income</t>
  </si>
  <si>
    <t>Tenant Service Request Income</t>
  </si>
  <si>
    <t>Late Fees</t>
  </si>
  <si>
    <t>Valet Tips</t>
  </si>
  <si>
    <t>Application Fee</t>
  </si>
  <si>
    <t>Pet Fee</t>
  </si>
  <si>
    <t>Utility Administration Fee</t>
  </si>
  <si>
    <t>Miscellaneous Income</t>
  </si>
  <si>
    <t>Other Income - Other</t>
  </si>
  <si>
    <t>Other Income</t>
  </si>
  <si>
    <t>Total Other Income</t>
  </si>
  <si>
    <t>TOTAL INCOME</t>
  </si>
  <si>
    <t>EXPENSE</t>
  </si>
  <si>
    <t>Administrative Expense</t>
  </si>
  <si>
    <t>Administrative Expense - Other</t>
  </si>
  <si>
    <t>Office Supplies</t>
  </si>
  <si>
    <t>Copier Expense</t>
  </si>
  <si>
    <t>Postage</t>
  </si>
  <si>
    <t>Internet &amp; Phone</t>
  </si>
  <si>
    <t>Reimbursable Travel</t>
  </si>
  <si>
    <t>Administrative Salaries</t>
  </si>
  <si>
    <t>Insurance Expense - All Risk; G/L</t>
  </si>
  <si>
    <t>Total Administrative Expense</t>
  </si>
  <si>
    <t>Advertising &amp; Selling</t>
  </si>
  <si>
    <t>Advertising &amp; Selling - Other</t>
  </si>
  <si>
    <t>Advertising</t>
  </si>
  <si>
    <t>Tenant Relations</t>
  </si>
  <si>
    <t>Total Advertising &amp; Selling</t>
  </si>
  <si>
    <t>Professional Fees</t>
  </si>
  <si>
    <t>Management Fees</t>
  </si>
  <si>
    <t>Accounting Fees</t>
  </si>
  <si>
    <t>Legal Fees</t>
  </si>
  <si>
    <t>Applicant Credit Check</t>
  </si>
  <si>
    <t>Bank Fees</t>
  </si>
  <si>
    <t>Other Professional Fees</t>
  </si>
  <si>
    <t>Licenses/Inspections/Certificates</t>
  </si>
  <si>
    <t>Angus Anywhere</t>
  </si>
  <si>
    <t>ResMan</t>
  </si>
  <si>
    <t>Aptexx</t>
  </si>
  <si>
    <t>Total Professional Fees</t>
  </si>
  <si>
    <t>Security &amp; Life Safety</t>
  </si>
  <si>
    <t>Security &amp; Life Safety - Other</t>
  </si>
  <si>
    <t>Phone/Alarm Monitoring</t>
  </si>
  <si>
    <t>Fire Suppression</t>
  </si>
  <si>
    <t>Contract Security</t>
  </si>
  <si>
    <t>Total Security &amp; Life Safety</t>
  </si>
  <si>
    <t>Taxes - Other</t>
  </si>
  <si>
    <t>Total Taxes</t>
  </si>
  <si>
    <t>Building Maintenance</t>
  </si>
  <si>
    <t>Labor - Employee Paymaster</t>
  </si>
  <si>
    <t>Labor - Burden &amp; Fringes</t>
  </si>
  <si>
    <t>Maintenance - Chargeback Exp.</t>
  </si>
  <si>
    <t>Grounds Maintenance</t>
  </si>
  <si>
    <t>Window Cleaning</t>
  </si>
  <si>
    <t>Rubbish / Recycling</t>
  </si>
  <si>
    <t>Plumbing Maintenance</t>
  </si>
  <si>
    <t>Elevator Maintenance</t>
  </si>
  <si>
    <t>HVAC Maintenance</t>
  </si>
  <si>
    <t>Door Expenses</t>
  </si>
  <si>
    <t>Interior Landscaping</t>
  </si>
  <si>
    <t>Painting / Redecorating</t>
  </si>
  <si>
    <t>Janitorial/Cleaning Service</t>
  </si>
  <si>
    <t>Maintenance Supplies</t>
  </si>
  <si>
    <t>Cleaning &amp; Restroom Supplies</t>
  </si>
  <si>
    <t>Pest Control</t>
  </si>
  <si>
    <t>Total Building Maintenance</t>
  </si>
  <si>
    <t>Utilties Expense</t>
  </si>
  <si>
    <t>Tenant Electric Expense</t>
  </si>
  <si>
    <t>Tenant Water/Sewer Expense</t>
  </si>
  <si>
    <t>Tenant Broadband Expense</t>
  </si>
  <si>
    <t>Utilities - Nonbillable/Vacant</t>
  </si>
  <si>
    <t>Electric Expense NB - Vacant</t>
  </si>
  <si>
    <t>Water/Sewer NB - Vacant</t>
  </si>
  <si>
    <t>Electric - Common Area</t>
  </si>
  <si>
    <t>Water/Sewer Common Area</t>
  </si>
  <si>
    <t>Broadband/Phone Common Area</t>
  </si>
  <si>
    <t>Total Utilties Expense</t>
  </si>
  <si>
    <t>TOTAL EXPENSE</t>
  </si>
  <si>
    <t>NET OPERATING INCOME</t>
  </si>
  <si>
    <t>Real Estate Tax Expense</t>
  </si>
  <si>
    <t>River Rock at Shingletree</t>
  </si>
  <si>
    <t>Link</t>
  </si>
  <si>
    <t>31 Quaker Ridge Drive
Carolina Shores, NC 28467</t>
  </si>
  <si>
    <t>Egret Landing</t>
  </si>
  <si>
    <t>3021 Siskin Drive Northwest
Calabash, NC 28467</t>
  </si>
  <si>
    <t>River Oaks</t>
  </si>
  <si>
    <t>119 River Village Drive
Little River, SC 29566</t>
  </si>
  <si>
    <t>Heartsease at Calabash</t>
  </si>
  <si>
    <t>1035 Brightwater Way
Calabash, NC 28467</t>
  </si>
  <si>
    <t>Heartsease at Ocean Isle Beach</t>
  </si>
  <si>
    <t>1956 Sparrowstar Way
Ocean Isle Beach, NC 28469</t>
  </si>
  <si>
    <t>2 Beds-Ranch</t>
  </si>
  <si>
    <t>Calabash</t>
  </si>
  <si>
    <t>Brunswick County</t>
  </si>
  <si>
    <t>Direct tax in last tax bill was $16000 which is included for Y1 Tax calculations.</t>
  </si>
  <si>
    <t>2. For financing, we have a 3 year I/O period and all in rate of 5.31% (5 year Treasury Yield of 3.912% + 1.40% spread).</t>
  </si>
  <si>
    <t>2. We have taken the 3 story AA (Coastal) assumption for Insurance.</t>
  </si>
  <si>
    <t>1. We have calculated Y1 Taxes keeping purchase price as the new FMV as the next reassessment is due next year.</t>
  </si>
  <si>
    <t>Reappraisal happens every 4 years in Brunswick County with the next assessment in 2027.</t>
  </si>
  <si>
    <t>NET OPERATING INCOME (Adjusted)</t>
  </si>
  <si>
    <t>2. We made a change on Rent page to choose from either of Comps or RR market rent in Col L.</t>
  </si>
  <si>
    <t>1. Exit year has been assumed to be 5 years and exit cap rate to be 6%.</t>
  </si>
  <si>
    <t xml:space="preserve">2. Asking price has been taken </t>
  </si>
  <si>
    <t>2. T12 doesn't include Taxes for NOI Calculation. We have calculated adjusted NOI after incorporating Taxes.</t>
  </si>
  <si>
    <t>1. BSRI service fee of 1% Gross Revenue. If terminated, a termination fee might be payable to BSRI which equals to the service fee for the remainder of the current term (44 months till Jan 2030).</t>
  </si>
  <si>
    <t xml:space="preserve"> Would you like to continue with the lease and service agreement or not? If not, then is the termination fee included in the Broker guidance of $35MM or not?</t>
  </si>
  <si>
    <t>3. We have used the assumptions for Vacancy, Bad debts &amp; Loss to Lease provided by AJ.</t>
  </si>
  <si>
    <t>Analysis</t>
  </si>
  <si>
    <t>1. The Rent Roll vacancy as of Feb 26 is 72% and the vacancy assumption of 5% provided by AJ, our NOI overstates substantially.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</si>
</sst>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$&quot;\ * #,##0_ ;_ &quot;$&quot;\ * \-#,##0_ ;_ &quot;$&quot;\ * &quot;-&quot;_ ;_ @_ "/>
    <numFmt numFmtId="165" formatCode="_ * #,##0_ ;_ * \-#,##0_ ;_ * &quot;-&quot;_ ;_ @_ 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&quot;Year&quot;\ #"/>
    <numFmt numFmtId="169" formatCode="&quot;Year&quot;\ 0"/>
    <numFmt numFmtId="170" formatCode="&quot;$&quot;#,##0.00"/>
    <numFmt numFmtId="171" formatCode="#,##0_);\(#,##0\);\-"/>
    <numFmt numFmtId="172" formatCode="&quot;$&quot;#,##0"/>
    <numFmt numFmtId="173" formatCode="0.0"/>
    <numFmt numFmtId="174" formatCode="##\ &quot;Months&quot;"/>
    <numFmt numFmtId="175" formatCode="##\ &quot;Month&quot;"/>
    <numFmt numFmtId="176" formatCode="_(* #,##0_);_(* \(#,##0\);_(* &quot;-&quot;??_);_(@_)"/>
    <numFmt numFmtId="177" formatCode="0.0%"/>
    <numFmt numFmtId="178" formatCode="&quot;Current Occup.&quot;\ 0%"/>
    <numFmt numFmtId="179" formatCode="&quot;$&quot;\ 0.00\ &quot;/ sq ft&quot;"/>
    <numFmt numFmtId="180" formatCode="[$-409]mmm\-yy;@"/>
    <numFmt numFmtId="181" formatCode="[$-409]mmmm\ d\,\ yyyy;@"/>
    <numFmt numFmtId="182" formatCode="#,##0.00_ ;\-#,##0.00\ "/>
    <numFmt numFmtId="183" formatCode="#.00\x"/>
    <numFmt numFmtId="184" formatCode="0&quot; Year&quot;"/>
    <numFmt numFmtId="185" formatCode="&quot;$ &quot;00.00&quot; MM&quot;"/>
    <numFmt numFmtId="186" formatCode="&quot;S&quot;0"/>
    <numFmt numFmtId="187" formatCode="0.000%"/>
    <numFmt numFmtId="188" formatCode="0.0000%"/>
    <numFmt numFmtId="189" formatCode="0.00000%"/>
    <numFmt numFmtId="190" formatCode="0.00000000000000000000%"/>
    <numFmt numFmtId="191" formatCode="0.00%&quot; LTC&quot;"/>
    <numFmt numFmtId="192" formatCode="&quot;LTV &quot;0%"/>
    <numFmt numFmtId="193" formatCode="#,##0_);\(#,##0\);_(&quot;-&quot;_);\ @_)"/>
    <numFmt numFmtId="194" formatCode="\ @_)"/>
    <numFmt numFmtId="195" formatCode="#,##0\ &quot;sf&quot;_);\(#,##0\ &quot;sf&quot;\)_);_(&quot;-&quot;_);\ @_)"/>
    <numFmt numFmtId="196" formatCode="#,##0\ &quot;BR&quot;_);\(#,##0\);&quot;Studio&quot;_);\ @_)"/>
    <numFmt numFmtId="197" formatCode="#,##0.0_);\(#,##0.0\);_(&quot;-&quot;_);\ @_)"/>
    <numFmt numFmtId="198" formatCode="&quot;$&quot;\ #,##0_);\(&quot;$&quot;\ #,##0\);_(&quot;-&quot;_);\ @_)"/>
    <numFmt numFmtId="199" formatCode="[$-409]mmm\ d\,\ yyyy_);[Red]&quot;must be date&quot;;[Red]&quot;must be date&quot;;[Red]&quot;must be date&quot;"/>
    <numFmt numFmtId="200" formatCode="#,##0\ &quot;months&quot;_);\(#,##0\ &quot;months&quot;\)_);_(&quot;-&quot;_);\ @_)"/>
    <numFmt numFmtId="201" formatCode="_(&quot;$&quot;* #,##0_);_(&quot;$&quot;* \(#,##0\);_(&quot;$&quot;* &quot;-&quot;??_);_(@_)"/>
    <numFmt numFmtId="202" formatCode="\$##,###,###,##0.00_);[Red]\(\$##,###,###,##0.00\)"/>
    <numFmt numFmtId="203" formatCode="\$##,###,###,##0_);[Red]\(\$##,###,###,##0\)"/>
    <numFmt numFmtId="204" formatCode="#,##0.0%_);[Red]\-#,##0.0%"/>
    <numFmt numFmtId="205" formatCode="##,###,###,##0_);[Red]\(##,###,###,##0\)"/>
    <numFmt numFmtId="206" formatCode="##,###,###,##0.00_);[Red]\(##,###,###,##0.00\)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color indexed="16"/>
      <name val="Arial"/>
      <family val="2"/>
    </font>
    <font>
      <b/>
      <sz val="10"/>
      <name val="Arial"/>
      <family val="2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sz val="11"/>
      <name val="Calibri"/>
      <family val="2"/>
    </font>
    <font>
      <sz val="11"/>
      <color theme="8" tint="-0.249977111117893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00EA"/>
      <name val="Calibri"/>
      <family val="2"/>
      <scheme val="minor"/>
    </font>
    <font>
      <sz val="11"/>
      <color rgb="FF2100EA"/>
      <name val="Calibri"/>
      <family val="2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559B3"/>
      <name val="Calibri"/>
      <family val="2"/>
    </font>
    <font>
      <b/>
      <u/>
      <sz val="11"/>
      <color rgb="FF0559B3"/>
      <name val="Calibri"/>
      <family val="2"/>
    </font>
    <font>
      <b/>
      <i/>
      <sz val="10"/>
      <color rgb="FF0559B3"/>
      <name val="Calibri"/>
      <family val="2"/>
    </font>
    <font>
      <i/>
      <u/>
      <sz val="11"/>
      <color theme="1"/>
      <name val="Calibri"/>
      <family val="2"/>
      <scheme val="minor"/>
    </font>
    <font>
      <i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EAEA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rgb="FFFFFFFF"/>
        <bgColor theme="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9">
    <xf numFmtId="0" fontId="0" fillId="0" borderId="0"/>
    <xf numFmtId="0" fontId="6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/>
    <xf numFmtId="0" fontId="30" fillId="0" borderId="0">
      <alignment wrapText="1"/>
    </xf>
    <xf numFmtId="0" fontId="31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93" fontId="33" fillId="0" borderId="0" applyFill="0" applyBorder="0" applyAlignment="0" applyProtection="0"/>
    <xf numFmtId="194" fontId="33" fillId="0" borderId="0" applyFill="0" applyBorder="0" applyAlignment="0" applyProtection="0"/>
    <xf numFmtId="195" fontId="33" fillId="0" borderId="0" applyFill="0" applyBorder="0" applyAlignment="0" applyProtection="0"/>
    <xf numFmtId="196" fontId="33" fillId="0" borderId="0" applyFill="0" applyBorder="0" applyAlignment="0" applyProtection="0"/>
    <xf numFmtId="197" fontId="33" fillId="0" borderId="0" applyFill="0" applyBorder="0" applyAlignment="0" applyProtection="0"/>
    <xf numFmtId="198" fontId="33" fillId="0" borderId="0" applyFill="0" applyBorder="0" applyAlignment="0" applyProtection="0"/>
    <xf numFmtId="199" fontId="33" fillId="0" borderId="0" applyFill="0" applyBorder="0" applyAlignment="0" applyProtection="0"/>
    <xf numFmtId="200" fontId="33" fillId="0" borderId="0" applyFill="0" applyBorder="0" applyAlignment="0" applyProtection="0"/>
  </cellStyleXfs>
  <cellXfs count="675">
    <xf numFmtId="0" fontId="0" fillId="0" borderId="0" xfId="0"/>
    <xf numFmtId="0" fontId="1" fillId="2" borderId="13" xfId="0" applyFont="1" applyFill="1" applyBorder="1"/>
    <xf numFmtId="0" fontId="3" fillId="2" borderId="14" xfId="0" applyFont="1" applyFill="1" applyBorder="1"/>
    <xf numFmtId="0" fontId="2" fillId="0" borderId="27" xfId="0" applyFont="1" applyBorder="1"/>
    <xf numFmtId="0" fontId="2" fillId="0" borderId="0" xfId="0" applyFont="1"/>
    <xf numFmtId="0" fontId="5" fillId="0" borderId="0" xfId="0" applyFont="1"/>
    <xf numFmtId="37" fontId="2" fillId="0" borderId="2" xfId="0" applyNumberFormat="1" applyFont="1" applyBorder="1"/>
    <xf numFmtId="3" fontId="2" fillId="0" borderId="27" xfId="0" applyNumberFormat="1" applyFont="1" applyBorder="1"/>
    <xf numFmtId="0" fontId="1" fillId="2" borderId="32" xfId="0" applyFont="1" applyFill="1" applyBorder="1" applyAlignment="1">
      <alignment horizontal="center"/>
    </xf>
    <xf numFmtId="0" fontId="1" fillId="2" borderId="20" xfId="0" applyFont="1" applyFill="1" applyBorder="1"/>
    <xf numFmtId="3" fontId="2" fillId="0" borderId="0" xfId="0" applyNumberFormat="1" applyFont="1"/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4" fontId="2" fillId="0" borderId="21" xfId="0" applyNumberFormat="1" applyFont="1" applyBorder="1"/>
    <xf numFmtId="0" fontId="7" fillId="0" borderId="0" xfId="1" applyFont="1"/>
    <xf numFmtId="0" fontId="6" fillId="0" borderId="0" xfId="1"/>
    <xf numFmtId="38" fontId="8" fillId="8" borderId="0" xfId="1" applyNumberFormat="1" applyFont="1" applyFill="1" applyAlignment="1">
      <alignment horizontal="left" vertical="center"/>
    </xf>
    <xf numFmtId="38" fontId="8" fillId="8" borderId="0" xfId="1" applyNumberFormat="1" applyFont="1" applyFill="1" applyAlignment="1">
      <alignment horizontal="right" vertical="center"/>
    </xf>
    <xf numFmtId="0" fontId="9" fillId="8" borderId="29" xfId="2" applyFill="1" applyBorder="1"/>
    <xf numFmtId="3" fontId="10" fillId="9" borderId="29" xfId="2" applyNumberFormat="1" applyFont="1" applyFill="1" applyBorder="1" applyAlignment="1">
      <alignment horizontal="center"/>
    </xf>
    <xf numFmtId="0" fontId="9" fillId="8" borderId="29" xfId="3" applyFill="1" applyBorder="1" applyAlignment="1">
      <alignment vertical="center"/>
    </xf>
    <xf numFmtId="0" fontId="10" fillId="10" borderId="29" xfId="2" applyFont="1" applyFill="1" applyBorder="1" applyAlignment="1">
      <alignment horizontal="center"/>
    </xf>
    <xf numFmtId="3" fontId="11" fillId="0" borderId="0" xfId="3" applyNumberFormat="1" applyFont="1" applyAlignment="1">
      <alignment horizontal="center"/>
    </xf>
    <xf numFmtId="0" fontId="11" fillId="8" borderId="29" xfId="2" applyFont="1" applyFill="1" applyBorder="1"/>
    <xf numFmtId="14" fontId="11" fillId="0" borderId="0" xfId="4" applyNumberFormat="1" applyFont="1" applyFill="1" applyBorder="1" applyAlignment="1">
      <alignment horizontal="center"/>
    </xf>
    <xf numFmtId="0" fontId="11" fillId="0" borderId="0" xfId="4" applyNumberFormat="1" applyFont="1" applyFill="1" applyBorder="1" applyAlignment="1">
      <alignment horizontal="center"/>
    </xf>
    <xf numFmtId="172" fontId="12" fillId="10" borderId="29" xfId="2" applyNumberFormat="1" applyFont="1" applyFill="1" applyBorder="1" applyAlignment="1">
      <alignment horizontal="center"/>
    </xf>
    <xf numFmtId="0" fontId="11" fillId="9" borderId="29" xfId="4" applyNumberFormat="1" applyFont="1" applyFill="1" applyBorder="1" applyAlignment="1">
      <alignment horizontal="center"/>
    </xf>
    <xf numFmtId="3" fontId="11" fillId="0" borderId="0" xfId="4" applyNumberFormat="1" applyFont="1" applyFill="1" applyBorder="1" applyAlignment="1">
      <alignment horizontal="center"/>
    </xf>
    <xf numFmtId="172" fontId="11" fillId="10" borderId="29" xfId="4" applyNumberFormat="1" applyFont="1" applyFill="1" applyBorder="1" applyAlignment="1">
      <alignment horizontal="center"/>
    </xf>
    <xf numFmtId="172" fontId="11" fillId="9" borderId="29" xfId="4" applyNumberFormat="1" applyFont="1" applyFill="1" applyBorder="1" applyAlignment="1">
      <alignment horizontal="center"/>
    </xf>
    <xf numFmtId="3" fontId="9" fillId="0" borderId="0" xfId="3" applyNumberFormat="1" applyAlignment="1">
      <alignment horizontal="center"/>
    </xf>
    <xf numFmtId="4" fontId="11" fillId="0" borderId="0" xfId="4" applyNumberFormat="1" applyFont="1" applyFill="1" applyBorder="1" applyAlignment="1">
      <alignment horizontal="center"/>
    </xf>
    <xf numFmtId="4" fontId="11" fillId="10" borderId="29" xfId="4" applyNumberFormat="1" applyFont="1" applyFill="1" applyBorder="1" applyAlignment="1">
      <alignment horizontal="center"/>
    </xf>
    <xf numFmtId="0" fontId="9" fillId="8" borderId="0" xfId="2" applyFill="1"/>
    <xf numFmtId="0" fontId="13" fillId="0" borderId="0" xfId="5" applyFont="1" applyAlignment="1">
      <alignment horizontal="center"/>
    </xf>
    <xf numFmtId="0" fontId="13" fillId="0" borderId="0" xfId="5" applyFont="1" applyAlignment="1">
      <alignment horizontal="center" vertical="center"/>
    </xf>
    <xf numFmtId="0" fontId="13" fillId="11" borderId="29" xfId="6" applyFont="1" applyFill="1" applyBorder="1" applyAlignment="1">
      <alignment horizontal="center"/>
    </xf>
    <xf numFmtId="0" fontId="13" fillId="11" borderId="29" xfId="7" applyFont="1" applyFill="1" applyBorder="1" applyAlignment="1">
      <alignment horizontal="center" vertical="center"/>
    </xf>
    <xf numFmtId="0" fontId="13" fillId="11" borderId="2" xfId="8" applyFont="1" applyFill="1" applyBorder="1" applyAlignment="1">
      <alignment horizontal="center" vertical="center"/>
    </xf>
    <xf numFmtId="6" fontId="9" fillId="0" borderId="0" xfId="5" applyNumberFormat="1" applyAlignment="1">
      <alignment horizontal="center" vertical="center"/>
    </xf>
    <xf numFmtId="49" fontId="9" fillId="10" borderId="31" xfId="6" applyNumberFormat="1" applyFill="1" applyBorder="1" applyAlignment="1">
      <alignment horizontal="left" vertical="center"/>
    </xf>
    <xf numFmtId="3" fontId="9" fillId="10" borderId="29" xfId="7" applyNumberFormat="1" applyFill="1" applyBorder="1" applyAlignment="1">
      <alignment horizontal="center" vertical="center"/>
    </xf>
    <xf numFmtId="38" fontId="9" fillId="10" borderId="29" xfId="7" applyNumberFormat="1" applyFill="1" applyBorder="1" applyAlignment="1">
      <alignment horizontal="center" vertical="center"/>
    </xf>
    <xf numFmtId="6" fontId="9" fillId="10" borderId="29" xfId="7" applyNumberFormat="1" applyFill="1" applyBorder="1" applyAlignment="1">
      <alignment horizontal="center" vertical="center"/>
    </xf>
    <xf numFmtId="0" fontId="11" fillId="0" borderId="0" xfId="1" applyFont="1"/>
    <xf numFmtId="49" fontId="11" fillId="0" borderId="0" xfId="5" applyNumberFormat="1" applyFont="1" applyAlignment="1">
      <alignment horizontal="left" vertical="center"/>
    </xf>
    <xf numFmtId="3" fontId="11" fillId="0" borderId="0" xfId="5" applyNumberFormat="1" applyFont="1" applyAlignment="1">
      <alignment horizontal="center"/>
    </xf>
    <xf numFmtId="3" fontId="11" fillId="0" borderId="0" xfId="5" applyNumberFormat="1" applyFont="1" applyAlignment="1">
      <alignment horizontal="center" vertical="center"/>
    </xf>
    <xf numFmtId="172" fontId="11" fillId="0" borderId="0" xfId="9" applyNumberFormat="1" applyFont="1" applyFill="1" applyBorder="1" applyAlignment="1">
      <alignment horizontal="center" vertical="center"/>
    </xf>
    <xf numFmtId="170" fontId="11" fillId="0" borderId="0" xfId="9" applyNumberFormat="1" applyFont="1" applyFill="1" applyBorder="1" applyAlignment="1">
      <alignment horizontal="center" vertical="center"/>
    </xf>
    <xf numFmtId="9" fontId="11" fillId="0" borderId="0" xfId="5" applyNumberFormat="1" applyFont="1" applyAlignment="1">
      <alignment horizontal="center" vertical="center"/>
    </xf>
    <xf numFmtId="6" fontId="11" fillId="0" borderId="0" xfId="5" applyNumberFormat="1" applyFont="1" applyAlignment="1">
      <alignment horizontal="center" vertical="center"/>
    </xf>
    <xf numFmtId="49" fontId="11" fillId="0" borderId="0" xfId="5" applyNumberFormat="1" applyFont="1" applyAlignment="1">
      <alignment horizontal="left"/>
    </xf>
    <xf numFmtId="4" fontId="11" fillId="0" borderId="0" xfId="5" applyNumberFormat="1" applyFont="1" applyAlignment="1">
      <alignment horizontal="center"/>
    </xf>
    <xf numFmtId="9" fontId="6" fillId="0" borderId="0" xfId="1" applyNumberFormat="1"/>
    <xf numFmtId="9" fontId="13" fillId="0" borderId="0" xfId="5" applyNumberFormat="1" applyFont="1" applyAlignment="1">
      <alignment horizontal="center" vertical="center"/>
    </xf>
    <xf numFmtId="44" fontId="13" fillId="11" borderId="2" xfId="9" applyFont="1" applyFill="1" applyBorder="1" applyAlignment="1">
      <alignment horizontal="center" vertical="center"/>
    </xf>
    <xf numFmtId="9" fontId="13" fillId="11" borderId="2" xfId="8" applyNumberFormat="1" applyFont="1" applyFill="1" applyBorder="1" applyAlignment="1">
      <alignment horizontal="center" vertical="center"/>
    </xf>
    <xf numFmtId="6" fontId="6" fillId="0" borderId="0" xfId="1" applyNumberFormat="1"/>
    <xf numFmtId="4" fontId="9" fillId="0" borderId="0" xfId="5" applyNumberFormat="1" applyAlignment="1">
      <alignment horizontal="center"/>
    </xf>
    <xf numFmtId="3" fontId="9" fillId="0" borderId="0" xfId="5" applyNumberFormat="1" applyAlignment="1">
      <alignment horizontal="center" vertical="center"/>
    </xf>
    <xf numFmtId="38" fontId="9" fillId="0" borderId="0" xfId="5" applyNumberFormat="1" applyAlignment="1">
      <alignment horizontal="center" vertical="center"/>
    </xf>
    <xf numFmtId="9" fontId="9" fillId="0" borderId="0" xfId="5" applyNumberFormat="1" applyAlignment="1">
      <alignment horizontal="center" vertical="center"/>
    </xf>
    <xf numFmtId="6" fontId="11" fillId="0" borderId="0" xfId="1" applyNumberFormat="1" applyFont="1"/>
    <xf numFmtId="38" fontId="11" fillId="0" borderId="0" xfId="5" applyNumberFormat="1" applyFont="1" applyAlignment="1">
      <alignment horizontal="center" vertical="center"/>
    </xf>
    <xf numFmtId="44" fontId="0" fillId="0" borderId="0" xfId="9" applyFont="1" applyFill="1" applyBorder="1" applyAlignment="1">
      <alignment horizontal="center"/>
    </xf>
    <xf numFmtId="0" fontId="13" fillId="11" borderId="1" xfId="8" applyFont="1" applyFill="1" applyBorder="1" applyAlignment="1">
      <alignment horizontal="left" vertical="center"/>
    </xf>
    <xf numFmtId="0" fontId="9" fillId="8" borderId="31" xfId="8" applyFill="1" applyBorder="1" applyAlignment="1">
      <alignment horizontal="left" vertical="center"/>
    </xf>
    <xf numFmtId="3" fontId="9" fillId="8" borderId="29" xfId="8" applyNumberFormat="1" applyFill="1" applyBorder="1" applyAlignment="1">
      <alignment horizontal="center" vertical="center"/>
    </xf>
    <xf numFmtId="38" fontId="9" fillId="8" borderId="29" xfId="8" applyNumberFormat="1" applyFill="1" applyBorder="1" applyAlignment="1">
      <alignment horizontal="center" vertical="center"/>
    </xf>
    <xf numFmtId="6" fontId="9" fillId="8" borderId="29" xfId="8" applyNumberFormat="1" applyFill="1" applyBorder="1" applyAlignment="1">
      <alignment horizontal="center" vertical="center"/>
    </xf>
    <xf numFmtId="0" fontId="11" fillId="8" borderId="31" xfId="8" applyFont="1" applyFill="1" applyBorder="1" applyAlignment="1">
      <alignment horizontal="left" vertical="center"/>
    </xf>
    <xf numFmtId="3" fontId="11" fillId="8" borderId="29" xfId="8" applyNumberFormat="1" applyFont="1" applyFill="1" applyBorder="1" applyAlignment="1">
      <alignment horizontal="center" vertical="center"/>
    </xf>
    <xf numFmtId="38" fontId="11" fillId="8" borderId="29" xfId="8" applyNumberFormat="1" applyFont="1" applyFill="1" applyBorder="1" applyAlignment="1">
      <alignment horizontal="center" vertical="center"/>
    </xf>
    <xf numFmtId="172" fontId="11" fillId="8" borderId="29" xfId="8" applyNumberFormat="1" applyFont="1" applyFill="1" applyBorder="1" applyAlignment="1">
      <alignment horizontal="center" vertical="center"/>
    </xf>
    <xf numFmtId="170" fontId="11" fillId="8" borderId="29" xfId="9" applyNumberFormat="1" applyFont="1" applyFill="1" applyBorder="1" applyAlignment="1">
      <alignment horizontal="center" vertical="center"/>
    </xf>
    <xf numFmtId="9" fontId="11" fillId="8" borderId="29" xfId="10" applyFont="1" applyFill="1" applyBorder="1" applyAlignment="1">
      <alignment horizontal="center" vertical="center"/>
    </xf>
    <xf numFmtId="10" fontId="15" fillId="0" borderId="25" xfId="0" applyNumberFormat="1" applyFont="1" applyBorder="1"/>
    <xf numFmtId="10" fontId="18" fillId="0" borderId="0" xfId="0" applyNumberFormat="1" applyFont="1" applyAlignment="1">
      <alignment horizontal="center"/>
    </xf>
    <xf numFmtId="176" fontId="0" fillId="0" borderId="0" xfId="18" applyNumberFormat="1" applyFont="1"/>
    <xf numFmtId="0" fontId="1" fillId="2" borderId="2" xfId="0" applyFont="1" applyFill="1" applyBorder="1" applyAlignment="1">
      <alignment horizontal="center"/>
    </xf>
    <xf numFmtId="4" fontId="2" fillId="0" borderId="2" xfId="0" applyNumberFormat="1" applyFont="1" applyBorder="1"/>
    <xf numFmtId="0" fontId="14" fillId="0" borderId="23" xfId="0" applyFont="1" applyBorder="1"/>
    <xf numFmtId="5" fontId="14" fillId="0" borderId="19" xfId="0" applyNumberFormat="1" applyFont="1" applyBorder="1"/>
    <xf numFmtId="10" fontId="14" fillId="0" borderId="19" xfId="19" applyNumberFormat="1" applyFont="1" applyFill="1" applyBorder="1" applyAlignment="1">
      <alignment horizontal="right"/>
    </xf>
    <xf numFmtId="10" fontId="18" fillId="0" borderId="19" xfId="0" applyNumberFormat="1" applyFont="1" applyBorder="1"/>
    <xf numFmtId="0" fontId="1" fillId="2" borderId="4" xfId="0" applyFont="1" applyFill="1" applyBorder="1"/>
    <xf numFmtId="169" fontId="1" fillId="2" borderId="16" xfId="0" applyNumberFormat="1" applyFont="1" applyFill="1" applyBorder="1" applyAlignment="1">
      <alignment horizontal="center"/>
    </xf>
    <xf numFmtId="168" fontId="1" fillId="2" borderId="16" xfId="0" applyNumberFormat="1" applyFont="1" applyFill="1" applyBorder="1" applyAlignment="1">
      <alignment horizontal="center"/>
    </xf>
    <xf numFmtId="168" fontId="1" fillId="2" borderId="5" xfId="0" applyNumberFormat="1" applyFont="1" applyFill="1" applyBorder="1" applyAlignment="1">
      <alignment horizontal="center"/>
    </xf>
    <xf numFmtId="176" fontId="0" fillId="3" borderId="0" xfId="18" applyNumberFormat="1" applyFont="1" applyFill="1" applyBorder="1"/>
    <xf numFmtId="176" fontId="0" fillId="3" borderId="7" xfId="18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0" fontId="15" fillId="0" borderId="0" xfId="0" applyNumberFormat="1" applyFont="1"/>
    <xf numFmtId="0" fontId="2" fillId="0" borderId="37" xfId="0" applyFont="1" applyBorder="1"/>
    <xf numFmtId="0" fontId="2" fillId="0" borderId="38" xfId="0" applyFont="1" applyBorder="1"/>
    <xf numFmtId="0" fontId="2" fillId="0" borderId="35" xfId="0" applyFont="1" applyBorder="1"/>
    <xf numFmtId="0" fontId="2" fillId="0" borderId="41" xfId="0" applyFont="1" applyBorder="1"/>
    <xf numFmtId="184" fontId="18" fillId="0" borderId="19" xfId="0" applyNumberFormat="1" applyFont="1" applyBorder="1"/>
    <xf numFmtId="0" fontId="20" fillId="0" borderId="0" xfId="0" applyFont="1"/>
    <xf numFmtId="0" fontId="1" fillId="2" borderId="3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8" fillId="4" borderId="0" xfId="0" applyFont="1" applyFill="1"/>
    <xf numFmtId="0" fontId="22" fillId="0" borderId="0" xfId="0" applyFont="1"/>
    <xf numFmtId="0" fontId="2" fillId="0" borderId="0" xfId="0" applyFont="1" applyAlignment="1">
      <alignment horizontal="center"/>
    </xf>
    <xf numFmtId="5" fontId="5" fillId="0" borderId="19" xfId="18" applyNumberFormat="1" applyFont="1" applyBorder="1"/>
    <xf numFmtId="37" fontId="2" fillId="0" borderId="27" xfId="0" applyNumberFormat="1" applyFont="1" applyBorder="1"/>
    <xf numFmtId="0" fontId="2" fillId="0" borderId="44" xfId="0" applyFont="1" applyBorder="1"/>
    <xf numFmtId="4" fontId="2" fillId="0" borderId="27" xfId="0" applyNumberFormat="1" applyFont="1" applyBorder="1"/>
    <xf numFmtId="0" fontId="3" fillId="0" borderId="0" xfId="0" applyFont="1"/>
    <xf numFmtId="0" fontId="3" fillId="2" borderId="4" xfId="0" applyFont="1" applyFill="1" applyBorder="1"/>
    <xf numFmtId="176" fontId="0" fillId="0" borderId="16" xfId="18" applyNumberFormat="1" applyFont="1" applyBorder="1"/>
    <xf numFmtId="176" fontId="0" fillId="0" borderId="5" xfId="18" applyNumberFormat="1" applyFont="1" applyBorder="1"/>
    <xf numFmtId="176" fontId="0" fillId="0" borderId="0" xfId="18" applyNumberFormat="1" applyFont="1" applyBorder="1"/>
    <xf numFmtId="176" fontId="0" fillId="0" borderId="7" xfId="18" applyNumberFormat="1" applyFont="1" applyBorder="1"/>
    <xf numFmtId="176" fontId="0" fillId="0" borderId="27" xfId="18" applyNumberFormat="1" applyFont="1" applyBorder="1"/>
    <xf numFmtId="176" fontId="0" fillId="0" borderId="45" xfId="18" applyNumberFormat="1" applyFont="1" applyBorder="1"/>
    <xf numFmtId="176" fontId="0" fillId="3" borderId="27" xfId="18" applyNumberFormat="1" applyFont="1" applyFill="1" applyBorder="1"/>
    <xf numFmtId="176" fontId="0" fillId="3" borderId="45" xfId="18" applyNumberFormat="1" applyFont="1" applyFill="1" applyBorder="1"/>
    <xf numFmtId="179" fontId="0" fillId="0" borderId="0" xfId="20" applyNumberFormat="1" applyFont="1" applyBorder="1"/>
    <xf numFmtId="179" fontId="0" fillId="0" borderId="7" xfId="20" applyNumberFormat="1" applyFont="1" applyBorder="1"/>
    <xf numFmtId="10" fontId="2" fillId="3" borderId="9" xfId="0" applyNumberFormat="1" applyFont="1" applyFill="1" applyBorder="1"/>
    <xf numFmtId="37" fontId="2" fillId="0" borderId="36" xfId="0" applyNumberFormat="1" applyFont="1" applyBorder="1"/>
    <xf numFmtId="37" fontId="2" fillId="0" borderId="45" xfId="0" applyNumberFormat="1" applyFont="1" applyBorder="1"/>
    <xf numFmtId="3" fontId="2" fillId="0" borderId="45" xfId="0" applyNumberFormat="1" applyFont="1" applyBorder="1"/>
    <xf numFmtId="0" fontId="2" fillId="0" borderId="42" xfId="0" applyFont="1" applyBorder="1"/>
    <xf numFmtId="10" fontId="18" fillId="0" borderId="25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25" xfId="0" applyFont="1" applyBorder="1"/>
    <xf numFmtId="0" fontId="2" fillId="0" borderId="39" xfId="0" applyFont="1" applyBorder="1"/>
    <xf numFmtId="0" fontId="23" fillId="0" borderId="14" xfId="0" applyFont="1" applyBorder="1" applyAlignment="1">
      <alignment horizontal="right"/>
    </xf>
    <xf numFmtId="0" fontId="3" fillId="2" borderId="16" xfId="0" applyFont="1" applyFill="1" applyBorder="1" applyAlignment="1">
      <alignment horizontal="centerContinuous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0" fillId="0" borderId="6" xfId="0" applyBorder="1"/>
    <xf numFmtId="0" fontId="0" fillId="13" borderId="6" xfId="0" applyFill="1" applyBorder="1"/>
    <xf numFmtId="0" fontId="1" fillId="2" borderId="4" xfId="0" applyFont="1" applyFill="1" applyBorder="1" applyAlignment="1">
      <alignment horizontal="centerContinuous"/>
    </xf>
    <xf numFmtId="5" fontId="14" fillId="0" borderId="49" xfId="0" applyNumberFormat="1" applyFont="1" applyBorder="1"/>
    <xf numFmtId="187" fontId="0" fillId="0" borderId="0" xfId="19" applyNumberFormat="1" applyFont="1" applyBorder="1"/>
    <xf numFmtId="174" fontId="18" fillId="0" borderId="0" xfId="0" applyNumberFormat="1" applyFont="1"/>
    <xf numFmtId="176" fontId="0" fillId="3" borderId="42" xfId="18" applyNumberFormat="1" applyFont="1" applyFill="1" applyBorder="1"/>
    <xf numFmtId="176" fontId="0" fillId="3" borderId="43" xfId="18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10" fontId="0" fillId="3" borderId="0" xfId="19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168" fontId="1" fillId="2" borderId="3" xfId="0" applyNumberFormat="1" applyFont="1" applyFill="1" applyBorder="1" applyAlignment="1">
      <alignment horizontal="center"/>
    </xf>
    <xf numFmtId="0" fontId="1" fillId="2" borderId="35" xfId="0" applyFont="1" applyFill="1" applyBorder="1" applyAlignment="1">
      <alignment horizontal="left"/>
    </xf>
    <xf numFmtId="168" fontId="1" fillId="2" borderId="36" xfId="0" applyNumberFormat="1" applyFont="1" applyFill="1" applyBorder="1" applyAlignment="1">
      <alignment horizontal="center"/>
    </xf>
    <xf numFmtId="168" fontId="1" fillId="2" borderId="32" xfId="0" applyNumberFormat="1" applyFont="1" applyFill="1" applyBorder="1" applyAlignment="1">
      <alignment horizontal="center"/>
    </xf>
    <xf numFmtId="168" fontId="1" fillId="2" borderId="34" xfId="0" applyNumberFormat="1" applyFont="1" applyFill="1" applyBorder="1" applyAlignment="1">
      <alignment horizontal="center"/>
    </xf>
    <xf numFmtId="10" fontId="2" fillId="0" borderId="0" xfId="0" applyNumberFormat="1" applyFont="1"/>
    <xf numFmtId="0" fontId="1" fillId="2" borderId="33" xfId="0" applyFont="1" applyFill="1" applyBorder="1"/>
    <xf numFmtId="0" fontId="1" fillId="2" borderId="0" xfId="0" applyFont="1" applyFill="1"/>
    <xf numFmtId="0" fontId="1" fillId="2" borderId="16" xfId="0" applyFont="1" applyFill="1" applyBorder="1"/>
    <xf numFmtId="0" fontId="0" fillId="13" borderId="8" xfId="0" applyFill="1" applyBorder="1"/>
    <xf numFmtId="0" fontId="0" fillId="13" borderId="51" xfId="0" applyFill="1" applyBorder="1"/>
    <xf numFmtId="0" fontId="0" fillId="13" borderId="0" xfId="0" applyFill="1"/>
    <xf numFmtId="0" fontId="0" fillId="13" borderId="53" xfId="0" applyFill="1" applyBorder="1"/>
    <xf numFmtId="10" fontId="2" fillId="3" borderId="22" xfId="0" applyNumberFormat="1" applyFont="1" applyFill="1" applyBorder="1" applyAlignment="1">
      <alignment horizontal="center"/>
    </xf>
    <xf numFmtId="10" fontId="2" fillId="3" borderId="26" xfId="0" applyNumberFormat="1" applyFont="1" applyFill="1" applyBorder="1" applyAlignment="1">
      <alignment horizontal="center"/>
    </xf>
    <xf numFmtId="37" fontId="2" fillId="0" borderId="21" xfId="0" applyNumberFormat="1" applyFont="1" applyBorder="1"/>
    <xf numFmtId="37" fontId="2" fillId="0" borderId="38" xfId="0" applyNumberFormat="1" applyFont="1" applyBorder="1"/>
    <xf numFmtId="0" fontId="1" fillId="2" borderId="13" xfId="0" applyFont="1" applyFill="1" applyBorder="1" applyAlignment="1">
      <alignment horizontal="left"/>
    </xf>
    <xf numFmtId="168" fontId="1" fillId="2" borderId="14" xfId="0" applyNumberFormat="1" applyFont="1" applyFill="1" applyBorder="1" applyAlignment="1">
      <alignment horizontal="center"/>
    </xf>
    <xf numFmtId="168" fontId="1" fillId="2" borderId="15" xfId="0" applyNumberFormat="1" applyFont="1" applyFill="1" applyBorder="1" applyAlignment="1">
      <alignment horizontal="center"/>
    </xf>
    <xf numFmtId="37" fontId="2" fillId="0" borderId="0" xfId="0" applyNumberFormat="1" applyFont="1"/>
    <xf numFmtId="0" fontId="3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left" vertical="center"/>
    </xf>
    <xf numFmtId="0" fontId="3" fillId="2" borderId="16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7" xfId="0" applyFont="1" applyFill="1" applyBorder="1"/>
    <xf numFmtId="0" fontId="3" fillId="2" borderId="17" xfId="0" applyFont="1" applyFill="1" applyBorder="1" applyAlignment="1">
      <alignment horizontal="left" vertical="center"/>
    </xf>
    <xf numFmtId="0" fontId="3" fillId="2" borderId="9" xfId="0" applyFont="1" applyFill="1" applyBorder="1"/>
    <xf numFmtId="0" fontId="1" fillId="2" borderId="17" xfId="0" applyFont="1" applyFill="1" applyBorder="1"/>
    <xf numFmtId="0" fontId="1" fillId="2" borderId="5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0" fontId="0" fillId="0" borderId="0" xfId="19" applyNumberFormat="1" applyFont="1" applyBorder="1"/>
    <xf numFmtId="0" fontId="2" fillId="13" borderId="41" xfId="0" applyFont="1" applyFill="1" applyBorder="1"/>
    <xf numFmtId="3" fontId="2" fillId="0" borderId="56" xfId="0" applyNumberFormat="1" applyFont="1" applyBorder="1"/>
    <xf numFmtId="3" fontId="2" fillId="0" borderId="54" xfId="0" applyNumberFormat="1" applyFont="1" applyBorder="1"/>
    <xf numFmtId="10" fontId="2" fillId="0" borderId="17" xfId="19" applyNumberFormat="1" applyFont="1" applyBorder="1"/>
    <xf numFmtId="10" fontId="2" fillId="0" borderId="9" xfId="0" applyNumberFormat="1" applyFont="1" applyBorder="1"/>
    <xf numFmtId="0" fontId="1" fillId="2" borderId="23" xfId="0" applyFont="1" applyFill="1" applyBorder="1"/>
    <xf numFmtId="0" fontId="1" fillId="2" borderId="12" xfId="0" applyFont="1" applyFill="1" applyBorder="1" applyAlignment="1">
      <alignment horizontal="center"/>
    </xf>
    <xf numFmtId="44" fontId="21" fillId="7" borderId="9" xfId="2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right"/>
    </xf>
    <xf numFmtId="186" fontId="1" fillId="2" borderId="10" xfId="0" applyNumberFormat="1" applyFont="1" applyFill="1" applyBorder="1" applyAlignment="1">
      <alignment horizontal="center"/>
    </xf>
    <xf numFmtId="186" fontId="1" fillId="2" borderId="5" xfId="0" applyNumberFormat="1" applyFont="1" applyFill="1" applyBorder="1" applyAlignment="1">
      <alignment horizontal="center"/>
    </xf>
    <xf numFmtId="37" fontId="24" fillId="0" borderId="0" xfId="0" applyNumberFormat="1" applyFont="1"/>
    <xf numFmtId="0" fontId="24" fillId="0" borderId="7" xfId="0" applyFont="1" applyBorder="1"/>
    <xf numFmtId="0" fontId="24" fillId="0" borderId="6" xfId="0" applyFont="1" applyBorder="1"/>
    <xf numFmtId="0" fontId="18" fillId="0" borderId="6" xfId="0" applyFont="1" applyBorder="1"/>
    <xf numFmtId="0" fontId="18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10" fontId="24" fillId="0" borderId="19" xfId="0" applyNumberFormat="1" applyFont="1" applyBorder="1"/>
    <xf numFmtId="184" fontId="24" fillId="0" borderId="26" xfId="0" applyNumberFormat="1" applyFont="1" applyBorder="1"/>
    <xf numFmtId="184" fontId="24" fillId="0" borderId="19" xfId="0" applyNumberFormat="1" applyFont="1" applyBorder="1"/>
    <xf numFmtId="183" fontId="25" fillId="0" borderId="19" xfId="0" applyNumberFormat="1" applyFont="1" applyBorder="1"/>
    <xf numFmtId="176" fontId="25" fillId="0" borderId="19" xfId="18" applyNumberFormat="1" applyFont="1" applyFill="1" applyBorder="1" applyAlignment="1">
      <alignment horizontal="center" wrapText="1"/>
    </xf>
    <xf numFmtId="0" fontId="1" fillId="2" borderId="46" xfId="0" applyFont="1" applyFill="1" applyBorder="1"/>
    <xf numFmtId="177" fontId="24" fillId="5" borderId="7" xfId="0" applyNumberFormat="1" applyFont="1" applyFill="1" applyBorder="1"/>
    <xf numFmtId="3" fontId="24" fillId="0" borderId="30" xfId="0" applyNumberFormat="1" applyFont="1" applyBorder="1"/>
    <xf numFmtId="0" fontId="0" fillId="2" borderId="5" xfId="0" applyFill="1" applyBorder="1" applyAlignment="1">
      <alignment horizontal="centerContinuous"/>
    </xf>
    <xf numFmtId="0" fontId="0" fillId="2" borderId="16" xfId="0" applyFill="1" applyBorder="1" applyAlignment="1">
      <alignment horizontal="centerContinuous"/>
    </xf>
    <xf numFmtId="0" fontId="0" fillId="0" borderId="14" xfId="0" applyBorder="1"/>
    <xf numFmtId="0" fontId="0" fillId="0" borderId="15" xfId="0" applyBorder="1"/>
    <xf numFmtId="0" fontId="0" fillId="13" borderId="4" xfId="0" applyFill="1" applyBorder="1"/>
    <xf numFmtId="0" fontId="0" fillId="13" borderId="37" xfId="0" applyFill="1" applyBorder="1"/>
    <xf numFmtId="0" fontId="0" fillId="13" borderId="21" xfId="0" applyFill="1" applyBorder="1"/>
    <xf numFmtId="0" fontId="0" fillId="13" borderId="39" xfId="0" applyFill="1" applyBorder="1"/>
    <xf numFmtId="0" fontId="0" fillId="13" borderId="25" xfId="0" applyFill="1" applyBorder="1"/>
    <xf numFmtId="10" fontId="0" fillId="3" borderId="0" xfId="0" applyNumberFormat="1" applyFill="1" applyAlignment="1">
      <alignment horizontal="center"/>
    </xf>
    <xf numFmtId="0" fontId="0" fillId="13" borderId="35" xfId="0" applyFill="1" applyBorder="1"/>
    <xf numFmtId="0" fontId="0" fillId="13" borderId="2" xfId="0" applyFill="1" applyBorder="1"/>
    <xf numFmtId="0" fontId="0" fillId="3" borderId="0" xfId="0" applyFill="1"/>
    <xf numFmtId="0" fontId="0" fillId="3" borderId="17" xfId="0" applyFill="1" applyBorder="1"/>
    <xf numFmtId="170" fontId="0" fillId="0" borderId="0" xfId="0" applyNumberFormat="1"/>
    <xf numFmtId="0" fontId="0" fillId="13" borderId="23" xfId="0" applyFill="1" applyBorder="1"/>
    <xf numFmtId="0" fontId="0" fillId="3" borderId="0" xfId="0" applyFill="1" applyAlignment="1">
      <alignment horizontal="center"/>
    </xf>
    <xf numFmtId="0" fontId="0" fillId="13" borderId="24" xfId="0" applyFill="1" applyBorder="1"/>
    <xf numFmtId="0" fontId="0" fillId="0" borderId="25" xfId="0" applyBorder="1"/>
    <xf numFmtId="0" fontId="0" fillId="3" borderId="25" xfId="0" applyFill="1" applyBorder="1" applyAlignment="1">
      <alignment horizontal="center"/>
    </xf>
    <xf numFmtId="10" fontId="0" fillId="3" borderId="25" xfId="0" applyNumberFormat="1" applyFill="1" applyBorder="1" applyAlignment="1">
      <alignment horizontal="center"/>
    </xf>
    <xf numFmtId="10" fontId="0" fillId="0" borderId="0" xfId="0" applyNumberFormat="1"/>
    <xf numFmtId="37" fontId="0" fillId="0" borderId="0" xfId="0" applyNumberFormat="1"/>
    <xf numFmtId="37" fontId="0" fillId="0" borderId="7" xfId="0" applyNumberFormat="1" applyBorder="1"/>
    <xf numFmtId="171" fontId="0" fillId="0" borderId="0" xfId="0" applyNumberFormat="1"/>
    <xf numFmtId="171" fontId="0" fillId="0" borderId="7" xfId="0" applyNumberFormat="1" applyBorder="1"/>
    <xf numFmtId="178" fontId="26" fillId="0" borderId="0" xfId="19" applyNumberFormat="1" applyFont="1" applyFill="1" applyBorder="1"/>
    <xf numFmtId="0" fontId="0" fillId="0" borderId="7" xfId="0" applyBorder="1"/>
    <xf numFmtId="0" fontId="0" fillId="4" borderId="0" xfId="0" applyFill="1"/>
    <xf numFmtId="10" fontId="0" fillId="4" borderId="0" xfId="0" applyNumberFormat="1" applyFill="1"/>
    <xf numFmtId="3" fontId="0" fillId="0" borderId="0" xfId="0" applyNumberFormat="1"/>
    <xf numFmtId="0" fontId="23" fillId="13" borderId="6" xfId="0" applyFont="1" applyFill="1" applyBorder="1" applyAlignment="1">
      <alignment horizontal="left"/>
    </xf>
    <xf numFmtId="0" fontId="0" fillId="13" borderId="50" xfId="0" applyFill="1" applyBorder="1"/>
    <xf numFmtId="0" fontId="0" fillId="0" borderId="20" xfId="0" applyBorder="1"/>
    <xf numFmtId="0" fontId="0" fillId="0" borderId="21" xfId="0" applyBorder="1"/>
    <xf numFmtId="10" fontId="0" fillId="0" borderId="7" xfId="0" applyNumberFormat="1" applyBorder="1"/>
    <xf numFmtId="0" fontId="0" fillId="0" borderId="24" xfId="0" applyBorder="1"/>
    <xf numFmtId="0" fontId="0" fillId="13" borderId="52" xfId="0" applyFill="1" applyBorder="1"/>
    <xf numFmtId="0" fontId="0" fillId="0" borderId="17" xfId="0" applyBorder="1"/>
    <xf numFmtId="0" fontId="0" fillId="0" borderId="9" xfId="0" applyBorder="1"/>
    <xf numFmtId="0" fontId="23" fillId="4" borderId="0" xfId="0" applyFont="1" applyFill="1"/>
    <xf numFmtId="10" fontId="23" fillId="4" borderId="0" xfId="0" applyNumberFormat="1" applyFont="1" applyFill="1"/>
    <xf numFmtId="10" fontId="23" fillId="4" borderId="7" xfId="0" applyNumberFormat="1" applyFont="1" applyFill="1" applyBorder="1"/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21" xfId="0" applyFill="1" applyBorder="1"/>
    <xf numFmtId="14" fontId="0" fillId="0" borderId="0" xfId="0" applyNumberFormat="1" applyAlignment="1">
      <alignment horizontal="right"/>
    </xf>
    <xf numFmtId="0" fontId="0" fillId="0" borderId="13" xfId="0" applyBorder="1"/>
    <xf numFmtId="10" fontId="0" fillId="0" borderId="14" xfId="0" applyNumberFormat="1" applyBorder="1"/>
    <xf numFmtId="3" fontId="0" fillId="0" borderId="14" xfId="0" applyNumberFormat="1" applyBorder="1"/>
    <xf numFmtId="0" fontId="0" fillId="3" borderId="4" xfId="0" applyFill="1" applyBorder="1"/>
    <xf numFmtId="3" fontId="0" fillId="0" borderId="16" xfId="0" applyNumberFormat="1" applyBorder="1"/>
    <xf numFmtId="0" fontId="0" fillId="3" borderId="16" xfId="0" applyFill="1" applyBorder="1" applyAlignment="1">
      <alignment horizontal="right"/>
    </xf>
    <xf numFmtId="3" fontId="0" fillId="0" borderId="5" xfId="0" applyNumberFormat="1" applyBorder="1"/>
    <xf numFmtId="0" fontId="0" fillId="3" borderId="6" xfId="0" applyFill="1" applyBorder="1"/>
    <xf numFmtId="0" fontId="0" fillId="3" borderId="0" xfId="0" applyFill="1" applyAlignment="1">
      <alignment horizontal="right"/>
    </xf>
    <xf numFmtId="0" fontId="0" fillId="3" borderId="8" xfId="0" applyFill="1" applyBorder="1" applyAlignment="1">
      <alignment horizontal="right"/>
    </xf>
    <xf numFmtId="3" fontId="0" fillId="0" borderId="17" xfId="0" applyNumberFormat="1" applyBorder="1" applyAlignment="1">
      <alignment horizontal="right"/>
    </xf>
    <xf numFmtId="0" fontId="0" fillId="3" borderId="17" xfId="0" applyFill="1" applyBorder="1" applyAlignment="1">
      <alignment horizontal="right"/>
    </xf>
    <xf numFmtId="3" fontId="0" fillId="0" borderId="17" xfId="0" applyNumberFormat="1" applyBorder="1"/>
    <xf numFmtId="3" fontId="0" fillId="0" borderId="9" xfId="0" applyNumberFormat="1" applyBorder="1"/>
    <xf numFmtId="0" fontId="0" fillId="2" borderId="16" xfId="0" applyFill="1" applyBorder="1"/>
    <xf numFmtId="0" fontId="0" fillId="0" borderId="16" xfId="0" applyBorder="1"/>
    <xf numFmtId="0" fontId="0" fillId="0" borderId="5" xfId="0" applyBorder="1"/>
    <xf numFmtId="3" fontId="0" fillId="0" borderId="37" xfId="0" applyNumberFormat="1" applyBorder="1"/>
    <xf numFmtId="190" fontId="0" fillId="0" borderId="0" xfId="0" applyNumberFormat="1"/>
    <xf numFmtId="188" fontId="0" fillId="0" borderId="0" xfId="0" applyNumberFormat="1"/>
    <xf numFmtId="7" fontId="0" fillId="0" borderId="0" xfId="0" applyNumberFormat="1"/>
    <xf numFmtId="9" fontId="0" fillId="0" borderId="0" xfId="0" applyNumberFormat="1"/>
    <xf numFmtId="189" fontId="0" fillId="0" borderId="0" xfId="0" applyNumberFormat="1"/>
    <xf numFmtId="10" fontId="0" fillId="0" borderId="19" xfId="0" applyNumberFormat="1" applyBorder="1"/>
    <xf numFmtId="173" fontId="0" fillId="0" borderId="0" xfId="0" applyNumberFormat="1"/>
    <xf numFmtId="0" fontId="0" fillId="0" borderId="8" xfId="0" applyBorder="1"/>
    <xf numFmtId="0" fontId="23" fillId="3" borderId="35" xfId="0" applyFont="1" applyFill="1" applyBorder="1"/>
    <xf numFmtId="0" fontId="23" fillId="3" borderId="2" xfId="0" applyFont="1" applyFill="1" applyBorder="1"/>
    <xf numFmtId="176" fontId="23" fillId="3" borderId="2" xfId="18" applyNumberFormat="1" applyFont="1" applyFill="1" applyBorder="1"/>
    <xf numFmtId="176" fontId="23" fillId="3" borderId="36" xfId="18" applyNumberFormat="1" applyFont="1" applyFill="1" applyBorder="1"/>
    <xf numFmtId="0" fontId="0" fillId="3" borderId="41" xfId="0" applyFill="1" applyBorder="1"/>
    <xf numFmtId="0" fontId="0" fillId="3" borderId="42" xfId="0" applyFill="1" applyBorder="1"/>
    <xf numFmtId="0" fontId="0" fillId="2" borderId="18" xfId="0" applyFill="1" applyBorder="1"/>
    <xf numFmtId="3" fontId="0" fillId="0" borderId="6" xfId="0" applyNumberFormat="1" applyBorder="1"/>
    <xf numFmtId="0" fontId="0" fillId="0" borderId="23" xfId="0" applyBorder="1"/>
    <xf numFmtId="0" fontId="0" fillId="0" borderId="39" xfId="0" applyBorder="1"/>
    <xf numFmtId="0" fontId="0" fillId="0" borderId="26" xfId="0" applyBorder="1"/>
    <xf numFmtId="0" fontId="0" fillId="3" borderId="44" xfId="0" applyFill="1" applyBorder="1"/>
    <xf numFmtId="0" fontId="0" fillId="3" borderId="27" xfId="0" applyFill="1" applyBorder="1"/>
    <xf numFmtId="0" fontId="0" fillId="0" borderId="4" xfId="0" applyBorder="1"/>
    <xf numFmtId="0" fontId="0" fillId="0" borderId="44" xfId="0" applyBorder="1"/>
    <xf numFmtId="0" fontId="0" fillId="0" borderId="27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22" xfId="0" applyNumberFormat="1" applyBorder="1"/>
    <xf numFmtId="3" fontId="0" fillId="0" borderId="19" xfId="0" applyNumberFormat="1" applyBorder="1"/>
    <xf numFmtId="3" fontId="0" fillId="0" borderId="26" xfId="0" applyNumberFormat="1" applyBorder="1"/>
    <xf numFmtId="0" fontId="0" fillId="0" borderId="0" xfId="0" applyAlignment="1">
      <alignment horizontal="center" vertical="center"/>
    </xf>
    <xf numFmtId="175" fontId="0" fillId="0" borderId="0" xfId="0" applyNumberFormat="1"/>
    <xf numFmtId="0" fontId="0" fillId="13" borderId="10" xfId="0" applyFill="1" applyBorder="1"/>
    <xf numFmtId="0" fontId="0" fillId="13" borderId="11" xfId="0" applyFill="1" applyBorder="1"/>
    <xf numFmtId="4" fontId="0" fillId="0" borderId="0" xfId="0" applyNumberFormat="1"/>
    <xf numFmtId="0" fontId="0" fillId="0" borderId="36" xfId="0" applyBorder="1"/>
    <xf numFmtId="0" fontId="0" fillId="14" borderId="11" xfId="0" applyFill="1" applyBorder="1"/>
    <xf numFmtId="182" fontId="0" fillId="0" borderId="0" xfId="0" applyNumberFormat="1"/>
    <xf numFmtId="0" fontId="0" fillId="0" borderId="45" xfId="0" applyBorder="1"/>
    <xf numFmtId="4" fontId="0" fillId="0" borderId="7" xfId="0" applyNumberFormat="1" applyBorder="1"/>
    <xf numFmtId="0" fontId="0" fillId="12" borderId="12" xfId="0" applyFill="1" applyBorder="1"/>
    <xf numFmtId="4" fontId="0" fillId="0" borderId="27" xfId="0" applyNumberFormat="1" applyBorder="1"/>
    <xf numFmtId="0" fontId="0" fillId="0" borderId="40" xfId="0" applyBorder="1"/>
    <xf numFmtId="4" fontId="0" fillId="0" borderId="42" xfId="0" applyNumberFormat="1" applyBorder="1"/>
    <xf numFmtId="0" fontId="0" fillId="0" borderId="43" xfId="0" applyBorder="1"/>
    <xf numFmtId="4" fontId="0" fillId="0" borderId="14" xfId="0" applyNumberFormat="1" applyBorder="1"/>
    <xf numFmtId="0" fontId="21" fillId="0" borderId="0" xfId="0" applyFont="1" applyAlignment="1">
      <alignment horizontal="center" vertical="center"/>
    </xf>
    <xf numFmtId="180" fontId="21" fillId="6" borderId="1" xfId="0" applyNumberFormat="1" applyFont="1" applyFill="1" applyBorder="1" applyAlignment="1">
      <alignment horizontal="center" vertical="center"/>
    </xf>
    <xf numFmtId="17" fontId="21" fillId="6" borderId="2" xfId="0" applyNumberFormat="1" applyFont="1" applyFill="1" applyBorder="1" applyAlignment="1">
      <alignment horizontal="right" vertical="center"/>
    </xf>
    <xf numFmtId="17" fontId="21" fillId="6" borderId="2" xfId="0" applyNumberFormat="1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Continuous" vertical="center"/>
    </xf>
    <xf numFmtId="0" fontId="21" fillId="6" borderId="2" xfId="0" applyFont="1" applyFill="1" applyBorder="1" applyAlignment="1">
      <alignment horizontal="centerContinuous" vertical="center"/>
    </xf>
    <xf numFmtId="0" fontId="21" fillId="6" borderId="3" xfId="0" applyFont="1" applyFill="1" applyBorder="1" applyAlignment="1">
      <alignment horizontal="centerContinuous" vertical="center"/>
    </xf>
    <xf numFmtId="0" fontId="21" fillId="9" borderId="0" xfId="0" applyFont="1" applyFill="1" applyAlignment="1">
      <alignment horizontal="right" vertical="center" wrapText="1"/>
    </xf>
    <xf numFmtId="0" fontId="21" fillId="9" borderId="0" xfId="0" applyFont="1" applyFill="1" applyAlignment="1">
      <alignment wrapText="1"/>
    </xf>
    <xf numFmtId="49" fontId="18" fillId="0" borderId="0" xfId="11" applyNumberFormat="1" applyFont="1" applyAlignment="1">
      <alignment horizontal="left" vertical="center"/>
    </xf>
    <xf numFmtId="39" fontId="18" fillId="0" borderId="17" xfId="11" applyNumberFormat="1" applyFont="1" applyBorder="1"/>
    <xf numFmtId="39" fontId="18" fillId="0" borderId="6" xfId="11" applyNumberFormat="1" applyFont="1" applyBorder="1"/>
    <xf numFmtId="39" fontId="18" fillId="0" borderId="7" xfId="11" applyNumberFormat="1" applyFont="1" applyBorder="1"/>
    <xf numFmtId="49" fontId="21" fillId="0" borderId="0" xfId="11" applyNumberFormat="1" applyFont="1" applyAlignment="1">
      <alignment horizontal="right" vertical="center"/>
    </xf>
    <xf numFmtId="0" fontId="18" fillId="0" borderId="0" xfId="11" applyFont="1"/>
    <xf numFmtId="39" fontId="18" fillId="0" borderId="0" xfId="11" applyNumberFormat="1" applyFont="1"/>
    <xf numFmtId="49" fontId="21" fillId="0" borderId="0" xfId="11" applyNumberFormat="1" applyFont="1" applyAlignment="1">
      <alignment horizontal="left" vertical="center"/>
    </xf>
    <xf numFmtId="39" fontId="18" fillId="0" borderId="0" xfId="0" applyNumberFormat="1" applyFont="1" applyAlignment="1">
      <alignment horizontal="right" vertical="center"/>
    </xf>
    <xf numFmtId="49" fontId="18" fillId="0" borderId="0" xfId="0" applyNumberFormat="1" applyFont="1" applyAlignment="1">
      <alignment horizontal="right" vertical="center"/>
    </xf>
    <xf numFmtId="39" fontId="18" fillId="0" borderId="8" xfId="11" applyNumberFormat="1" applyFont="1" applyBorder="1"/>
    <xf numFmtId="39" fontId="18" fillId="0" borderId="9" xfId="11" applyNumberFormat="1" applyFont="1" applyBorder="1"/>
    <xf numFmtId="0" fontId="27" fillId="2" borderId="17" xfId="0" applyFont="1" applyFill="1" applyBorder="1" applyAlignment="1">
      <alignment horizontal="center"/>
    </xf>
    <xf numFmtId="10" fontId="23" fillId="0" borderId="0" xfId="19" applyNumberFormat="1" applyFont="1" applyBorder="1"/>
    <xf numFmtId="181" fontId="1" fillId="2" borderId="23" xfId="0" applyNumberFormat="1" applyFont="1" applyFill="1" applyBorder="1"/>
    <xf numFmtId="0" fontId="27" fillId="2" borderId="0" xfId="0" applyFont="1" applyFill="1" applyAlignment="1">
      <alignment horizontal="center"/>
    </xf>
    <xf numFmtId="0" fontId="0" fillId="15" borderId="33" xfId="0" applyFill="1" applyBorder="1"/>
    <xf numFmtId="0" fontId="0" fillId="15" borderId="35" xfId="0" applyFill="1" applyBorder="1"/>
    <xf numFmtId="10" fontId="24" fillId="13" borderId="21" xfId="0" applyNumberFormat="1" applyFont="1" applyFill="1" applyBorder="1" applyAlignment="1">
      <alignment horizontal="center"/>
    </xf>
    <xf numFmtId="10" fontId="24" fillId="0" borderId="38" xfId="0" applyNumberFormat="1" applyFont="1" applyBorder="1" applyAlignment="1">
      <alignment horizontal="center"/>
    </xf>
    <xf numFmtId="10" fontId="24" fillId="0" borderId="40" xfId="0" applyNumberFormat="1" applyFont="1" applyBorder="1" applyAlignment="1">
      <alignment horizontal="center"/>
    </xf>
    <xf numFmtId="10" fontId="24" fillId="0" borderId="36" xfId="0" applyNumberFormat="1" applyFont="1" applyBorder="1" applyAlignment="1">
      <alignment horizontal="center"/>
    </xf>
    <xf numFmtId="10" fontId="0" fillId="3" borderId="0" xfId="19" applyNumberFormat="1" applyFont="1" applyFill="1" applyAlignment="1">
      <alignment horizontal="center"/>
    </xf>
    <xf numFmtId="10" fontId="0" fillId="0" borderId="25" xfId="0" applyNumberFormat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172" fontId="0" fillId="3" borderId="5" xfId="18" applyNumberFormat="1" applyFont="1" applyFill="1" applyBorder="1" applyAlignment="1"/>
    <xf numFmtId="172" fontId="0" fillId="3" borderId="7" xfId="18" applyNumberFormat="1" applyFont="1" applyFill="1" applyBorder="1" applyAlignment="1"/>
    <xf numFmtId="172" fontId="0" fillId="3" borderId="9" xfId="18" applyNumberFormat="1" applyFont="1" applyFill="1" applyBorder="1" applyAlignment="1"/>
    <xf numFmtId="5" fontId="24" fillId="0" borderId="38" xfId="0" applyNumberFormat="1" applyFont="1" applyBorder="1" applyAlignment="1">
      <alignment horizontal="center"/>
    </xf>
    <xf numFmtId="0" fontId="28" fillId="0" borderId="0" xfId="0" applyFont="1"/>
    <xf numFmtId="0" fontId="0" fillId="15" borderId="39" xfId="0" applyFill="1" applyBorder="1"/>
    <xf numFmtId="37" fontId="2" fillId="0" borderId="27" xfId="0" applyNumberFormat="1" applyFont="1" applyBorder="1" applyAlignment="1">
      <alignment horizontal="center"/>
    </xf>
    <xf numFmtId="37" fontId="2" fillId="0" borderId="58" xfId="0" applyNumberFormat="1" applyFont="1" applyBorder="1"/>
    <xf numFmtId="191" fontId="23" fillId="0" borderId="0" xfId="19" applyNumberFormat="1" applyFont="1" applyBorder="1"/>
    <xf numFmtId="5" fontId="24" fillId="0" borderId="19" xfId="18" applyNumberFormat="1" applyFont="1" applyBorder="1"/>
    <xf numFmtId="10" fontId="23" fillId="0" borderId="0" xfId="19" applyNumberFormat="1" applyFont="1"/>
    <xf numFmtId="10" fontId="18" fillId="0" borderId="7" xfId="0" applyNumberFormat="1" applyFont="1" applyBorder="1" applyAlignment="1">
      <alignment horizontal="center"/>
    </xf>
    <xf numFmtId="176" fontId="23" fillId="0" borderId="0" xfId="18" applyNumberFormat="1" applyFont="1" applyFill="1"/>
    <xf numFmtId="37" fontId="28" fillId="0" borderId="25" xfId="0" applyNumberFormat="1" applyFont="1" applyBorder="1" applyAlignment="1">
      <alignment horizontal="left"/>
    </xf>
    <xf numFmtId="172" fontId="18" fillId="3" borderId="16" xfId="0" applyNumberFormat="1" applyFont="1" applyFill="1" applyBorder="1" applyAlignment="1">
      <alignment horizontal="center"/>
    </xf>
    <xf numFmtId="172" fontId="0" fillId="3" borderId="0" xfId="0" applyNumberFormat="1" applyFill="1" applyAlignment="1">
      <alignment horizontal="center"/>
    </xf>
    <xf numFmtId="0" fontId="24" fillId="3" borderId="0" xfId="0" applyFont="1" applyFill="1" applyAlignment="1">
      <alignment horizontal="center"/>
    </xf>
    <xf numFmtId="10" fontId="24" fillId="3" borderId="0" xfId="0" applyNumberFormat="1" applyFont="1" applyFill="1" applyAlignment="1">
      <alignment horizontal="center"/>
    </xf>
    <xf numFmtId="172" fontId="0" fillId="3" borderId="17" xfId="0" applyNumberFormat="1" applyFill="1" applyBorder="1" applyAlignment="1">
      <alignment horizontal="center"/>
    </xf>
    <xf numFmtId="185" fontId="0" fillId="16" borderId="47" xfId="0" applyNumberFormat="1" applyFill="1" applyBorder="1" applyAlignment="1">
      <alignment horizontal="center"/>
    </xf>
    <xf numFmtId="185" fontId="0" fillId="17" borderId="34" xfId="0" applyNumberFormat="1" applyFill="1" applyBorder="1" applyAlignment="1">
      <alignment horizontal="center"/>
    </xf>
    <xf numFmtId="185" fontId="0" fillId="18" borderId="34" xfId="0" applyNumberFormat="1" applyFill="1" applyBorder="1" applyAlignment="1">
      <alignment horizontal="center"/>
    </xf>
    <xf numFmtId="5" fontId="17" fillId="16" borderId="48" xfId="20" applyNumberFormat="1" applyFont="1" applyFill="1" applyBorder="1" applyAlignment="1">
      <alignment horizontal="center"/>
    </xf>
    <xf numFmtId="5" fontId="17" fillId="17" borderId="36" xfId="20" applyNumberFormat="1" applyFont="1" applyFill="1" applyBorder="1" applyAlignment="1">
      <alignment horizontal="center"/>
    </xf>
    <xf numFmtId="5" fontId="17" fillId="18" borderId="36" xfId="20" applyNumberFormat="1" applyFont="1" applyFill="1" applyBorder="1" applyAlignment="1">
      <alignment horizontal="center"/>
    </xf>
    <xf numFmtId="10" fontId="17" fillId="16" borderId="48" xfId="19" applyNumberFormat="1" applyFont="1" applyFill="1" applyBorder="1" applyAlignment="1">
      <alignment horizontal="center"/>
    </xf>
    <xf numFmtId="10" fontId="17" fillId="17" borderId="36" xfId="19" applyNumberFormat="1" applyFont="1" applyFill="1" applyBorder="1" applyAlignment="1">
      <alignment horizontal="center"/>
    </xf>
    <xf numFmtId="10" fontId="17" fillId="18" borderId="36" xfId="19" applyNumberFormat="1" applyFont="1" applyFill="1" applyBorder="1" applyAlignment="1">
      <alignment horizontal="center"/>
    </xf>
    <xf numFmtId="10" fontId="17" fillId="16" borderId="57" xfId="19" applyNumberFormat="1" applyFont="1" applyFill="1" applyBorder="1" applyAlignment="1">
      <alignment horizontal="center"/>
    </xf>
    <xf numFmtId="10" fontId="17" fillId="18" borderId="40" xfId="19" applyNumberFormat="1" applyFont="1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180" fontId="24" fillId="0" borderId="0" xfId="0" applyNumberFormat="1" applyFont="1" applyAlignment="1">
      <alignment horizontal="center"/>
    </xf>
    <xf numFmtId="176" fontId="2" fillId="0" borderId="42" xfId="18" applyNumberFormat="1" applyFont="1" applyBorder="1"/>
    <xf numFmtId="176" fontId="2" fillId="0" borderId="43" xfId="18" applyNumberFormat="1" applyFont="1" applyBorder="1"/>
    <xf numFmtId="0" fontId="18" fillId="9" borderId="0" xfId="0" applyFont="1" applyFill="1" applyAlignment="1">
      <alignment horizontal="right" vertical="center" wrapText="1"/>
    </xf>
    <xf numFmtId="0" fontId="18" fillId="9" borderId="0" xfId="0" applyFont="1" applyFill="1" applyAlignment="1">
      <alignment wrapText="1"/>
    </xf>
    <xf numFmtId="4" fontId="18" fillId="9" borderId="0" xfId="0" applyNumberFormat="1" applyFont="1" applyFill="1" applyAlignment="1">
      <alignment wrapText="1"/>
    </xf>
    <xf numFmtId="4" fontId="21" fillId="9" borderId="0" xfId="0" applyNumberFormat="1" applyFont="1" applyFill="1" applyAlignment="1">
      <alignment wrapText="1"/>
    </xf>
    <xf numFmtId="39" fontId="21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  <xf numFmtId="0" fontId="2" fillId="0" borderId="40" xfId="0" applyFont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0" fillId="2" borderId="15" xfId="0" applyFill="1" applyBorder="1"/>
    <xf numFmtId="0" fontId="1" fillId="2" borderId="15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center"/>
    </xf>
    <xf numFmtId="177" fontId="17" fillId="17" borderId="40" xfId="19" applyNumberFormat="1" applyFont="1" applyFill="1" applyBorder="1" applyAlignment="1">
      <alignment horizontal="center"/>
    </xf>
    <xf numFmtId="41" fontId="14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right" vertical="center"/>
    </xf>
    <xf numFmtId="4" fontId="21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41" fontId="32" fillId="0" borderId="0" xfId="0" applyNumberFormat="1" applyFont="1" applyAlignment="1">
      <alignment horizontal="left"/>
    </xf>
    <xf numFmtId="39" fontId="21" fillId="0" borderId="6" xfId="11" applyNumberFormat="1" applyFont="1" applyBorder="1"/>
    <xf numFmtId="39" fontId="21" fillId="0" borderId="7" xfId="11" applyNumberFormat="1" applyFont="1" applyBorder="1"/>
    <xf numFmtId="10" fontId="24" fillId="0" borderId="7" xfId="0" applyNumberFormat="1" applyFont="1" applyBorder="1" applyAlignment="1">
      <alignment horizontal="center"/>
    </xf>
    <xf numFmtId="9" fontId="23" fillId="0" borderId="0" xfId="19" applyFont="1"/>
    <xf numFmtId="9" fontId="23" fillId="0" borderId="7" xfId="19" applyFont="1" applyBorder="1"/>
    <xf numFmtId="0" fontId="23" fillId="0" borderId="6" xfId="0" applyFont="1" applyBorder="1"/>
    <xf numFmtId="0" fontId="4" fillId="2" borderId="0" xfId="0" applyFont="1" applyFill="1" applyAlignment="1">
      <alignment horizontal="center"/>
    </xf>
    <xf numFmtId="201" fontId="0" fillId="3" borderId="38" xfId="20" applyNumberFormat="1" applyFont="1" applyFill="1" applyBorder="1"/>
    <xf numFmtId="10" fontId="2" fillId="3" borderId="19" xfId="0" applyNumberFormat="1" applyFont="1" applyFill="1" applyBorder="1" applyAlignment="1">
      <alignment horizontal="center"/>
    </xf>
    <xf numFmtId="0" fontId="34" fillId="13" borderId="6" xfId="0" applyFont="1" applyFill="1" applyBorder="1" applyAlignment="1">
      <alignment horizontal="left"/>
    </xf>
    <xf numFmtId="0" fontId="34" fillId="3" borderId="0" xfId="0" applyFont="1" applyFill="1"/>
    <xf numFmtId="171" fontId="2" fillId="3" borderId="28" xfId="0" applyNumberFormat="1" applyFont="1" applyFill="1" applyBorder="1"/>
    <xf numFmtId="171" fontId="2" fillId="3" borderId="30" xfId="0" applyNumberFormat="1" applyFont="1" applyFill="1" applyBorder="1"/>
    <xf numFmtId="3" fontId="2" fillId="3" borderId="56" xfId="0" applyNumberFormat="1" applyFont="1" applyFill="1" applyBorder="1"/>
    <xf numFmtId="170" fontId="6" fillId="10" borderId="29" xfId="9" applyNumberFormat="1" applyFont="1" applyFill="1" applyBorder="1" applyAlignment="1">
      <alignment horizontal="center" vertical="center"/>
    </xf>
    <xf numFmtId="9" fontId="6" fillId="10" borderId="29" xfId="10" applyFont="1" applyFill="1" applyBorder="1" applyAlignment="1">
      <alignment horizontal="center" vertical="center"/>
    </xf>
    <xf numFmtId="44" fontId="6" fillId="0" borderId="0" xfId="9" applyFont="1" applyFill="1" applyBorder="1" applyAlignment="1">
      <alignment horizontal="center" vertical="center"/>
    </xf>
    <xf numFmtId="170" fontId="6" fillId="9" borderId="29" xfId="9" applyNumberFormat="1" applyFont="1" applyFill="1" applyBorder="1" applyAlignment="1">
      <alignment horizontal="center" vertical="center"/>
    </xf>
    <xf numFmtId="9" fontId="6" fillId="8" borderId="29" xfId="10" applyFont="1" applyFill="1" applyBorder="1" applyAlignment="1">
      <alignment horizontal="center" vertical="center"/>
    </xf>
    <xf numFmtId="10" fontId="18" fillId="13" borderId="0" xfId="19" applyNumberFormat="1" applyFont="1" applyFill="1" applyBorder="1" applyAlignment="1">
      <alignment horizontal="center"/>
    </xf>
    <xf numFmtId="10" fontId="24" fillId="0" borderId="9" xfId="0" applyNumberFormat="1" applyFont="1" applyBorder="1" applyAlignment="1">
      <alignment horizontal="center"/>
    </xf>
    <xf numFmtId="1" fontId="24" fillId="0" borderId="6" xfId="0" applyNumberFormat="1" applyFont="1" applyBorder="1"/>
    <xf numFmtId="10" fontId="18" fillId="3" borderId="0" xfId="0" applyNumberFormat="1" applyFont="1" applyFill="1" applyAlignment="1">
      <alignment horizontal="center"/>
    </xf>
    <xf numFmtId="0" fontId="35" fillId="19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6" fillId="20" borderId="4" xfId="0" applyFont="1" applyFill="1" applyBorder="1" applyAlignment="1">
      <alignment horizontal="centerContinuous"/>
    </xf>
    <xf numFmtId="0" fontId="35" fillId="20" borderId="16" xfId="0" applyFont="1" applyFill="1" applyBorder="1" applyAlignment="1">
      <alignment horizontal="centerContinuous"/>
    </xf>
    <xf numFmtId="0" fontId="35" fillId="20" borderId="5" xfId="0" applyFont="1" applyFill="1" applyBorder="1" applyAlignment="1">
      <alignment horizontal="centerContinuous"/>
    </xf>
    <xf numFmtId="202" fontId="2" fillId="21" borderId="8" xfId="0" applyNumberFormat="1" applyFont="1" applyFill="1" applyBorder="1" applyAlignment="1">
      <alignment horizontal="right"/>
    </xf>
    <xf numFmtId="203" fontId="2" fillId="21" borderId="17" xfId="0" applyNumberFormat="1" applyFont="1" applyFill="1" applyBorder="1" applyAlignment="1">
      <alignment horizontal="right"/>
    </xf>
    <xf numFmtId="204" fontId="2" fillId="21" borderId="9" xfId="0" applyNumberFormat="1" applyFont="1" applyFill="1" applyBorder="1" applyAlignment="1">
      <alignment horizontal="right"/>
    </xf>
    <xf numFmtId="0" fontId="35" fillId="22" borderId="4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6" fillId="22" borderId="5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205" fontId="2" fillId="23" borderId="14" xfId="0" applyNumberFormat="1" applyFont="1" applyFill="1" applyBorder="1" applyAlignment="1">
      <alignment horizontal="center"/>
    </xf>
    <xf numFmtId="0" fontId="2" fillId="23" borderId="14" xfId="0" applyFont="1" applyFill="1" applyBorder="1" applyAlignment="1">
      <alignment horizontal="center"/>
    </xf>
    <xf numFmtId="205" fontId="2" fillId="23" borderId="14" xfId="0" applyNumberFormat="1" applyFont="1" applyFill="1" applyBorder="1" applyAlignment="1">
      <alignment horizontal="right"/>
    </xf>
    <xf numFmtId="204" fontId="2" fillId="23" borderId="14" xfId="0" applyNumberFormat="1" applyFont="1" applyFill="1" applyBorder="1" applyAlignment="1">
      <alignment horizontal="right"/>
    </xf>
    <xf numFmtId="0" fontId="2" fillId="23" borderId="14" xfId="0" applyFont="1" applyFill="1" applyBorder="1" applyAlignment="1">
      <alignment horizontal="right"/>
    </xf>
    <xf numFmtId="0" fontId="2" fillId="23" borderId="15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205" fontId="0" fillId="24" borderId="0" xfId="0" applyNumberFormat="1" applyFill="1" applyAlignment="1">
      <alignment horizontal="center"/>
    </xf>
    <xf numFmtId="205" fontId="0" fillId="24" borderId="0" xfId="0" applyNumberFormat="1" applyFill="1" applyAlignment="1">
      <alignment horizontal="right"/>
    </xf>
    <xf numFmtId="204" fontId="0" fillId="24" borderId="0" xfId="0" applyNumberFormat="1" applyFill="1" applyAlignment="1">
      <alignment horizontal="right"/>
    </xf>
    <xf numFmtId="0" fontId="0" fillId="24" borderId="0" xfId="0" applyFill="1" applyAlignment="1">
      <alignment horizontal="right"/>
    </xf>
    <xf numFmtId="206" fontId="0" fillId="24" borderId="0" xfId="0" applyNumberFormat="1" applyFill="1" applyAlignment="1">
      <alignment horizontal="right"/>
    </xf>
    <xf numFmtId="202" fontId="0" fillId="24" borderId="0" xfId="0" applyNumberFormat="1" applyFill="1" applyAlignment="1">
      <alignment horizontal="right"/>
    </xf>
    <xf numFmtId="203" fontId="0" fillId="24" borderId="0" xfId="0" applyNumberFormat="1" applyFill="1" applyAlignment="1">
      <alignment horizontal="right"/>
    </xf>
    <xf numFmtId="0" fontId="2" fillId="22" borderId="4" xfId="0" applyFont="1" applyFill="1" applyBorder="1" applyAlignment="1">
      <alignment horizontal="center"/>
    </xf>
    <xf numFmtId="205" fontId="2" fillId="0" borderId="16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20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05" fontId="0" fillId="0" borderId="16" xfId="0" applyNumberFormat="1" applyBorder="1" applyAlignment="1">
      <alignment horizontal="right"/>
    </xf>
    <xf numFmtId="204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206" fontId="0" fillId="0" borderId="16" xfId="0" applyNumberFormat="1" applyBorder="1" applyAlignment="1">
      <alignment horizontal="right"/>
    </xf>
    <xf numFmtId="202" fontId="0" fillId="0" borderId="16" xfId="0" applyNumberFormat="1" applyBorder="1" applyAlignment="1">
      <alignment horizontal="right"/>
    </xf>
    <xf numFmtId="203" fontId="0" fillId="0" borderId="16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05" fontId="0" fillId="0" borderId="0" xfId="0" applyNumberFormat="1" applyAlignment="1">
      <alignment horizontal="center"/>
    </xf>
    <xf numFmtId="205" fontId="0" fillId="0" borderId="0" xfId="0" applyNumberFormat="1" applyAlignment="1">
      <alignment horizontal="right"/>
    </xf>
    <xf numFmtId="204" fontId="0" fillId="0" borderId="0" xfId="0" applyNumberFormat="1" applyAlignment="1">
      <alignment horizontal="right"/>
    </xf>
    <xf numFmtId="206" fontId="0" fillId="0" borderId="0" xfId="0" applyNumberFormat="1" applyAlignment="1">
      <alignment horizontal="right"/>
    </xf>
    <xf numFmtId="202" fontId="0" fillId="0" borderId="0" xfId="0" applyNumberFormat="1" applyAlignment="1">
      <alignment horizontal="right"/>
    </xf>
    <xf numFmtId="203" fontId="0" fillId="0" borderId="0" xfId="0" applyNumberFormat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5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05" fontId="0" fillId="0" borderId="17" xfId="0" applyNumberFormat="1" applyBorder="1" applyAlignment="1">
      <alignment horizontal="right"/>
    </xf>
    <xf numFmtId="204" fontId="0" fillId="0" borderId="17" xfId="0" applyNumberFormat="1" applyBorder="1" applyAlignment="1">
      <alignment horizontal="right"/>
    </xf>
    <xf numFmtId="0" fontId="0" fillId="0" borderId="17" xfId="0" applyBorder="1" applyAlignment="1">
      <alignment horizontal="right"/>
    </xf>
    <xf numFmtId="206" fontId="0" fillId="0" borderId="17" xfId="0" applyNumberFormat="1" applyBorder="1" applyAlignment="1">
      <alignment horizontal="right"/>
    </xf>
    <xf numFmtId="202" fontId="0" fillId="0" borderId="17" xfId="0" applyNumberFormat="1" applyBorder="1" applyAlignment="1">
      <alignment horizontal="right"/>
    </xf>
    <xf numFmtId="203" fontId="0" fillId="0" borderId="17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35" fillId="19" borderId="59" xfId="0" applyFont="1" applyFill="1" applyBorder="1" applyAlignment="1">
      <alignment horizontal="center"/>
    </xf>
    <xf numFmtId="0" fontId="35" fillId="19" borderId="60" xfId="0" applyFont="1" applyFill="1" applyBorder="1" applyAlignment="1">
      <alignment horizontal="center"/>
    </xf>
    <xf numFmtId="0" fontId="17" fillId="0" borderId="37" xfId="0" applyFont="1" applyBorder="1" applyAlignment="1">
      <alignment horizontal="right"/>
    </xf>
    <xf numFmtId="0" fontId="17" fillId="0" borderId="21" xfId="0" applyFont="1" applyBorder="1"/>
    <xf numFmtId="0" fontId="17" fillId="0" borderId="6" xfId="0" applyFont="1" applyBorder="1" applyAlignment="1">
      <alignment horizontal="right"/>
    </xf>
    <xf numFmtId="0" fontId="17" fillId="0" borderId="0" xfId="0" applyFont="1"/>
    <xf numFmtId="176" fontId="0" fillId="0" borderId="0" xfId="18" applyNumberFormat="1" applyFont="1" applyFill="1"/>
    <xf numFmtId="0" fontId="17" fillId="0" borderId="8" xfId="0" applyFont="1" applyBorder="1" applyAlignment="1">
      <alignment horizontal="right"/>
    </xf>
    <xf numFmtId="0" fontId="17" fillId="0" borderId="17" xfId="0" applyFont="1" applyBorder="1" applyAlignment="1">
      <alignment horizontal="right"/>
    </xf>
    <xf numFmtId="176" fontId="0" fillId="0" borderId="17" xfId="18" applyNumberFormat="1" applyFont="1" applyBorder="1"/>
    <xf numFmtId="205" fontId="23" fillId="0" borderId="0" xfId="0" applyNumberFormat="1" applyFont="1" applyAlignment="1">
      <alignment horizontal="left"/>
    </xf>
    <xf numFmtId="0" fontId="38" fillId="0" borderId="0" xfId="0" applyFont="1" applyAlignment="1">
      <alignment horizontal="center"/>
    </xf>
    <xf numFmtId="205" fontId="2" fillId="23" borderId="15" xfId="0" applyNumberFormat="1" applyFont="1" applyFill="1" applyBorder="1" applyAlignment="1">
      <alignment horizontal="right"/>
    </xf>
    <xf numFmtId="0" fontId="24" fillId="0" borderId="7" xfId="0" applyFont="1" applyBorder="1" applyAlignment="1">
      <alignment horizontal="right"/>
    </xf>
    <xf numFmtId="176" fontId="0" fillId="0" borderId="0" xfId="18" applyNumberFormat="1" applyFont="1" applyFill="1" applyBorder="1" applyAlignment="1">
      <alignment horizontal="center"/>
    </xf>
    <xf numFmtId="176" fontId="0" fillId="0" borderId="7" xfId="18" applyNumberFormat="1" applyFont="1" applyFill="1" applyBorder="1" applyAlignment="1">
      <alignment horizontal="center"/>
    </xf>
    <xf numFmtId="171" fontId="0" fillId="0" borderId="0" xfId="0" applyNumberFormat="1" applyAlignment="1">
      <alignment horizontal="right"/>
    </xf>
    <xf numFmtId="171" fontId="0" fillId="0" borderId="7" xfId="0" applyNumberFormat="1" applyBorder="1" applyAlignment="1">
      <alignment horizontal="right"/>
    </xf>
    <xf numFmtId="2" fontId="34" fillId="3" borderId="0" xfId="0" applyNumberFormat="1" applyFont="1" applyFill="1" applyAlignment="1">
      <alignment horizontal="right"/>
    </xf>
    <xf numFmtId="2" fontId="34" fillId="3" borderId="7" xfId="0" applyNumberFormat="1" applyFont="1" applyFill="1" applyBorder="1" applyAlignment="1">
      <alignment horizontal="right"/>
    </xf>
    <xf numFmtId="10" fontId="24" fillId="3" borderId="25" xfId="0" applyNumberFormat="1" applyFont="1" applyFill="1" applyBorder="1" applyAlignment="1">
      <alignment horizontal="center"/>
    </xf>
    <xf numFmtId="0" fontId="24" fillId="0" borderId="7" xfId="19" applyNumberFormat="1" applyFont="1" applyBorder="1"/>
    <xf numFmtId="205" fontId="0" fillId="9" borderId="0" xfId="0" applyNumberFormat="1" applyFill="1" applyAlignment="1">
      <alignment horizontal="right"/>
    </xf>
    <xf numFmtId="177" fontId="0" fillId="0" borderId="0" xfId="19" applyNumberFormat="1" applyFont="1"/>
    <xf numFmtId="0" fontId="2" fillId="0" borderId="10" xfId="0" applyFont="1" applyBorder="1"/>
    <xf numFmtId="10" fontId="24" fillId="9" borderId="19" xfId="0" applyNumberFormat="1" applyFont="1" applyFill="1" applyBorder="1"/>
    <xf numFmtId="184" fontId="24" fillId="9" borderId="19" xfId="0" applyNumberFormat="1" applyFont="1" applyFill="1" applyBorder="1"/>
    <xf numFmtId="0" fontId="2" fillId="25" borderId="4" xfId="0" applyFont="1" applyFill="1" applyBorder="1"/>
    <xf numFmtId="0" fontId="0" fillId="25" borderId="16" xfId="0" applyFill="1" applyBorder="1"/>
    <xf numFmtId="0" fontId="2" fillId="7" borderId="6" xfId="0" applyFont="1" applyFill="1" applyBorder="1"/>
    <xf numFmtId="0" fontId="0" fillId="0" borderId="6" xfId="0" applyBorder="1" applyAlignment="1">
      <alignment horizontal="left" indent="1"/>
    </xf>
    <xf numFmtId="16" fontId="24" fillId="0" borderId="6" xfId="0" applyNumberFormat="1" applyFont="1" applyBorder="1"/>
    <xf numFmtId="0" fontId="16" fillId="0" borderId="0" xfId="17" applyAlignment="1">
      <alignment horizontal="center"/>
    </xf>
    <xf numFmtId="0" fontId="18" fillId="0" borderId="11" xfId="0" applyFont="1" applyBorder="1" applyAlignment="1">
      <alignment horizontal="left"/>
    </xf>
    <xf numFmtId="0" fontId="18" fillId="9" borderId="11" xfId="0" applyFont="1" applyFill="1" applyBorder="1" applyAlignment="1">
      <alignment horizontal="left"/>
    </xf>
    <xf numFmtId="9" fontId="5" fillId="0" borderId="0" xfId="0" applyNumberFormat="1" applyFont="1"/>
    <xf numFmtId="0" fontId="18" fillId="9" borderId="0" xfId="11" applyFont="1" applyFill="1"/>
    <xf numFmtId="0" fontId="18" fillId="0" borderId="11" xfId="0" applyFont="1" applyBorder="1" applyAlignment="1">
      <alignment horizontal="left" vertical="top"/>
    </xf>
    <xf numFmtId="201" fontId="18" fillId="9" borderId="7" xfId="20" applyNumberFormat="1" applyFont="1" applyFill="1" applyBorder="1"/>
    <xf numFmtId="0" fontId="2" fillId="0" borderId="11" xfId="0" applyFont="1" applyBorder="1"/>
    <xf numFmtId="0" fontId="18" fillId="0" borderId="11" xfId="0" applyFont="1" applyBorder="1"/>
    <xf numFmtId="0" fontId="18" fillId="0" borderId="11" xfId="0" applyFont="1" applyBorder="1" applyAlignment="1">
      <alignment horizontal="left" vertical="center"/>
    </xf>
    <xf numFmtId="0" fontId="0" fillId="25" borderId="5" xfId="0" applyFill="1" applyBorder="1"/>
    <xf numFmtId="0" fontId="0" fillId="7" borderId="7" xfId="0" applyFill="1" applyBorder="1"/>
    <xf numFmtId="0" fontId="0" fillId="9" borderId="6" xfId="0" applyFill="1" applyBorder="1" applyAlignment="1">
      <alignment horizontal="left" indent="1"/>
    </xf>
    <xf numFmtId="0" fontId="0" fillId="9" borderId="8" xfId="0" applyFill="1" applyBorder="1" applyAlignment="1">
      <alignment horizontal="left" indent="1"/>
    </xf>
    <xf numFmtId="192" fontId="24" fillId="13" borderId="6" xfId="19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21" xfId="0" applyFont="1" applyBorder="1"/>
    <xf numFmtId="0" fontId="2" fillId="0" borderId="2" xfId="0" applyFont="1" applyBorder="1"/>
    <xf numFmtId="0" fontId="1" fillId="2" borderId="14" xfId="0" applyFont="1" applyFill="1" applyBorder="1" applyAlignment="1">
      <alignment horizontal="left"/>
    </xf>
    <xf numFmtId="0" fontId="23" fillId="0" borderId="0" xfId="0" applyFont="1"/>
    <xf numFmtId="0" fontId="23" fillId="13" borderId="0" xfId="0" applyFont="1" applyFill="1" applyAlignment="1">
      <alignment horizontal="left"/>
    </xf>
    <xf numFmtId="0" fontId="34" fillId="13" borderId="0" xfId="0" applyFont="1" applyFill="1" applyAlignment="1">
      <alignment horizontal="left"/>
    </xf>
    <xf numFmtId="37" fontId="24" fillId="0" borderId="25" xfId="0" applyNumberFormat="1" applyFont="1" applyBorder="1"/>
    <xf numFmtId="171" fontId="24" fillId="0" borderId="0" xfId="0" applyNumberFormat="1" applyFont="1"/>
    <xf numFmtId="1" fontId="24" fillId="0" borderId="0" xfId="0" applyNumberFormat="1" applyFont="1"/>
    <xf numFmtId="171" fontId="21" fillId="0" borderId="21" xfId="0" applyNumberFormat="1" applyFont="1" applyBorder="1"/>
    <xf numFmtId="171" fontId="21" fillId="0" borderId="2" xfId="0" applyNumberFormat="1" applyFont="1" applyBorder="1"/>
    <xf numFmtId="3" fontId="21" fillId="0" borderId="27" xfId="0" applyNumberFormat="1" applyFont="1" applyBorder="1"/>
    <xf numFmtId="1" fontId="0" fillId="0" borderId="0" xfId="0" applyNumberFormat="1"/>
    <xf numFmtId="171" fontId="2" fillId="0" borderId="21" xfId="0" applyNumberFormat="1" applyFont="1" applyBorder="1"/>
    <xf numFmtId="171" fontId="2" fillId="0" borderId="2" xfId="0" applyNumberFormat="1" applyFont="1" applyBorder="1"/>
    <xf numFmtId="37" fontId="0" fillId="0" borderId="21" xfId="0" applyNumberFormat="1" applyBorder="1"/>
    <xf numFmtId="37" fontId="24" fillId="0" borderId="21" xfId="0" applyNumberFormat="1" applyFont="1" applyBorder="1"/>
    <xf numFmtId="37" fontId="0" fillId="0" borderId="38" xfId="0" applyNumberFormat="1" applyBorder="1"/>
    <xf numFmtId="37" fontId="0" fillId="0" borderId="25" xfId="0" applyNumberFormat="1" applyBorder="1"/>
    <xf numFmtId="37" fontId="0" fillId="0" borderId="40" xfId="0" applyNumberFormat="1" applyBorder="1"/>
    <xf numFmtId="37" fontId="21" fillId="0" borderId="27" xfId="0" applyNumberFormat="1" applyFont="1" applyBorder="1"/>
    <xf numFmtId="0" fontId="0" fillId="13" borderId="17" xfId="0" applyFill="1" applyBorder="1"/>
    <xf numFmtId="0" fontId="0" fillId="15" borderId="8" xfId="0" applyFill="1" applyBorder="1"/>
    <xf numFmtId="10" fontId="17" fillId="16" borderId="12" xfId="19" applyNumberFormat="1" applyFont="1" applyFill="1" applyBorder="1" applyAlignment="1">
      <alignment horizontal="center"/>
    </xf>
    <xf numFmtId="10" fontId="17" fillId="17" borderId="9" xfId="19" applyNumberFormat="1" applyFont="1" applyFill="1" applyBorder="1" applyAlignment="1">
      <alignment horizontal="center"/>
    </xf>
    <xf numFmtId="10" fontId="17" fillId="18" borderId="9" xfId="19" applyNumberFormat="1" applyFont="1" applyFill="1" applyBorder="1" applyAlignment="1">
      <alignment horizontal="center"/>
    </xf>
    <xf numFmtId="0" fontId="0" fillId="2" borderId="0" xfId="0" applyFill="1"/>
    <xf numFmtId="14" fontId="6" fillId="3" borderId="8" xfId="17" applyNumberFormat="1" applyFont="1" applyFill="1" applyBorder="1" applyAlignment="1"/>
    <xf numFmtId="0" fontId="2" fillId="0" borderId="11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18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3" fontId="18" fillId="0" borderId="0" xfId="0" applyNumberFormat="1" applyFont="1" applyAlignment="1">
      <alignment horizontal="right" vertical="center"/>
    </xf>
    <xf numFmtId="0" fontId="0" fillId="7" borderId="0" xfId="0" applyFill="1"/>
    <xf numFmtId="0" fontId="0" fillId="9" borderId="0" xfId="0" applyFill="1"/>
    <xf numFmtId="0" fontId="2" fillId="9" borderId="6" xfId="0" applyFont="1" applyFill="1" applyBorder="1" applyAlignment="1">
      <alignment horizontal="left" indent="1"/>
    </xf>
    <xf numFmtId="0" fontId="2" fillId="0" borderId="6" xfId="0" applyFont="1" applyBorder="1" applyAlignment="1">
      <alignment horizontal="left" indent="1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44" fontId="21" fillId="7" borderId="14" xfId="20" applyFont="1" applyFill="1" applyBorder="1" applyAlignment="1">
      <alignment horizontal="center"/>
    </xf>
    <xf numFmtId="44" fontId="21" fillId="7" borderId="15" xfId="20" applyFont="1" applyFill="1" applyBorder="1" applyAlignment="1">
      <alignment horizontal="center"/>
    </xf>
    <xf numFmtId="0" fontId="21" fillId="9" borderId="11" xfId="0" applyFont="1" applyFill="1" applyBorder="1" applyAlignment="1">
      <alignment horizontal="left"/>
    </xf>
    <xf numFmtId="0" fontId="0" fillId="0" borderId="11" xfId="0" applyBorder="1"/>
    <xf numFmtId="0" fontId="21" fillId="0" borderId="11" xfId="0" applyFont="1" applyBorder="1"/>
    <xf numFmtId="0" fontId="18" fillId="9" borderId="11" xfId="0" applyFont="1" applyFill="1" applyBorder="1" applyAlignment="1">
      <alignment horizontal="left" vertical="center" wrapText="1"/>
    </xf>
    <xf numFmtId="0" fontId="2" fillId="21" borderId="17" xfId="0" applyFont="1" applyFill="1" applyBorder="1" applyAlignment="1">
      <alignment horizontal="right"/>
    </xf>
    <xf numFmtId="202" fontId="0" fillId="0" borderId="63" xfId="0" applyNumberFormat="1" applyBorder="1" applyAlignment="1">
      <alignment horizontal="right"/>
    </xf>
    <xf numFmtId="202" fontId="0" fillId="0" borderId="64" xfId="0" applyNumberFormat="1" applyBorder="1" applyAlignment="1">
      <alignment horizontal="right"/>
    </xf>
    <xf numFmtId="0" fontId="0" fillId="0" borderId="64" xfId="0" applyBorder="1" applyAlignment="1">
      <alignment horizontal="right"/>
    </xf>
    <xf numFmtId="0" fontId="0" fillId="0" borderId="65" xfId="0" applyBorder="1" applyAlignment="1">
      <alignment horizontal="right"/>
    </xf>
    <xf numFmtId="9" fontId="0" fillId="0" borderId="5" xfId="19" applyFont="1" applyBorder="1" applyAlignment="1">
      <alignment horizontal="right"/>
    </xf>
    <xf numFmtId="204" fontId="0" fillId="9" borderId="7" xfId="0" applyNumberFormat="1" applyFill="1" applyBorder="1" applyAlignment="1">
      <alignment horizontal="right"/>
    </xf>
    <xf numFmtId="204" fontId="0" fillId="0" borderId="7" xfId="0" applyNumberFormat="1" applyBorder="1" applyAlignment="1">
      <alignment horizontal="right"/>
    </xf>
    <xf numFmtId="204" fontId="0" fillId="0" borderId="9" xfId="0" applyNumberFormat="1" applyBorder="1" applyAlignment="1">
      <alignment horizontal="right"/>
    </xf>
    <xf numFmtId="204" fontId="2" fillId="23" borderId="62" xfId="0" applyNumberFormat="1" applyFont="1" applyFill="1" applyBorder="1" applyAlignment="1">
      <alignment horizontal="right"/>
    </xf>
    <xf numFmtId="204" fontId="0" fillId="0" borderId="66" xfId="0" applyNumberFormat="1" applyBorder="1" applyAlignment="1">
      <alignment horizontal="right"/>
    </xf>
    <xf numFmtId="204" fontId="0" fillId="0" borderId="67" xfId="0" applyNumberFormat="1" applyBorder="1" applyAlignment="1">
      <alignment horizontal="right"/>
    </xf>
    <xf numFmtId="204" fontId="0" fillId="0" borderId="68" xfId="0" applyNumberFormat="1" applyBorder="1" applyAlignment="1">
      <alignment horizontal="right"/>
    </xf>
    <xf numFmtId="9" fontId="0" fillId="0" borderId="0" xfId="19" applyFont="1"/>
    <xf numFmtId="9" fontId="39" fillId="0" borderId="0" xfId="19" applyFont="1"/>
    <xf numFmtId="10" fontId="40" fillId="3" borderId="0" xfId="0" applyNumberFormat="1" applyFont="1" applyFill="1" applyAlignment="1">
      <alignment horizontal="center"/>
    </xf>
    <xf numFmtId="10" fontId="40" fillId="3" borderId="25" xfId="0" applyNumberFormat="1" applyFont="1" applyFill="1" applyBorder="1" applyAlignment="1">
      <alignment horizontal="center"/>
    </xf>
    <xf numFmtId="0" fontId="2" fillId="7" borderId="0" xfId="0" applyFont="1" applyFill="1"/>
    <xf numFmtId="0" fontId="2" fillId="7" borderId="7" xfId="0" applyFont="1" applyFill="1" applyBorder="1"/>
    <xf numFmtId="0" fontId="36" fillId="22" borderId="0" xfId="0" applyFont="1" applyFill="1" applyAlignment="1">
      <alignment horizontal="center"/>
    </xf>
    <xf numFmtId="0" fontId="37" fillId="0" borderId="18" xfId="0" applyFont="1" applyBorder="1" applyAlignment="1">
      <alignment horizontal="center"/>
    </xf>
    <xf numFmtId="0" fontId="35" fillId="19" borderId="69" xfId="0" applyFont="1" applyFill="1" applyBorder="1" applyAlignment="1">
      <alignment horizontal="center"/>
    </xf>
    <xf numFmtId="0" fontId="35" fillId="19" borderId="70" xfId="0" applyFont="1" applyFill="1" applyBorder="1" applyAlignment="1">
      <alignment horizontal="center"/>
    </xf>
    <xf numFmtId="176" fontId="34" fillId="0" borderId="22" xfId="18" applyNumberFormat="1" applyFont="1" applyFill="1" applyBorder="1"/>
    <xf numFmtId="172" fontId="0" fillId="0" borderId="52" xfId="18" applyNumberFormat="1" applyFont="1" applyBorder="1" applyAlignment="1">
      <alignment horizontal="center"/>
    </xf>
    <xf numFmtId="176" fontId="0" fillId="0" borderId="30" xfId="18" applyNumberFormat="1" applyFont="1" applyBorder="1" applyAlignment="1">
      <alignment horizontal="center"/>
    </xf>
    <xf numFmtId="170" fontId="0" fillId="0" borderId="23" xfId="18" applyNumberFormat="1" applyFont="1" applyBorder="1" applyAlignment="1">
      <alignment horizontal="center"/>
    </xf>
    <xf numFmtId="170" fontId="0" fillId="0" borderId="71" xfId="18" applyNumberFormat="1" applyFont="1" applyBorder="1" applyAlignment="1">
      <alignment horizontal="center"/>
    </xf>
    <xf numFmtId="176" fontId="34" fillId="0" borderId="19" xfId="18" applyNumberFormat="1" applyFont="1" applyFill="1" applyBorder="1"/>
    <xf numFmtId="172" fontId="0" fillId="0" borderId="52" xfId="18" applyNumberFormat="1" applyFont="1" applyFill="1" applyBorder="1" applyAlignment="1">
      <alignment horizontal="center"/>
    </xf>
    <xf numFmtId="176" fontId="0" fillId="0" borderId="52" xfId="18" applyNumberFormat="1" applyFont="1" applyFill="1" applyBorder="1" applyAlignment="1">
      <alignment horizontal="center"/>
    </xf>
    <xf numFmtId="176" fontId="0" fillId="0" borderId="30" xfId="18" applyNumberFormat="1" applyFont="1" applyFill="1" applyBorder="1" applyAlignment="1">
      <alignment horizontal="center"/>
    </xf>
    <xf numFmtId="176" fontId="0" fillId="0" borderId="23" xfId="18" applyNumberFormat="1" applyFont="1" applyBorder="1" applyAlignment="1">
      <alignment horizontal="center"/>
    </xf>
    <xf numFmtId="176" fontId="0" fillId="0" borderId="52" xfId="18" applyNumberFormat="1" applyFont="1" applyBorder="1" applyAlignment="1">
      <alignment horizontal="center"/>
    </xf>
    <xf numFmtId="43" fontId="0" fillId="0" borderId="71" xfId="18" applyFont="1" applyBorder="1" applyAlignment="1">
      <alignment horizontal="center"/>
    </xf>
    <xf numFmtId="176" fontId="34" fillId="0" borderId="49" xfId="18" applyNumberFormat="1" applyFont="1" applyFill="1" applyBorder="1"/>
    <xf numFmtId="176" fontId="0" fillId="0" borderId="61" xfId="18" applyNumberFormat="1" applyFont="1" applyBorder="1" applyAlignment="1">
      <alignment horizontal="center"/>
    </xf>
    <xf numFmtId="202" fontId="2" fillId="21" borderId="17" xfId="0" applyNumberFormat="1" applyFont="1" applyFill="1" applyBorder="1" applyAlignment="1">
      <alignment horizontal="right"/>
    </xf>
    <xf numFmtId="0" fontId="16" fillId="0" borderId="16" xfId="17" applyBorder="1" applyAlignment="1">
      <alignment horizontal="center"/>
    </xf>
    <xf numFmtId="0" fontId="16" fillId="23" borderId="14" xfId="17" applyFill="1" applyBorder="1" applyAlignment="1">
      <alignment horizontal="center"/>
    </xf>
    <xf numFmtId="172" fontId="18" fillId="4" borderId="7" xfId="0" applyNumberFormat="1" applyFont="1" applyFill="1" applyBorder="1"/>
    <xf numFmtId="172" fontId="24" fillId="0" borderId="6" xfId="0" applyNumberFormat="1" applyFont="1" applyBorder="1"/>
    <xf numFmtId="172" fontId="0" fillId="0" borderId="15" xfId="0" applyNumberFormat="1" applyBorder="1"/>
    <xf numFmtId="172" fontId="0" fillId="0" borderId="14" xfId="0" applyNumberFormat="1" applyBorder="1"/>
    <xf numFmtId="172" fontId="18" fillId="4" borderId="6" xfId="0" applyNumberFormat="1" applyFont="1" applyFill="1" applyBorder="1"/>
    <xf numFmtId="172" fontId="0" fillId="4" borderId="0" xfId="0" applyNumberFormat="1" applyFill="1"/>
    <xf numFmtId="172" fontId="0" fillId="4" borderId="7" xfId="0" applyNumberFormat="1" applyFill="1" applyBorder="1"/>
    <xf numFmtId="172" fontId="0" fillId="0" borderId="13" xfId="0" applyNumberFormat="1" applyBorder="1"/>
    <xf numFmtId="172" fontId="24" fillId="0" borderId="0" xfId="0" applyNumberFormat="1" applyFont="1"/>
    <xf numFmtId="172" fontId="18" fillId="0" borderId="0" xfId="0" applyNumberFormat="1" applyFont="1"/>
    <xf numFmtId="172" fontId="24" fillId="0" borderId="7" xfId="0" applyNumberFormat="1" applyFont="1" applyBorder="1"/>
    <xf numFmtId="170" fontId="0" fillId="0" borderId="72" xfId="18" applyNumberFormat="1" applyFont="1" applyBorder="1" applyAlignment="1">
      <alignment horizontal="center"/>
    </xf>
    <xf numFmtId="170" fontId="0" fillId="0" borderId="73" xfId="18" applyNumberFormat="1" applyFont="1" applyBorder="1" applyAlignment="1">
      <alignment horizontal="center"/>
    </xf>
    <xf numFmtId="172" fontId="0" fillId="0" borderId="53" xfId="18" applyNumberFormat="1" applyFont="1" applyBorder="1" applyAlignment="1">
      <alignment horizontal="center"/>
    </xf>
    <xf numFmtId="0" fontId="16" fillId="0" borderId="15" xfId="17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8" fillId="9" borderId="11" xfId="0" applyFont="1" applyFill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2" fillId="9" borderId="11" xfId="0" applyFont="1" applyFill="1" applyBorder="1" applyAlignment="1">
      <alignment horizontal="left"/>
    </xf>
    <xf numFmtId="0" fontId="18" fillId="9" borderId="12" xfId="0" applyFont="1" applyFill="1" applyBorder="1" applyAlignment="1">
      <alignment horizontal="left" vertical="center" wrapText="1"/>
    </xf>
    <xf numFmtId="189" fontId="0" fillId="0" borderId="0" xfId="19" applyNumberFormat="1" applyFont="1"/>
    <xf numFmtId="187" fontId="2" fillId="0" borderId="43" xfId="19" applyNumberFormat="1" applyFont="1" applyBorder="1"/>
    <xf numFmtId="0" fontId="0" fillId="3" borderId="4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0" fontId="11" fillId="0" borderId="4" xfId="1" applyFont="1" applyBorder="1" applyAlignment="1">
      <alignment horizontal="left" vertical="top"/>
    </xf>
    <xf numFmtId="0" fontId="11" fillId="0" borderId="16" xfId="1" applyFont="1" applyBorder="1" applyAlignment="1">
      <alignment horizontal="left" vertical="top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horizontal="left" vertical="top"/>
    </xf>
    <xf numFmtId="0" fontId="11" fillId="0" borderId="0" xfId="1" applyFont="1" applyAlignment="1">
      <alignment horizontal="left" vertical="top"/>
    </xf>
    <xf numFmtId="0" fontId="11" fillId="0" borderId="7" xfId="1" applyFont="1" applyBorder="1" applyAlignment="1">
      <alignment horizontal="left" vertical="top"/>
    </xf>
    <xf numFmtId="0" fontId="11" fillId="0" borderId="8" xfId="1" applyFont="1" applyBorder="1" applyAlignment="1">
      <alignment horizontal="left" vertical="top"/>
    </xf>
    <xf numFmtId="0" fontId="11" fillId="0" borderId="17" xfId="1" applyFont="1" applyBorder="1" applyAlignment="1">
      <alignment horizontal="left" vertical="top"/>
    </xf>
    <xf numFmtId="0" fontId="11" fillId="0" borderId="9" xfId="1" applyFont="1" applyBorder="1" applyAlignment="1">
      <alignment horizontal="left" vertical="top"/>
    </xf>
  </cellXfs>
  <cellStyles count="49">
    <cellStyle name="Comma" xfId="18" builtinId="3"/>
    <cellStyle name="Comma [0] 2" xfId="16" xr:uid="{EC5D37F8-E8EA-4FB2-BE5B-58F1D992D922}"/>
    <cellStyle name="Comma [0] 3" xfId="25" xr:uid="{735A94B4-8949-4101-8457-CC0B7343C28A}"/>
    <cellStyle name="Comma 10" xfId="40" xr:uid="{DA7E71AD-022A-4C85-ADB9-8170AAC11B53}"/>
    <cellStyle name="Comma 2" xfId="4" xr:uid="{C4B90959-EB13-474A-BD0F-19587672A1F5}"/>
    <cellStyle name="Comma 3" xfId="15" xr:uid="{CEC3980B-17B8-44C6-99E1-C4341746093F}"/>
    <cellStyle name="Comma 4" xfId="24" xr:uid="{E99E0DC6-629E-4B14-948A-0FA249B1AA88}"/>
    <cellStyle name="Comma 5" xfId="27" xr:uid="{ECA883E2-34F1-4D68-B1F1-051B3D83381F}"/>
    <cellStyle name="Comma 6" xfId="29" xr:uid="{C6B6AB1D-9D81-4C18-89AB-6E9C752375B2}"/>
    <cellStyle name="Comma 7" xfId="31" xr:uid="{D92D3A36-496B-43CE-9257-86066358F67D}"/>
    <cellStyle name="Comma 8" xfId="34" xr:uid="{006C2A0B-9534-4946-9AC6-AF167422C446}"/>
    <cellStyle name="Comma 9" xfId="35" xr:uid="{34A20D97-607F-4B70-A416-BE12591D9204}"/>
    <cellStyle name="Currency" xfId="20" builtinId="4"/>
    <cellStyle name="Currency [0] 2" xfId="14" xr:uid="{F7C10D1D-5DAF-4B4E-91CD-C15D6D01DACF}"/>
    <cellStyle name="Currency [0] 3" xfId="23" xr:uid="{7E583016-5EFC-491D-9482-1E200D4A5FEF}"/>
    <cellStyle name="Currency 10" xfId="39" xr:uid="{C277C2F5-07E3-4C5F-97B7-4406BD0F6593}"/>
    <cellStyle name="Currency 2" xfId="9" xr:uid="{B8EAF242-CD68-4FD8-91CB-17F65E30A645}"/>
    <cellStyle name="Currency 3" xfId="13" xr:uid="{444AA0F1-125D-45E7-9AA6-29CA6AD9FC69}"/>
    <cellStyle name="Currency 4" xfId="22" xr:uid="{7795608A-2C71-4159-8382-C6404EE067BE}"/>
    <cellStyle name="Currency 5" xfId="26" xr:uid="{36EFB0E5-76FA-4507-BB18-0BB36293E271}"/>
    <cellStyle name="Currency 6" xfId="28" xr:uid="{BB2EFAC2-23D2-4801-8C5C-9DC9BF6A589C}"/>
    <cellStyle name="Currency 7" xfId="30" xr:uid="{53D82B2F-D3DF-4359-94A6-6A6EFCB3CF14}"/>
    <cellStyle name="Currency 8" xfId="32" xr:uid="{EA03D784-6206-4F77-A11D-B2475DD21D50}"/>
    <cellStyle name="Currency 9" xfId="33" xr:uid="{1AE1B299-B83E-45B8-80B9-4F8AFAA8C8DA}"/>
    <cellStyle name="Hyperlink" xfId="17" xr:uid="{F257AC5B-70CE-46A5-B9C0-648471E64661}"/>
    <cellStyle name="Norm ($0)" xfId="46" xr:uid="{BF2541F4-4253-409B-9F46-B62EEBC25D89}"/>
    <cellStyle name="Norm (0)" xfId="41" xr:uid="{440CFE21-8592-4610-905E-6DE64E2555F7}"/>
    <cellStyle name="Norm (0.0)" xfId="45" xr:uid="{86AB1D7B-98D9-4AA2-9F10-CD7F96295714}"/>
    <cellStyle name="Norm (MMM-YY)" xfId="47" xr:uid="{A5B56750-F4A5-472A-B32B-F6522BA32B78}"/>
    <cellStyle name="Norm (months)" xfId="48" xr:uid="{A8CF347E-8F18-4055-81AC-59E2F4F0CC5A}"/>
    <cellStyle name="Norm (sf)" xfId="43" xr:uid="{85DBD5D1-8797-4C23-86C7-62F023E6B500}"/>
    <cellStyle name="Norm (Studio)" xfId="44" xr:uid="{96C84AF3-DDDF-4DA4-ACB3-C15A21893213}"/>
    <cellStyle name="Norm (text)" xfId="42" xr:uid="{31B57982-294A-4BE4-9ACA-944AD81E5FD4}"/>
    <cellStyle name="Normal" xfId="0" builtinId="0"/>
    <cellStyle name="Normal 2" xfId="1" xr:uid="{B8395493-4A2D-4B65-A91B-4143E5717634}"/>
    <cellStyle name="Normal 3" xfId="11" xr:uid="{345164A7-2BD1-4979-9296-C21D0E4C2769}"/>
    <cellStyle name="Normal 4" xfId="36" xr:uid="{C3D8FD19-C3A5-4A01-9007-2C66DD3A08A5}"/>
    <cellStyle name="Normal 5" xfId="37" xr:uid="{BE1928E2-C5D1-4CDE-A188-495FD84B17CC}"/>
    <cellStyle name="Normal 6" xfId="38" xr:uid="{E647C2EB-8134-4E41-AD84-47D135BCAB04}"/>
    <cellStyle name="Normal 64" xfId="5" xr:uid="{C73A484F-7C65-462C-AE5B-166ED3583A97}"/>
    <cellStyle name="Normal 66" xfId="2" xr:uid="{903C8D60-4B92-4071-A3C8-11C8D436D191}"/>
    <cellStyle name="Normal 67" xfId="3" xr:uid="{1D13D704-C508-4B98-B746-6F096D5EC8B9}"/>
    <cellStyle name="Normal 69" xfId="6" xr:uid="{8C646D48-DCE3-46BA-895F-1C62130D0C5C}"/>
    <cellStyle name="Normal 70" xfId="7" xr:uid="{A435D8D0-9BC0-4EA8-9A71-FD2BC06A313E}"/>
    <cellStyle name="Normal 73" xfId="8" xr:uid="{B91E4D24-C01B-4EC4-A30F-2FFC6AC9867C}"/>
    <cellStyle name="Percent" xfId="19" builtinId="5"/>
    <cellStyle name="Percent 2" xfId="10" xr:uid="{875A7880-16D0-4106-9D85-9764F9B4774F}"/>
    <cellStyle name="Percent 3" xfId="12" xr:uid="{F307AD15-384F-4ADF-901B-2FFFB5BBF0C3}"/>
    <cellStyle name="Percent 4" xfId="21" xr:uid="{5C94C5D1-2086-48BE-8F1A-B3B3A652214A}"/>
  </cellStyles>
  <dxfs count="4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 patternType="solid">
          <bgColor theme="6" tint="0.59996337778862885"/>
        </patternFill>
      </fill>
      <border>
        <top style="thin">
          <color auto="1"/>
        </top>
        <vertical/>
        <horizontal/>
      </border>
    </dxf>
    <dxf>
      <font>
        <b/>
        <i val="0"/>
      </font>
      <border>
        <left/>
        <right/>
        <top style="thin">
          <color auto="1"/>
        </top>
        <bottom/>
        <vertical/>
        <horizontal/>
      </border>
    </dxf>
    <dxf>
      <font>
        <b/>
        <i val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rgb="FFFF0000"/>
        </patternFill>
      </fill>
      <border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00EA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2100EA"/>
      <color rgb="FF1306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 Comps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Comp'!$N$29</c:f>
              <c:strCache>
                <c:ptCount val="1"/>
                <c:pt idx="0">
                  <c:v>Avg Rent of Comps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Comp'!$P$28:$S$28</c:f>
              <c:strCache>
                <c:ptCount val="2"/>
                <c:pt idx="0">
                  <c:v>1 Beds</c:v>
                </c:pt>
                <c:pt idx="1">
                  <c:v>Sqft</c:v>
                </c:pt>
              </c:strCache>
            </c:strRef>
          </c:cat>
          <c:val>
            <c:numRef>
              <c:f>'Rent Comp'!$P$29:$S$29</c:f>
              <c:numCache>
                <c:formatCode>_(* #,##0_);_(* \(#,##0\);_(* "-"??_);_(@_)</c:formatCode>
                <c:ptCount val="2"/>
                <c:pt idx="0" formatCode="&quot;$&quot;#,##0">
                  <c:v>1646</c:v>
                </c:pt>
                <c:pt idx="1">
                  <c:v>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D-49DB-8D3C-8D0CF507E9CC}"/>
            </c:ext>
          </c:extLst>
        </c:ser>
        <c:ser>
          <c:idx val="1"/>
          <c:order val="1"/>
          <c:tx>
            <c:strRef>
              <c:f>'Rent Comp'!$N$30</c:f>
              <c:strCache>
                <c:ptCount val="1"/>
                <c:pt idx="0">
                  <c:v>Subject Prop 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Comp'!$P$28:$S$28</c:f>
              <c:strCache>
                <c:ptCount val="2"/>
                <c:pt idx="0">
                  <c:v>1 Beds</c:v>
                </c:pt>
                <c:pt idx="1">
                  <c:v>Sqft</c:v>
                </c:pt>
              </c:strCache>
            </c:strRef>
          </c:cat>
          <c:val>
            <c:numRef>
              <c:f>'Rent Comp'!$P$30:$S$30</c:f>
              <c:numCache>
                <c:formatCode>_(* #,##0_);_(* \(#,##0\);_(* "-"??_);_(@_)</c:formatCode>
                <c:ptCount val="2"/>
                <c:pt idx="0" formatCode="&quot;$&quot;#,##0">
                  <c:v>1568.6399999999999</c:v>
                </c:pt>
                <c:pt idx="1">
                  <c:v>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D-49DB-8D3C-8D0CF507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153168"/>
        <c:axId val="1632151248"/>
      </c:barChart>
      <c:catAx>
        <c:axId val="16321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1248"/>
        <c:crosses val="autoZero"/>
        <c:auto val="1"/>
        <c:lblAlgn val="ctr"/>
        <c:lblOffset val="100"/>
        <c:noMultiLvlLbl val="0"/>
      </c:catAx>
      <c:valAx>
        <c:axId val="16321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145473</xdr:colOff>
      <xdr:row>27</xdr:row>
      <xdr:rowOff>46759</xdr:rowOff>
    </xdr:from>
    <xdr:to>
      <xdr:col>9</xdr:col>
      <xdr:colOff>361604</xdr:colOff>
      <xdr:row>42</xdr:row>
      <xdr:rowOff>39139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C9487-E9F8-4BB2-8A14-2574FAD2F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119743</xdr:colOff>
      <xdr:row>0</xdr:row>
      <xdr:rowOff>0</xdr:rowOff>
    </xdr:from>
    <xdr:to>
      <xdr:col>57</xdr:col>
      <xdr:colOff>436321</xdr:colOff>
      <xdr:row>37</xdr:row>
      <xdr:rowOff>63709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ECFD2EDC-93BF-6373-4B41-9471956F4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65486" y="0"/>
          <a:ext cx="15499338" cy="66970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yome/Google%20Drive/Yome%20Exclusive/Training%20Module/Multifamily-development/_Dvmt%20Model_Template_%202018.08.28.xlsx" TargetMode="External"/><Relationship Id="rId1" Type="http://schemas.openxmlformats.org/officeDocument/2006/relationships/externalLinkPath" Target="/Users/yome/Google%20Drive/Yome%20Exclusive/Training%20Module/Multifamily-development/_Dvmt%20Model_Template_%202018.08.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  <sheetName val="Apt CF"/>
      <sheetName val="JV Summary"/>
      <sheetName val="JV Analysis"/>
      <sheetName val="Tot Sblz Prof"/>
      <sheetName val="Lease Up"/>
      <sheetName val="Rents"/>
      <sheetName val="Quick Comps"/>
      <sheetName val="Payroll"/>
      <sheetName val=" S&amp;U Full"/>
      <sheetName val="S&amp;U Summary"/>
      <sheetName val="Constr Budget"/>
      <sheetName val="Perm Loan"/>
      <sheetName val="Construction Loan"/>
      <sheetName val="CF Summary"/>
      <sheetName val="Total CF"/>
      <sheetName val="Rent Build Apts"/>
      <sheetName val="Rent Build Retail"/>
      <sheetName val="S&amp;U Schedule"/>
      <sheetName val="Promote"/>
      <sheetName val="Apts Stbz Prof"/>
      <sheetName val="Retail Sblz Prof"/>
      <sheetName val="Retail CF"/>
      <sheetName val="Invest Sum"/>
      <sheetName val="JV CF w prefs"/>
      <sheetName val="Ground Lease"/>
      <sheetName val="Issues"/>
      <sheetName val="Tax Credits"/>
      <sheetName val="VHDA SU"/>
      <sheetName val="VHDA Scoring"/>
      <sheetName val="Garden Cost Per Unit Parameter"/>
      <sheetName val="Garden Cred Per Unit Parameters"/>
      <sheetName val="EUR"/>
    </sheetNames>
    <sheetDataSet>
      <sheetData sheetId="0">
        <row r="10">
          <cell r="C10" t="str">
            <v>HUD</v>
          </cell>
        </row>
      </sheetData>
      <sheetData sheetId="1"/>
      <sheetData sheetId="2">
        <row r="27">
          <cell r="C27">
            <v>5977399.9979786193</v>
          </cell>
        </row>
      </sheetData>
      <sheetData sheetId="3"/>
      <sheetData sheetId="4"/>
      <sheetData sheetId="5"/>
      <sheetData sheetId="6">
        <row r="12">
          <cell r="L12">
            <v>328371.875</v>
          </cell>
        </row>
        <row r="51">
          <cell r="C51">
            <v>249.99999999999997</v>
          </cell>
        </row>
      </sheetData>
      <sheetData sheetId="7"/>
      <sheetData sheetId="8"/>
      <sheetData sheetId="9">
        <row r="17">
          <cell r="C17">
            <v>977399.99797862023</v>
          </cell>
        </row>
      </sheetData>
      <sheetData sheetId="10">
        <row r="40">
          <cell r="D40">
            <v>38685982.683927536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9.445151504631" createdVersion="7" refreshedVersion="8" minRefreshableVersion="3" recordCount="1000" xr:uid="{23C19B38-DAF5-4E9E-85D2-15AB31371807}">
  <cacheSource type="worksheet">
    <worksheetSource name="Table1"/>
  </cacheSource>
  <cacheFields count="7">
    <cacheField name="Unit" numFmtId="0">
      <sharedItems containsBlank="1"/>
    </cacheField>
    <cacheField name="Unit Type" numFmtId="0">
      <sharedItems containsBlank="1" count="125">
        <s v="Seaglass - 3"/>
        <s v="Surfside - 1"/>
        <s v="Driftwood - 2"/>
        <s v="Driftwood - 2ADA"/>
        <s v="Surfside - 1ADA"/>
        <s v="Shoreline - 4"/>
        <s v="Lighthouse - 5"/>
        <s v="Ocean Breeze - End Unit"/>
        <s v="Beach Haven In-line Unit"/>
        <m/>
        <s v="E1" u="1"/>
        <s v="B1" u="1"/>
        <s v="B1-L2" u="1"/>
        <s v="E1-L2" u="1"/>
        <s v="A1-L2" u="1"/>
        <s v="A1" u="1"/>
        <s v="C1" u="1"/>
        <s v="C1-L2" u="1"/>
        <s v="B2FR" u="1"/>
        <s v="B2Puz" u="1"/>
        <s v="B2NEW" u="1"/>
        <s v="B2uz" u="1"/>
        <s v="B3uz" u="1"/>
        <s v="B3FR" u="1"/>
        <s v="B3Puz" u="1"/>
        <s v="B3Uuz" u="1"/>
        <s v="A1FR" u="1"/>
        <s v="A1Uuz" u="1"/>
        <s v="A1uz" u="1"/>
        <s v="B1Puz" u="1"/>
        <s v="B1uz" u="1"/>
        <s v="B1FR" u="1"/>
        <s v="A1Puz" u="1"/>
        <s v="C1FR" u="1"/>
        <s v="C1Puz" u="1"/>
        <s v="C1uz" u="1"/>
        <s v="T1" u="1"/>
        <s v="S2ES" u="1"/>
        <s v="S2M" u="1"/>
        <s v="S4" u="1"/>
        <s v="T" u="1"/>
        <s v="S2EF" u="1"/>
        <s v="S3" u="1"/>
        <s v="S5" u="1"/>
        <s v="B1s" u="1"/>
        <s v="B1a" u="1"/>
        <s v="C1a" u="1"/>
        <s v="B2" u="1"/>
        <s v="A2" u="1"/>
        <s v="A2a" u="1"/>
        <s v="S1" u="1"/>
        <s v="339-2ar" u="1"/>
        <s v="339-1ar" u="1"/>
        <s v="339-2a" u="1"/>
        <s v="339-1a" u="1"/>
        <s v="339-1br" u="1"/>
        <s v="339-21ar" u="1"/>
        <s v="339-21a" u="1"/>
        <s v="339-1b" u="1"/>
        <s v="339-21b" u="1"/>
        <s v="339-2br" u="1"/>
        <s v="339-21br" u="1"/>
        <s v="339-3ar" u="1"/>
        <s v="339-3a" u="1"/>
        <s v="339-2b" u="1"/>
        <s v="1/1.00" u="1"/>
        <s v="1/1.00R" u="1"/>
        <s v="1/1.00PR" u="1"/>
        <s v="2/1.00" u="1"/>
        <s v="2/1.00R" u="1"/>
        <s v="hv-2x2" u="1"/>
        <s v="hv-2x2R" u="1"/>
        <s v="Lula-A2" u="1"/>
        <s v="Cumberland-B1.1" u="1"/>
        <s v="Cloudland-A1-ADA" u="1"/>
        <s v="Craven-A1" u="1"/>
        <s v="A2- PILOT" u="1"/>
        <s v="Coolidge-B1-ADA" u="1"/>
        <s v="Nickajack-A3" u="1"/>
        <s v="A1-ADA-PILOT" u="1"/>
        <s v="A1-PILOT" u="1"/>
        <s v="Chickamauga-B1.2" u="1"/>
        <s v="Foster-B2" u="1"/>
        <s v="A3-PILOT" u="1"/>
        <s v="Lula - A2*" u="1"/>
        <s v="Cumberland- B1.1*" u="1"/>
        <s v="Craven - A1* " u="1"/>
        <s v="Coolidge-B1- ADA*" u="1"/>
        <s v="Nickajack- A3*" u="1"/>
        <s v="Foster- B2*" u="1"/>
        <s v="Lula - A2" u="1"/>
        <s v="Cumberland-B1.1*" u="1"/>
        <s v="Coolidge-B1-ADA*" u="1"/>
        <s v="Nickajack-A3*" u="1"/>
        <s v="Foster-B2*" u="1"/>
        <s v="1-1WD" u="1"/>
        <s v="1-1A" u="1"/>
        <s v="2-2" u="1"/>
        <s v="2-1" u="1"/>
        <s v="1-1B" u="1"/>
        <s v="2x2" u="1"/>
        <s v="1A Classic" u="1"/>
        <s v="1A Upgraded" u="1"/>
        <s v="1A Renovated" u="1"/>
        <s v="2A Renovated" u="1"/>
        <s v="2A Classic" u="1"/>
        <s v="2A Upgraded" u="1"/>
        <s v="2B Upgraded" u="1"/>
        <s v="2B Classic" u="1"/>
        <s v="2B Renovated" u="1"/>
        <s v="790A2C" u="1"/>
        <s v="790B1C" u="1"/>
        <s v="1B/1BLWD" u="1"/>
        <s v="790A1C" u="1"/>
        <s v="1B/1BMWD" u="1"/>
        <s v="2B/2BWD" u="1"/>
        <s v="2B/1BWD" u="1"/>
        <s v="790A2P" u="1"/>
        <s v="1B/1B Elegante" u="1"/>
        <s v="1B/1BL" u="1"/>
        <s v="790B1P" u="1"/>
        <s v="1B/1BM" u="1"/>
        <s v="2B/2B" u="1"/>
        <s v="790A1P" u="1"/>
        <s v="2B/1B" u="1"/>
      </sharedItems>
    </cacheField>
    <cacheField name="Sq Ft" numFmtId="0">
      <sharedItems containsString="0" containsBlank="1" containsNumber="1" containsInteger="1" minValue="745" maxValue="1417"/>
    </cacheField>
    <cacheField name="Tenant Name" numFmtId="0">
      <sharedItems containsBlank="1"/>
    </cacheField>
    <cacheField name="Market Rent" numFmtId="0">
      <sharedItems containsString="0" containsBlank="1" containsNumber="1" containsInteger="1" minValue="1365" maxValue="2870"/>
    </cacheField>
    <cacheField name="Lease Rent" numFmtId="0">
      <sharedItems containsString="0" containsBlank="1" containsNumber="1" containsInteger="1" minValue="0" maxValue="2870"/>
    </cacheField>
    <cacheField name="Occupa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0"/>
    <x v="0"/>
    <n v="1000"/>
    <s v="Vacant Unit"/>
    <n v="1895"/>
    <n v="0"/>
    <s v=""/>
  </r>
  <r>
    <s v="101"/>
    <x v="0"/>
    <n v="1000"/>
    <s v="Vacant Unit"/>
    <n v="1895"/>
    <n v="0"/>
    <s v=""/>
  </r>
  <r>
    <s v="102"/>
    <x v="1"/>
    <n v="745"/>
    <s v="Vacant Unit"/>
    <n v="1540"/>
    <n v="0"/>
    <s v=""/>
  </r>
  <r>
    <s v="103"/>
    <x v="1"/>
    <n v="745"/>
    <s v="Vacant Unit"/>
    <n v="1540"/>
    <n v="0"/>
    <s v=""/>
  </r>
  <r>
    <s v="104"/>
    <x v="1"/>
    <n v="745"/>
    <s v="Vacant Unit"/>
    <n v="1540"/>
    <n v="0"/>
    <s v=""/>
  </r>
  <r>
    <s v="105"/>
    <x v="1"/>
    <n v="745"/>
    <s v="Vacant Unit"/>
    <n v="1540"/>
    <n v="0"/>
    <s v=""/>
  </r>
  <r>
    <s v="106"/>
    <x v="1"/>
    <n v="745"/>
    <s v="Vacant Unit"/>
    <n v="1540"/>
    <n v="0"/>
    <s v=""/>
  </r>
  <r>
    <s v="107"/>
    <x v="1"/>
    <n v="745"/>
    <s v="Vacant Unit"/>
    <n v="1540"/>
    <n v="0"/>
    <s v=""/>
  </r>
  <r>
    <s v="108"/>
    <x v="2"/>
    <n v="995"/>
    <s v="Vacant Unit"/>
    <n v="1675"/>
    <n v="0"/>
    <s v=""/>
  </r>
  <r>
    <s v="109"/>
    <x v="3"/>
    <n v="995"/>
    <s v="Vacant Unit"/>
    <n v="1675"/>
    <n v="0"/>
    <s v=""/>
  </r>
  <r>
    <s v="110"/>
    <x v="4"/>
    <n v="745"/>
    <s v="Vacant Unit"/>
    <n v="1540"/>
    <n v="0"/>
    <s v=""/>
  </r>
  <r>
    <s v="111"/>
    <x v="1"/>
    <n v="745"/>
    <s v="Vacant Unit"/>
    <n v="1540"/>
    <n v="0"/>
    <s v=""/>
  </r>
  <r>
    <s v="116"/>
    <x v="2"/>
    <n v="995"/>
    <s v="Brunswick Resources"/>
    <n v="2350"/>
    <n v="2350"/>
    <s v="Driftwood - 2"/>
  </r>
  <r>
    <s v="117"/>
    <x v="1"/>
    <n v="745"/>
    <s v="Vacant Unit"/>
    <n v="1540"/>
    <n v="0"/>
    <s v=""/>
  </r>
  <r>
    <s v="118"/>
    <x v="1"/>
    <n v="745"/>
    <s v="Vacant Unit"/>
    <n v="1540"/>
    <n v="0"/>
    <s v=""/>
  </r>
  <r>
    <s v="119"/>
    <x v="1"/>
    <n v="745"/>
    <s v="Vacant Unit"/>
    <n v="1540"/>
    <n v="0"/>
    <s v=""/>
  </r>
  <r>
    <s v="120"/>
    <x v="1"/>
    <n v="745"/>
    <s v="Vacant Unit"/>
    <n v="1540"/>
    <n v="0"/>
    <s v=""/>
  </r>
  <r>
    <s v="121"/>
    <x v="1"/>
    <n v="745"/>
    <s v="Vacant Unit"/>
    <n v="1540"/>
    <n v="0"/>
    <s v=""/>
  </r>
  <r>
    <s v="122"/>
    <x v="1"/>
    <n v="745"/>
    <s v="Grace Batchelor"/>
    <n v="2350"/>
    <n v="2350"/>
    <s v="Surfside - 1"/>
  </r>
  <r>
    <s v="123"/>
    <x v="1"/>
    <n v="745"/>
    <s v="Vacant Unit"/>
    <n v="1540"/>
    <n v="0"/>
    <s v=""/>
  </r>
  <r>
    <s v="124"/>
    <x v="0"/>
    <n v="1000"/>
    <s v="Vacant Unit"/>
    <n v="1895"/>
    <n v="0"/>
    <s v=""/>
  </r>
  <r>
    <s v="125"/>
    <x v="0"/>
    <n v="1000"/>
    <s v="Vacant Unit"/>
    <n v="1895"/>
    <n v="0"/>
    <s v=""/>
  </r>
  <r>
    <s v="200"/>
    <x v="0"/>
    <n v="1000"/>
    <s v="James Marchak"/>
    <n v="2025"/>
    <n v="2025"/>
    <s v="Seaglass - 3"/>
  </r>
  <r>
    <s v="201"/>
    <x v="0"/>
    <n v="1000"/>
    <s v="Vacant Unit"/>
    <n v="1895"/>
    <n v="0"/>
    <s v=""/>
  </r>
  <r>
    <s v="202"/>
    <x v="1"/>
    <n v="745"/>
    <s v="Vacant Unit"/>
    <n v="1540"/>
    <n v="0"/>
    <s v=""/>
  </r>
  <r>
    <s v="203"/>
    <x v="1"/>
    <n v="745"/>
    <s v="Vacant Unit"/>
    <n v="1540"/>
    <n v="0"/>
    <s v=""/>
  </r>
  <r>
    <s v="204"/>
    <x v="1"/>
    <n v="745"/>
    <s v="Vacant Unit"/>
    <n v="1540"/>
    <n v="0"/>
    <s v=""/>
  </r>
  <r>
    <s v="205"/>
    <x v="1"/>
    <n v="745"/>
    <s v="Vacant Unit"/>
    <n v="1540"/>
    <n v="0"/>
    <s v=""/>
  </r>
  <r>
    <s v="206"/>
    <x v="1"/>
    <n v="745"/>
    <s v="Vacant Unit"/>
    <n v="1540"/>
    <n v="0"/>
    <s v=""/>
  </r>
  <r>
    <s v="207"/>
    <x v="1"/>
    <n v="745"/>
    <s v="Vacant Unit"/>
    <n v="1540"/>
    <n v="0"/>
    <s v=""/>
  </r>
  <r>
    <s v="208"/>
    <x v="2"/>
    <n v="995"/>
    <s v="Sandra Macey"/>
    <n v="1525"/>
    <n v="1525"/>
    <s v="Driftwood - 2"/>
  </r>
  <r>
    <s v="209"/>
    <x v="2"/>
    <n v="995"/>
    <s v="Phillip Smith"/>
    <n v="1525"/>
    <n v="1525"/>
    <s v="Driftwood - 2"/>
  </r>
  <r>
    <s v="210"/>
    <x v="4"/>
    <n v="745"/>
    <s v="Vacant Unit"/>
    <n v="1540"/>
    <n v="0"/>
    <s v=""/>
  </r>
  <r>
    <s v="211"/>
    <x v="1"/>
    <n v="745"/>
    <s v="Vacant Unit"/>
    <n v="1540"/>
    <n v="0"/>
    <s v=""/>
  </r>
  <r>
    <s v="212"/>
    <x v="5"/>
    <n v="936"/>
    <s v="Vacant Unit"/>
    <n v="1650"/>
    <n v="0"/>
    <s v=""/>
  </r>
  <r>
    <s v="213"/>
    <x v="5"/>
    <n v="936"/>
    <s v="Vacant Unit"/>
    <n v="1650"/>
    <n v="0"/>
    <s v=""/>
  </r>
  <r>
    <s v="214"/>
    <x v="1"/>
    <n v="745"/>
    <s v="Vacant Unit"/>
    <n v="1540"/>
    <n v="0"/>
    <s v=""/>
  </r>
  <r>
    <s v="215"/>
    <x v="1"/>
    <n v="745"/>
    <s v="Julie Covert"/>
    <n v="2350"/>
    <n v="2350"/>
    <s v="Surfside - 1"/>
  </r>
  <r>
    <s v="216"/>
    <x v="2"/>
    <n v="995"/>
    <s v="Eulada Pitts"/>
    <n v="1525"/>
    <n v="1525"/>
    <s v="Driftwood - 2"/>
  </r>
  <r>
    <s v="217"/>
    <x v="2"/>
    <n v="995"/>
    <s v="Brunswick Resources"/>
    <n v="2350"/>
    <n v="2350"/>
    <s v="Driftwood - 2"/>
  </r>
  <r>
    <s v="218"/>
    <x v="1"/>
    <n v="745"/>
    <s v="Vacant Unit"/>
    <n v="1540"/>
    <n v="0"/>
    <s v=""/>
  </r>
  <r>
    <s v="219"/>
    <x v="1"/>
    <n v="745"/>
    <s v="Vacant Unit"/>
    <n v="1540"/>
    <n v="0"/>
    <s v=""/>
  </r>
  <r>
    <s v="220"/>
    <x v="1"/>
    <n v="745"/>
    <s v="Vacant Unit"/>
    <n v="1540"/>
    <n v="0"/>
    <s v=""/>
  </r>
  <r>
    <s v="221"/>
    <x v="1"/>
    <n v="745"/>
    <s v="Vacant Unit"/>
    <n v="1540"/>
    <n v="0"/>
    <s v=""/>
  </r>
  <r>
    <s v="222"/>
    <x v="1"/>
    <n v="745"/>
    <s v="Vacant Unit"/>
    <n v="1540"/>
    <n v="0"/>
    <s v=""/>
  </r>
  <r>
    <s v="223"/>
    <x v="1"/>
    <n v="745"/>
    <s v="Vacant Unit"/>
    <n v="1540"/>
    <n v="0"/>
    <s v=""/>
  </r>
  <r>
    <s v="224"/>
    <x v="0"/>
    <n v="1000"/>
    <s v="Vacant Unit"/>
    <n v="1895"/>
    <n v="0"/>
    <s v=""/>
  </r>
  <r>
    <s v="225"/>
    <x v="0"/>
    <n v="1000"/>
    <s v="Vacant Unit"/>
    <n v="1895"/>
    <n v="0"/>
    <s v=""/>
  </r>
  <r>
    <s v="300"/>
    <x v="0"/>
    <n v="1000"/>
    <s v="Vacant Unit"/>
    <n v="1895"/>
    <n v="0"/>
    <s v=""/>
  </r>
  <r>
    <s v="301"/>
    <x v="0"/>
    <n v="1000"/>
    <s v="Vacant Unit"/>
    <n v="1895"/>
    <n v="0"/>
    <s v=""/>
  </r>
  <r>
    <s v="302"/>
    <x v="1"/>
    <n v="745"/>
    <s v="Vacant Unit"/>
    <n v="1540"/>
    <n v="0"/>
    <s v=""/>
  </r>
  <r>
    <s v="303"/>
    <x v="1"/>
    <n v="745"/>
    <s v="Vacant Unit"/>
    <n v="1365"/>
    <n v="0"/>
    <s v=""/>
  </r>
  <r>
    <s v="304"/>
    <x v="1"/>
    <n v="745"/>
    <s v="Vacant Unit"/>
    <n v="1540"/>
    <n v="0"/>
    <s v=""/>
  </r>
  <r>
    <s v="305"/>
    <x v="1"/>
    <n v="745"/>
    <s v="Vacant Unit"/>
    <n v="1540"/>
    <n v="0"/>
    <s v=""/>
  </r>
  <r>
    <s v="306"/>
    <x v="1"/>
    <n v="745"/>
    <s v="Vacant Unit"/>
    <n v="1540"/>
    <n v="0"/>
    <s v=""/>
  </r>
  <r>
    <s v="307"/>
    <x v="1"/>
    <n v="745"/>
    <s v="Vacant Unit"/>
    <n v="1540"/>
    <n v="0"/>
    <s v=""/>
  </r>
  <r>
    <s v="308"/>
    <x v="2"/>
    <n v="995"/>
    <s v="Vacant Unit"/>
    <n v="1675"/>
    <n v="0"/>
    <s v=""/>
  </r>
  <r>
    <s v="309"/>
    <x v="2"/>
    <n v="995"/>
    <s v="Brunswick Resources"/>
    <n v="2350"/>
    <n v="2350"/>
    <s v="Driftwood - 2"/>
  </r>
  <r>
    <s v="310"/>
    <x v="4"/>
    <n v="745"/>
    <s v="Michelle Riddle"/>
    <n v="1540"/>
    <n v="1540"/>
    <s v="Surfside - 1ADA"/>
  </r>
  <r>
    <s v="311"/>
    <x v="1"/>
    <n v="745"/>
    <s v="Brunswick Resources"/>
    <n v="1702"/>
    <n v="1702"/>
    <s v="Surfside - 1"/>
  </r>
  <r>
    <s v="312"/>
    <x v="5"/>
    <n v="936"/>
    <s v="Vacant Unit"/>
    <n v="1650"/>
    <n v="0"/>
    <s v=""/>
  </r>
  <r>
    <s v="313"/>
    <x v="5"/>
    <n v="936"/>
    <s v="Vacant Unit"/>
    <n v="1650"/>
    <n v="0"/>
    <s v=""/>
  </r>
  <r>
    <s v="314"/>
    <x v="1"/>
    <n v="745"/>
    <s v="Vacant Unit"/>
    <n v="1540"/>
    <n v="0"/>
    <s v=""/>
  </r>
  <r>
    <s v="315"/>
    <x v="1"/>
    <n v="745"/>
    <s v="Vacant Unit"/>
    <n v="1540"/>
    <n v="0"/>
    <s v=""/>
  </r>
  <r>
    <s v="316"/>
    <x v="2"/>
    <n v="995"/>
    <s v="Vacant Unit"/>
    <n v="1675"/>
    <n v="0"/>
    <s v=""/>
  </r>
  <r>
    <s v="317"/>
    <x v="2"/>
    <n v="995"/>
    <s v="Vickie Mariniello"/>
    <n v="2350"/>
    <n v="2350"/>
    <s v="Driftwood - 2"/>
  </r>
  <r>
    <s v="318"/>
    <x v="6"/>
    <n v="1417"/>
    <s v="Vacant Unit"/>
    <n v="2350"/>
    <n v="0"/>
    <s v=""/>
  </r>
  <r>
    <s v="319"/>
    <x v="6"/>
    <n v="1417"/>
    <s v="Rick Hames"/>
    <n v="2870"/>
    <n v="2870"/>
    <s v="Lighthouse - 5"/>
  </r>
  <r>
    <s v="320"/>
    <x v="1"/>
    <n v="745"/>
    <s v="Cameron McMahon"/>
    <n v="1365"/>
    <n v="1365"/>
    <s v="Surfside - 1"/>
  </r>
  <r>
    <s v="321"/>
    <x v="1"/>
    <n v="745"/>
    <s v="Vacant Unit"/>
    <n v="1540"/>
    <n v="0"/>
    <s v=""/>
  </r>
  <r>
    <s v="322"/>
    <x v="0"/>
    <n v="1000"/>
    <s v="Dolores Vance, Andrew Vance"/>
    <n v="1895"/>
    <n v="1695"/>
    <s v="Seaglass - 3"/>
  </r>
  <r>
    <s v="323"/>
    <x v="0"/>
    <n v="1000"/>
    <s v="Vacant Unit"/>
    <n v="1895"/>
    <n v="0"/>
    <s v=""/>
  </r>
  <r>
    <s v="127-A"/>
    <x v="7"/>
    <n v="1210"/>
    <s v="Nancylou Mediavilla"/>
    <n v="2870"/>
    <n v="2870"/>
    <s v="Ocean Breeze - End Unit"/>
  </r>
  <r>
    <s v="127-B"/>
    <x v="8"/>
    <n v="1149"/>
    <s v="Vacant Unit"/>
    <n v="1915"/>
    <n v="0"/>
    <s v=""/>
  </r>
  <r>
    <s v="127-C"/>
    <x v="8"/>
    <n v="1149"/>
    <s v="Vacant Unit"/>
    <n v="1915"/>
    <n v="0"/>
    <s v=""/>
  </r>
  <r>
    <s v="127-D"/>
    <x v="7"/>
    <n v="1210"/>
    <s v="Walter Congleton"/>
    <n v="2870"/>
    <n v="2870"/>
    <s v="Ocean Breeze - End Unit"/>
  </r>
  <r>
    <s v="128-A"/>
    <x v="7"/>
    <n v="1210"/>
    <s v="Henry Judkins"/>
    <n v="2870"/>
    <n v="2870"/>
    <s v="Ocean Breeze - End Unit"/>
  </r>
  <r>
    <s v="128-B"/>
    <x v="8"/>
    <n v="1149"/>
    <s v="Brunswick Resources"/>
    <n v="2650"/>
    <n v="2650"/>
    <s v="Beach Haven In-line Unit"/>
  </r>
  <r>
    <s v="128-C"/>
    <x v="8"/>
    <n v="1149"/>
    <s v="Vacant Unit"/>
    <n v="1915"/>
    <n v="0"/>
    <s v=""/>
  </r>
  <r>
    <s v="128-D"/>
    <x v="7"/>
    <n v="1210"/>
    <s v="Brunswick Resources"/>
    <n v="2650"/>
    <n v="2650"/>
    <s v="Ocean Breeze - End Unit"/>
  </r>
  <r>
    <s v="156-A"/>
    <x v="7"/>
    <n v="1210"/>
    <s v="Doris Roberts"/>
    <n v="2870"/>
    <n v="2870"/>
    <s v="Ocean Breeze - End Unit"/>
  </r>
  <r>
    <s v="156-B"/>
    <x v="8"/>
    <n v="1149"/>
    <s v="Vacant Unit"/>
    <n v="1915"/>
    <n v="0"/>
    <s v=""/>
  </r>
  <r>
    <s v="156-C"/>
    <x v="8"/>
    <n v="1149"/>
    <s v="Brunswick Resources"/>
    <n v="2650"/>
    <n v="2650"/>
    <s v="Beach Haven In-line Unit"/>
  </r>
  <r>
    <s v="156-D"/>
    <x v="7"/>
    <n v="1210"/>
    <s v="Brunswick Resources"/>
    <n v="2870"/>
    <n v="2870"/>
    <s v="Ocean Breeze - End Unit"/>
  </r>
  <r>
    <s v="164-A"/>
    <x v="7"/>
    <n v="1210"/>
    <s v="John Stewart"/>
    <n v="2870"/>
    <n v="2870"/>
    <s v="Ocean Breeze - End Unit"/>
  </r>
  <r>
    <s v="164-B"/>
    <x v="8"/>
    <n v="1149"/>
    <s v="Vacant Unit"/>
    <n v="1915"/>
    <n v="0"/>
    <s v=""/>
  </r>
  <r>
    <s v="164-C"/>
    <x v="8"/>
    <n v="1149"/>
    <s v="Betty Hoy"/>
    <n v="2153"/>
    <n v="2153"/>
    <s v="Beach Haven In-line Unit"/>
  </r>
  <r>
    <s v="164-D"/>
    <x v="7"/>
    <n v="1210"/>
    <s v="Vacant Unit"/>
    <n v="2650"/>
    <n v="0"/>
    <s v=""/>
  </r>
  <r>
    <s v="165-A"/>
    <x v="7"/>
    <n v="1210"/>
    <s v="Donna Donohoe"/>
    <n v="2870"/>
    <n v="2870"/>
    <s v="Ocean Breeze - End Unit"/>
  </r>
  <r>
    <s v="165-B"/>
    <x v="8"/>
    <n v="1149"/>
    <s v="Vacant Unit"/>
    <n v="1915"/>
    <n v="0"/>
    <s v=""/>
  </r>
  <r>
    <s v="165-C"/>
    <x v="8"/>
    <n v="1149"/>
    <s v="Vacant Unit"/>
    <n v="1915"/>
    <n v="0"/>
    <s v=""/>
  </r>
  <r>
    <s v="165-D"/>
    <x v="8"/>
    <n v="1149"/>
    <s v="Vacant Unit"/>
    <n v="1915"/>
    <n v="0"/>
    <s v=""/>
  </r>
  <r>
    <s v="165-E"/>
    <x v="8"/>
    <n v="1149"/>
    <s v="Vacant Unit"/>
    <n v="1915"/>
    <n v="0"/>
    <s v=""/>
  </r>
  <r>
    <s v="165-F"/>
    <x v="7"/>
    <n v="1210"/>
    <s v="Vacant Unit"/>
    <n v="2650"/>
    <n v="0"/>
    <s v=""/>
  </r>
  <r>
    <s v="168-A"/>
    <x v="7"/>
    <n v="1210"/>
    <s v="Norma Hayes"/>
    <n v="2870"/>
    <n v="2870"/>
    <s v="Ocean Breeze - End Unit"/>
  </r>
  <r>
    <s v="168-B"/>
    <x v="8"/>
    <n v="1149"/>
    <s v="Vacant Unit"/>
    <n v="1915"/>
    <n v="0"/>
    <s v=""/>
  </r>
  <r>
    <s v="168-C"/>
    <x v="8"/>
    <n v="1149"/>
    <s v="Vacant Unit"/>
    <n v="1915"/>
    <n v="0"/>
    <s v=""/>
  </r>
  <r>
    <s v="168-D"/>
    <x v="7"/>
    <n v="1210"/>
    <s v="Brunswick Resources"/>
    <n v="2650"/>
    <n v="2650"/>
    <s v="Ocean Breeze - End Unit"/>
  </r>
  <r>
    <s v="171-A"/>
    <x v="7"/>
    <n v="1210"/>
    <s v="Vacant Unit"/>
    <n v="2650"/>
    <n v="0"/>
    <s v=""/>
  </r>
  <r>
    <s v="171-B"/>
    <x v="8"/>
    <n v="1149"/>
    <s v="Vacant Unit"/>
    <n v="1915"/>
    <n v="0"/>
    <s v=""/>
  </r>
  <r>
    <s v="171-C"/>
    <x v="8"/>
    <n v="1149"/>
    <s v="Vacant Unit"/>
    <n v="1915"/>
    <n v="0"/>
    <s v=""/>
  </r>
  <r>
    <s v="171-D"/>
    <x v="8"/>
    <n v="1149"/>
    <s v="Vacant Unit"/>
    <n v="1915"/>
    <n v="0"/>
    <s v=""/>
  </r>
  <r>
    <s v="171-E"/>
    <x v="8"/>
    <n v="1149"/>
    <s v="Vacant Unit"/>
    <n v="1915"/>
    <n v="0"/>
    <s v=""/>
  </r>
  <r>
    <s v="171-F"/>
    <x v="7"/>
    <n v="1210"/>
    <s v="Mary French"/>
    <n v="2870"/>
    <n v="2870"/>
    <s v="Ocean Breeze - End Unit"/>
  </r>
  <r>
    <s v="172-A"/>
    <x v="7"/>
    <n v="1210"/>
    <s v="Sharon L. Tudor Morrow"/>
    <n v="2870"/>
    <n v="2870"/>
    <s v="Ocean Breeze - End Unit"/>
  </r>
  <r>
    <s v="172-B"/>
    <x v="8"/>
    <n v="1149"/>
    <s v="Vacant Unit"/>
    <n v="1915"/>
    <n v="0"/>
    <s v=""/>
  </r>
  <r>
    <s v="172-C"/>
    <x v="8"/>
    <n v="1149"/>
    <s v="Vacant Unit"/>
    <n v="1915"/>
    <n v="0"/>
    <s v=""/>
  </r>
  <r>
    <s v="172-D"/>
    <x v="8"/>
    <n v="1149"/>
    <s v="Vacant Unit"/>
    <n v="1915"/>
    <n v="0"/>
    <s v=""/>
  </r>
  <r>
    <s v="172-E"/>
    <x v="8"/>
    <n v="1149"/>
    <s v="Vacant Unit"/>
    <n v="1915"/>
    <n v="0"/>
    <s v=""/>
  </r>
  <r>
    <s v="172-F"/>
    <x v="8"/>
    <n v="1149"/>
    <s v="Vacant Unit"/>
    <n v="1915"/>
    <n v="0"/>
    <s v=""/>
  </r>
  <r>
    <s v="172-G"/>
    <x v="8"/>
    <n v="1149"/>
    <s v="Vacant Unit"/>
    <n v="1915"/>
    <n v="0"/>
    <s v=""/>
  </r>
  <r>
    <s v="172-H"/>
    <x v="7"/>
    <n v="1210"/>
    <s v="Phyllis McNally"/>
    <n v="2870"/>
    <n v="2870"/>
    <s v="Ocean Breeze - End Unit"/>
  </r>
  <r>
    <s v="760-A"/>
    <x v="7"/>
    <n v="1210"/>
    <s v="Carol Dicintio"/>
    <n v="2870"/>
    <n v="2870"/>
    <s v="Ocean Breeze - End Unit"/>
  </r>
  <r>
    <s v="760-B"/>
    <x v="8"/>
    <n v="1149"/>
    <s v="Vacant Unit"/>
    <n v="1915"/>
    <n v="0"/>
    <s v=""/>
  </r>
  <r>
    <s v="760-C"/>
    <x v="8"/>
    <n v="1149"/>
    <s v="Vacant Unit"/>
    <n v="1915"/>
    <n v="0"/>
    <s v=""/>
  </r>
  <r>
    <s v="760-D"/>
    <x v="8"/>
    <n v="1149"/>
    <s v="Vacant Unit"/>
    <n v="1915"/>
    <n v="0"/>
    <s v=""/>
  </r>
  <r>
    <s v="760-E"/>
    <x v="8"/>
    <n v="1149"/>
    <s v="Vacant Unit"/>
    <n v="1915"/>
    <n v="0"/>
    <s v=""/>
  </r>
  <r>
    <s v="760-F"/>
    <x v="7"/>
    <n v="1210"/>
    <s v="Antoinette Lacroix"/>
    <n v="2870"/>
    <n v="2870"/>
    <s v="Ocean Breeze - End Unit"/>
  </r>
  <r>
    <s v="764-A"/>
    <x v="7"/>
    <n v="1210"/>
    <s v="Vacant Unit"/>
    <n v="2650"/>
    <n v="0"/>
    <s v=""/>
  </r>
  <r>
    <s v="764-B"/>
    <x v="8"/>
    <n v="1149"/>
    <s v="Vacant Unit"/>
    <n v="1915"/>
    <n v="0"/>
    <s v=""/>
  </r>
  <r>
    <s v="764-C"/>
    <x v="8"/>
    <n v="1149"/>
    <s v="Vacant Unit"/>
    <n v="1915"/>
    <n v="0"/>
    <s v=""/>
  </r>
  <r>
    <s v="764-D"/>
    <x v="8"/>
    <n v="1149"/>
    <s v="Vacant Unit"/>
    <n v="1915"/>
    <n v="0"/>
    <s v=""/>
  </r>
  <r>
    <s v="764-E"/>
    <x v="8"/>
    <n v="1149"/>
    <s v="Vacant Unit"/>
    <n v="1915"/>
    <n v="0"/>
    <s v=""/>
  </r>
  <r>
    <s v="764-F"/>
    <x v="7"/>
    <n v="1210"/>
    <s v="John Morano, Carolyn Morano"/>
    <n v="2870"/>
    <n v="2870"/>
    <s v="Ocean Breeze - End Unit"/>
  </r>
  <r>
    <s v="767-A"/>
    <x v="7"/>
    <n v="1210"/>
    <s v="Craig Peters"/>
    <n v="2870"/>
    <n v="2870"/>
    <s v="Ocean Breeze - End Unit"/>
  </r>
  <r>
    <s v="767-B"/>
    <x v="8"/>
    <n v="1149"/>
    <s v="Vacant Unit"/>
    <n v="1915"/>
    <n v="0"/>
    <s v=""/>
  </r>
  <r>
    <s v="767-C"/>
    <x v="8"/>
    <n v="1149"/>
    <s v="Nicholas Camardo"/>
    <n v="1795"/>
    <n v="1795"/>
    <s v="Beach Haven In-line Unit"/>
  </r>
  <r>
    <s v="767-D"/>
    <x v="8"/>
    <n v="1149"/>
    <s v="Vacant Unit"/>
    <n v="1915"/>
    <n v="0"/>
    <s v=""/>
  </r>
  <r>
    <s v="767-E"/>
    <x v="8"/>
    <n v="1149"/>
    <s v="Vacant Unit"/>
    <n v="1915"/>
    <n v="0"/>
    <s v=""/>
  </r>
  <r>
    <s v="767-F"/>
    <x v="8"/>
    <n v="1149"/>
    <s v="Vacant Unit"/>
    <n v="1915"/>
    <n v="0"/>
    <s v=""/>
  </r>
  <r>
    <s v="767-G"/>
    <x v="8"/>
    <n v="1149"/>
    <s v="Vacant Unit"/>
    <n v="1915"/>
    <n v="0"/>
    <s v=""/>
  </r>
  <r>
    <s v="767-H"/>
    <x v="7"/>
    <n v="1210"/>
    <s v="Doug Cunha"/>
    <n v="2870"/>
    <n v="2870"/>
    <s v="Ocean Breeze - End Unit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  <r>
    <m/>
    <x v="9"/>
    <m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20980-FFD2-450F-AA21-5DA7C49594C6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Unit type">
  <location ref="B61:B72" firstHeaderRow="1" firstDataRow="1" firstDataCol="1"/>
  <pivotFields count="7">
    <pivotField showAll="0"/>
    <pivotField axis="axisRow" showAll="0" sortType="ascending">
      <items count="126">
        <item m="1" x="65"/>
        <item m="1" x="67"/>
        <item m="1" x="66"/>
        <item m="1" x="96"/>
        <item m="1" x="99"/>
        <item m="1" x="95"/>
        <item m="1" x="101"/>
        <item m="1" x="103"/>
        <item m="1" x="102"/>
        <item m="1" x="118"/>
        <item m="1" x="119"/>
        <item m="1" x="112"/>
        <item m="1" x="121"/>
        <item m="1" x="114"/>
        <item m="1" x="68"/>
        <item m="1" x="69"/>
        <item m="1" x="98"/>
        <item m="1" x="97"/>
        <item m="1" x="105"/>
        <item m="1" x="104"/>
        <item m="1" x="106"/>
        <item m="1" x="108"/>
        <item m="1" x="109"/>
        <item m="1" x="107"/>
        <item m="1" x="124"/>
        <item m="1" x="116"/>
        <item m="1" x="122"/>
        <item m="1" x="115"/>
        <item m="1" x="100"/>
        <item m="1" x="54"/>
        <item m="1" x="52"/>
        <item m="1" x="58"/>
        <item m="1" x="55"/>
        <item m="1" x="57"/>
        <item m="1" x="56"/>
        <item m="1" x="59"/>
        <item m="1" x="61"/>
        <item m="1" x="53"/>
        <item m="1" x="51"/>
        <item m="1" x="64"/>
        <item m="1" x="60"/>
        <item m="1" x="63"/>
        <item m="1" x="62"/>
        <item m="1" x="113"/>
        <item m="1" x="123"/>
        <item m="1" x="110"/>
        <item m="1" x="117"/>
        <item m="1" x="111"/>
        <item m="1" x="120"/>
        <item m="1" x="15"/>
        <item m="1" x="79"/>
        <item m="1" x="26"/>
        <item m="1" x="14"/>
        <item m="1" x="80"/>
        <item m="1" x="32"/>
        <item m="1" x="27"/>
        <item m="1" x="28"/>
        <item m="1" x="48"/>
        <item m="1" x="76"/>
        <item m="1" x="49"/>
        <item m="1" x="83"/>
        <item m="1" x="11"/>
        <item m="1" x="45"/>
        <item m="1" x="31"/>
        <item m="1" x="12"/>
        <item m="1" x="29"/>
        <item m="1" x="44"/>
        <item m="1" x="30"/>
        <item m="1" x="47"/>
        <item m="1" x="18"/>
        <item m="1" x="20"/>
        <item m="1" x="19"/>
        <item m="1" x="21"/>
        <item m="1" x="23"/>
        <item m="1" x="24"/>
        <item m="1" x="25"/>
        <item m="1" x="22"/>
        <item x="8"/>
        <item m="1" x="16"/>
        <item m="1" x="46"/>
        <item m="1" x="33"/>
        <item m="1" x="17"/>
        <item m="1" x="34"/>
        <item m="1" x="35"/>
        <item m="1" x="81"/>
        <item m="1" x="74"/>
        <item m="1" x="87"/>
        <item m="1" x="77"/>
        <item m="1" x="92"/>
        <item m="1" x="86"/>
        <item m="1" x="75"/>
        <item m="1" x="85"/>
        <item m="1" x="73"/>
        <item m="1" x="91"/>
        <item x="2"/>
        <item x="3"/>
        <item m="1" x="10"/>
        <item m="1" x="13"/>
        <item m="1" x="89"/>
        <item m="1" x="82"/>
        <item m="1" x="94"/>
        <item m="1" x="70"/>
        <item m="1" x="71"/>
        <item x="6"/>
        <item m="1" x="90"/>
        <item m="1" x="84"/>
        <item m="1" x="72"/>
        <item m="1" x="88"/>
        <item m="1" x="78"/>
        <item m="1" x="93"/>
        <item x="7"/>
        <item m="1" x="50"/>
        <item m="1" x="41"/>
        <item m="1" x="37"/>
        <item m="1" x="38"/>
        <item m="1" x="42"/>
        <item m="1" x="39"/>
        <item m="1" x="43"/>
        <item x="0"/>
        <item x="5"/>
        <item x="1"/>
        <item x="4"/>
        <item m="1" x="40"/>
        <item m="1" x="36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 v="77"/>
    </i>
    <i>
      <x v="94"/>
    </i>
    <i>
      <x v="95"/>
    </i>
    <i>
      <x v="103"/>
    </i>
    <i>
      <x v="110"/>
    </i>
    <i>
      <x v="118"/>
    </i>
    <i>
      <x v="119"/>
    </i>
    <i>
      <x v="120"/>
    </i>
    <i>
      <x v="121"/>
    </i>
    <i>
      <x v="124"/>
    </i>
    <i t="grand">
      <x/>
    </i>
  </rowItems>
  <colItems count="1">
    <i/>
  </colItems>
  <formats count="4">
    <format dxfId="42">
      <pivotArea type="all" dataOnly="0" outline="0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C05F5-CAD7-48E0-8206-8506C8061286}" name="Table1" displayName="Table1" ref="C61:I1061" totalsRowShown="0" headerRowDxfId="38" dataDxfId="36" headerRowBorderDxfId="37" tableBorderDxfId="35">
  <autoFilter ref="C61:I1061" xr:uid="{B5EC05F5-CAD7-48E0-8206-8506C8061286}">
    <filterColumn colId="3">
      <filters>
        <filter val="Brunswick Resources"/>
      </filters>
    </filterColumn>
  </autoFilter>
  <tableColumns count="7">
    <tableColumn id="1" xr3:uid="{45F6F738-68E2-4BDC-A7D9-E6F66A99921C}" name="Unit" dataDxfId="34"/>
    <tableColumn id="2" xr3:uid="{000E6F64-FF89-431A-A6C9-FC63D4A3BF67}" name="Unit Type" dataDxfId="33"/>
    <tableColumn id="3" xr3:uid="{5513E81A-4F1A-495B-A8A6-C04D65D7C41B}" name="Sq Ft" dataDxfId="32"/>
    <tableColumn id="4" xr3:uid="{D39AC367-C78E-4CDC-9A7E-69B5FD2C5ACE}" name="Tenant Name" dataDxfId="31"/>
    <tableColumn id="5" xr3:uid="{45E02A90-26A7-4D82-9185-6941E3A08559}" name="Market Rent" dataDxfId="30"/>
    <tableColumn id="6" xr3:uid="{0E532A4F-D257-4CD0-A412-87704FCFDDEA}" name="Lease Rent" dataDxfId="29"/>
    <tableColumn id="7" xr3:uid="{FBC1F914-0C48-48ED-9B34-FBDFA5B70689}" name="Occupancy" dataDxfId="28">
      <calculatedColumnFormula>IF(H62=0,"",D62)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yments.municipay.com/nc_brunswick/item/R/25500074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iveroaksvillas.com/" TargetMode="External"/><Relationship Id="rId2" Type="http://schemas.openxmlformats.org/officeDocument/2006/relationships/hyperlink" Target="https://shingletree.com/" TargetMode="External"/><Relationship Id="rId1" Type="http://schemas.openxmlformats.org/officeDocument/2006/relationships/hyperlink" Target="https://www.thecalabashshores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cottagelivingcalabash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6"/>
  <sheetViews>
    <sheetView showGridLines="0" tabSelected="1" zoomScale="90" zoomScaleNormal="90" workbookViewId="0">
      <selection activeCell="B5" sqref="B5"/>
    </sheetView>
  </sheetViews>
  <sheetFormatPr defaultColWidth="8.6640625" defaultRowHeight="14.4" outlineLevelCol="1" x14ac:dyDescent="0.3"/>
  <cols>
    <col min="1" max="1" width="3.33203125" customWidth="1"/>
    <col min="2" max="2" width="31.33203125" bestFit="1" customWidth="1"/>
    <col min="3" max="3" width="14.33203125" bestFit="1" customWidth="1"/>
    <col min="4" max="4" width="20.21875" customWidth="1"/>
    <col min="5" max="5" width="13.77734375" customWidth="1"/>
    <col min="6" max="6" width="19.77734375" customWidth="1"/>
    <col min="7" max="7" width="16" customWidth="1"/>
    <col min="8" max="8" width="18.77734375" bestFit="1" customWidth="1"/>
    <col min="9" max="9" width="17.77734375" customWidth="1"/>
    <col min="10" max="10" width="16.109375" customWidth="1"/>
    <col min="11" max="11" width="18.6640625" customWidth="1"/>
    <col min="12" max="12" width="19.5546875" customWidth="1"/>
    <col min="13" max="13" width="16.33203125" customWidth="1"/>
    <col min="14" max="14" width="17.33203125" bestFit="1" customWidth="1"/>
    <col min="15" max="15" width="11.6640625" bestFit="1" customWidth="1"/>
    <col min="16" max="17" width="11.44140625" bestFit="1" customWidth="1"/>
    <col min="18" max="18" width="13.33203125" bestFit="1" customWidth="1"/>
    <col min="19" max="19" width="12.33203125" bestFit="1" customWidth="1"/>
    <col min="20" max="28" width="8.6640625" hidden="1" customWidth="1" outlineLevel="1"/>
    <col min="29" max="29" width="9.33203125" bestFit="1" customWidth="1" collapsed="1"/>
  </cols>
  <sheetData>
    <row r="1" spans="1:29" s="112" customFormat="1" ht="7.2" customHeight="1" x14ac:dyDescent="0.3">
      <c r="A1" s="11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5"/>
    </row>
    <row r="2" spans="1:29" s="112" customFormat="1" ht="18" x14ac:dyDescent="0.35">
      <c r="A2" s="176"/>
      <c r="B2" s="356" t="s">
        <v>326</v>
      </c>
      <c r="C2" s="197" t="s">
        <v>0</v>
      </c>
      <c r="D2" s="177" t="s">
        <v>327</v>
      </c>
      <c r="E2" s="179"/>
      <c r="F2" s="179"/>
      <c r="G2" s="177"/>
      <c r="H2" s="177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80"/>
    </row>
    <row r="3" spans="1:29" s="112" customFormat="1" ht="16.2" thickBot="1" x14ac:dyDescent="0.35">
      <c r="A3" s="176"/>
      <c r="B3" s="198" t="s">
        <v>1</v>
      </c>
      <c r="C3" s="197" t="s">
        <v>2</v>
      </c>
      <c r="D3" s="426">
        <f>Units</f>
        <v>132</v>
      </c>
      <c r="E3" s="179"/>
      <c r="F3" s="179"/>
      <c r="G3" s="426"/>
      <c r="H3" s="426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80"/>
    </row>
    <row r="4" spans="1:29" s="112" customFormat="1" ht="18.600000000000001" thickBot="1" x14ac:dyDescent="0.4">
      <c r="A4" s="181"/>
      <c r="B4" s="199"/>
      <c r="C4" s="200" t="s">
        <v>3</v>
      </c>
      <c r="D4" s="412">
        <v>2024</v>
      </c>
      <c r="E4" s="182"/>
      <c r="F4" s="185" t="s">
        <v>4</v>
      </c>
      <c r="G4" s="353">
        <v>2</v>
      </c>
      <c r="H4" s="185"/>
      <c r="I4" s="182"/>
      <c r="J4" s="182"/>
      <c r="K4" s="182"/>
      <c r="L4" s="182"/>
      <c r="M4" s="130" t="s">
        <v>5</v>
      </c>
      <c r="N4" s="220"/>
      <c r="O4" s="133"/>
      <c r="P4" s="133" t="s">
        <v>6</v>
      </c>
      <c r="Q4" s="646" t="s">
        <v>595</v>
      </c>
      <c r="R4" s="182"/>
      <c r="S4" s="182"/>
      <c r="T4" s="182"/>
      <c r="U4" s="182"/>
      <c r="V4" s="182"/>
      <c r="W4" s="182"/>
      <c r="X4" s="182"/>
      <c r="Y4" s="182"/>
      <c r="Z4" s="182"/>
      <c r="AA4" s="182"/>
      <c r="AC4" s="180"/>
    </row>
    <row r="5" spans="1:29" ht="15" thickBot="1" x14ac:dyDescent="0.35">
      <c r="B5" t="s">
        <v>7</v>
      </c>
      <c r="C5" s="399">
        <v>46174</v>
      </c>
      <c r="G5" s="112">
        <f>10925000</f>
        <v>10925000</v>
      </c>
      <c r="M5" s="132" t="s">
        <v>8</v>
      </c>
      <c r="N5" s="131" t="s">
        <v>9</v>
      </c>
      <c r="O5" s="131"/>
      <c r="P5" s="131"/>
      <c r="Q5" s="408" t="s">
        <v>10</v>
      </c>
    </row>
    <row r="6" spans="1:29" ht="15" thickBot="1" x14ac:dyDescent="0.35">
      <c r="B6" s="1" t="s">
        <v>11</v>
      </c>
      <c r="C6" s="2"/>
      <c r="D6" s="135" t="s">
        <v>12</v>
      </c>
      <c r="F6" s="139" t="s">
        <v>13</v>
      </c>
      <c r="G6" s="134"/>
      <c r="H6" s="218"/>
      <c r="I6" s="139" t="s">
        <v>14</v>
      </c>
      <c r="J6" s="219"/>
      <c r="K6" s="219"/>
      <c r="L6" s="218"/>
      <c r="M6" s="263"/>
      <c r="N6" t="s">
        <v>606</v>
      </c>
      <c r="P6" s="531"/>
      <c r="Q6" s="520">
        <v>0.34200000000000003</v>
      </c>
    </row>
    <row r="7" spans="1:29" ht="15" thickBot="1" x14ac:dyDescent="0.35">
      <c r="B7" s="222" t="s">
        <v>15</v>
      </c>
      <c r="C7" s="381">
        <f>IF(OR(G4=0,G4=1),J8,K8)*1000000</f>
        <v>35000000</v>
      </c>
      <c r="D7" s="367">
        <f>C7/$D$3</f>
        <v>265151.51515151514</v>
      </c>
      <c r="F7" s="223" t="s">
        <v>16</v>
      </c>
      <c r="G7" s="224"/>
      <c r="H7" s="422">
        <v>0.03</v>
      </c>
      <c r="I7" s="87" t="str">
        <f>B2</f>
        <v>Calabash Shores</v>
      </c>
      <c r="J7" s="201">
        <v>1</v>
      </c>
      <c r="K7" s="202">
        <v>2</v>
      </c>
      <c r="L7" s="95" t="s">
        <v>311</v>
      </c>
      <c r="M7" s="263"/>
      <c r="N7" t="s">
        <v>607</v>
      </c>
      <c r="P7" s="531"/>
      <c r="Q7" s="204">
        <v>7.0000000000000007E-2</v>
      </c>
    </row>
    <row r="8" spans="1:29" x14ac:dyDescent="0.3">
      <c r="B8" s="138" t="s">
        <v>306</v>
      </c>
      <c r="C8" s="382">
        <f>I66</f>
        <v>1871250.4548221803</v>
      </c>
      <c r="D8" s="368">
        <f t="shared" ref="D8:D16" si="0">C8/$D$3</f>
        <v>14176.139809258942</v>
      </c>
      <c r="F8" s="138" t="s">
        <v>17</v>
      </c>
      <c r="G8" s="162"/>
      <c r="H8" s="378">
        <f>H7</f>
        <v>0.03</v>
      </c>
      <c r="I8" s="357" t="s">
        <v>18</v>
      </c>
      <c r="J8" s="386" t="str">
        <f>IF(G4=2,"",L8)</f>
        <v/>
      </c>
      <c r="K8" s="387">
        <v>35</v>
      </c>
      <c r="L8" s="388">
        <v>0</v>
      </c>
      <c r="M8" s="263"/>
      <c r="N8" s="655"/>
      <c r="O8" s="605"/>
      <c r="Q8" s="204"/>
    </row>
    <row r="9" spans="1:29" x14ac:dyDescent="0.3">
      <c r="B9" s="138" t="s">
        <v>20</v>
      </c>
      <c r="C9" s="382">
        <f>'Sources &amp; Usage'!C9</f>
        <v>35595000</v>
      </c>
      <c r="D9" s="368">
        <f t="shared" si="0"/>
        <v>269659.09090909088</v>
      </c>
      <c r="F9" s="225" t="s">
        <v>21</v>
      </c>
      <c r="G9" s="226"/>
      <c r="H9" s="361">
        <v>2.75E-2</v>
      </c>
      <c r="I9" s="358" t="s">
        <v>309</v>
      </c>
      <c r="J9" s="389" t="str">
        <f>IF(G4=2,"",I63)</f>
        <v/>
      </c>
      <c r="K9" s="390">
        <f>IF(G4=1,"",I63)</f>
        <v>1871250.4548221803</v>
      </c>
      <c r="L9" s="391">
        <f>H63</f>
        <v>2254500</v>
      </c>
      <c r="M9" s="263"/>
      <c r="N9" s="288"/>
      <c r="Q9" s="204"/>
    </row>
    <row r="10" spans="1:29" x14ac:dyDescent="0.3">
      <c r="B10" s="138" t="s">
        <v>307</v>
      </c>
      <c r="C10" s="227">
        <f>C8/C7</f>
        <v>5.3464298709205153E-2</v>
      </c>
      <c r="D10" s="368"/>
      <c r="F10" s="223" t="s">
        <v>22</v>
      </c>
      <c r="G10" s="224"/>
      <c r="H10" s="360">
        <v>2.75E-2</v>
      </c>
      <c r="I10" s="358" t="s">
        <v>23</v>
      </c>
      <c r="J10" s="392" t="str">
        <f>IF(G4=2,"",J9/(J8*1000000))</f>
        <v/>
      </c>
      <c r="K10" s="393">
        <f>IF(G4=1,"",K9/(K8*1000000))</f>
        <v>5.3464298709205153E-2</v>
      </c>
      <c r="L10" s="394">
        <v>0</v>
      </c>
      <c r="M10" s="263"/>
      <c r="Q10" s="204"/>
    </row>
    <row r="11" spans="1:29" x14ac:dyDescent="0.3">
      <c r="B11" s="138" t="s">
        <v>24</v>
      </c>
      <c r="C11" s="382">
        <f>Rent!I29</f>
        <v>131840</v>
      </c>
      <c r="D11" s="368">
        <f t="shared" si="0"/>
        <v>998.78787878787875</v>
      </c>
      <c r="F11" s="225" t="s">
        <v>25</v>
      </c>
      <c r="G11" s="226"/>
      <c r="H11" s="361">
        <v>0</v>
      </c>
      <c r="I11" s="372" t="s">
        <v>26</v>
      </c>
      <c r="J11" s="395" t="str">
        <f>IF(G4=2,"",G76)</f>
        <v/>
      </c>
      <c r="K11" s="413">
        <f>IF(G4=1,"",G76)</f>
        <v>4.429173682411712E-2</v>
      </c>
      <c r="L11" s="396" t="s">
        <v>19</v>
      </c>
      <c r="M11" s="263"/>
      <c r="Q11" s="204"/>
    </row>
    <row r="12" spans="1:29" x14ac:dyDescent="0.3">
      <c r="B12" s="138" t="s">
        <v>308</v>
      </c>
      <c r="C12" s="227">
        <f>I76</f>
        <v>5.1357409177303318E-2</v>
      </c>
      <c r="D12" s="368"/>
      <c r="F12" s="228" t="s">
        <v>27</v>
      </c>
      <c r="G12" s="229"/>
      <c r="H12" s="362">
        <v>0.01</v>
      </c>
      <c r="I12" s="358" t="s">
        <v>28</v>
      </c>
      <c r="J12" s="392" t="str">
        <f>IF(G4=2,"",G78)</f>
        <v/>
      </c>
      <c r="K12" s="393">
        <f>IF(G4=1,"",G78)</f>
        <v>3.8638988294092513E-2</v>
      </c>
      <c r="L12" s="394" t="s">
        <v>19</v>
      </c>
      <c r="M12" s="263"/>
      <c r="Q12" s="204"/>
    </row>
    <row r="13" spans="1:29" ht="15" thickBot="1" x14ac:dyDescent="0.35">
      <c r="B13" s="138" t="s">
        <v>29</v>
      </c>
      <c r="C13" s="383">
        <v>5</v>
      </c>
      <c r="D13" s="368"/>
      <c r="F13" s="223" t="s">
        <v>30</v>
      </c>
      <c r="G13" s="224"/>
      <c r="H13" s="370">
        <v>0</v>
      </c>
      <c r="I13" s="569" t="s">
        <v>310</v>
      </c>
      <c r="J13" s="570" t="str">
        <f>IF(G4=2,"",$I$63/(J8*1000000))</f>
        <v/>
      </c>
      <c r="K13" s="571">
        <f>IF(G4=1,"",$I$63/'Sources &amp; Usage'!$C$23)</f>
        <v>5.2570598534125025E-2</v>
      </c>
      <c r="L13" s="572" t="s">
        <v>19</v>
      </c>
      <c r="M13" s="263"/>
      <c r="Q13" s="204"/>
    </row>
    <row r="14" spans="1:29" x14ac:dyDescent="0.3">
      <c r="B14" s="138" t="s">
        <v>31</v>
      </c>
      <c r="C14" s="384">
        <v>0.06</v>
      </c>
      <c r="D14" s="368"/>
      <c r="F14" s="223" t="s">
        <v>32</v>
      </c>
      <c r="G14" s="359">
        <v>1</v>
      </c>
      <c r="H14" s="427">
        <f>G14*C7</f>
        <v>35000000</v>
      </c>
      <c r="I14" s="657" t="s">
        <v>612</v>
      </c>
      <c r="J14" s="658"/>
      <c r="K14" s="658"/>
      <c r="L14" s="659"/>
      <c r="M14" s="263"/>
      <c r="Q14" s="204"/>
    </row>
    <row r="15" spans="1:29" x14ac:dyDescent="0.3">
      <c r="B15" s="138" t="s">
        <v>33</v>
      </c>
      <c r="C15" s="382">
        <f>HLOOKUP($C$13+1,$I$46:$S$66,ROWS($I$46:$I$66))</f>
        <v>2093870.7107242364</v>
      </c>
      <c r="D15" s="368">
        <f t="shared" si="0"/>
        <v>15862.656899426034</v>
      </c>
      <c r="F15" s="545" t="s">
        <v>302</v>
      </c>
      <c r="G15" s="439">
        <f>Q16</f>
        <v>4.1200000000000004E-3</v>
      </c>
      <c r="H15" s="537">
        <f>(G15*H14)+16000</f>
        <v>160200</v>
      </c>
      <c r="I15" s="660"/>
      <c r="J15" s="661"/>
      <c r="K15" s="661"/>
      <c r="L15" s="662"/>
      <c r="Q15" s="204"/>
    </row>
    <row r="16" spans="1:29" ht="15" thickBot="1" x14ac:dyDescent="0.35">
      <c r="B16" s="160" t="s">
        <v>34</v>
      </c>
      <c r="C16" s="385">
        <f>HLOOKUP($C$13,$I$46:$S$67,ROWS($I$46:$I$67))</f>
        <v>34548866.7269499</v>
      </c>
      <c r="D16" s="369">
        <f t="shared" si="0"/>
        <v>261733.83884052956</v>
      </c>
      <c r="F16" s="160" t="s">
        <v>305</v>
      </c>
      <c r="G16" s="568"/>
      <c r="H16" s="440">
        <v>0.03</v>
      </c>
      <c r="I16" s="574" t="s">
        <v>608</v>
      </c>
      <c r="J16" s="231"/>
      <c r="K16" s="231"/>
      <c r="L16" s="124"/>
      <c r="M16" s="397"/>
      <c r="N16" s="398" t="s">
        <v>35</v>
      </c>
      <c r="O16" s="398"/>
      <c r="P16" s="398"/>
      <c r="Q16" s="656">
        <f>SUM(Q6:Q15)/100</f>
        <v>4.1200000000000004E-3</v>
      </c>
    </row>
    <row r="17" spans="2:29" x14ac:dyDescent="0.3">
      <c r="J17" s="232"/>
      <c r="K17" s="232"/>
    </row>
    <row r="18" spans="2:29" x14ac:dyDescent="0.3">
      <c r="B18" s="148" t="s">
        <v>36</v>
      </c>
      <c r="C18" s="546"/>
      <c r="D18" s="149">
        <f>Rent!D5</f>
        <v>46066</v>
      </c>
      <c r="E18" s="149"/>
      <c r="F18" s="81" t="s">
        <v>37</v>
      </c>
      <c r="G18" s="81" t="s">
        <v>38</v>
      </c>
      <c r="H18" s="81" t="s">
        <v>303</v>
      </c>
      <c r="I18" s="150">
        <v>1</v>
      </c>
      <c r="J18" s="150">
        <f>IF(I18&lt;$C$13+1,I18+1,"")</f>
        <v>2</v>
      </c>
      <c r="K18" s="150">
        <f>IF(J18&lt;$C$13+1,J18+1,"")</f>
        <v>3</v>
      </c>
      <c r="L18" s="150">
        <f t="shared" ref="L18:S18" si="1">IF(K18&lt;$C$13+1,K18+1,"")</f>
        <v>4</v>
      </c>
      <c r="M18" s="150">
        <f t="shared" si="1"/>
        <v>5</v>
      </c>
      <c r="N18" s="150">
        <f t="shared" si="1"/>
        <v>6</v>
      </c>
      <c r="O18" s="150" t="str">
        <f>IF(N18&lt;$C$13+1,N18+1,"")</f>
        <v/>
      </c>
      <c r="P18" s="150" t="str">
        <f t="shared" si="1"/>
        <v/>
      </c>
      <c r="Q18" s="150" t="str">
        <f t="shared" si="1"/>
        <v/>
      </c>
      <c r="R18" s="150" t="str">
        <f t="shared" si="1"/>
        <v/>
      </c>
      <c r="S18" s="150" t="str">
        <f t="shared" si="1"/>
        <v/>
      </c>
      <c r="T18" s="150" t="str">
        <f t="shared" ref="T18" si="2">IF(S18&lt;$C$13+1,S18+1,"")</f>
        <v/>
      </c>
      <c r="U18" s="150" t="str">
        <f t="shared" ref="U18" si="3">IF(T18&lt;$C$13+1,T18+1,"")</f>
        <v/>
      </c>
      <c r="V18" s="150" t="str">
        <f t="shared" ref="V18" si="4">IF(U18&lt;$C$13+1,U18+1,"")</f>
        <v/>
      </c>
      <c r="W18" s="150" t="str">
        <f t="shared" ref="W18" si="5">IF(V18&lt;$C$13+1,V18+1,"")</f>
        <v/>
      </c>
      <c r="X18" s="150" t="str">
        <f t="shared" ref="X18" si="6">IF(W18&lt;$C$13+1,W18+1,"")</f>
        <v/>
      </c>
      <c r="Y18" s="150" t="str">
        <f t="shared" ref="Y18" si="7">IF(X18&lt;$C$13+1,X18+1,"")</f>
        <v/>
      </c>
      <c r="Z18" s="150" t="str">
        <f t="shared" ref="Z18" si="8">IF(Y18&lt;$C$13+1,Y18+1,"")</f>
        <v/>
      </c>
      <c r="AA18" s="150" t="str">
        <f t="shared" ref="AA18" si="9">IF(Z18&lt;$C$13+1,Z18+1,"")</f>
        <v/>
      </c>
      <c r="AB18" s="150" t="str">
        <f t="shared" ref="AB18" si="10">IF(AA18&lt;$C$13+1,AA18+1,"")</f>
        <v/>
      </c>
      <c r="AC18" s="151" t="str">
        <f t="shared" ref="AC18" si="11">IF(AB18&lt;$C$13+1,AB18+1,"")</f>
        <v/>
      </c>
    </row>
    <row r="19" spans="2:29" x14ac:dyDescent="0.3">
      <c r="B19" s="233" t="s">
        <v>39</v>
      </c>
      <c r="C19" s="162"/>
      <c r="D19" s="147">
        <f>Rent!H32/Rent!H30</f>
        <v>-1.6852082172096099E-2</v>
      </c>
      <c r="E19" s="147"/>
      <c r="F19" s="227">
        <f>-F34/F33</f>
        <v>0</v>
      </c>
      <c r="G19" s="227">
        <f>-G34/G33</f>
        <v>0</v>
      </c>
      <c r="H19" s="607">
        <f>-H34/H33</f>
        <v>0</v>
      </c>
      <c r="I19" s="442">
        <f>-I34/I33</f>
        <v>-1.6852082172096099E-2</v>
      </c>
      <c r="J19" s="384">
        <v>0.01</v>
      </c>
      <c r="K19" s="384">
        <v>0.01</v>
      </c>
      <c r="L19" s="384">
        <v>0.01</v>
      </c>
      <c r="M19" s="384">
        <v>0.01</v>
      </c>
      <c r="N19" s="384">
        <f t="shared" ref="N19:S19" si="12">M19</f>
        <v>0.01</v>
      </c>
      <c r="O19" s="384">
        <f t="shared" si="12"/>
        <v>0.01</v>
      </c>
      <c r="P19" s="384">
        <f t="shared" si="12"/>
        <v>0.01</v>
      </c>
      <c r="Q19" s="384">
        <f t="shared" si="12"/>
        <v>0.01</v>
      </c>
      <c r="R19" s="384">
        <f t="shared" si="12"/>
        <v>0.01</v>
      </c>
      <c r="S19" s="384">
        <f t="shared" si="12"/>
        <v>0.01</v>
      </c>
      <c r="T19" s="79">
        <f t="shared" ref="M19:AB20" si="13">S19</f>
        <v>0.01</v>
      </c>
      <c r="U19" s="79">
        <f t="shared" si="13"/>
        <v>0.01</v>
      </c>
      <c r="V19" s="79">
        <f t="shared" si="13"/>
        <v>0.01</v>
      </c>
      <c r="W19" s="79">
        <f t="shared" si="13"/>
        <v>0.01</v>
      </c>
      <c r="X19" s="79">
        <f t="shared" si="13"/>
        <v>0.01</v>
      </c>
      <c r="Y19" s="79">
        <f t="shared" si="13"/>
        <v>0.01</v>
      </c>
      <c r="Z19" s="79">
        <f t="shared" si="13"/>
        <v>0.01</v>
      </c>
      <c r="AA19" s="79">
        <f t="shared" si="13"/>
        <v>0.01</v>
      </c>
      <c r="AB19" s="79">
        <f t="shared" si="13"/>
        <v>0.01</v>
      </c>
      <c r="AC19" s="96"/>
    </row>
    <row r="20" spans="2:29" x14ac:dyDescent="0.3">
      <c r="B20" s="233" t="s">
        <v>40</v>
      </c>
      <c r="C20" s="162"/>
      <c r="D20" s="227">
        <f>1-Rent!H29</f>
        <v>0.71969696969696972</v>
      </c>
      <c r="E20" s="227"/>
      <c r="F20" s="227">
        <f>-F36/$G$35</f>
        <v>0.5631993443228589</v>
      </c>
      <c r="G20" s="227">
        <f t="shared" ref="F20:G23" si="14">-G36/$G$35</f>
        <v>0.84663327742588768</v>
      </c>
      <c r="H20" s="607">
        <f>-H36/$H$35</f>
        <v>0.05</v>
      </c>
      <c r="I20" s="384">
        <v>0.05</v>
      </c>
      <c r="J20" s="384">
        <v>0.05</v>
      </c>
      <c r="K20" s="384">
        <v>0.05</v>
      </c>
      <c r="L20" s="384">
        <v>0.05</v>
      </c>
      <c r="M20" s="384">
        <f t="shared" si="13"/>
        <v>0.05</v>
      </c>
      <c r="N20" s="384">
        <f t="shared" si="13"/>
        <v>0.05</v>
      </c>
      <c r="O20" s="384">
        <f>N20</f>
        <v>0.05</v>
      </c>
      <c r="P20" s="384">
        <f t="shared" si="13"/>
        <v>0.05</v>
      </c>
      <c r="Q20" s="384">
        <f t="shared" si="13"/>
        <v>0.05</v>
      </c>
      <c r="R20" s="384">
        <f t="shared" si="13"/>
        <v>0.05</v>
      </c>
      <c r="S20" s="384">
        <f t="shared" si="13"/>
        <v>0.05</v>
      </c>
      <c r="T20" s="79">
        <f t="shared" si="13"/>
        <v>0.05</v>
      </c>
      <c r="U20" s="79">
        <f t="shared" si="13"/>
        <v>0.05</v>
      </c>
      <c r="V20" s="79">
        <f t="shared" si="13"/>
        <v>0.05</v>
      </c>
      <c r="W20" s="79">
        <f t="shared" si="13"/>
        <v>0.05</v>
      </c>
      <c r="X20" s="79">
        <f t="shared" si="13"/>
        <v>0.05</v>
      </c>
      <c r="Y20" s="79">
        <f t="shared" si="13"/>
        <v>0.05</v>
      </c>
      <c r="Z20" s="79">
        <f t="shared" si="13"/>
        <v>0.05</v>
      </c>
      <c r="AA20" s="79">
        <f t="shared" si="13"/>
        <v>0.05</v>
      </c>
      <c r="AB20" s="79">
        <f t="shared" si="13"/>
        <v>0.05</v>
      </c>
      <c r="AC20" s="96"/>
    </row>
    <row r="21" spans="2:29" x14ac:dyDescent="0.3">
      <c r="B21" s="233" t="s">
        <v>41</v>
      </c>
      <c r="C21" s="162"/>
      <c r="D21" s="234"/>
      <c r="E21" s="234"/>
      <c r="F21" s="227">
        <f t="shared" si="14"/>
        <v>6.3974054391916627E-2</v>
      </c>
      <c r="G21" s="227">
        <f t="shared" si="14"/>
        <v>3.2579475370325385E-2</v>
      </c>
      <c r="H21" s="607">
        <f>-H37/$H$35</f>
        <v>0.03</v>
      </c>
      <c r="I21" s="384">
        <v>0.01</v>
      </c>
      <c r="J21" s="384">
        <v>0.01</v>
      </c>
      <c r="K21" s="384">
        <v>0.01</v>
      </c>
      <c r="L21" s="384">
        <v>0.01</v>
      </c>
      <c r="M21" s="384">
        <f t="shared" ref="M21:AB21" si="15">L21</f>
        <v>0.01</v>
      </c>
      <c r="N21" s="384">
        <f t="shared" si="15"/>
        <v>0.01</v>
      </c>
      <c r="O21" s="384">
        <f>N21</f>
        <v>0.01</v>
      </c>
      <c r="P21" s="384">
        <f t="shared" si="15"/>
        <v>0.01</v>
      </c>
      <c r="Q21" s="384">
        <f t="shared" si="15"/>
        <v>0.01</v>
      </c>
      <c r="R21" s="384">
        <f t="shared" si="15"/>
        <v>0.01</v>
      </c>
      <c r="S21" s="384">
        <f t="shared" si="15"/>
        <v>0.01</v>
      </c>
      <c r="T21" s="79">
        <f t="shared" si="15"/>
        <v>0.01</v>
      </c>
      <c r="U21" s="79">
        <f t="shared" si="15"/>
        <v>0.01</v>
      </c>
      <c r="V21" s="79">
        <f t="shared" si="15"/>
        <v>0.01</v>
      </c>
      <c r="W21" s="79">
        <f t="shared" si="15"/>
        <v>0.01</v>
      </c>
      <c r="X21" s="79">
        <f t="shared" si="15"/>
        <v>0.01</v>
      </c>
      <c r="Y21" s="79">
        <f t="shared" si="15"/>
        <v>0.01</v>
      </c>
      <c r="Z21" s="79">
        <f t="shared" si="15"/>
        <v>0.01</v>
      </c>
      <c r="AA21" s="79">
        <f t="shared" si="15"/>
        <v>0.01</v>
      </c>
      <c r="AB21" s="79">
        <f t="shared" si="15"/>
        <v>0.01</v>
      </c>
      <c r="AC21" s="96"/>
    </row>
    <row r="22" spans="2:29" x14ac:dyDescent="0.3">
      <c r="B22" s="233" t="s">
        <v>42</v>
      </c>
      <c r="C22" s="162"/>
      <c r="D22" s="234"/>
      <c r="E22" s="234"/>
      <c r="F22" s="227">
        <f t="shared" si="14"/>
        <v>0</v>
      </c>
      <c r="G22" s="227">
        <f t="shared" si="14"/>
        <v>0</v>
      </c>
      <c r="H22" s="607">
        <f>-H38/$H$35</f>
        <v>0</v>
      </c>
      <c r="I22" s="384">
        <v>0</v>
      </c>
      <c r="J22" s="384">
        <v>0</v>
      </c>
      <c r="K22" s="384">
        <f t="shared" ref="J22:K23" si="16">J22</f>
        <v>0</v>
      </c>
      <c r="L22" s="384">
        <f t="shared" ref="L22" si="17">K22</f>
        <v>0</v>
      </c>
      <c r="M22" s="384">
        <f t="shared" ref="M22" si="18">L22</f>
        <v>0</v>
      </c>
      <c r="N22" s="384">
        <f t="shared" ref="N22" si="19">M22</f>
        <v>0</v>
      </c>
      <c r="O22" s="384">
        <f>N22</f>
        <v>0</v>
      </c>
      <c r="P22" s="384">
        <f t="shared" ref="P22" si="20">O22</f>
        <v>0</v>
      </c>
      <c r="Q22" s="384">
        <f t="shared" ref="Q22" si="21">P22</f>
        <v>0</v>
      </c>
      <c r="R22" s="384">
        <f t="shared" ref="R22" si="22">Q22</f>
        <v>0</v>
      </c>
      <c r="S22" s="384">
        <f t="shared" ref="S22" si="23">R22</f>
        <v>0</v>
      </c>
      <c r="T22" s="79">
        <f t="shared" ref="T22" si="24">S22</f>
        <v>0</v>
      </c>
      <c r="U22" s="79">
        <f t="shared" ref="U22" si="25">T22</f>
        <v>0</v>
      </c>
      <c r="V22" s="79">
        <f t="shared" ref="V22" si="26">U22</f>
        <v>0</v>
      </c>
      <c r="W22" s="79">
        <f t="shared" ref="W22" si="27">V22</f>
        <v>0</v>
      </c>
      <c r="X22" s="79">
        <f t="shared" ref="X22" si="28">W22</f>
        <v>0</v>
      </c>
      <c r="Y22" s="79">
        <f t="shared" ref="Y22" si="29">X22</f>
        <v>0</v>
      </c>
      <c r="Z22" s="79">
        <f t="shared" ref="Z22" si="30">Y22</f>
        <v>0</v>
      </c>
      <c r="AA22" s="79">
        <f t="shared" ref="AA22" si="31">Z22</f>
        <v>0</v>
      </c>
      <c r="AB22" s="79">
        <f t="shared" ref="AB22" si="32">AA22</f>
        <v>0</v>
      </c>
      <c r="AC22" s="96"/>
    </row>
    <row r="23" spans="2:29" x14ac:dyDescent="0.3">
      <c r="B23" s="235" t="s">
        <v>43</v>
      </c>
      <c r="C23" s="226"/>
      <c r="D23" s="237"/>
      <c r="E23" s="237"/>
      <c r="F23" s="238">
        <f t="shared" si="14"/>
        <v>0</v>
      </c>
      <c r="G23" s="238">
        <f t="shared" si="14"/>
        <v>2.9700022016305519E-3</v>
      </c>
      <c r="H23" s="608">
        <f>-H39/$H$35</f>
        <v>0</v>
      </c>
      <c r="I23" s="519">
        <f>G23</f>
        <v>2.9700022016305519E-3</v>
      </c>
      <c r="J23" s="519">
        <f t="shared" si="16"/>
        <v>2.9700022016305519E-3</v>
      </c>
      <c r="K23" s="519">
        <f t="shared" si="16"/>
        <v>2.9700022016305519E-3</v>
      </c>
      <c r="L23" s="519">
        <f t="shared" ref="L23:AB23" si="33">K23</f>
        <v>2.9700022016305519E-3</v>
      </c>
      <c r="M23" s="519">
        <f t="shared" si="33"/>
        <v>2.9700022016305519E-3</v>
      </c>
      <c r="N23" s="519">
        <f t="shared" si="33"/>
        <v>2.9700022016305519E-3</v>
      </c>
      <c r="O23" s="519">
        <f>N23</f>
        <v>2.9700022016305519E-3</v>
      </c>
      <c r="P23" s="519">
        <f t="shared" si="33"/>
        <v>2.9700022016305519E-3</v>
      </c>
      <c r="Q23" s="519">
        <f t="shared" si="33"/>
        <v>2.9700022016305519E-3</v>
      </c>
      <c r="R23" s="519">
        <f t="shared" si="33"/>
        <v>2.9700022016305519E-3</v>
      </c>
      <c r="S23" s="519">
        <f t="shared" si="33"/>
        <v>2.9700022016305519E-3</v>
      </c>
      <c r="T23" s="129">
        <f t="shared" si="33"/>
        <v>2.9700022016305519E-3</v>
      </c>
      <c r="U23" s="129">
        <f t="shared" si="33"/>
        <v>2.9700022016305519E-3</v>
      </c>
      <c r="V23" s="129">
        <f t="shared" si="33"/>
        <v>2.9700022016305519E-3</v>
      </c>
      <c r="W23" s="129">
        <f t="shared" si="33"/>
        <v>2.9700022016305519E-3</v>
      </c>
      <c r="X23" s="129">
        <f t="shared" si="33"/>
        <v>2.9700022016305519E-3</v>
      </c>
      <c r="Y23" s="129">
        <f t="shared" si="33"/>
        <v>2.9700022016305519E-3</v>
      </c>
      <c r="Z23" s="129">
        <f t="shared" si="33"/>
        <v>2.9700022016305519E-3</v>
      </c>
      <c r="AA23" s="129">
        <f t="shared" si="33"/>
        <v>2.9700022016305519E-3</v>
      </c>
      <c r="AB23" s="129">
        <f t="shared" si="33"/>
        <v>2.9700022016305519E-3</v>
      </c>
      <c r="AC23" s="78"/>
    </row>
    <row r="24" spans="2:29" x14ac:dyDescent="0.3">
      <c r="D24" s="244">
        <f>Rent!H29</f>
        <v>0.28030303030303028</v>
      </c>
      <c r="E24" s="244"/>
      <c r="H24" s="244"/>
    </row>
    <row r="25" spans="2:29" x14ac:dyDescent="0.3">
      <c r="B25" s="145" t="s">
        <v>44</v>
      </c>
      <c r="C25" s="146"/>
      <c r="D25" s="146"/>
      <c r="E25" s="146"/>
      <c r="F25" s="365">
        <f>F35/Units/12</f>
        <v>1970.4797979797979</v>
      </c>
      <c r="G25" s="365">
        <f>G35/Units/12</f>
        <v>2440.2253787878785</v>
      </c>
      <c r="H25" s="365">
        <f>H35/Units/12</f>
        <v>1959.848484848485</v>
      </c>
      <c r="I25" s="365">
        <f>I35/Units/12</f>
        <v>1996.6892078681549</v>
      </c>
      <c r="J25" s="365">
        <f t="shared" ref="J25:S25" si="34">IF(J$18="","",J35/Units/12)</f>
        <v>2002.2813750000003</v>
      </c>
      <c r="K25" s="365">
        <f>IF(K$18="","",K35/Units/12)</f>
        <v>2062.34981625</v>
      </c>
      <c r="L25" s="365">
        <f>IF(L$18="","",L35/Units/12)</f>
        <v>2124.2203107375003</v>
      </c>
      <c r="M25" s="365">
        <f>IF(M$18="","",M35/Units/12)</f>
        <v>2187.9469200596254</v>
      </c>
      <c r="N25" s="365">
        <f>IF(N$18="","",N35/Units/12)</f>
        <v>2253.5853276614143</v>
      </c>
      <c r="O25" s="365" t="str">
        <f t="shared" si="34"/>
        <v/>
      </c>
      <c r="P25" s="365" t="str">
        <f t="shared" si="34"/>
        <v/>
      </c>
      <c r="Q25" s="365" t="str">
        <f t="shared" si="34"/>
        <v/>
      </c>
      <c r="R25" s="365" t="str">
        <f t="shared" si="34"/>
        <v/>
      </c>
      <c r="S25" s="365" t="str">
        <f t="shared" si="34"/>
        <v/>
      </c>
      <c r="T25" s="365" t="str">
        <f t="shared" ref="T25:AC25" si="35">IF(T$18="","",T35/Units/12)</f>
        <v/>
      </c>
      <c r="U25" s="365" t="str">
        <f t="shared" si="35"/>
        <v/>
      </c>
      <c r="V25" s="365" t="str">
        <f t="shared" si="35"/>
        <v/>
      </c>
      <c r="W25" s="365" t="str">
        <f t="shared" si="35"/>
        <v/>
      </c>
      <c r="X25" s="365" t="str">
        <f t="shared" si="35"/>
        <v/>
      </c>
      <c r="Y25" s="365" t="str">
        <f t="shared" si="35"/>
        <v/>
      </c>
      <c r="Z25" s="365" t="str">
        <f t="shared" si="35"/>
        <v/>
      </c>
      <c r="AA25" s="365" t="str">
        <f t="shared" si="35"/>
        <v/>
      </c>
      <c r="AB25" s="365" t="str">
        <f t="shared" si="35"/>
        <v/>
      </c>
      <c r="AC25" s="366" t="str">
        <f t="shared" si="35"/>
        <v/>
      </c>
    </row>
    <row r="26" spans="2:29" x14ac:dyDescent="0.3">
      <c r="B26" s="233" t="s">
        <v>45</v>
      </c>
      <c r="C26" s="162"/>
      <c r="D26" s="234"/>
      <c r="E26" s="234"/>
      <c r="F26" s="363"/>
      <c r="G26" s="363"/>
      <c r="H26" s="234"/>
      <c r="I26" s="262">
        <f>IF(I$18="","",I35/G35-1)</f>
        <v>-0.18176033032655348</v>
      </c>
      <c r="J26" s="262">
        <f t="shared" ref="J26:O26" si="36">IF(J$18="","",J35/I35-1)</f>
        <v>2.8007198665715993E-3</v>
      </c>
      <c r="K26" s="262">
        <f t="shared" si="36"/>
        <v>3.0000000000000027E-2</v>
      </c>
      <c r="L26" s="262">
        <f t="shared" si="36"/>
        <v>3.0000000000000027E-2</v>
      </c>
      <c r="M26" s="262">
        <f t="shared" si="36"/>
        <v>3.0000000000000027E-2</v>
      </c>
      <c r="N26" s="262">
        <f t="shared" si="36"/>
        <v>3.0000000000000027E-2</v>
      </c>
      <c r="O26" s="262" t="str">
        <f t="shared" si="36"/>
        <v/>
      </c>
      <c r="P26" s="262" t="str">
        <f t="shared" ref="P26:S26" si="37">IF(P$18="","",P35/O35-1)</f>
        <v/>
      </c>
      <c r="Q26" s="262" t="str">
        <f t="shared" si="37"/>
        <v/>
      </c>
      <c r="R26" s="262" t="str">
        <f t="shared" si="37"/>
        <v/>
      </c>
      <c r="S26" s="262" t="str">
        <f t="shared" si="37"/>
        <v/>
      </c>
      <c r="T26" s="262" t="str">
        <f t="shared" ref="T26" si="38">IF(T$18="","",T35/S35-1)</f>
        <v/>
      </c>
      <c r="U26" s="262" t="str">
        <f t="shared" ref="U26" si="39">IF(U$18="","",U35/T35-1)</f>
        <v/>
      </c>
      <c r="V26" s="262" t="str">
        <f t="shared" ref="V26" si="40">IF(V$18="","",V35/U35-1)</f>
        <v/>
      </c>
      <c r="W26" s="262" t="str">
        <f t="shared" ref="W26" si="41">IF(W$18="","",W35/V35-1)</f>
        <v/>
      </c>
      <c r="X26" s="262" t="str">
        <f t="shared" ref="X26" si="42">IF(X$18="","",X35/W35-1)</f>
        <v/>
      </c>
      <c r="Y26" s="262" t="str">
        <f t="shared" ref="Y26" si="43">IF(Y$18="","",Y35/X35-1)</f>
        <v/>
      </c>
      <c r="Z26" s="262" t="str">
        <f t="shared" ref="Z26" si="44">IF(Z$18="","",Z35/Y35-1)</f>
        <v/>
      </c>
      <c r="AA26" s="262" t="str">
        <f t="shared" ref="AA26" si="45">IF(AA$18="","",AA35/Z35-1)</f>
        <v/>
      </c>
      <c r="AB26" s="262" t="str">
        <f t="shared" ref="AB26" si="46">IF(AB$18="","",AB35/AA35-1)</f>
        <v/>
      </c>
      <c r="AC26" s="262" t="str">
        <f t="shared" ref="AC26" si="47">IF(AC$18="","",AC35/AB35-1)</f>
        <v/>
      </c>
    </row>
    <row r="27" spans="2:29" x14ac:dyDescent="0.3">
      <c r="B27" s="233" t="s">
        <v>46</v>
      </c>
      <c r="C27" s="162"/>
      <c r="D27" s="234"/>
      <c r="E27" s="234"/>
      <c r="F27" s="227">
        <f>IF(F$18="","",F40/F35)</f>
        <v>0.2233138111776089</v>
      </c>
      <c r="G27" s="227">
        <f>IF(G$18="","",G40/G35)</f>
        <v>0.11781724500215636</v>
      </c>
      <c r="H27" s="607">
        <f>IF(H$18="","",H40/H35)</f>
        <v>0.92</v>
      </c>
      <c r="I27" s="262">
        <f>IF(I$18="","",I40/I35)</f>
        <v>0.93702999779836949</v>
      </c>
      <c r="J27" s="262">
        <f t="shared" ref="J27:S27" si="48">IF(J$18="","",J40/J35)</f>
        <v>0.93702999779836937</v>
      </c>
      <c r="K27" s="262">
        <f>IF(K$18="","",K40/K35)</f>
        <v>0.9370299977983696</v>
      </c>
      <c r="L27" s="262">
        <f>IF(L$18="","",L40/L35)</f>
        <v>0.93702999779836937</v>
      </c>
      <c r="M27" s="262">
        <f>IF(M$18="","",M40/M35)</f>
        <v>0.93702999779836937</v>
      </c>
      <c r="N27" s="262">
        <f>IF(N$18="","",N40/N35)</f>
        <v>0.93702999779836949</v>
      </c>
      <c r="O27" s="262" t="str">
        <f t="shared" si="48"/>
        <v/>
      </c>
      <c r="P27" s="262" t="str">
        <f t="shared" si="48"/>
        <v/>
      </c>
      <c r="Q27" s="262" t="str">
        <f t="shared" si="48"/>
        <v/>
      </c>
      <c r="R27" s="262" t="str">
        <f t="shared" si="48"/>
        <v/>
      </c>
      <c r="S27" s="262" t="str">
        <f t="shared" si="48"/>
        <v/>
      </c>
      <c r="T27" s="262" t="str">
        <f t="shared" ref="T27:AC27" si="49">IF(T$18="","",T40/T35)</f>
        <v/>
      </c>
      <c r="U27" s="262" t="str">
        <f t="shared" si="49"/>
        <v/>
      </c>
      <c r="V27" s="262" t="str">
        <f t="shared" si="49"/>
        <v/>
      </c>
      <c r="W27" s="262" t="str">
        <f t="shared" si="49"/>
        <v/>
      </c>
      <c r="X27" s="262" t="str">
        <f t="shared" si="49"/>
        <v/>
      </c>
      <c r="Y27" s="262" t="str">
        <f t="shared" si="49"/>
        <v/>
      </c>
      <c r="Z27" s="262" t="str">
        <f t="shared" si="49"/>
        <v/>
      </c>
      <c r="AA27" s="262" t="str">
        <f t="shared" si="49"/>
        <v/>
      </c>
      <c r="AB27" s="262" t="str">
        <f t="shared" si="49"/>
        <v/>
      </c>
      <c r="AC27" s="262" t="str">
        <f t="shared" si="49"/>
        <v/>
      </c>
    </row>
    <row r="28" spans="2:29" x14ac:dyDescent="0.3">
      <c r="B28" s="235" t="s">
        <v>47</v>
      </c>
      <c r="C28" s="226"/>
      <c r="D28" s="237"/>
      <c r="E28" s="237"/>
      <c r="F28" s="237"/>
      <c r="G28" s="237"/>
      <c r="H28" s="237"/>
      <c r="I28" s="364">
        <f>IF(I$18="","",I40/G40-1)</f>
        <v>5.5076646110560077</v>
      </c>
      <c r="J28" s="364">
        <f t="shared" ref="J28:O28" si="50">IF(J$18="","",J40/I40-1)</f>
        <v>2.8007198665713773E-3</v>
      </c>
      <c r="K28" s="364">
        <f t="shared" si="50"/>
        <v>3.0000000000000027E-2</v>
      </c>
      <c r="L28" s="364">
        <f t="shared" si="50"/>
        <v>2.9999999999999805E-2</v>
      </c>
      <c r="M28" s="364">
        <f t="shared" si="50"/>
        <v>3.0000000000000027E-2</v>
      </c>
      <c r="N28" s="364">
        <f t="shared" si="50"/>
        <v>3.0000000000000027E-2</v>
      </c>
      <c r="O28" s="364" t="str">
        <f t="shared" si="50"/>
        <v/>
      </c>
      <c r="P28" s="364" t="str">
        <f t="shared" ref="P28:S28" si="51">IF(P$18="","",P40/O40-1)</f>
        <v/>
      </c>
      <c r="Q28" s="364" t="str">
        <f t="shared" si="51"/>
        <v/>
      </c>
      <c r="R28" s="364" t="str">
        <f t="shared" si="51"/>
        <v/>
      </c>
      <c r="S28" s="364" t="str">
        <f t="shared" si="51"/>
        <v/>
      </c>
      <c r="T28" s="364" t="str">
        <f t="shared" ref="T28" si="52">IF(T$18="","",T40/S40-1)</f>
        <v/>
      </c>
      <c r="U28" s="364" t="str">
        <f t="shared" ref="U28" si="53">IF(U$18="","",U40/T40-1)</f>
        <v/>
      </c>
      <c r="V28" s="364" t="str">
        <f t="shared" ref="V28" si="54">IF(V$18="","",V40/U40-1)</f>
        <v/>
      </c>
      <c r="W28" s="364" t="str">
        <f t="shared" ref="W28" si="55">IF(W$18="","",W40/V40-1)</f>
        <v/>
      </c>
      <c r="X28" s="364" t="str">
        <f t="shared" ref="X28" si="56">IF(X$18="","",X40/W40-1)</f>
        <v/>
      </c>
      <c r="Y28" s="364" t="str">
        <f t="shared" ref="Y28" si="57">IF(Y$18="","",Y40/X40-1)</f>
        <v/>
      </c>
      <c r="Z28" s="364" t="str">
        <f t="shared" ref="Z28" si="58">IF(Z$18="","",Z40/Y40-1)</f>
        <v/>
      </c>
      <c r="AA28" s="364" t="str">
        <f t="shared" ref="AA28" si="59">IF(AA$18="","",AA40/Z40-1)</f>
        <v/>
      </c>
      <c r="AB28" s="364" t="str">
        <f t="shared" ref="AB28" si="60">IF(AB$18="","",AB40/AA40-1)</f>
        <v/>
      </c>
      <c r="AC28" s="364" t="str">
        <f t="shared" ref="AC28" si="61">IF(AC$18="","",AC40/AB40-1)</f>
        <v/>
      </c>
    </row>
    <row r="29" spans="2:29" x14ac:dyDescent="0.3">
      <c r="J29" s="377"/>
    </row>
    <row r="30" spans="2:29" x14ac:dyDescent="0.3">
      <c r="B30" s="152" t="s">
        <v>48</v>
      </c>
      <c r="C30" s="546"/>
      <c r="D30" s="81" t="s">
        <v>49</v>
      </c>
      <c r="E30" s="81" t="s">
        <v>61</v>
      </c>
      <c r="F30" s="81" t="str">
        <f>F18</f>
        <v>T3</v>
      </c>
      <c r="G30" s="81" t="s">
        <v>38</v>
      </c>
      <c r="H30" s="81" t="s">
        <v>311</v>
      </c>
      <c r="I30" s="150">
        <v>1</v>
      </c>
      <c r="J30" s="150">
        <f>IF(I30&lt;$C$13+1,I30+1,"")</f>
        <v>2</v>
      </c>
      <c r="K30" s="150">
        <f>IF(J30&lt;$C$13+1,J30+1,"")</f>
        <v>3</v>
      </c>
      <c r="L30" s="150">
        <f t="shared" ref="L30:S30" si="62">IF(K30&lt;$C$13+1,K30+1,"")</f>
        <v>4</v>
      </c>
      <c r="M30" s="150">
        <f t="shared" si="62"/>
        <v>5</v>
      </c>
      <c r="N30" s="150">
        <f t="shared" si="62"/>
        <v>6</v>
      </c>
      <c r="O30" s="150" t="str">
        <f>IF(N30&lt;$C$13+1,N30+1,"")</f>
        <v/>
      </c>
      <c r="P30" s="150" t="str">
        <f t="shared" si="62"/>
        <v/>
      </c>
      <c r="Q30" s="150" t="str">
        <f t="shared" si="62"/>
        <v/>
      </c>
      <c r="R30" s="150" t="str">
        <f t="shared" si="62"/>
        <v/>
      </c>
      <c r="S30" s="150" t="str">
        <f t="shared" si="62"/>
        <v/>
      </c>
      <c r="T30" s="150" t="str">
        <f t="shared" ref="T30" si="63">IF(S30&lt;$C$13+1,S30+1,"")</f>
        <v/>
      </c>
      <c r="U30" s="150" t="str">
        <f t="shared" ref="U30" si="64">IF(T30&lt;$C$13+1,T30+1,"")</f>
        <v/>
      </c>
      <c r="V30" s="150" t="str">
        <f t="shared" ref="V30" si="65">IF(U30&lt;$C$13+1,U30+1,"")</f>
        <v/>
      </c>
      <c r="W30" s="150" t="str">
        <f t="shared" ref="W30" si="66">IF(V30&lt;$C$13+1,V30+1,"")</f>
        <v/>
      </c>
      <c r="X30" s="150" t="str">
        <f t="shared" ref="X30" si="67">IF(W30&lt;$C$13+1,W30+1,"")</f>
        <v/>
      </c>
      <c r="Y30" s="150" t="str">
        <f t="shared" ref="Y30" si="68">IF(X30&lt;$C$13+1,X30+1,"")</f>
        <v/>
      </c>
      <c r="Z30" s="150" t="str">
        <f t="shared" ref="Z30" si="69">IF(Y30&lt;$C$13+1,Y30+1,"")</f>
        <v/>
      </c>
      <c r="AA30" s="150" t="str">
        <f t="shared" ref="AA30" si="70">IF(Z30&lt;$C$13+1,Z30+1,"")</f>
        <v/>
      </c>
      <c r="AB30" s="150" t="str">
        <f t="shared" ref="AB30" si="71">IF(AA30&lt;$C$13+1,AA30+1,"")</f>
        <v/>
      </c>
      <c r="AC30" s="153" t="str">
        <f t="shared" ref="AC30" si="72">IF(AB30&lt;$C$13+1,AB30+1,"")</f>
        <v/>
      </c>
    </row>
    <row r="31" spans="2:29" x14ac:dyDescent="0.3">
      <c r="B31" s="138" t="s">
        <v>50</v>
      </c>
      <c r="C31" s="162"/>
      <c r="D31" s="242">
        <f t="shared" ref="D31:D44" si="73">G31/Units</f>
        <v>29282.704545454544</v>
      </c>
      <c r="E31" s="242">
        <f t="shared" ref="E31:E40" si="74">I31/Units</f>
        <v>23563.18181818182</v>
      </c>
      <c r="F31" s="242">
        <f>'Historical Analysis'!X9</f>
        <v>3121240</v>
      </c>
      <c r="G31" s="242">
        <f>'Historical Analysis'!W9</f>
        <v>3865317</v>
      </c>
      <c r="H31" s="554">
        <v>3104400</v>
      </c>
      <c r="I31" s="240" cm="1">
        <f t="array" ref="I31">(SUMPRODUCT(Rent!$K$9:$K$28*(Rent!$L$9:$L$28=Rent!$K$8),Rent!$D$9:$D$28)+SUMPRODUCT(Rent!$J$9:$J$28*(Rent!$L$9:$L$28=Rent!$J$8),Rent!$D$9:$D$28))*12</f>
        <v>3110340</v>
      </c>
      <c r="J31" s="240">
        <f t="shared" ref="J31:AC31" si="75">IF(J$30&gt;$C$13+1,"",I$31*(1+$H$7))</f>
        <v>3203650.2</v>
      </c>
      <c r="K31" s="240">
        <f t="shared" si="75"/>
        <v>3299759.7060000002</v>
      </c>
      <c r="L31" s="240">
        <f t="shared" si="75"/>
        <v>3398752.4971800004</v>
      </c>
      <c r="M31" s="240">
        <f t="shared" si="75"/>
        <v>3500715.0720954007</v>
      </c>
      <c r="N31" s="240">
        <f t="shared" si="75"/>
        <v>3605736.5242582629</v>
      </c>
      <c r="O31" s="240" t="str">
        <f t="shared" si="75"/>
        <v/>
      </c>
      <c r="P31" s="240" t="str">
        <f t="shared" si="75"/>
        <v/>
      </c>
      <c r="Q31" s="240" t="str">
        <f t="shared" si="75"/>
        <v/>
      </c>
      <c r="R31" s="240" t="str">
        <f t="shared" si="75"/>
        <v/>
      </c>
      <c r="S31" s="240" t="str">
        <f t="shared" si="75"/>
        <v/>
      </c>
      <c r="T31" s="240" t="str">
        <f t="shared" si="75"/>
        <v/>
      </c>
      <c r="U31" s="240" t="str">
        <f t="shared" si="75"/>
        <v/>
      </c>
      <c r="V31" s="240" t="str">
        <f t="shared" si="75"/>
        <v/>
      </c>
      <c r="W31" s="240" t="str">
        <f t="shared" si="75"/>
        <v/>
      </c>
      <c r="X31" s="240" t="str">
        <f t="shared" si="75"/>
        <v/>
      </c>
      <c r="Y31" s="240" t="str">
        <f t="shared" si="75"/>
        <v/>
      </c>
      <c r="Z31" s="240" t="str">
        <f t="shared" si="75"/>
        <v/>
      </c>
      <c r="AA31" s="240" t="str">
        <f t="shared" si="75"/>
        <v/>
      </c>
      <c r="AB31" s="240" t="str">
        <f t="shared" si="75"/>
        <v/>
      </c>
      <c r="AC31" s="241" t="str">
        <f t="shared" si="75"/>
        <v/>
      </c>
    </row>
    <row r="32" spans="2:29" x14ac:dyDescent="0.3">
      <c r="B32" s="138" t="s">
        <v>51</v>
      </c>
      <c r="C32" s="162"/>
      <c r="D32" s="559">
        <f t="shared" si="73"/>
        <v>0</v>
      </c>
      <c r="E32" s="559">
        <f t="shared" si="74"/>
        <v>0</v>
      </c>
      <c r="F32" s="559">
        <f>'Historical Analysis'!X10</f>
        <v>0</v>
      </c>
      <c r="G32" s="559">
        <f>'Historical Analysis'!W10</f>
        <v>0</v>
      </c>
      <c r="H32" s="555">
        <v>0</v>
      </c>
      <c r="I32" s="203">
        <f>Rent!I57*12/3</f>
        <v>0</v>
      </c>
      <c r="J32" s="203">
        <f>IF(J30&lt;=$C$13+1,(Rent!I57*12/3)+I32*(1+$H$7),"")</f>
        <v>0</v>
      </c>
      <c r="K32" s="203">
        <f>IF(K30&lt;=$C$13+1,(Rent!I57*12/3)+J32*(1+$H$7),"")</f>
        <v>0</v>
      </c>
      <c r="L32" s="240">
        <f t="shared" ref="L32:AC32" si="76">IF(L30&lt;=$C$13+1,K32*(1+$H$7),"")</f>
        <v>0</v>
      </c>
      <c r="M32" s="240">
        <f t="shared" si="76"/>
        <v>0</v>
      </c>
      <c r="N32" s="240">
        <f t="shared" si="76"/>
        <v>0</v>
      </c>
      <c r="O32" s="240" t="str">
        <f t="shared" si="76"/>
        <v/>
      </c>
      <c r="P32" s="240" t="str">
        <f t="shared" si="76"/>
        <v/>
      </c>
      <c r="Q32" s="240" t="str">
        <f t="shared" si="76"/>
        <v/>
      </c>
      <c r="R32" s="240" t="str">
        <f t="shared" si="76"/>
        <v/>
      </c>
      <c r="S32" s="240" t="str">
        <f t="shared" si="76"/>
        <v/>
      </c>
      <c r="T32" s="240" t="str">
        <f t="shared" si="76"/>
        <v/>
      </c>
      <c r="U32" s="240" t="str">
        <f t="shared" si="76"/>
        <v/>
      </c>
      <c r="V32" s="240" t="str">
        <f t="shared" si="76"/>
        <v/>
      </c>
      <c r="W32" s="240" t="str">
        <f t="shared" si="76"/>
        <v/>
      </c>
      <c r="X32" s="240" t="str">
        <f t="shared" si="76"/>
        <v/>
      </c>
      <c r="Y32" s="240" t="str">
        <f t="shared" si="76"/>
        <v/>
      </c>
      <c r="Z32" s="240" t="str">
        <f t="shared" si="76"/>
        <v/>
      </c>
      <c r="AA32" s="240" t="str">
        <f t="shared" si="76"/>
        <v/>
      </c>
      <c r="AB32" s="240" t="str">
        <f t="shared" si="76"/>
        <v/>
      </c>
      <c r="AC32" s="241" t="str">
        <f t="shared" si="76"/>
        <v/>
      </c>
    </row>
    <row r="33" spans="2:29" x14ac:dyDescent="0.3">
      <c r="B33" s="97" t="s">
        <v>52</v>
      </c>
      <c r="C33" s="547"/>
      <c r="D33" s="560">
        <f t="shared" si="73"/>
        <v>29282.704545454544</v>
      </c>
      <c r="E33" s="560">
        <f t="shared" si="74"/>
        <v>23563.18181818182</v>
      </c>
      <c r="F33" s="560">
        <f>F31+F32</f>
        <v>3121240</v>
      </c>
      <c r="G33" s="560">
        <f>G31+G32</f>
        <v>3865317</v>
      </c>
      <c r="H33" s="556">
        <f>SUM(H31:H32)</f>
        <v>3104400</v>
      </c>
      <c r="I33" s="166">
        <f t="shared" ref="I33:AC33" si="77">IF(I$30&lt;=$C$13+1,I31+I32,"")</f>
        <v>3110340</v>
      </c>
      <c r="J33" s="166">
        <f t="shared" si="77"/>
        <v>3203650.2</v>
      </c>
      <c r="K33" s="166">
        <f>IF(K$30&lt;=$C$13+1,K31+K32,"")</f>
        <v>3299759.7060000002</v>
      </c>
      <c r="L33" s="166">
        <f>IF(L$30&lt;=$C$13+1,L31+L32,"")</f>
        <v>3398752.4971800004</v>
      </c>
      <c r="M33" s="166">
        <f>IF(M$30&lt;=$C$13+1,M31+M32,"")</f>
        <v>3500715.0720954007</v>
      </c>
      <c r="N33" s="166">
        <f>IF(N$30&lt;=$C$13+1,N31+N32,"")</f>
        <v>3605736.5242582629</v>
      </c>
      <c r="O33" s="166" t="str">
        <f t="shared" si="77"/>
        <v/>
      </c>
      <c r="P33" s="166" t="str">
        <f t="shared" si="77"/>
        <v/>
      </c>
      <c r="Q33" s="166" t="str">
        <f t="shared" si="77"/>
        <v/>
      </c>
      <c r="R33" s="166" t="str">
        <f t="shared" si="77"/>
        <v/>
      </c>
      <c r="S33" s="166" t="str">
        <f t="shared" si="77"/>
        <v/>
      </c>
      <c r="T33" s="166" t="str">
        <f t="shared" si="77"/>
        <v/>
      </c>
      <c r="U33" s="166" t="str">
        <f t="shared" si="77"/>
        <v/>
      </c>
      <c r="V33" s="166" t="str">
        <f t="shared" si="77"/>
        <v/>
      </c>
      <c r="W33" s="166" t="str">
        <f t="shared" si="77"/>
        <v/>
      </c>
      <c r="X33" s="166" t="str">
        <f t="shared" si="77"/>
        <v/>
      </c>
      <c r="Y33" s="166" t="str">
        <f t="shared" si="77"/>
        <v/>
      </c>
      <c r="Z33" s="166" t="str">
        <f t="shared" si="77"/>
        <v/>
      </c>
      <c r="AA33" s="166" t="str">
        <f t="shared" si="77"/>
        <v/>
      </c>
      <c r="AB33" s="166" t="str">
        <f t="shared" si="77"/>
        <v/>
      </c>
      <c r="AC33" s="167" t="str">
        <f t="shared" si="77"/>
        <v/>
      </c>
    </row>
    <row r="34" spans="2:29" x14ac:dyDescent="0.3">
      <c r="B34" s="138" t="s">
        <v>39</v>
      </c>
      <c r="C34" s="162"/>
      <c r="D34" s="242">
        <f t="shared" si="73"/>
        <v>0</v>
      </c>
      <c r="E34" s="242">
        <f t="shared" si="74"/>
        <v>397.08867623604073</v>
      </c>
      <c r="F34" s="242">
        <f>'Historical Analysis'!X12</f>
        <v>0</v>
      </c>
      <c r="G34" s="242">
        <f>'Historical Analysis'!W12</f>
        <v>0</v>
      </c>
      <c r="H34" s="554">
        <v>0</v>
      </c>
      <c r="I34" s="240">
        <f>IF(I$30&lt;=$C$13+1,I35-I33,"")</f>
        <v>52415.705263157375</v>
      </c>
      <c r="J34" s="240">
        <f>IF(J$30&lt;=$C$13+1,-J19*J33,"")</f>
        <v>-32036.502000000004</v>
      </c>
      <c r="K34" s="240">
        <f t="shared" ref="K34:AC34" si="78">IF(K$30&lt;=$C$13+1,-K19*K33,"")</f>
        <v>-32997.59706</v>
      </c>
      <c r="L34" s="240">
        <f t="shared" si="78"/>
        <v>-33987.524971800005</v>
      </c>
      <c r="M34" s="240">
        <f t="shared" si="78"/>
        <v>-35007.150720954007</v>
      </c>
      <c r="N34" s="240">
        <f t="shared" si="78"/>
        <v>-36057.365242582629</v>
      </c>
      <c r="O34" s="240" t="str">
        <f t="shared" si="78"/>
        <v/>
      </c>
      <c r="P34" s="240" t="str">
        <f t="shared" si="78"/>
        <v/>
      </c>
      <c r="Q34" s="240" t="str">
        <f t="shared" si="78"/>
        <v/>
      </c>
      <c r="R34" s="240" t="str">
        <f t="shared" si="78"/>
        <v/>
      </c>
      <c r="S34" s="240" t="str">
        <f t="shared" si="78"/>
        <v/>
      </c>
      <c r="T34" s="240" t="str">
        <f t="shared" si="78"/>
        <v/>
      </c>
      <c r="U34" s="240" t="str">
        <f t="shared" si="78"/>
        <v/>
      </c>
      <c r="V34" s="240" t="str">
        <f t="shared" si="78"/>
        <v/>
      </c>
      <c r="W34" s="240" t="str">
        <f t="shared" si="78"/>
        <v/>
      </c>
      <c r="X34" s="240" t="str">
        <f t="shared" si="78"/>
        <v/>
      </c>
      <c r="Y34" s="240" t="str">
        <f t="shared" si="78"/>
        <v/>
      </c>
      <c r="Z34" s="240" t="str">
        <f t="shared" si="78"/>
        <v/>
      </c>
      <c r="AA34" s="240" t="str">
        <f t="shared" si="78"/>
        <v/>
      </c>
      <c r="AB34" s="240" t="str">
        <f t="shared" si="78"/>
        <v/>
      </c>
      <c r="AC34" s="241" t="str">
        <f t="shared" si="78"/>
        <v/>
      </c>
    </row>
    <row r="35" spans="2:29" x14ac:dyDescent="0.3">
      <c r="B35" s="99" t="s">
        <v>53</v>
      </c>
      <c r="C35" s="548"/>
      <c r="D35" s="561">
        <f t="shared" si="73"/>
        <v>29282.704545454544</v>
      </c>
      <c r="E35" s="561">
        <f t="shared" si="74"/>
        <v>23960.270494417859</v>
      </c>
      <c r="F35" s="561">
        <f>F33+F34</f>
        <v>3121240</v>
      </c>
      <c r="G35" s="561">
        <f>G33+G34</f>
        <v>3865317</v>
      </c>
      <c r="H35" s="557">
        <f>SUM(H33:H34)</f>
        <v>3104400</v>
      </c>
      <c r="I35" s="6">
        <f>IF(I$30&lt;=$C$13+1,Rent!N29*12,"")</f>
        <v>3162755.7052631574</v>
      </c>
      <c r="J35" s="6">
        <f t="shared" ref="J35:AC35" si="79">IF(J$30&lt;=$C$13+1,J33+J34,"")</f>
        <v>3171613.6980000003</v>
      </c>
      <c r="K35" s="6">
        <f>IF(K$30&lt;=$C$13+1,K33+K34,"")</f>
        <v>3266762.1089400002</v>
      </c>
      <c r="L35" s="6">
        <f>IF(L$30&lt;=$C$13+1,L33+L34,"")</f>
        <v>3364764.9722082005</v>
      </c>
      <c r="M35" s="6">
        <f>IF(M$30&lt;=$C$13+1,M33+M34,"")</f>
        <v>3465707.9213744467</v>
      </c>
      <c r="N35" s="6">
        <f>IF(N$30&lt;=$C$13+1,N33+N34,"")</f>
        <v>3569679.1590156802</v>
      </c>
      <c r="O35" s="6" t="str">
        <f t="shared" si="79"/>
        <v/>
      </c>
      <c r="P35" s="6" t="str">
        <f t="shared" si="79"/>
        <v/>
      </c>
      <c r="Q35" s="6" t="str">
        <f t="shared" si="79"/>
        <v/>
      </c>
      <c r="R35" s="6" t="str">
        <f t="shared" si="79"/>
        <v/>
      </c>
      <c r="S35" s="6" t="str">
        <f t="shared" si="79"/>
        <v/>
      </c>
      <c r="T35" s="6" t="str">
        <f t="shared" si="79"/>
        <v/>
      </c>
      <c r="U35" s="6" t="str">
        <f t="shared" si="79"/>
        <v/>
      </c>
      <c r="V35" s="6" t="str">
        <f t="shared" si="79"/>
        <v/>
      </c>
      <c r="W35" s="6" t="str">
        <f t="shared" si="79"/>
        <v/>
      </c>
      <c r="X35" s="6" t="str">
        <f t="shared" si="79"/>
        <v/>
      </c>
      <c r="Y35" s="6" t="str">
        <f t="shared" si="79"/>
        <v/>
      </c>
      <c r="Z35" s="6" t="str">
        <f t="shared" si="79"/>
        <v/>
      </c>
      <c r="AA35" s="6" t="str">
        <f t="shared" si="79"/>
        <v/>
      </c>
      <c r="AB35" s="6" t="str">
        <f t="shared" si="79"/>
        <v/>
      </c>
      <c r="AC35" s="125" t="str">
        <f t="shared" si="79"/>
        <v/>
      </c>
    </row>
    <row r="36" spans="2:29" x14ac:dyDescent="0.3">
      <c r="B36" s="138" t="s">
        <v>40</v>
      </c>
      <c r="C36" s="162"/>
      <c r="D36" s="242">
        <f t="shared" si="73"/>
        <v>-24791.71212121212</v>
      </c>
      <c r="E36" s="242">
        <f t="shared" si="74"/>
        <v>-1198.013524720893</v>
      </c>
      <c r="F36" s="242">
        <f>'Historical Analysis'!X14</f>
        <v>-2176944</v>
      </c>
      <c r="G36" s="242">
        <f>'Historical Analysis'!W14</f>
        <v>-3272506</v>
      </c>
      <c r="H36" s="554">
        <v>-155220</v>
      </c>
      <c r="I36" s="240">
        <f t="shared" ref="I36:AC36" si="80">IF(I$30&lt;=$C$13+1,-I$35*I20,"")</f>
        <v>-158137.78526315789</v>
      </c>
      <c r="J36" s="240">
        <f t="shared" si="80"/>
        <v>-158580.68490000002</v>
      </c>
      <c r="K36" s="240">
        <f t="shared" ref="K36:N39" si="81">IF(K$30&lt;=$C$13+1,-K$35*K20,"")</f>
        <v>-163338.10544700001</v>
      </c>
      <c r="L36" s="240">
        <f t="shared" si="81"/>
        <v>-168238.24861041002</v>
      </c>
      <c r="M36" s="240">
        <f t="shared" si="81"/>
        <v>-173285.39606872236</v>
      </c>
      <c r="N36" s="240">
        <f t="shared" si="81"/>
        <v>-178483.95795078401</v>
      </c>
      <c r="O36" s="240" t="str">
        <f t="shared" si="80"/>
        <v/>
      </c>
      <c r="P36" s="240" t="str">
        <f t="shared" si="80"/>
        <v/>
      </c>
      <c r="Q36" s="240" t="str">
        <f t="shared" si="80"/>
        <v/>
      </c>
      <c r="R36" s="240" t="str">
        <f t="shared" si="80"/>
        <v/>
      </c>
      <c r="S36" s="240" t="str">
        <f t="shared" si="80"/>
        <v/>
      </c>
      <c r="T36" s="240" t="str">
        <f t="shared" si="80"/>
        <v/>
      </c>
      <c r="U36" s="240" t="str">
        <f t="shared" si="80"/>
        <v/>
      </c>
      <c r="V36" s="240" t="str">
        <f t="shared" si="80"/>
        <v/>
      </c>
      <c r="W36" s="240" t="str">
        <f t="shared" si="80"/>
        <v/>
      </c>
      <c r="X36" s="240" t="str">
        <f t="shared" si="80"/>
        <v/>
      </c>
      <c r="Y36" s="240" t="str">
        <f t="shared" si="80"/>
        <v/>
      </c>
      <c r="Z36" s="240" t="str">
        <f t="shared" si="80"/>
        <v/>
      </c>
      <c r="AA36" s="240" t="str">
        <f t="shared" si="80"/>
        <v/>
      </c>
      <c r="AB36" s="240" t="str">
        <f t="shared" si="80"/>
        <v/>
      </c>
      <c r="AC36" s="241" t="str">
        <f t="shared" si="80"/>
        <v/>
      </c>
    </row>
    <row r="37" spans="2:29" x14ac:dyDescent="0.3">
      <c r="B37" s="138" t="s">
        <v>41</v>
      </c>
      <c r="C37" s="162"/>
      <c r="D37" s="242">
        <f t="shared" si="73"/>
        <v>-954.0151515151515</v>
      </c>
      <c r="E37" s="242">
        <f t="shared" si="74"/>
        <v>-239.60270494417861</v>
      </c>
      <c r="F37" s="242">
        <f>'Historical Analysis'!X15</f>
        <v>-247280</v>
      </c>
      <c r="G37" s="242">
        <f>'Historical Analysis'!W15</f>
        <v>-125930</v>
      </c>
      <c r="H37" s="554">
        <v>-93132</v>
      </c>
      <c r="I37" s="242">
        <f>IF(I$30&lt;=$C$13+1,-I$35*I21,"")</f>
        <v>-31627.557052631575</v>
      </c>
      <c r="J37" s="242">
        <f t="shared" ref="J37:AC37" si="82">IF(J$30&lt;=$C$13+1,-J$35*J21,"")</f>
        <v>-31716.136980000003</v>
      </c>
      <c r="K37" s="242">
        <f t="shared" si="81"/>
        <v>-32667.621089400003</v>
      </c>
      <c r="L37" s="242">
        <f t="shared" si="81"/>
        <v>-33647.649722082002</v>
      </c>
      <c r="M37" s="242">
        <f t="shared" si="81"/>
        <v>-34657.079213744466</v>
      </c>
      <c r="N37" s="242">
        <f t="shared" si="81"/>
        <v>-35696.791590156805</v>
      </c>
      <c r="O37" s="242" t="str">
        <f t="shared" si="82"/>
        <v/>
      </c>
      <c r="P37" s="242" t="str">
        <f t="shared" si="82"/>
        <v/>
      </c>
      <c r="Q37" s="242" t="str">
        <f t="shared" si="82"/>
        <v/>
      </c>
      <c r="R37" s="242" t="str">
        <f t="shared" si="82"/>
        <v/>
      </c>
      <c r="S37" s="242" t="str">
        <f t="shared" si="82"/>
        <v/>
      </c>
      <c r="T37" s="242" t="str">
        <f t="shared" si="82"/>
        <v/>
      </c>
      <c r="U37" s="242" t="str">
        <f t="shared" si="82"/>
        <v/>
      </c>
      <c r="V37" s="242" t="str">
        <f t="shared" si="82"/>
        <v/>
      </c>
      <c r="W37" s="242" t="str">
        <f t="shared" si="82"/>
        <v/>
      </c>
      <c r="X37" s="242" t="str">
        <f t="shared" si="82"/>
        <v/>
      </c>
      <c r="Y37" s="242" t="str">
        <f t="shared" si="82"/>
        <v/>
      </c>
      <c r="Z37" s="242" t="str">
        <f t="shared" si="82"/>
        <v/>
      </c>
      <c r="AA37" s="242" t="str">
        <f t="shared" si="82"/>
        <v/>
      </c>
      <c r="AB37" s="242" t="str">
        <f t="shared" si="82"/>
        <v/>
      </c>
      <c r="AC37" s="243" t="str">
        <f t="shared" si="82"/>
        <v/>
      </c>
    </row>
    <row r="38" spans="2:29" x14ac:dyDescent="0.3">
      <c r="B38" s="138" t="s">
        <v>54</v>
      </c>
      <c r="C38" s="162"/>
      <c r="D38" s="242">
        <f t="shared" si="73"/>
        <v>0</v>
      </c>
      <c r="E38" s="242">
        <f t="shared" si="74"/>
        <v>0</v>
      </c>
      <c r="F38" s="242">
        <f>'Historical Analysis'!X16</f>
        <v>0</v>
      </c>
      <c r="G38" s="242">
        <f>'Historical Analysis'!W16</f>
        <v>0</v>
      </c>
      <c r="H38" s="554">
        <v>0</v>
      </c>
      <c r="I38" s="242">
        <f>IF(I$30&lt;=$C$13+1,-I$35*I22,"")</f>
        <v>0</v>
      </c>
      <c r="J38" s="242">
        <f t="shared" ref="J38:AC38" si="83">IF(J$30&lt;=$C$13+1,-J$35*J22,"")</f>
        <v>0</v>
      </c>
      <c r="K38" s="242">
        <f t="shared" si="83"/>
        <v>0</v>
      </c>
      <c r="L38" s="242">
        <f t="shared" si="83"/>
        <v>0</v>
      </c>
      <c r="M38" s="242">
        <f t="shared" si="83"/>
        <v>0</v>
      </c>
      <c r="N38" s="242">
        <f t="shared" si="83"/>
        <v>0</v>
      </c>
      <c r="O38" s="242" t="str">
        <f t="shared" si="83"/>
        <v/>
      </c>
      <c r="P38" s="242" t="str">
        <f t="shared" si="83"/>
        <v/>
      </c>
      <c r="Q38" s="242" t="str">
        <f t="shared" si="83"/>
        <v/>
      </c>
      <c r="R38" s="242" t="str">
        <f t="shared" si="83"/>
        <v/>
      </c>
      <c r="S38" s="242" t="str">
        <f t="shared" si="83"/>
        <v/>
      </c>
      <c r="T38" s="242" t="str">
        <f t="shared" si="83"/>
        <v/>
      </c>
      <c r="U38" s="242" t="str">
        <f t="shared" si="83"/>
        <v/>
      </c>
      <c r="V38" s="242" t="str">
        <f t="shared" si="83"/>
        <v/>
      </c>
      <c r="W38" s="242" t="str">
        <f t="shared" si="83"/>
        <v/>
      </c>
      <c r="X38" s="242" t="str">
        <f t="shared" si="83"/>
        <v/>
      </c>
      <c r="Y38" s="242" t="str">
        <f t="shared" si="83"/>
        <v/>
      </c>
      <c r="Z38" s="242" t="str">
        <f t="shared" si="83"/>
        <v/>
      </c>
      <c r="AA38" s="242" t="str">
        <f t="shared" si="83"/>
        <v/>
      </c>
      <c r="AB38" s="242" t="str">
        <f t="shared" si="83"/>
        <v/>
      </c>
      <c r="AC38" s="243" t="str">
        <f t="shared" si="83"/>
        <v/>
      </c>
    </row>
    <row r="39" spans="2:29" x14ac:dyDescent="0.3">
      <c r="B39" s="138" t="s">
        <v>43</v>
      </c>
      <c r="C39" s="162"/>
      <c r="D39" s="242">
        <f t="shared" si="73"/>
        <v>-86.969696969696969</v>
      </c>
      <c r="E39" s="242">
        <f t="shared" si="74"/>
        <v>-71.162056120084586</v>
      </c>
      <c r="F39" s="242">
        <f>'Historical Analysis'!X17</f>
        <v>0</v>
      </c>
      <c r="G39" s="242">
        <f>'Historical Analysis'!W17</f>
        <v>-11480</v>
      </c>
      <c r="H39" s="554">
        <v>0</v>
      </c>
      <c r="I39" s="242">
        <f t="shared" ref="I39:Z39" si="84">IF(I$30&lt;=$C$13+1,-I$35*I23,"")</f>
        <v>-9393.3914078511662</v>
      </c>
      <c r="J39" s="242">
        <f t="shared" si="84"/>
        <v>-9419.699665781618</v>
      </c>
      <c r="K39" s="242">
        <f t="shared" si="81"/>
        <v>-9702.290655755065</v>
      </c>
      <c r="L39" s="242">
        <f t="shared" si="81"/>
        <v>-9993.359375427719</v>
      </c>
      <c r="M39" s="242">
        <f t="shared" si="81"/>
        <v>-10293.16015669055</v>
      </c>
      <c r="N39" s="242">
        <f t="shared" si="81"/>
        <v>-10601.954961391268</v>
      </c>
      <c r="O39" s="242" t="str">
        <f t="shared" si="84"/>
        <v/>
      </c>
      <c r="P39" s="242" t="str">
        <f t="shared" si="84"/>
        <v/>
      </c>
      <c r="Q39" s="242" t="str">
        <f t="shared" si="84"/>
        <v/>
      </c>
      <c r="R39" s="242" t="str">
        <f t="shared" si="84"/>
        <v/>
      </c>
      <c r="S39" s="242" t="str">
        <f t="shared" si="84"/>
        <v/>
      </c>
      <c r="T39" s="242" t="str">
        <f t="shared" si="84"/>
        <v/>
      </c>
      <c r="U39" s="242" t="str">
        <f t="shared" si="84"/>
        <v/>
      </c>
      <c r="V39" s="242" t="str">
        <f t="shared" si="84"/>
        <v/>
      </c>
      <c r="W39" s="242" t="str">
        <f t="shared" si="84"/>
        <v/>
      </c>
      <c r="X39" s="242" t="str">
        <f t="shared" si="84"/>
        <v/>
      </c>
      <c r="Y39" s="242" t="str">
        <f t="shared" si="84"/>
        <v/>
      </c>
      <c r="Z39" s="242" t="str">
        <f t="shared" si="84"/>
        <v/>
      </c>
      <c r="AA39" s="242" t="str">
        <f>IF(AA$30&lt;=$C$13+1,Z39*(1+$H$7),"")</f>
        <v/>
      </c>
      <c r="AB39" s="242" t="str">
        <f>IF(AB$30&lt;=$C$13+1,AA39*(1+$H$7),"")</f>
        <v/>
      </c>
      <c r="AC39" s="243" t="str">
        <f>IF(AC$30&lt;=$C$13+1,AB39*(1+$H$7),"")</f>
        <v/>
      </c>
    </row>
    <row r="40" spans="2:29" x14ac:dyDescent="0.3">
      <c r="B40" s="99" t="s">
        <v>55</v>
      </c>
      <c r="C40" s="548"/>
      <c r="D40" s="561">
        <f t="shared" si="73"/>
        <v>3450.007575757576</v>
      </c>
      <c r="E40" s="561">
        <f t="shared" si="74"/>
        <v>22451.492208632702</v>
      </c>
      <c r="F40" s="561">
        <f>F35+SUM(F36:F39)</f>
        <v>697016</v>
      </c>
      <c r="G40" s="561">
        <f>G35+SUM(G36:G39)</f>
        <v>455401</v>
      </c>
      <c r="H40" s="557">
        <f>SUM(H35:H39)</f>
        <v>2856048</v>
      </c>
      <c r="I40" s="6">
        <f t="shared" ref="I40:AC40" si="85">IF(I$30&lt;=$C$13+1,SUM(I35:I39),"")</f>
        <v>2963596.9715395169</v>
      </c>
      <c r="J40" s="6">
        <f t="shared" si="85"/>
        <v>2971897.1764542186</v>
      </c>
      <c r="K40" s="6">
        <f>IF(K$30&lt;=$C$13+1,SUM(K35:K39),"")</f>
        <v>3061054.0917478455</v>
      </c>
      <c r="L40" s="6">
        <f>IF(L$30&lt;=$C$13+1,SUM(L35:L39),"")</f>
        <v>3152885.7145002806</v>
      </c>
      <c r="M40" s="6">
        <f>IF(M$30&lt;=$C$13+1,SUM(M35:M39),"")</f>
        <v>3247472.2859352892</v>
      </c>
      <c r="N40" s="6">
        <f>IF(N$30&lt;=$C$13+1,SUM(N35:N39),"")</f>
        <v>3344896.4545133482</v>
      </c>
      <c r="O40" s="6" t="str">
        <f t="shared" si="85"/>
        <v/>
      </c>
      <c r="P40" s="6" t="str">
        <f t="shared" si="85"/>
        <v/>
      </c>
      <c r="Q40" s="6" t="str">
        <f t="shared" si="85"/>
        <v/>
      </c>
      <c r="R40" s="6" t="str">
        <f t="shared" si="85"/>
        <v/>
      </c>
      <c r="S40" s="6" t="str">
        <f t="shared" si="85"/>
        <v/>
      </c>
      <c r="T40" s="6" t="str">
        <f t="shared" si="85"/>
        <v/>
      </c>
      <c r="U40" s="6" t="str">
        <f t="shared" si="85"/>
        <v/>
      </c>
      <c r="V40" s="6" t="str">
        <f t="shared" si="85"/>
        <v/>
      </c>
      <c r="W40" s="6" t="str">
        <f t="shared" si="85"/>
        <v/>
      </c>
      <c r="X40" s="6" t="str">
        <f t="shared" si="85"/>
        <v/>
      </c>
      <c r="Y40" s="6" t="str">
        <f t="shared" si="85"/>
        <v/>
      </c>
      <c r="Z40" s="6" t="str">
        <f t="shared" si="85"/>
        <v/>
      </c>
      <c r="AA40" s="6" t="str">
        <f t="shared" si="85"/>
        <v/>
      </c>
      <c r="AB40" s="6" t="str">
        <f t="shared" si="85"/>
        <v/>
      </c>
      <c r="AC40" s="125" t="str">
        <f t="shared" si="85"/>
        <v/>
      </c>
    </row>
    <row r="41" spans="2:29" x14ac:dyDescent="0.3">
      <c r="B41" s="138" t="s">
        <v>56</v>
      </c>
      <c r="C41" s="162"/>
      <c r="D41" s="240">
        <f t="shared" si="73"/>
        <v>4.4318181818181817</v>
      </c>
      <c r="E41" s="203">
        <v>15</v>
      </c>
      <c r="F41" s="240">
        <f>'Historical Analysis'!X19</f>
        <v>2340</v>
      </c>
      <c r="G41" s="240">
        <f>'Historical Analysis'!W19</f>
        <v>585</v>
      </c>
      <c r="H41" s="203">
        <f>173052+72230</f>
        <v>245282</v>
      </c>
      <c r="I41" s="240">
        <f>IF(I$46="","",E41*Units)</f>
        <v>1980</v>
      </c>
      <c r="J41" s="240">
        <f t="shared" ref="J41:AC41" si="86">IF(J$46="","",I41*(1+$H$9))</f>
        <v>2034.45</v>
      </c>
      <c r="K41" s="240">
        <f t="shared" si="86"/>
        <v>2090.397375</v>
      </c>
      <c r="L41" s="240">
        <f t="shared" si="86"/>
        <v>2147.8833028125</v>
      </c>
      <c r="M41" s="240">
        <f t="shared" si="86"/>
        <v>2206.950093639844</v>
      </c>
      <c r="N41" s="240">
        <f t="shared" si="86"/>
        <v>2267.6412212149398</v>
      </c>
      <c r="O41" s="240" t="str">
        <f t="shared" si="86"/>
        <v/>
      </c>
      <c r="P41" s="240" t="str">
        <f t="shared" si="86"/>
        <v/>
      </c>
      <c r="Q41" s="240" t="str">
        <f t="shared" si="86"/>
        <v/>
      </c>
      <c r="R41" s="240" t="str">
        <f t="shared" si="86"/>
        <v/>
      </c>
      <c r="S41" s="240" t="str">
        <f t="shared" si="86"/>
        <v/>
      </c>
      <c r="T41" s="240" t="str">
        <f t="shared" si="86"/>
        <v/>
      </c>
      <c r="U41" s="240" t="str">
        <f t="shared" si="86"/>
        <v/>
      </c>
      <c r="V41" s="240" t="str">
        <f t="shared" si="86"/>
        <v/>
      </c>
      <c r="W41" s="240" t="str">
        <f t="shared" si="86"/>
        <v/>
      </c>
      <c r="X41" s="240" t="str">
        <f t="shared" si="86"/>
        <v/>
      </c>
      <c r="Y41" s="240" t="str">
        <f t="shared" si="86"/>
        <v/>
      </c>
      <c r="Z41" s="240" t="str">
        <f t="shared" si="86"/>
        <v/>
      </c>
      <c r="AA41" s="240" t="str">
        <f t="shared" si="86"/>
        <v/>
      </c>
      <c r="AB41" s="240" t="str">
        <f t="shared" si="86"/>
        <v/>
      </c>
      <c r="AC41" s="241" t="str">
        <f t="shared" si="86"/>
        <v/>
      </c>
    </row>
    <row r="42" spans="2:29" x14ac:dyDescent="0.3">
      <c r="B42" s="138" t="s">
        <v>57</v>
      </c>
      <c r="C42" s="162"/>
      <c r="D42" s="505">
        <f t="shared" si="73"/>
        <v>0.93939393939393945</v>
      </c>
      <c r="E42" s="203">
        <v>5</v>
      </c>
      <c r="F42" s="240">
        <f>'Historical Analysis'!X20</f>
        <v>496</v>
      </c>
      <c r="G42" s="240">
        <f>'Historical Analysis'!W20</f>
        <v>124</v>
      </c>
      <c r="H42" s="203">
        <v>60192</v>
      </c>
      <c r="I42" s="240">
        <f>IF(I$46="","",E42*Units)</f>
        <v>660</v>
      </c>
      <c r="J42" s="240">
        <f>IF(J$30="","",(I42*(1+$H$9)))</f>
        <v>678.15000000000009</v>
      </c>
      <c r="K42" s="240">
        <f t="shared" ref="K42:AC42" si="87">IF(K$46="","",J42*(1+$H$9))</f>
        <v>696.79912500000012</v>
      </c>
      <c r="L42" s="240">
        <f t="shared" si="87"/>
        <v>715.96110093750019</v>
      </c>
      <c r="M42" s="240">
        <f t="shared" si="87"/>
        <v>735.65003121328152</v>
      </c>
      <c r="N42" s="240">
        <f t="shared" si="87"/>
        <v>755.8804070716468</v>
      </c>
      <c r="O42" s="240" t="str">
        <f t="shared" si="87"/>
        <v/>
      </c>
      <c r="P42" s="240" t="str">
        <f t="shared" si="87"/>
        <v/>
      </c>
      <c r="Q42" s="240" t="str">
        <f t="shared" si="87"/>
        <v/>
      </c>
      <c r="R42" s="240" t="str">
        <f t="shared" si="87"/>
        <v/>
      </c>
      <c r="S42" s="240" t="str">
        <f t="shared" si="87"/>
        <v/>
      </c>
      <c r="T42" s="240" t="str">
        <f t="shared" si="87"/>
        <v/>
      </c>
      <c r="U42" s="240" t="str">
        <f t="shared" si="87"/>
        <v/>
      </c>
      <c r="V42" s="240" t="str">
        <f t="shared" si="87"/>
        <v/>
      </c>
      <c r="W42" s="240" t="str">
        <f t="shared" si="87"/>
        <v/>
      </c>
      <c r="X42" s="240" t="str">
        <f t="shared" si="87"/>
        <v/>
      </c>
      <c r="Y42" s="240" t="str">
        <f t="shared" si="87"/>
        <v/>
      </c>
      <c r="Z42" s="240" t="str">
        <f t="shared" si="87"/>
        <v/>
      </c>
      <c r="AA42" s="240" t="str">
        <f t="shared" si="87"/>
        <v/>
      </c>
      <c r="AB42" s="240" t="str">
        <f t="shared" si="87"/>
        <v/>
      </c>
      <c r="AC42" s="241" t="str">
        <f t="shared" si="87"/>
        <v/>
      </c>
    </row>
    <row r="43" spans="2:29" x14ac:dyDescent="0.3">
      <c r="B43" s="138" t="s">
        <v>58</v>
      </c>
      <c r="C43" s="162"/>
      <c r="D43" s="242">
        <f t="shared" si="73"/>
        <v>215.21022727272728</v>
      </c>
      <c r="E43" s="554">
        <v>500</v>
      </c>
      <c r="F43" s="242">
        <f>'Historical Analysis'!X21</f>
        <v>45501</v>
      </c>
      <c r="G43" s="242">
        <f>'Historical Analysis'!W21</f>
        <v>28407.75</v>
      </c>
      <c r="H43" s="554">
        <f>5000+37620+3400+19320</f>
        <v>65340</v>
      </c>
      <c r="I43" s="242">
        <f>IF(I$46="","",E43*Units)</f>
        <v>66000</v>
      </c>
      <c r="J43" s="242">
        <f t="shared" ref="J43:AC43" si="88">IF(J$46="","",I43*(1+$H$8))</f>
        <v>67980</v>
      </c>
      <c r="K43" s="240">
        <f t="shared" si="88"/>
        <v>70019.400000000009</v>
      </c>
      <c r="L43" s="242">
        <f t="shared" si="88"/>
        <v>72119.982000000004</v>
      </c>
      <c r="M43" s="242">
        <f t="shared" si="88"/>
        <v>74283.581460000001</v>
      </c>
      <c r="N43" s="242">
        <f t="shared" si="88"/>
        <v>76512.088903800002</v>
      </c>
      <c r="O43" s="242" t="str">
        <f t="shared" si="88"/>
        <v/>
      </c>
      <c r="P43" s="242" t="str">
        <f t="shared" si="88"/>
        <v/>
      </c>
      <c r="Q43" s="242" t="str">
        <f t="shared" si="88"/>
        <v/>
      </c>
      <c r="R43" s="242" t="str">
        <f t="shared" si="88"/>
        <v/>
      </c>
      <c r="S43" s="242" t="str">
        <f t="shared" si="88"/>
        <v/>
      </c>
      <c r="T43" s="242" t="str">
        <f t="shared" si="88"/>
        <v/>
      </c>
      <c r="U43" s="242" t="str">
        <f t="shared" si="88"/>
        <v/>
      </c>
      <c r="V43" s="242" t="str">
        <f t="shared" si="88"/>
        <v/>
      </c>
      <c r="W43" s="242" t="str">
        <f t="shared" si="88"/>
        <v/>
      </c>
      <c r="X43" s="242" t="str">
        <f t="shared" si="88"/>
        <v/>
      </c>
      <c r="Y43" s="242" t="str">
        <f t="shared" si="88"/>
        <v/>
      </c>
      <c r="Z43" s="242" t="str">
        <f t="shared" si="88"/>
        <v/>
      </c>
      <c r="AA43" s="242" t="str">
        <f t="shared" si="88"/>
        <v/>
      </c>
      <c r="AB43" s="242" t="str">
        <f t="shared" si="88"/>
        <v/>
      </c>
      <c r="AC43" s="243" t="str">
        <f t="shared" si="88"/>
        <v/>
      </c>
    </row>
    <row r="44" spans="2:29" ht="15" thickBot="1" x14ac:dyDescent="0.35">
      <c r="B44" s="110" t="s">
        <v>59</v>
      </c>
      <c r="C44" s="3"/>
      <c r="D44" s="7">
        <f t="shared" si="73"/>
        <v>3670.589015151515</v>
      </c>
      <c r="E44" s="7">
        <f>J44/Units</f>
        <v>23049.922548895596</v>
      </c>
      <c r="F44" s="7">
        <f>SUM(F40:F43)</f>
        <v>745353</v>
      </c>
      <c r="G44" s="7">
        <f>SUM(G40:G43)</f>
        <v>484517.75</v>
      </c>
      <c r="H44" s="558">
        <f>SUM(H40:H43)</f>
        <v>3226862</v>
      </c>
      <c r="I44" s="109">
        <f>IF(I$30="","",SUM(I40:I43))</f>
        <v>3032236.9715395169</v>
      </c>
      <c r="J44" s="109">
        <f t="shared" ref="J44:AC44" si="89">IF(J$30="","",SUM(J40:J43))</f>
        <v>3042589.7764542187</v>
      </c>
      <c r="K44" s="109">
        <f>IF(K$30="","",SUM(K40:K43))</f>
        <v>3133860.6882478455</v>
      </c>
      <c r="L44" s="109">
        <f>IF(L$30="","",SUM(L40:L43))</f>
        <v>3227869.5409040302</v>
      </c>
      <c r="M44" s="109">
        <f>IF(M$30="","",SUM(M40:M43))</f>
        <v>3324698.4675201424</v>
      </c>
      <c r="N44" s="109">
        <f>IF(N$30="","",SUM(N40:N43))</f>
        <v>3424432.065045435</v>
      </c>
      <c r="O44" s="109" t="str">
        <f t="shared" si="89"/>
        <v/>
      </c>
      <c r="P44" s="109" t="str">
        <f t="shared" si="89"/>
        <v/>
      </c>
      <c r="Q44" s="109" t="str">
        <f t="shared" si="89"/>
        <v/>
      </c>
      <c r="R44" s="109" t="str">
        <f t="shared" si="89"/>
        <v/>
      </c>
      <c r="S44" s="109" t="str">
        <f t="shared" si="89"/>
        <v/>
      </c>
      <c r="T44" s="109" t="str">
        <f t="shared" si="89"/>
        <v/>
      </c>
      <c r="U44" s="109" t="str">
        <f t="shared" si="89"/>
        <v/>
      </c>
      <c r="V44" s="109" t="str">
        <f t="shared" si="89"/>
        <v/>
      </c>
      <c r="W44" s="109" t="str">
        <f t="shared" si="89"/>
        <v/>
      </c>
      <c r="X44" s="109" t="str">
        <f t="shared" si="89"/>
        <v/>
      </c>
      <c r="Y44" s="109" t="str">
        <f t="shared" si="89"/>
        <v/>
      </c>
      <c r="Z44" s="109" t="str">
        <f t="shared" si="89"/>
        <v/>
      </c>
      <c r="AA44" s="109" t="str">
        <f t="shared" si="89"/>
        <v/>
      </c>
      <c r="AB44" s="109" t="str">
        <f t="shared" si="89"/>
        <v/>
      </c>
      <c r="AC44" s="126" t="str">
        <f t="shared" si="89"/>
        <v/>
      </c>
    </row>
    <row r="45" spans="2:29" ht="15.6" thickTop="1" thickBot="1" x14ac:dyDescent="0.35">
      <c r="B45" s="137"/>
      <c r="H45" s="209"/>
      <c r="R45" s="379" t="str">
        <f t="shared" ref="R45:AC45" si="90">IF(R30&lt;=$C$13+1,R44-Q44,"")</f>
        <v/>
      </c>
      <c r="S45" s="379" t="str">
        <f t="shared" si="90"/>
        <v/>
      </c>
      <c r="T45" s="379" t="str">
        <f t="shared" si="90"/>
        <v/>
      </c>
      <c r="U45" s="379" t="str">
        <f t="shared" si="90"/>
        <v/>
      </c>
      <c r="V45" s="379" t="str">
        <f t="shared" si="90"/>
        <v/>
      </c>
      <c r="W45" s="379" t="str">
        <f t="shared" si="90"/>
        <v/>
      </c>
      <c r="X45" s="379" t="str">
        <f t="shared" si="90"/>
        <v/>
      </c>
      <c r="Y45" s="379" t="str">
        <f t="shared" si="90"/>
        <v/>
      </c>
      <c r="Z45" s="379" t="str">
        <f t="shared" si="90"/>
        <v/>
      </c>
      <c r="AA45" s="379" t="str">
        <f t="shared" si="90"/>
        <v/>
      </c>
      <c r="AB45" s="379" t="str">
        <f t="shared" si="90"/>
        <v/>
      </c>
      <c r="AC45" s="379" t="str">
        <f t="shared" si="90"/>
        <v/>
      </c>
    </row>
    <row r="46" spans="2:29" ht="15" thickBot="1" x14ac:dyDescent="0.35">
      <c r="B46" s="168" t="s">
        <v>60</v>
      </c>
      <c r="C46" s="549"/>
      <c r="D46" s="135" t="s">
        <v>49</v>
      </c>
      <c r="E46" s="135" t="s">
        <v>61</v>
      </c>
      <c r="F46" s="135" t="str">
        <f>F30</f>
        <v>T3</v>
      </c>
      <c r="G46" s="135" t="s">
        <v>38</v>
      </c>
      <c r="H46" s="135" t="s">
        <v>311</v>
      </c>
      <c r="I46" s="169">
        <v>1</v>
      </c>
      <c r="J46" s="169">
        <f>IF(I46&lt;$C$13+1,I46+1,"")</f>
        <v>2</v>
      </c>
      <c r="K46" s="169">
        <f>IF(J46&lt;$C$13+1,J46+1,"")</f>
        <v>3</v>
      </c>
      <c r="L46" s="169">
        <f t="shared" ref="L46:S46" si="91">IF(K46&lt;$C$13+1,K46+1,"")</f>
        <v>4</v>
      </c>
      <c r="M46" s="169">
        <f t="shared" si="91"/>
        <v>5</v>
      </c>
      <c r="N46" s="169">
        <f t="shared" si="91"/>
        <v>6</v>
      </c>
      <c r="O46" s="169" t="str">
        <f>IF(N46&lt;$C$13+1,N46+1,"")</f>
        <v/>
      </c>
      <c r="P46" s="169" t="str">
        <f t="shared" si="91"/>
        <v/>
      </c>
      <c r="Q46" s="169" t="str">
        <f t="shared" si="91"/>
        <v/>
      </c>
      <c r="R46" s="169" t="str">
        <f t="shared" si="91"/>
        <v/>
      </c>
      <c r="S46" s="169" t="str">
        <f t="shared" si="91"/>
        <v/>
      </c>
      <c r="T46" s="169" t="str">
        <f t="shared" ref="T46" si="92">IF(S46&lt;$C$13+1,S46+1,"")</f>
        <v/>
      </c>
      <c r="U46" s="169" t="str">
        <f t="shared" ref="U46" si="93">IF(T46&lt;$C$13+1,T46+1,"")</f>
        <v/>
      </c>
      <c r="V46" s="169" t="str">
        <f t="shared" ref="V46" si="94">IF(U46&lt;$C$13+1,U46+1,"")</f>
        <v/>
      </c>
      <c r="W46" s="169" t="str">
        <f t="shared" ref="W46" si="95">IF(V46&lt;$C$13+1,V46+1,"")</f>
        <v/>
      </c>
      <c r="X46" s="169" t="str">
        <f t="shared" ref="X46" si="96">IF(W46&lt;$C$13+1,W46+1,"")</f>
        <v/>
      </c>
      <c r="Y46" s="169" t="str">
        <f t="shared" ref="Y46" si="97">IF(X46&lt;$C$13+1,X46+1,"")</f>
        <v/>
      </c>
      <c r="Z46" s="169" t="str">
        <f t="shared" ref="Z46" si="98">IF(Y46&lt;$C$13+1,Y46+1,"")</f>
        <v/>
      </c>
      <c r="AA46" s="169" t="str">
        <f t="shared" ref="AA46" si="99">IF(Z46&lt;$C$13+1,Z46+1,"")</f>
        <v/>
      </c>
      <c r="AB46" s="169" t="str">
        <f t="shared" ref="AB46" si="100">IF(AA46&lt;$C$13+1,AA46+1,"")</f>
        <v/>
      </c>
      <c r="AC46" s="170" t="str">
        <f t="shared" ref="AC46" si="101">IF(AB46&lt;$C$13+1,AB46+1,"")</f>
        <v/>
      </c>
    </row>
    <row r="47" spans="2:29" x14ac:dyDescent="0.3">
      <c r="B47" s="138" t="s">
        <v>62</v>
      </c>
      <c r="C47" s="162"/>
      <c r="D47" s="240">
        <f t="shared" ref="D47:D59" si="102">G47/Units</f>
        <v>1390.6609090909089</v>
      </c>
      <c r="E47" s="203">
        <v>1450</v>
      </c>
      <c r="F47" s="240">
        <f>'Historical Analysis'!X25</f>
        <v>172429.23999999996</v>
      </c>
      <c r="G47" s="240">
        <f>'Historical Analysis'!W25</f>
        <v>183567.24</v>
      </c>
      <c r="H47" s="203">
        <f>20500+4500+6360+3500+8500+4500+600+600+7500+65000</f>
        <v>121560</v>
      </c>
      <c r="I47" s="240">
        <f t="shared" ref="I47:I52" si="103">IF(I$46="","",E47*Units)</f>
        <v>191400</v>
      </c>
      <c r="J47" s="240">
        <f t="shared" ref="J47:AC47" si="104">IF(J$46="","",I47*(1+$H$9))</f>
        <v>196663.50000000003</v>
      </c>
      <c r="K47" s="240">
        <f t="shared" si="104"/>
        <v>202071.74625000005</v>
      </c>
      <c r="L47" s="240">
        <f t="shared" si="104"/>
        <v>207628.71927187507</v>
      </c>
      <c r="M47" s="240">
        <f t="shared" si="104"/>
        <v>213338.50905185167</v>
      </c>
      <c r="N47" s="240">
        <f t="shared" si="104"/>
        <v>219205.3180507776</v>
      </c>
      <c r="O47" s="240" t="str">
        <f t="shared" si="104"/>
        <v/>
      </c>
      <c r="P47" s="240" t="str">
        <f t="shared" si="104"/>
        <v/>
      </c>
      <c r="Q47" s="240" t="str">
        <f t="shared" si="104"/>
        <v/>
      </c>
      <c r="R47" s="240" t="str">
        <f t="shared" si="104"/>
        <v/>
      </c>
      <c r="S47" s="240" t="str">
        <f t="shared" si="104"/>
        <v/>
      </c>
      <c r="T47" s="240" t="str">
        <f t="shared" si="104"/>
        <v/>
      </c>
      <c r="U47" s="240" t="str">
        <f t="shared" si="104"/>
        <v/>
      </c>
      <c r="V47" s="240" t="str">
        <f t="shared" si="104"/>
        <v/>
      </c>
      <c r="W47" s="240" t="str">
        <f t="shared" si="104"/>
        <v/>
      </c>
      <c r="X47" s="240" t="str">
        <f t="shared" si="104"/>
        <v/>
      </c>
      <c r="Y47" s="240" t="str">
        <f t="shared" si="104"/>
        <v/>
      </c>
      <c r="Z47" s="240" t="str">
        <f t="shared" si="104"/>
        <v/>
      </c>
      <c r="AA47" s="240" t="str">
        <f t="shared" si="104"/>
        <v/>
      </c>
      <c r="AB47" s="240" t="str">
        <f t="shared" si="104"/>
        <v/>
      </c>
      <c r="AC47" s="241" t="str">
        <f t="shared" si="104"/>
        <v/>
      </c>
    </row>
    <row r="48" spans="2:29" x14ac:dyDescent="0.3">
      <c r="B48" s="138" t="s">
        <v>63</v>
      </c>
      <c r="C48" s="162"/>
      <c r="D48" s="240">
        <f t="shared" si="102"/>
        <v>106.01946969696969</v>
      </c>
      <c r="E48" s="203">
        <v>150</v>
      </c>
      <c r="F48" s="240">
        <f>'Historical Analysis'!X26</f>
        <v>27232.760000000002</v>
      </c>
      <c r="G48" s="240">
        <f>'Historical Analysis'!W26</f>
        <v>13994.57</v>
      </c>
      <c r="H48" s="203">
        <v>21500</v>
      </c>
      <c r="I48" s="240">
        <f t="shared" si="103"/>
        <v>19800</v>
      </c>
      <c r="J48" s="240">
        <f t="shared" ref="J48:AC48" si="105">IF(J$46="","",I48*(1+$H$9))</f>
        <v>20344.5</v>
      </c>
      <c r="K48" s="240">
        <f t="shared" si="105"/>
        <v>20903.973750000001</v>
      </c>
      <c r="L48" s="240">
        <f t="shared" si="105"/>
        <v>21478.833028125002</v>
      </c>
      <c r="M48" s="240">
        <f t="shared" si="105"/>
        <v>22069.500936398443</v>
      </c>
      <c r="N48" s="240">
        <f t="shared" si="105"/>
        <v>22676.4122121494</v>
      </c>
      <c r="O48" s="240" t="str">
        <f t="shared" si="105"/>
        <v/>
      </c>
      <c r="P48" s="240" t="str">
        <f t="shared" si="105"/>
        <v/>
      </c>
      <c r="Q48" s="240" t="str">
        <f t="shared" si="105"/>
        <v/>
      </c>
      <c r="R48" s="240" t="str">
        <f t="shared" si="105"/>
        <v/>
      </c>
      <c r="S48" s="240" t="str">
        <f t="shared" si="105"/>
        <v/>
      </c>
      <c r="T48" s="240" t="str">
        <f t="shared" si="105"/>
        <v/>
      </c>
      <c r="U48" s="240" t="str">
        <f t="shared" si="105"/>
        <v/>
      </c>
      <c r="V48" s="240" t="str">
        <f t="shared" si="105"/>
        <v/>
      </c>
      <c r="W48" s="240" t="str">
        <f t="shared" si="105"/>
        <v/>
      </c>
      <c r="X48" s="240" t="str">
        <f t="shared" si="105"/>
        <v/>
      </c>
      <c r="Y48" s="240" t="str">
        <f t="shared" si="105"/>
        <v/>
      </c>
      <c r="Z48" s="240" t="str">
        <f t="shared" si="105"/>
        <v/>
      </c>
      <c r="AA48" s="240" t="str">
        <f t="shared" si="105"/>
        <v/>
      </c>
      <c r="AB48" s="240" t="str">
        <f t="shared" si="105"/>
        <v/>
      </c>
      <c r="AC48" s="241" t="str">
        <f t="shared" si="105"/>
        <v/>
      </c>
    </row>
    <row r="49" spans="2:29" x14ac:dyDescent="0.3">
      <c r="B49" s="138" t="s">
        <v>64</v>
      </c>
      <c r="C49" s="162"/>
      <c r="D49" s="240">
        <f t="shared" si="102"/>
        <v>112.61765151515152</v>
      </c>
      <c r="E49" s="203">
        <v>150</v>
      </c>
      <c r="F49" s="240">
        <f>'Historical Analysis'!X27</f>
        <v>11974</v>
      </c>
      <c r="G49" s="240">
        <f>'Historical Analysis'!W27</f>
        <v>14865.53</v>
      </c>
      <c r="H49" s="203">
        <f>11088+8844</f>
        <v>19932</v>
      </c>
      <c r="I49" s="240">
        <f t="shared" si="103"/>
        <v>19800</v>
      </c>
      <c r="J49" s="240">
        <f t="shared" ref="J49:AC49" si="106">IF(J$46="","",I49*(1+$H$9))</f>
        <v>20344.5</v>
      </c>
      <c r="K49" s="240">
        <f t="shared" si="106"/>
        <v>20903.973750000001</v>
      </c>
      <c r="L49" s="240">
        <f t="shared" si="106"/>
        <v>21478.833028125002</v>
      </c>
      <c r="M49" s="240">
        <f t="shared" si="106"/>
        <v>22069.500936398443</v>
      </c>
      <c r="N49" s="240">
        <f t="shared" si="106"/>
        <v>22676.4122121494</v>
      </c>
      <c r="O49" s="240" t="str">
        <f t="shared" si="106"/>
        <v/>
      </c>
      <c r="P49" s="240" t="str">
        <f t="shared" si="106"/>
        <v/>
      </c>
      <c r="Q49" s="240" t="str">
        <f t="shared" si="106"/>
        <v/>
      </c>
      <c r="R49" s="240" t="str">
        <f t="shared" si="106"/>
        <v/>
      </c>
      <c r="S49" s="240" t="str">
        <f t="shared" si="106"/>
        <v/>
      </c>
      <c r="T49" s="240" t="str">
        <f t="shared" si="106"/>
        <v/>
      </c>
      <c r="U49" s="240" t="str">
        <f t="shared" si="106"/>
        <v/>
      </c>
      <c r="V49" s="240" t="str">
        <f t="shared" si="106"/>
        <v/>
      </c>
      <c r="W49" s="240" t="str">
        <f t="shared" si="106"/>
        <v/>
      </c>
      <c r="X49" s="240" t="str">
        <f t="shared" si="106"/>
        <v/>
      </c>
      <c r="Y49" s="240" t="str">
        <f t="shared" si="106"/>
        <v/>
      </c>
      <c r="Z49" s="240" t="str">
        <f t="shared" si="106"/>
        <v/>
      </c>
      <c r="AA49" s="240" t="str">
        <f t="shared" si="106"/>
        <v/>
      </c>
      <c r="AB49" s="240" t="str">
        <f t="shared" si="106"/>
        <v/>
      </c>
      <c r="AC49" s="241" t="str">
        <f t="shared" si="106"/>
        <v/>
      </c>
    </row>
    <row r="50" spans="2:29" x14ac:dyDescent="0.3">
      <c r="B50" s="223" t="s">
        <v>65</v>
      </c>
      <c r="C50" s="224"/>
      <c r="D50" s="562">
        <f t="shared" si="102"/>
        <v>558.62825757575752</v>
      </c>
      <c r="E50" s="563">
        <v>625</v>
      </c>
      <c r="F50" s="562">
        <f>'Historical Analysis'!X28</f>
        <v>75831.679999999993</v>
      </c>
      <c r="G50" s="562">
        <f>'Historical Analysis'!W28</f>
        <v>73738.929999999993</v>
      </c>
      <c r="H50" s="563">
        <f>97500+5040+11274</f>
        <v>113814</v>
      </c>
      <c r="I50" s="562">
        <f t="shared" si="103"/>
        <v>82500</v>
      </c>
      <c r="J50" s="562">
        <f t="shared" ref="J50:AC50" si="107">IF(J$46="","",I50*(1+$H$9))</f>
        <v>84768.75</v>
      </c>
      <c r="K50" s="562">
        <f t="shared" si="107"/>
        <v>87099.890625</v>
      </c>
      <c r="L50" s="562">
        <f t="shared" si="107"/>
        <v>89495.137617187502</v>
      </c>
      <c r="M50" s="562">
        <f t="shared" si="107"/>
        <v>91956.253901660166</v>
      </c>
      <c r="N50" s="562">
        <f t="shared" si="107"/>
        <v>94485.050883955832</v>
      </c>
      <c r="O50" s="562" t="str">
        <f t="shared" si="107"/>
        <v/>
      </c>
      <c r="P50" s="562" t="str">
        <f t="shared" si="107"/>
        <v/>
      </c>
      <c r="Q50" s="562" t="str">
        <f t="shared" si="107"/>
        <v/>
      </c>
      <c r="R50" s="562" t="str">
        <f t="shared" si="107"/>
        <v/>
      </c>
      <c r="S50" s="562" t="str">
        <f t="shared" si="107"/>
        <v/>
      </c>
      <c r="T50" s="562" t="str">
        <f t="shared" si="107"/>
        <v/>
      </c>
      <c r="U50" s="562" t="str">
        <f t="shared" si="107"/>
        <v/>
      </c>
      <c r="V50" s="562" t="str">
        <f t="shared" si="107"/>
        <v/>
      </c>
      <c r="W50" s="562" t="str">
        <f t="shared" si="107"/>
        <v/>
      </c>
      <c r="X50" s="562" t="str">
        <f t="shared" si="107"/>
        <v/>
      </c>
      <c r="Y50" s="562" t="str">
        <f t="shared" si="107"/>
        <v/>
      </c>
      <c r="Z50" s="562" t="str">
        <f t="shared" si="107"/>
        <v/>
      </c>
      <c r="AA50" s="562" t="str">
        <f t="shared" si="107"/>
        <v/>
      </c>
      <c r="AB50" s="562" t="str">
        <f t="shared" si="107"/>
        <v/>
      </c>
      <c r="AC50" s="564" t="str">
        <f t="shared" si="107"/>
        <v/>
      </c>
    </row>
    <row r="51" spans="2:29" x14ac:dyDescent="0.3">
      <c r="B51" s="138" t="s">
        <v>66</v>
      </c>
      <c r="C51" s="162"/>
      <c r="D51" s="240">
        <f t="shared" si="102"/>
        <v>606.04265151515165</v>
      </c>
      <c r="E51" s="203">
        <v>650</v>
      </c>
      <c r="F51" s="240">
        <f>'Historical Analysis'!X29</f>
        <v>89185</v>
      </c>
      <c r="G51" s="240">
        <f>'Historical Analysis'!W29</f>
        <v>79997.630000000019</v>
      </c>
      <c r="H51" s="203">
        <f>37500+7200</f>
        <v>44700</v>
      </c>
      <c r="I51" s="240">
        <f t="shared" si="103"/>
        <v>85800</v>
      </c>
      <c r="J51" s="240">
        <f t="shared" ref="J51:AC51" si="108">IF(J$46="","",I51*(1+$H$9))</f>
        <v>88159.5</v>
      </c>
      <c r="K51" s="240">
        <f t="shared" si="108"/>
        <v>90583.88625000001</v>
      </c>
      <c r="L51" s="240">
        <f t="shared" si="108"/>
        <v>93074.943121875025</v>
      </c>
      <c r="M51" s="240">
        <f t="shared" si="108"/>
        <v>95634.50405772659</v>
      </c>
      <c r="N51" s="240">
        <f t="shared" si="108"/>
        <v>98264.452919314077</v>
      </c>
      <c r="O51" s="240" t="str">
        <f t="shared" si="108"/>
        <v/>
      </c>
      <c r="P51" s="240" t="str">
        <f t="shared" si="108"/>
        <v/>
      </c>
      <c r="Q51" s="240" t="str">
        <f t="shared" si="108"/>
        <v/>
      </c>
      <c r="R51" s="240" t="str">
        <f t="shared" si="108"/>
        <v/>
      </c>
      <c r="S51" s="240" t="str">
        <f t="shared" si="108"/>
        <v/>
      </c>
      <c r="T51" s="240" t="str">
        <f t="shared" si="108"/>
        <v/>
      </c>
      <c r="U51" s="240" t="str">
        <f t="shared" si="108"/>
        <v/>
      </c>
      <c r="V51" s="240" t="str">
        <f t="shared" si="108"/>
        <v/>
      </c>
      <c r="W51" s="240" t="str">
        <f t="shared" si="108"/>
        <v/>
      </c>
      <c r="X51" s="240" t="str">
        <f t="shared" si="108"/>
        <v/>
      </c>
      <c r="Y51" s="240" t="str">
        <f t="shared" si="108"/>
        <v/>
      </c>
      <c r="Z51" s="240" t="str">
        <f t="shared" si="108"/>
        <v/>
      </c>
      <c r="AA51" s="240" t="str">
        <f t="shared" si="108"/>
        <v/>
      </c>
      <c r="AB51" s="240" t="str">
        <f t="shared" si="108"/>
        <v/>
      </c>
      <c r="AC51" s="241" t="str">
        <f t="shared" si="108"/>
        <v/>
      </c>
    </row>
    <row r="52" spans="2:29" x14ac:dyDescent="0.3">
      <c r="B52" s="225" t="s">
        <v>67</v>
      </c>
      <c r="C52" s="226"/>
      <c r="D52" s="565">
        <f t="shared" si="102"/>
        <v>55.402196969696973</v>
      </c>
      <c r="E52" s="553">
        <v>100</v>
      </c>
      <c r="F52" s="565">
        <f>'Historical Analysis'!X30</f>
        <v>23186.400000000001</v>
      </c>
      <c r="G52" s="565">
        <f>'Historical Analysis'!W30</f>
        <v>7313.09</v>
      </c>
      <c r="H52" s="553">
        <f>22500+2700+2300</f>
        <v>27500</v>
      </c>
      <c r="I52" s="565">
        <f t="shared" si="103"/>
        <v>13200</v>
      </c>
      <c r="J52" s="565">
        <f t="shared" ref="J52:AC52" si="109">IF(J$46="","",I52*(1+$H$9))</f>
        <v>13563.000000000002</v>
      </c>
      <c r="K52" s="565">
        <f t="shared" si="109"/>
        <v>13935.982500000004</v>
      </c>
      <c r="L52" s="565">
        <f t="shared" si="109"/>
        <v>14319.222018750004</v>
      </c>
      <c r="M52" s="565">
        <f t="shared" si="109"/>
        <v>14713.000624265631</v>
      </c>
      <c r="N52" s="565">
        <f t="shared" si="109"/>
        <v>15117.608141432936</v>
      </c>
      <c r="O52" s="565" t="str">
        <f t="shared" si="109"/>
        <v/>
      </c>
      <c r="P52" s="565" t="str">
        <f t="shared" si="109"/>
        <v/>
      </c>
      <c r="Q52" s="565" t="str">
        <f t="shared" si="109"/>
        <v/>
      </c>
      <c r="R52" s="565" t="str">
        <f t="shared" si="109"/>
        <v/>
      </c>
      <c r="S52" s="565" t="str">
        <f t="shared" si="109"/>
        <v/>
      </c>
      <c r="T52" s="565" t="str">
        <f t="shared" si="109"/>
        <v/>
      </c>
      <c r="U52" s="565" t="str">
        <f t="shared" si="109"/>
        <v/>
      </c>
      <c r="V52" s="565" t="str">
        <f t="shared" si="109"/>
        <v/>
      </c>
      <c r="W52" s="565" t="str">
        <f t="shared" si="109"/>
        <v/>
      </c>
      <c r="X52" s="565" t="str">
        <f t="shared" si="109"/>
        <v/>
      </c>
      <c r="Y52" s="565" t="str">
        <f t="shared" si="109"/>
        <v/>
      </c>
      <c r="Z52" s="565" t="str">
        <f t="shared" si="109"/>
        <v/>
      </c>
      <c r="AA52" s="565" t="str">
        <f t="shared" si="109"/>
        <v/>
      </c>
      <c r="AB52" s="565" t="str">
        <f t="shared" si="109"/>
        <v/>
      </c>
      <c r="AC52" s="566" t="str">
        <f t="shared" si="109"/>
        <v/>
      </c>
    </row>
    <row r="53" spans="2:29" x14ac:dyDescent="0.3">
      <c r="B53" s="138" t="s">
        <v>68</v>
      </c>
      <c r="C53" s="162"/>
      <c r="D53" s="240">
        <f t="shared" si="102"/>
        <v>898.09560606060609</v>
      </c>
      <c r="E53" s="240">
        <f>I53/Units</f>
        <v>1213.6363636363637</v>
      </c>
      <c r="F53" s="240">
        <f>'Historical Analysis'!X33</f>
        <v>118548.59999999999</v>
      </c>
      <c r="G53" s="562">
        <f>'Historical Analysis'!W33</f>
        <v>118548.62000000001</v>
      </c>
      <c r="H53" s="203">
        <v>130000</v>
      </c>
      <c r="I53" s="240">
        <f>IF(I$46="","",IF($F$15="Y1 Tax T12 Based",$G$53,$H$15))</f>
        <v>160200</v>
      </c>
      <c r="J53" s="240">
        <f t="shared" ref="J53:AC53" si="110">IF(J$46="","",I53*(1+$H$16))</f>
        <v>165006</v>
      </c>
      <c r="K53" s="240">
        <f t="shared" si="110"/>
        <v>169956.18</v>
      </c>
      <c r="L53" s="240">
        <f t="shared" si="110"/>
        <v>175054.86540000001</v>
      </c>
      <c r="M53" s="240">
        <f t="shared" si="110"/>
        <v>180306.51136200002</v>
      </c>
      <c r="N53" s="240">
        <f t="shared" si="110"/>
        <v>185715.70670286001</v>
      </c>
      <c r="O53" s="240" t="str">
        <f t="shared" si="110"/>
        <v/>
      </c>
      <c r="P53" s="240" t="str">
        <f t="shared" si="110"/>
        <v/>
      </c>
      <c r="Q53" s="240" t="str">
        <f t="shared" si="110"/>
        <v/>
      </c>
      <c r="R53" s="240" t="str">
        <f t="shared" si="110"/>
        <v/>
      </c>
      <c r="S53" s="240" t="str">
        <f t="shared" si="110"/>
        <v/>
      </c>
      <c r="T53" s="240" t="str">
        <f t="shared" si="110"/>
        <v/>
      </c>
      <c r="U53" s="240" t="str">
        <f t="shared" si="110"/>
        <v/>
      </c>
      <c r="V53" s="240" t="str">
        <f t="shared" si="110"/>
        <v/>
      </c>
      <c r="W53" s="240" t="str">
        <f t="shared" si="110"/>
        <v/>
      </c>
      <c r="X53" s="240" t="str">
        <f t="shared" si="110"/>
        <v/>
      </c>
      <c r="Y53" s="240" t="str">
        <f t="shared" si="110"/>
        <v/>
      </c>
      <c r="Z53" s="240" t="str">
        <f t="shared" si="110"/>
        <v/>
      </c>
      <c r="AA53" s="240" t="str">
        <f t="shared" si="110"/>
        <v/>
      </c>
      <c r="AB53" s="240" t="str">
        <f t="shared" si="110"/>
        <v/>
      </c>
      <c r="AC53" s="241" t="str">
        <f t="shared" si="110"/>
        <v/>
      </c>
    </row>
    <row r="54" spans="2:29" x14ac:dyDescent="0.3">
      <c r="B54" s="225" t="s">
        <v>69</v>
      </c>
      <c r="C54" s="226"/>
      <c r="D54" s="565">
        <f t="shared" si="102"/>
        <v>229.64128787878789</v>
      </c>
      <c r="E54" s="565">
        <f>I54/Units</f>
        <v>631.71603573739947</v>
      </c>
      <c r="F54" s="565">
        <f>'Historical Analysis'!X35</f>
        <v>30000</v>
      </c>
      <c r="G54" s="565">
        <f>'Historical Analysis'!W35</f>
        <v>30312.65</v>
      </c>
      <c r="H54" s="553">
        <f>96806</f>
        <v>96806</v>
      </c>
      <c r="I54" s="565">
        <f t="shared" ref="I54:AC54" si="111">IF(I$46="","",I44*$H$10)</f>
        <v>83386.516717336723</v>
      </c>
      <c r="J54" s="565">
        <f t="shared" si="111"/>
        <v>83671.218852491016</v>
      </c>
      <c r="K54" s="565">
        <f t="shared" si="111"/>
        <v>86181.16892681575</v>
      </c>
      <c r="L54" s="565">
        <f t="shared" si="111"/>
        <v>88766.412374860825</v>
      </c>
      <c r="M54" s="565">
        <f t="shared" si="111"/>
        <v>91429.207856803914</v>
      </c>
      <c r="N54" s="565">
        <f t="shared" si="111"/>
        <v>94171.881788749466</v>
      </c>
      <c r="O54" s="565" t="str">
        <f t="shared" si="111"/>
        <v/>
      </c>
      <c r="P54" s="565" t="str">
        <f t="shared" si="111"/>
        <v/>
      </c>
      <c r="Q54" s="565" t="str">
        <f t="shared" si="111"/>
        <v/>
      </c>
      <c r="R54" s="565" t="str">
        <f t="shared" si="111"/>
        <v/>
      </c>
      <c r="S54" s="565" t="str">
        <f t="shared" si="111"/>
        <v/>
      </c>
      <c r="T54" s="565" t="str">
        <f t="shared" si="111"/>
        <v/>
      </c>
      <c r="U54" s="565" t="str">
        <f t="shared" si="111"/>
        <v/>
      </c>
      <c r="V54" s="565" t="str">
        <f t="shared" si="111"/>
        <v/>
      </c>
      <c r="W54" s="565" t="str">
        <f t="shared" si="111"/>
        <v/>
      </c>
      <c r="X54" s="565" t="str">
        <f t="shared" si="111"/>
        <v/>
      </c>
      <c r="Y54" s="565" t="str">
        <f t="shared" si="111"/>
        <v/>
      </c>
      <c r="Z54" s="565" t="str">
        <f t="shared" si="111"/>
        <v/>
      </c>
      <c r="AA54" s="565" t="str">
        <f t="shared" si="111"/>
        <v/>
      </c>
      <c r="AB54" s="565" t="str">
        <f t="shared" si="111"/>
        <v/>
      </c>
      <c r="AC54" s="566" t="str">
        <f t="shared" si="111"/>
        <v/>
      </c>
    </row>
    <row r="55" spans="2:29" x14ac:dyDescent="0.3">
      <c r="B55" s="138" t="s">
        <v>70</v>
      </c>
      <c r="C55" s="162"/>
      <c r="D55" s="240">
        <f>G55/Units</f>
        <v>1170.7020454545454</v>
      </c>
      <c r="E55" s="203">
        <v>1750</v>
      </c>
      <c r="F55" s="240">
        <f>'Historical Analysis'!X31</f>
        <v>147922.44</v>
      </c>
      <c r="G55" s="240">
        <f>'Historical Analysis'!W31</f>
        <v>154532.66999999998</v>
      </c>
      <c r="H55" s="203">
        <v>34750</v>
      </c>
      <c r="I55" s="240">
        <f>IF(I$46="","",E55*Units)</f>
        <v>231000</v>
      </c>
      <c r="J55" s="240">
        <f t="shared" ref="J55:AC55" si="112">IF(J$46="","",I55*(1+$H$9))</f>
        <v>237352.50000000003</v>
      </c>
      <c r="K55" s="240">
        <f t="shared" si="112"/>
        <v>243879.69375000003</v>
      </c>
      <c r="L55" s="240">
        <f t="shared" si="112"/>
        <v>250586.38532812506</v>
      </c>
      <c r="M55" s="240">
        <f t="shared" si="112"/>
        <v>257477.51092464852</v>
      </c>
      <c r="N55" s="240">
        <f t="shared" si="112"/>
        <v>264558.14247507637</v>
      </c>
      <c r="O55" s="240" t="str">
        <f t="shared" si="112"/>
        <v/>
      </c>
      <c r="P55" s="240" t="str">
        <f t="shared" si="112"/>
        <v/>
      </c>
      <c r="Q55" s="240" t="str">
        <f t="shared" si="112"/>
        <v/>
      </c>
      <c r="R55" s="240" t="str">
        <f t="shared" si="112"/>
        <v/>
      </c>
      <c r="S55" s="240" t="str">
        <f t="shared" si="112"/>
        <v/>
      </c>
      <c r="T55" s="240" t="str">
        <f t="shared" si="112"/>
        <v/>
      </c>
      <c r="U55" s="240" t="str">
        <f t="shared" si="112"/>
        <v/>
      </c>
      <c r="V55" s="240" t="str">
        <f t="shared" si="112"/>
        <v/>
      </c>
      <c r="W55" s="240" t="str">
        <f t="shared" si="112"/>
        <v/>
      </c>
      <c r="X55" s="240" t="str">
        <f t="shared" si="112"/>
        <v/>
      </c>
      <c r="Y55" s="240" t="str">
        <f t="shared" si="112"/>
        <v/>
      </c>
      <c r="Z55" s="240" t="str">
        <f t="shared" si="112"/>
        <v/>
      </c>
      <c r="AA55" s="240" t="str">
        <f t="shared" si="112"/>
        <v/>
      </c>
      <c r="AB55" s="240" t="str">
        <f t="shared" si="112"/>
        <v/>
      </c>
      <c r="AC55" s="241" t="str">
        <f t="shared" si="112"/>
        <v/>
      </c>
    </row>
    <row r="56" spans="2:29" x14ac:dyDescent="0.3">
      <c r="B56" s="138" t="s">
        <v>71</v>
      </c>
      <c r="C56" s="162"/>
      <c r="D56" s="240">
        <f>G56/Units</f>
        <v>726.37037878787874</v>
      </c>
      <c r="E56" s="203">
        <v>875</v>
      </c>
      <c r="F56" s="240">
        <f>'Historical Analysis'!X32</f>
        <v>98123.520000000004</v>
      </c>
      <c r="G56" s="240">
        <f>'Historical Analysis'!W32</f>
        <v>95880.89</v>
      </c>
      <c r="H56" s="203">
        <f>85000+92000</f>
        <v>177000</v>
      </c>
      <c r="I56" s="240">
        <f>IF(I$46="","",E56*Units)</f>
        <v>115500</v>
      </c>
      <c r="J56" s="240">
        <f t="shared" ref="J56:AC56" si="113">IF(J$46="","",I56*(1+$H$9))</f>
        <v>118676.25000000001</v>
      </c>
      <c r="K56" s="240">
        <f t="shared" si="113"/>
        <v>121939.84687500002</v>
      </c>
      <c r="L56" s="240">
        <f t="shared" si="113"/>
        <v>125293.19266406253</v>
      </c>
      <c r="M56" s="240">
        <f t="shared" si="113"/>
        <v>128738.75546232426</v>
      </c>
      <c r="N56" s="240">
        <f t="shared" si="113"/>
        <v>132279.07123753818</v>
      </c>
      <c r="O56" s="240" t="str">
        <f t="shared" si="113"/>
        <v/>
      </c>
      <c r="P56" s="240" t="str">
        <f t="shared" si="113"/>
        <v/>
      </c>
      <c r="Q56" s="240" t="str">
        <f t="shared" si="113"/>
        <v/>
      </c>
      <c r="R56" s="240" t="str">
        <f t="shared" si="113"/>
        <v/>
      </c>
      <c r="S56" s="240" t="str">
        <f t="shared" si="113"/>
        <v/>
      </c>
      <c r="T56" s="240" t="str">
        <f t="shared" si="113"/>
        <v/>
      </c>
      <c r="U56" s="240" t="str">
        <f t="shared" si="113"/>
        <v/>
      </c>
      <c r="V56" s="240" t="str">
        <f t="shared" si="113"/>
        <v/>
      </c>
      <c r="W56" s="240" t="str">
        <f t="shared" si="113"/>
        <v/>
      </c>
      <c r="X56" s="240" t="str">
        <f t="shared" si="113"/>
        <v/>
      </c>
      <c r="Y56" s="240" t="str">
        <f t="shared" si="113"/>
        <v/>
      </c>
      <c r="Z56" s="240" t="str">
        <f t="shared" si="113"/>
        <v/>
      </c>
      <c r="AA56" s="240" t="str">
        <f t="shared" si="113"/>
        <v/>
      </c>
      <c r="AB56" s="240" t="str">
        <f t="shared" si="113"/>
        <v/>
      </c>
      <c r="AC56" s="241" t="str">
        <f t="shared" si="113"/>
        <v/>
      </c>
    </row>
    <row r="57" spans="2:29" x14ac:dyDescent="0.3">
      <c r="B57" s="138" t="s">
        <v>72</v>
      </c>
      <c r="C57" s="162"/>
      <c r="D57" s="240">
        <f>G57/Units</f>
        <v>2655.0898484848481</v>
      </c>
      <c r="E57" s="203">
        <v>750</v>
      </c>
      <c r="F57" s="240">
        <f>'Historical Analysis'!X34</f>
        <v>819039.28</v>
      </c>
      <c r="G57" s="240">
        <f>'Historical Analysis'!W34</f>
        <v>350471.85999999993</v>
      </c>
      <c r="H57" s="203">
        <v>165000</v>
      </c>
      <c r="I57" s="240">
        <f>IF(I$46="","",E57*Units)</f>
        <v>99000</v>
      </c>
      <c r="J57" s="240">
        <f t="shared" ref="J57:AC57" si="114">IF(J$46="","",I57*(1+$H$9))</f>
        <v>101722.50000000001</v>
      </c>
      <c r="K57" s="240">
        <f t="shared" si="114"/>
        <v>104519.86875000002</v>
      </c>
      <c r="L57" s="240">
        <f t="shared" si="114"/>
        <v>107394.16514062503</v>
      </c>
      <c r="M57" s="240">
        <f t="shared" si="114"/>
        <v>110347.50468199223</v>
      </c>
      <c r="N57" s="240">
        <f t="shared" si="114"/>
        <v>113382.06106074703</v>
      </c>
      <c r="O57" s="240" t="str">
        <f t="shared" si="114"/>
        <v/>
      </c>
      <c r="P57" s="240" t="str">
        <f t="shared" si="114"/>
        <v/>
      </c>
      <c r="Q57" s="240" t="str">
        <f t="shared" si="114"/>
        <v/>
      </c>
      <c r="R57" s="240" t="str">
        <f t="shared" si="114"/>
        <v/>
      </c>
      <c r="S57" s="240" t="str">
        <f t="shared" si="114"/>
        <v/>
      </c>
      <c r="T57" s="240" t="str">
        <f t="shared" si="114"/>
        <v/>
      </c>
      <c r="U57" s="240" t="str">
        <f t="shared" si="114"/>
        <v/>
      </c>
      <c r="V57" s="240" t="str">
        <f t="shared" si="114"/>
        <v/>
      </c>
      <c r="W57" s="240" t="str">
        <f t="shared" si="114"/>
        <v/>
      </c>
      <c r="X57" s="240" t="str">
        <f t="shared" si="114"/>
        <v/>
      </c>
      <c r="Y57" s="240" t="str">
        <f t="shared" si="114"/>
        <v/>
      </c>
      <c r="Z57" s="240" t="str">
        <f t="shared" si="114"/>
        <v/>
      </c>
      <c r="AA57" s="240" t="str">
        <f t="shared" si="114"/>
        <v/>
      </c>
      <c r="AB57" s="240" t="str">
        <f t="shared" si="114"/>
        <v/>
      </c>
      <c r="AC57" s="241" t="str">
        <f t="shared" si="114"/>
        <v/>
      </c>
    </row>
    <row r="58" spans="2:29" ht="13.5" customHeight="1" x14ac:dyDescent="0.3">
      <c r="B58" s="138" t="s">
        <v>73</v>
      </c>
      <c r="C58" s="162"/>
      <c r="D58" s="240">
        <f t="shared" si="102"/>
        <v>336.09787878787881</v>
      </c>
      <c r="E58" s="203">
        <v>450</v>
      </c>
      <c r="F58" s="240">
        <f>'Historical Analysis'!X36</f>
        <v>85518.400000000009</v>
      </c>
      <c r="G58" s="240">
        <f>'Historical Analysis'!W36</f>
        <v>44364.920000000006</v>
      </c>
      <c r="H58" s="203">
        <f>350+350+6500+2000+2000+1500+2112+2876+612</f>
        <v>18300</v>
      </c>
      <c r="I58" s="240">
        <f>IF(I$46="","",E58*Units)</f>
        <v>59400</v>
      </c>
      <c r="J58" s="240">
        <f t="shared" ref="J58:AC58" si="115">IF(J$46="","",I58*(1+$H$9))</f>
        <v>61033.500000000007</v>
      </c>
      <c r="K58" s="240">
        <f t="shared" si="115"/>
        <v>62711.921250000014</v>
      </c>
      <c r="L58" s="240">
        <f t="shared" si="115"/>
        <v>64436.49908437502</v>
      </c>
      <c r="M58" s="240">
        <f t="shared" si="115"/>
        <v>66208.502809195343</v>
      </c>
      <c r="N58" s="240">
        <f t="shared" si="115"/>
        <v>68029.236636448215</v>
      </c>
      <c r="O58" s="240" t="str">
        <f t="shared" si="115"/>
        <v/>
      </c>
      <c r="P58" s="240" t="str">
        <f t="shared" si="115"/>
        <v/>
      </c>
      <c r="Q58" s="240" t="str">
        <f t="shared" si="115"/>
        <v/>
      </c>
      <c r="R58" s="240" t="str">
        <f t="shared" si="115"/>
        <v/>
      </c>
      <c r="S58" s="240" t="str">
        <f t="shared" si="115"/>
        <v/>
      </c>
      <c r="T58" s="240" t="str">
        <f t="shared" si="115"/>
        <v/>
      </c>
      <c r="U58" s="240" t="str">
        <f t="shared" si="115"/>
        <v/>
      </c>
      <c r="V58" s="240" t="str">
        <f t="shared" si="115"/>
        <v/>
      </c>
      <c r="W58" s="240" t="str">
        <f t="shared" si="115"/>
        <v/>
      </c>
      <c r="X58" s="240" t="str">
        <f t="shared" si="115"/>
        <v/>
      </c>
      <c r="Y58" s="240" t="str">
        <f t="shared" si="115"/>
        <v/>
      </c>
      <c r="Z58" s="240" t="str">
        <f t="shared" si="115"/>
        <v/>
      </c>
      <c r="AA58" s="240" t="str">
        <f t="shared" si="115"/>
        <v/>
      </c>
      <c r="AB58" s="240" t="str">
        <f t="shared" si="115"/>
        <v/>
      </c>
      <c r="AC58" s="241" t="str">
        <f t="shared" si="115"/>
        <v/>
      </c>
    </row>
    <row r="59" spans="2:29" x14ac:dyDescent="0.3">
      <c r="B59" s="138" t="s">
        <v>74</v>
      </c>
      <c r="C59" s="162"/>
      <c r="D59" s="240">
        <f t="shared" si="102"/>
        <v>13.886136363636364</v>
      </c>
      <c r="E59" s="203">
        <v>0</v>
      </c>
      <c r="F59" s="240">
        <f>'Historical Analysis'!X37</f>
        <v>0</v>
      </c>
      <c r="G59" s="240">
        <f>'Historical Analysis'!W37</f>
        <v>1832.97</v>
      </c>
      <c r="H59" s="203">
        <f>1500</f>
        <v>1500</v>
      </c>
      <c r="I59" s="240">
        <f>IF(I$46="","",E59*Units)</f>
        <v>0</v>
      </c>
      <c r="J59" s="240">
        <f t="shared" ref="J59:AC59" si="116">IF(J$46="","",I59*(1+$H$9))</f>
        <v>0</v>
      </c>
      <c r="K59" s="240">
        <f t="shared" si="116"/>
        <v>0</v>
      </c>
      <c r="L59" s="240">
        <f t="shared" si="116"/>
        <v>0</v>
      </c>
      <c r="M59" s="240">
        <f t="shared" si="116"/>
        <v>0</v>
      </c>
      <c r="N59" s="240">
        <f t="shared" si="116"/>
        <v>0</v>
      </c>
      <c r="O59" s="240" t="str">
        <f t="shared" si="116"/>
        <v/>
      </c>
      <c r="P59" s="240" t="str">
        <f t="shared" si="116"/>
        <v/>
      </c>
      <c r="Q59" s="240" t="str">
        <f t="shared" si="116"/>
        <v/>
      </c>
      <c r="R59" s="240" t="str">
        <f t="shared" si="116"/>
        <v/>
      </c>
      <c r="S59" s="240" t="str">
        <f t="shared" si="116"/>
        <v/>
      </c>
      <c r="T59" s="240" t="str">
        <f t="shared" si="116"/>
        <v/>
      </c>
      <c r="U59" s="240" t="str">
        <f t="shared" si="116"/>
        <v/>
      </c>
      <c r="V59" s="240" t="str">
        <f t="shared" si="116"/>
        <v/>
      </c>
      <c r="W59" s="240" t="str">
        <f t="shared" si="116"/>
        <v/>
      </c>
      <c r="X59" s="240" t="str">
        <f t="shared" si="116"/>
        <v/>
      </c>
      <c r="Y59" s="240" t="str">
        <f t="shared" si="116"/>
        <v/>
      </c>
      <c r="Z59" s="240" t="str">
        <f t="shared" si="116"/>
        <v/>
      </c>
      <c r="AA59" s="240" t="str">
        <f t="shared" si="116"/>
        <v/>
      </c>
      <c r="AB59" s="240" t="str">
        <f t="shared" si="116"/>
        <v/>
      </c>
      <c r="AC59" s="241" t="str">
        <f t="shared" si="116"/>
        <v/>
      </c>
    </row>
    <row r="60" spans="2:29" ht="15" thickBot="1" x14ac:dyDescent="0.35">
      <c r="B60" s="110" t="s">
        <v>75</v>
      </c>
      <c r="C60" s="3"/>
      <c r="D60" s="109">
        <f t="shared" ref="D60:N60" si="117">SUM(D47:D59)</f>
        <v>8859.2543181818182</v>
      </c>
      <c r="E60" s="109">
        <f t="shared" si="117"/>
        <v>8795.3523993737635</v>
      </c>
      <c r="F60" s="109">
        <f t="shared" si="117"/>
        <v>1698991.3199999998</v>
      </c>
      <c r="G60" s="109">
        <f t="shared" si="117"/>
        <v>1169421.5699999998</v>
      </c>
      <c r="H60" s="567">
        <f t="shared" si="117"/>
        <v>972362</v>
      </c>
      <c r="I60" s="109">
        <f t="shared" si="117"/>
        <v>1160986.5167173366</v>
      </c>
      <c r="J60" s="109">
        <f t="shared" si="117"/>
        <v>1191305.7188524911</v>
      </c>
      <c r="K60" s="109">
        <f t="shared" si="117"/>
        <v>1224688.1326768161</v>
      </c>
      <c r="L60" s="109">
        <f t="shared" si="117"/>
        <v>1259007.2080779863</v>
      </c>
      <c r="M60" s="109">
        <f t="shared" si="117"/>
        <v>1294289.2626052652</v>
      </c>
      <c r="N60" s="109">
        <f t="shared" si="117"/>
        <v>1330561.3543211985</v>
      </c>
      <c r="O60" s="109" t="str">
        <f t="shared" ref="O60:AC60" si="118">IF(O$46="","",SUM(O47:O59))</f>
        <v/>
      </c>
      <c r="P60" s="109" t="str">
        <f t="shared" si="118"/>
        <v/>
      </c>
      <c r="Q60" s="109" t="str">
        <f t="shared" si="118"/>
        <v/>
      </c>
      <c r="R60" s="109" t="str">
        <f t="shared" si="118"/>
        <v/>
      </c>
      <c r="S60" s="109" t="str">
        <f t="shared" si="118"/>
        <v/>
      </c>
      <c r="T60" s="109" t="str">
        <f t="shared" si="118"/>
        <v/>
      </c>
      <c r="U60" s="109" t="str">
        <f t="shared" si="118"/>
        <v/>
      </c>
      <c r="V60" s="109" t="str">
        <f t="shared" si="118"/>
        <v/>
      </c>
      <c r="W60" s="109" t="str">
        <f t="shared" si="118"/>
        <v/>
      </c>
      <c r="X60" s="109" t="str">
        <f t="shared" si="118"/>
        <v/>
      </c>
      <c r="Y60" s="109" t="str">
        <f t="shared" si="118"/>
        <v/>
      </c>
      <c r="Z60" s="109" t="str">
        <f t="shared" si="118"/>
        <v/>
      </c>
      <c r="AA60" s="109" t="str">
        <f t="shared" si="118"/>
        <v/>
      </c>
      <c r="AB60" s="109" t="str">
        <f t="shared" si="118"/>
        <v/>
      </c>
      <c r="AC60" s="126" t="str">
        <f t="shared" si="118"/>
        <v/>
      </c>
    </row>
    <row r="61" spans="2:29" ht="15" thickTop="1" x14ac:dyDescent="0.3">
      <c r="B61" s="425" t="s">
        <v>76</v>
      </c>
      <c r="C61" s="550"/>
      <c r="D61" s="171"/>
      <c r="E61" s="171"/>
      <c r="F61" s="423">
        <f t="shared" ref="F61:G61" si="119">IF(F$46="","",F60/F44)</f>
        <v>2.2794452024745322</v>
      </c>
      <c r="G61" s="423">
        <f t="shared" si="119"/>
        <v>2.4135783879950732</v>
      </c>
      <c r="H61" s="606">
        <f t="shared" ref="H61:AC61" si="120">IF(H$46="","",H60/H44)</f>
        <v>0.30133361761364447</v>
      </c>
      <c r="I61" s="423">
        <f t="shared" si="120"/>
        <v>0.38288119550494254</v>
      </c>
      <c r="J61" s="423">
        <f t="shared" si="120"/>
        <v>0.3915433253840806</v>
      </c>
      <c r="K61" s="423">
        <f t="shared" si="120"/>
        <v>0.39079214250635508</v>
      </c>
      <c r="L61" s="423">
        <f t="shared" si="120"/>
        <v>0.3900427796488255</v>
      </c>
      <c r="M61" s="423">
        <f t="shared" si="120"/>
        <v>0.38929523240965125</v>
      </c>
      <c r="N61" s="423">
        <f t="shared" si="120"/>
        <v>0.38854949639760039</v>
      </c>
      <c r="O61" s="423" t="str">
        <f t="shared" si="120"/>
        <v/>
      </c>
      <c r="P61" s="423" t="str">
        <f t="shared" si="120"/>
        <v/>
      </c>
      <c r="Q61" s="423" t="str">
        <f t="shared" si="120"/>
        <v/>
      </c>
      <c r="R61" s="423" t="str">
        <f t="shared" si="120"/>
        <v/>
      </c>
      <c r="S61" s="423" t="str">
        <f t="shared" si="120"/>
        <v/>
      </c>
      <c r="T61" s="423" t="str">
        <f t="shared" si="120"/>
        <v/>
      </c>
      <c r="U61" s="423" t="str">
        <f t="shared" si="120"/>
        <v/>
      </c>
      <c r="V61" s="423" t="str">
        <f t="shared" si="120"/>
        <v/>
      </c>
      <c r="W61" s="423" t="str">
        <f t="shared" si="120"/>
        <v/>
      </c>
      <c r="X61" s="423" t="str">
        <f t="shared" si="120"/>
        <v/>
      </c>
      <c r="Y61" s="423" t="str">
        <f t="shared" si="120"/>
        <v/>
      </c>
      <c r="Z61" s="423" t="str">
        <f t="shared" si="120"/>
        <v/>
      </c>
      <c r="AA61" s="423" t="str">
        <f t="shared" si="120"/>
        <v/>
      </c>
      <c r="AB61" s="423" t="str">
        <f t="shared" si="120"/>
        <v/>
      </c>
      <c r="AC61" s="424" t="str">
        <f t="shared" si="120"/>
        <v/>
      </c>
    </row>
    <row r="62" spans="2:29" x14ac:dyDescent="0.3">
      <c r="B62" s="137"/>
      <c r="D62" s="371"/>
      <c r="E62" s="371"/>
      <c r="H62" s="209"/>
      <c r="I62" s="380"/>
      <c r="J62" s="380"/>
      <c r="AC62" s="245"/>
    </row>
    <row r="63" spans="2:29" ht="15" thickBot="1" x14ac:dyDescent="0.35">
      <c r="B63" s="110" t="s">
        <v>304</v>
      </c>
      <c r="C63" s="3"/>
      <c r="D63" s="373"/>
      <c r="E63" s="109"/>
      <c r="F63" s="109">
        <f>F44-F60</f>
        <v>-953638.31999999983</v>
      </c>
      <c r="G63" s="109">
        <f>G44-G60</f>
        <v>-684903.81999999983</v>
      </c>
      <c r="H63" s="109">
        <f>H44-H60</f>
        <v>2254500</v>
      </c>
      <c r="I63" s="109">
        <f t="shared" ref="I63:V63" si="121">IF(I$46="","",I44-I60)</f>
        <v>1871250.4548221803</v>
      </c>
      <c r="J63" s="374">
        <f t="shared" si="121"/>
        <v>1851284.0576017275</v>
      </c>
      <c r="K63" s="109">
        <f t="shared" si="121"/>
        <v>1909172.5555710294</v>
      </c>
      <c r="L63" s="109">
        <f t="shared" si="121"/>
        <v>1968862.3328260439</v>
      </c>
      <c r="M63" s="109">
        <f t="shared" si="121"/>
        <v>2030409.2049148772</v>
      </c>
      <c r="N63" s="109">
        <f t="shared" si="121"/>
        <v>2093870.7107242364</v>
      </c>
      <c r="O63" s="109" t="str">
        <f t="shared" si="121"/>
        <v/>
      </c>
      <c r="P63" s="109" t="str">
        <f t="shared" si="121"/>
        <v/>
      </c>
      <c r="Q63" s="109" t="str">
        <f t="shared" si="121"/>
        <v/>
      </c>
      <c r="R63" s="109" t="str">
        <f t="shared" si="121"/>
        <v/>
      </c>
      <c r="S63" s="109" t="str">
        <f t="shared" si="121"/>
        <v/>
      </c>
      <c r="T63" s="109" t="str">
        <f t="shared" si="121"/>
        <v/>
      </c>
      <c r="U63" s="109" t="str">
        <f t="shared" si="121"/>
        <v/>
      </c>
      <c r="V63" s="109" t="str">
        <f t="shared" si="121"/>
        <v/>
      </c>
      <c r="W63" s="109" t="str">
        <f t="shared" ref="W63:AC63" si="122">IF(W$46="","",W44+W60)</f>
        <v/>
      </c>
      <c r="X63" s="109" t="str">
        <f t="shared" si="122"/>
        <v/>
      </c>
      <c r="Y63" s="109" t="str">
        <f t="shared" si="122"/>
        <v/>
      </c>
      <c r="Z63" s="109" t="str">
        <f t="shared" si="122"/>
        <v/>
      </c>
      <c r="AA63" s="109" t="str">
        <f t="shared" si="122"/>
        <v/>
      </c>
      <c r="AB63" s="109" t="str">
        <f t="shared" si="122"/>
        <v/>
      </c>
      <c r="AC63" s="126" t="str">
        <f t="shared" si="122"/>
        <v/>
      </c>
    </row>
    <row r="64" spans="2:29" ht="15" thickTop="1" x14ac:dyDescent="0.3">
      <c r="B64" s="249" t="s">
        <v>78</v>
      </c>
      <c r="C64" s="551"/>
      <c r="D64" s="258"/>
      <c r="E64" s="258"/>
      <c r="F64" s="258"/>
      <c r="G64" s="258"/>
      <c r="H64" s="258"/>
      <c r="I64" s="259">
        <f>IF(I$46="","",I63/G63-1)</f>
        <v>-3.7321361046317141</v>
      </c>
      <c r="J64" s="259">
        <f t="shared" ref="J64:AC64" si="123">IF(J$46="","",J63/I63-1)</f>
        <v>-1.0670082761502941E-2</v>
      </c>
      <c r="K64" s="259">
        <f>IF(K$46="","",K63/J63-1)</f>
        <v>3.1269376372361934E-2</v>
      </c>
      <c r="L64" s="259">
        <f>IF(L$46="","",L63/K63-1)</f>
        <v>3.1264736694877504E-2</v>
      </c>
      <c r="M64" s="259">
        <f>IF(M$46="","",M63/L63-1)</f>
        <v>3.1260119645079909E-2</v>
      </c>
      <c r="N64" s="259">
        <f>IF(N$46="","",N63/M63-1)</f>
        <v>3.125552507137086E-2</v>
      </c>
      <c r="O64" s="259" t="str">
        <f>IF(O$46="","",O63/N63-1)</f>
        <v/>
      </c>
      <c r="P64" s="259" t="str">
        <f t="shared" si="123"/>
        <v/>
      </c>
      <c r="Q64" s="259" t="str">
        <f t="shared" si="123"/>
        <v/>
      </c>
      <c r="R64" s="259" t="str">
        <f t="shared" si="123"/>
        <v/>
      </c>
      <c r="S64" s="259" t="str">
        <f t="shared" si="123"/>
        <v/>
      </c>
      <c r="T64" s="259" t="str">
        <f t="shared" si="123"/>
        <v/>
      </c>
      <c r="U64" s="259" t="str">
        <f t="shared" si="123"/>
        <v/>
      </c>
      <c r="V64" s="259" t="str">
        <f t="shared" si="123"/>
        <v/>
      </c>
      <c r="W64" s="259" t="str">
        <f t="shared" si="123"/>
        <v/>
      </c>
      <c r="X64" s="259" t="str">
        <f t="shared" si="123"/>
        <v/>
      </c>
      <c r="Y64" s="259" t="str">
        <f t="shared" si="123"/>
        <v/>
      </c>
      <c r="Z64" s="259" t="str">
        <f t="shared" si="123"/>
        <v/>
      </c>
      <c r="AA64" s="259" t="str">
        <f t="shared" si="123"/>
        <v/>
      </c>
      <c r="AB64" s="259" t="str">
        <f t="shared" si="123"/>
        <v/>
      </c>
      <c r="AC64" s="260" t="str">
        <f t="shared" si="123"/>
        <v/>
      </c>
    </row>
    <row r="65" spans="2:31" x14ac:dyDescent="0.3">
      <c r="B65" s="138" t="s">
        <v>79</v>
      </c>
      <c r="C65" s="162"/>
      <c r="D65">
        <f>G65/Units</f>
        <v>0</v>
      </c>
      <c r="E65">
        <f>I65/Units</f>
        <v>0</v>
      </c>
      <c r="F65" s="248">
        <f>'Historical Analysis'!X41</f>
        <v>0</v>
      </c>
      <c r="G65" s="248">
        <f>'Historical Analysis'!W41</f>
        <v>0</v>
      </c>
      <c r="H65" s="203">
        <v>0</v>
      </c>
      <c r="I65" s="240">
        <f>IF(I46="","",-$H$13*Units)</f>
        <v>0</v>
      </c>
      <c r="J65" s="240">
        <f t="shared" ref="J65:P65" si="124">IF(J46="","",I65*(1+$H$9))</f>
        <v>0</v>
      </c>
      <c r="K65" s="240">
        <f t="shared" si="124"/>
        <v>0</v>
      </c>
      <c r="L65" s="240">
        <f t="shared" si="124"/>
        <v>0</v>
      </c>
      <c r="M65" s="240">
        <f t="shared" si="124"/>
        <v>0</v>
      </c>
      <c r="N65" s="240">
        <f t="shared" si="124"/>
        <v>0</v>
      </c>
      <c r="O65" s="240" t="str">
        <f t="shared" si="124"/>
        <v/>
      </c>
      <c r="P65" s="240" t="str">
        <f t="shared" si="124"/>
        <v/>
      </c>
      <c r="Q65" s="240" t="str">
        <f t="shared" ref="Q65:AC65" si="125">IF(Q46="","",-$H$13*Units)</f>
        <v/>
      </c>
      <c r="R65" s="240" t="str">
        <f t="shared" si="125"/>
        <v/>
      </c>
      <c r="S65" s="240" t="str">
        <f t="shared" si="125"/>
        <v/>
      </c>
      <c r="T65" s="240" t="str">
        <f t="shared" si="125"/>
        <v/>
      </c>
      <c r="U65" s="240" t="str">
        <f t="shared" si="125"/>
        <v/>
      </c>
      <c r="V65" s="240" t="str">
        <f t="shared" si="125"/>
        <v/>
      </c>
      <c r="W65" s="240" t="str">
        <f t="shared" si="125"/>
        <v/>
      </c>
      <c r="X65" s="240" t="str">
        <f t="shared" si="125"/>
        <v/>
      </c>
      <c r="Y65" s="240" t="str">
        <f t="shared" si="125"/>
        <v/>
      </c>
      <c r="Z65" s="240" t="str">
        <f t="shared" si="125"/>
        <v/>
      </c>
      <c r="AA65" s="240" t="str">
        <f t="shared" si="125"/>
        <v/>
      </c>
      <c r="AB65" s="240" t="str">
        <f t="shared" si="125"/>
        <v/>
      </c>
      <c r="AC65" s="241" t="str">
        <f t="shared" si="125"/>
        <v/>
      </c>
    </row>
    <row r="66" spans="2:31" ht="15" thickBot="1" x14ac:dyDescent="0.35">
      <c r="B66" s="110" t="s">
        <v>80</v>
      </c>
      <c r="C66" s="3"/>
      <c r="D66" s="109"/>
      <c r="E66" s="109"/>
      <c r="F66" s="3"/>
      <c r="G66" s="109">
        <f>G63+G65</f>
        <v>-684903.81999999983</v>
      </c>
      <c r="H66" s="109">
        <f>H63+H65</f>
        <v>2254500</v>
      </c>
      <c r="I66" s="7">
        <f t="shared" ref="I66:AC66" si="126">IF(I46="","",I63+I65)</f>
        <v>1871250.4548221803</v>
      </c>
      <c r="J66" s="7">
        <f t="shared" si="126"/>
        <v>1851284.0576017275</v>
      </c>
      <c r="K66" s="7">
        <f t="shared" si="126"/>
        <v>1909172.5555710294</v>
      </c>
      <c r="L66" s="7">
        <f t="shared" si="126"/>
        <v>1968862.3328260439</v>
      </c>
      <c r="M66" s="7">
        <f t="shared" si="126"/>
        <v>2030409.2049148772</v>
      </c>
      <c r="N66" s="7">
        <f t="shared" si="126"/>
        <v>2093870.7107242364</v>
      </c>
      <c r="O66" s="7" t="str">
        <f t="shared" si="126"/>
        <v/>
      </c>
      <c r="P66" s="7" t="str">
        <f t="shared" si="126"/>
        <v/>
      </c>
      <c r="Q66" s="7" t="str">
        <f t="shared" si="126"/>
        <v/>
      </c>
      <c r="R66" s="7" t="str">
        <f t="shared" si="126"/>
        <v/>
      </c>
      <c r="S66" s="7" t="str">
        <f t="shared" si="126"/>
        <v/>
      </c>
      <c r="T66" s="7" t="str">
        <f t="shared" si="126"/>
        <v/>
      </c>
      <c r="U66" s="7" t="str">
        <f t="shared" si="126"/>
        <v/>
      </c>
      <c r="V66" s="7" t="str">
        <f t="shared" si="126"/>
        <v/>
      </c>
      <c r="W66" s="7" t="str">
        <f t="shared" si="126"/>
        <v/>
      </c>
      <c r="X66" s="7" t="str">
        <f t="shared" si="126"/>
        <v/>
      </c>
      <c r="Y66" s="7" t="str">
        <f t="shared" si="126"/>
        <v/>
      </c>
      <c r="Z66" s="7" t="str">
        <f t="shared" si="126"/>
        <v/>
      </c>
      <c r="AA66" s="7" t="str">
        <f t="shared" si="126"/>
        <v/>
      </c>
      <c r="AB66" s="7" t="str">
        <f t="shared" si="126"/>
        <v/>
      </c>
      <c r="AC66" s="127" t="str">
        <f t="shared" si="126"/>
        <v/>
      </c>
    </row>
    <row r="67" spans="2:31" ht="15" thickTop="1" x14ac:dyDescent="0.3">
      <c r="B67" s="138" t="s">
        <v>81</v>
      </c>
      <c r="C67" s="162"/>
      <c r="D67" s="4"/>
      <c r="E67" s="4"/>
      <c r="F67" s="4"/>
      <c r="G67" s="4"/>
      <c r="H67" s="4"/>
      <c r="I67" s="515">
        <f t="shared" ref="I67:AC67" si="127">IF(I46="","",IF(I46=$C$13,(J66/$C$14*(1-$H$12)),0))</f>
        <v>0</v>
      </c>
      <c r="J67" s="515">
        <f t="shared" si="127"/>
        <v>0</v>
      </c>
      <c r="K67" s="515">
        <f t="shared" si="127"/>
        <v>0</v>
      </c>
      <c r="L67" s="515">
        <f t="shared" si="127"/>
        <v>0</v>
      </c>
      <c r="M67" s="515">
        <f t="shared" si="127"/>
        <v>34548866.7269499</v>
      </c>
      <c r="N67" s="515">
        <f t="shared" si="127"/>
        <v>0</v>
      </c>
      <c r="O67" s="515" t="str">
        <f t="shared" si="127"/>
        <v/>
      </c>
      <c r="P67" s="515" t="str">
        <f t="shared" si="127"/>
        <v/>
      </c>
      <c r="Q67" s="515" t="str">
        <f t="shared" si="127"/>
        <v/>
      </c>
      <c r="R67" s="515" t="str">
        <f t="shared" si="127"/>
        <v/>
      </c>
      <c r="S67" s="515" t="str">
        <f t="shared" si="127"/>
        <v/>
      </c>
      <c r="T67" s="515" t="str">
        <f t="shared" si="127"/>
        <v/>
      </c>
      <c r="U67" s="515" t="str">
        <f t="shared" si="127"/>
        <v/>
      </c>
      <c r="V67" s="515" t="str">
        <f t="shared" si="127"/>
        <v/>
      </c>
      <c r="W67" s="515" t="str">
        <f t="shared" si="127"/>
        <v/>
      </c>
      <c r="X67" s="515" t="str">
        <f t="shared" si="127"/>
        <v/>
      </c>
      <c r="Y67" s="515" t="str">
        <f t="shared" si="127"/>
        <v/>
      </c>
      <c r="Z67" s="515" t="str">
        <f t="shared" si="127"/>
        <v/>
      </c>
      <c r="AA67" s="515" t="str">
        <f t="shared" si="127"/>
        <v/>
      </c>
      <c r="AB67" s="515" t="str">
        <f t="shared" si="127"/>
        <v/>
      </c>
      <c r="AC67" s="516" t="str">
        <f t="shared" si="127"/>
        <v/>
      </c>
    </row>
    <row r="68" spans="2:31" x14ac:dyDescent="0.3">
      <c r="B68" s="138" t="s">
        <v>82</v>
      </c>
      <c r="C68" s="162"/>
      <c r="H68" s="240"/>
      <c r="I68" s="515">
        <f>-Loan!E46</f>
        <v>-1301440</v>
      </c>
      <c r="J68" s="515">
        <f>-Loan!F46</f>
        <v>-1301440</v>
      </c>
      <c r="K68" s="515">
        <f>-Loan!G46</f>
        <v>-1301440</v>
      </c>
      <c r="L68" s="515">
        <f>-Loan!H46</f>
        <v>-1634787.2527089806</v>
      </c>
      <c r="M68" s="515">
        <f>-Loan!I46</f>
        <v>-1634787.2527089806</v>
      </c>
      <c r="N68" s="515">
        <f>-Loan!J46</f>
        <v>0</v>
      </c>
      <c r="O68" s="515">
        <f>-Loan!K46</f>
        <v>0</v>
      </c>
      <c r="P68" s="515">
        <f>-Loan!L46</f>
        <v>0</v>
      </c>
      <c r="Q68" s="515">
        <f>-Loan!M46</f>
        <v>0</v>
      </c>
      <c r="R68" s="515">
        <f>-Loan!N46</f>
        <v>0</v>
      </c>
      <c r="S68" s="515">
        <f>-Loan!O46</f>
        <v>0</v>
      </c>
      <c r="T68" s="515">
        <f>-Loan!P46</f>
        <v>0</v>
      </c>
      <c r="U68" s="515">
        <f>-Loan!Q46</f>
        <v>0</v>
      </c>
      <c r="V68" s="515">
        <f>-Loan!R46</f>
        <v>0</v>
      </c>
      <c r="W68" s="515">
        <f>-Loan!S46</f>
        <v>0</v>
      </c>
      <c r="X68" s="515">
        <f>-Loan!T46</f>
        <v>0</v>
      </c>
      <c r="Y68" s="515">
        <f>-Loan!U46</f>
        <v>0</v>
      </c>
      <c r="Z68" s="515">
        <f>-Loan!V46</f>
        <v>0</v>
      </c>
      <c r="AA68" s="515">
        <f>-Loan!W46</f>
        <v>0</v>
      </c>
      <c r="AB68" s="515">
        <f>-Loan!X46</f>
        <v>0</v>
      </c>
      <c r="AC68" s="516">
        <f>-Loan!Y46</f>
        <v>0</v>
      </c>
    </row>
    <row r="69" spans="2:31" x14ac:dyDescent="0.3">
      <c r="B69" s="429" t="s">
        <v>83</v>
      </c>
      <c r="C69" s="552"/>
      <c r="D69" s="430"/>
      <c r="E69" s="430"/>
      <c r="F69" s="430"/>
      <c r="G69" s="430"/>
      <c r="H69" s="430"/>
      <c r="I69" s="517">
        <f t="shared" ref="I69:AC69" si="128">IF(I46&lt;=$C$13,-(I67+I66)/(I70+I68),"")</f>
        <v>1.4378307527217393</v>
      </c>
      <c r="J69" s="517">
        <f t="shared" si="128"/>
        <v>1.4224889795931641</v>
      </c>
      <c r="K69" s="517">
        <f t="shared" si="128"/>
        <v>1.4669693228815999</v>
      </c>
      <c r="L69" s="517">
        <f t="shared" si="128"/>
        <v>1.2043538567868526</v>
      </c>
      <c r="M69" s="517">
        <f t="shared" si="128"/>
        <v>1.4372778817069598</v>
      </c>
      <c r="N69" s="517" t="str">
        <f t="shared" si="128"/>
        <v/>
      </c>
      <c r="O69" s="517" t="str">
        <f t="shared" si="128"/>
        <v/>
      </c>
      <c r="P69" s="517" t="str">
        <f t="shared" si="128"/>
        <v/>
      </c>
      <c r="Q69" s="517" t="str">
        <f t="shared" si="128"/>
        <v/>
      </c>
      <c r="R69" s="517" t="str">
        <f t="shared" si="128"/>
        <v/>
      </c>
      <c r="S69" s="517" t="str">
        <f t="shared" si="128"/>
        <v/>
      </c>
      <c r="T69" s="517" t="str">
        <f t="shared" si="128"/>
        <v/>
      </c>
      <c r="U69" s="517" t="str">
        <f t="shared" si="128"/>
        <v/>
      </c>
      <c r="V69" s="517" t="str">
        <f t="shared" si="128"/>
        <v/>
      </c>
      <c r="W69" s="517" t="str">
        <f t="shared" si="128"/>
        <v/>
      </c>
      <c r="X69" s="517" t="str">
        <f t="shared" si="128"/>
        <v/>
      </c>
      <c r="Y69" s="517" t="str">
        <f t="shared" si="128"/>
        <v/>
      </c>
      <c r="Z69" s="517" t="str">
        <f t="shared" si="128"/>
        <v/>
      </c>
      <c r="AA69" s="517" t="str">
        <f t="shared" si="128"/>
        <v/>
      </c>
      <c r="AB69" s="517" t="str">
        <f t="shared" si="128"/>
        <v/>
      </c>
      <c r="AC69" s="518" t="str">
        <f t="shared" si="128"/>
        <v/>
      </c>
    </row>
    <row r="70" spans="2:31" x14ac:dyDescent="0.3">
      <c r="B70" s="138" t="s">
        <v>84</v>
      </c>
      <c r="C70" s="162"/>
      <c r="I70" s="515">
        <f>-Loan!E44</f>
        <v>0</v>
      </c>
      <c r="J70" s="515">
        <f>-Loan!F44</f>
        <v>0</v>
      </c>
      <c r="K70" s="515">
        <f>-Loan!G44</f>
        <v>0</v>
      </c>
      <c r="L70" s="515">
        <f>-Loan!H44</f>
        <v>0</v>
      </c>
      <c r="M70" s="515">
        <f>-Loan!I44</f>
        <v>-23815598.088518139</v>
      </c>
      <c r="N70" s="515">
        <f>-Loan!J44</f>
        <v>0</v>
      </c>
      <c r="O70" s="515">
        <f>-Loan!K44</f>
        <v>0</v>
      </c>
      <c r="P70" s="515">
        <f>-Loan!L44</f>
        <v>0</v>
      </c>
      <c r="Q70" s="515">
        <f>-Loan!M44</f>
        <v>0</v>
      </c>
      <c r="R70" s="515">
        <f>-Loan!N44</f>
        <v>0</v>
      </c>
      <c r="S70" s="515">
        <f>-Loan!O44</f>
        <v>0</v>
      </c>
      <c r="T70" s="515">
        <f>-Loan!P44</f>
        <v>0</v>
      </c>
      <c r="U70" s="515">
        <f>-Loan!Q44</f>
        <v>0</v>
      </c>
      <c r="V70" s="515">
        <f>-Loan!R44</f>
        <v>0</v>
      </c>
      <c r="W70" s="515">
        <f>-Loan!S44</f>
        <v>0</v>
      </c>
      <c r="X70" s="515">
        <f>-Loan!T44</f>
        <v>0</v>
      </c>
      <c r="Y70" s="515">
        <f>-Loan!U44</f>
        <v>0</v>
      </c>
      <c r="Z70" s="515">
        <f>-Loan!V44</f>
        <v>0</v>
      </c>
      <c r="AA70" s="515">
        <f>-Loan!W44</f>
        <v>0</v>
      </c>
      <c r="AB70" s="515">
        <f>-Loan!X44</f>
        <v>0</v>
      </c>
      <c r="AC70" s="516">
        <f>-Loan!Y44</f>
        <v>0</v>
      </c>
    </row>
    <row r="71" spans="2:31" hidden="1" x14ac:dyDescent="0.3">
      <c r="B71" s="138" t="s">
        <v>25</v>
      </c>
      <c r="C71" s="162"/>
      <c r="I71" s="513">
        <f>-IF(I46="",0,IF(I46&gt;$C$13,0,('Sources &amp; Usage'!$C$8*$H$11)))</f>
        <v>0</v>
      </c>
      <c r="J71" s="513">
        <f>-IF(J46="",0,IF(J46&gt;$C$13,0,('Sources &amp; Usage'!$C$8*$H$11)))</f>
        <v>0</v>
      </c>
      <c r="K71" s="513">
        <f>-IF(K46="",0,IF(K46&gt;$C$13,0,('Sources &amp; Usage'!$C$8*$H$11)))</f>
        <v>0</v>
      </c>
      <c r="L71" s="513">
        <f>-IF(L46="",0,IF(L46&gt;$C$13,0,('Sources &amp; Usage'!$C$8*$H$11)))</f>
        <v>0</v>
      </c>
      <c r="M71" s="513">
        <f>-IF(M46="",0,IF(M46&gt;$C$13,0,('Sources &amp; Usage'!$C$8*$H$11)))</f>
        <v>0</v>
      </c>
      <c r="N71" s="513">
        <f>-IF(N46="",0,IF(N46&gt;$C$13,0,('Sources &amp; Usage'!$C$8*$H$11)))</f>
        <v>0</v>
      </c>
      <c r="O71" s="513">
        <f>-IF(O46="",0,IF(O46&gt;$C$13,0,('Sources &amp; Usage'!$C$8*$H$11)))</f>
        <v>0</v>
      </c>
      <c r="P71" s="513">
        <f>-IF(P46="",0,IF(P46&gt;$C$13,0,('Sources &amp; Usage'!$C$8*$H$11)))</f>
        <v>0</v>
      </c>
      <c r="Q71" s="513">
        <f>-IF(Q46="",0,IF(Q46&gt;$C$13,0,('Sources &amp; Usage'!$C$8*$H$11)))</f>
        <v>0</v>
      </c>
      <c r="R71" s="513">
        <f>-IF(R46="",0,IF(R46&gt;$C$13,0,('Sources &amp; Usage'!$C$8*$H$11)))</f>
        <v>0</v>
      </c>
      <c r="S71" s="513">
        <f>-IF(S46="",0,IF(S46&gt;$C$13,0,('Sources &amp; Usage'!$C$8*$H$11)))</f>
        <v>0</v>
      </c>
      <c r="T71" s="513">
        <f>-IF(T46="",0,IF(T46&gt;$C$13,0,('Sources &amp; Usage'!$C$8*$H$11)))</f>
        <v>0</v>
      </c>
      <c r="U71" s="513">
        <f>-IF(U46="",0,IF(U46&gt;$C$13,0,('Sources &amp; Usage'!$C$8*$H$11)))</f>
        <v>0</v>
      </c>
      <c r="V71" s="513">
        <f>-IF(V46="",0,IF(V46&gt;$C$13,0,('Sources &amp; Usage'!$C$8*$H$11)))</f>
        <v>0</v>
      </c>
      <c r="W71" s="513">
        <f>-IF(W46="",0,IF(W46&gt;$C$13,0,('Sources &amp; Usage'!$C$8*$H$11)))</f>
        <v>0</v>
      </c>
      <c r="X71" s="513">
        <f>-IF(X46="",0,IF(X46&gt;$C$13,0,('Sources &amp; Usage'!$C$8*$H$11)))</f>
        <v>0</v>
      </c>
      <c r="Y71" s="513">
        <f>-IF(Y46="",0,IF(Y46&gt;$C$13,0,('Sources &amp; Usage'!$C$8*$H$11)))</f>
        <v>0</v>
      </c>
      <c r="Z71" s="513">
        <f>-IF(Z46="",0,IF(Z46&gt;$C$13,0,('Sources &amp; Usage'!$C$8*$H$11)))</f>
        <v>0</v>
      </c>
      <c r="AA71" s="513">
        <f>-IF(AA46="",0,IF(AA46&gt;$C$13,0,('Sources &amp; Usage'!$C$8*$H$11)))</f>
        <v>0</v>
      </c>
      <c r="AB71" s="513">
        <f>-IF(AB46="",0,IF(AB46&gt;$C$13,0,('Sources &amp; Usage'!$C$8*$H$11)))</f>
        <v>0</v>
      </c>
      <c r="AC71" s="514">
        <f>-IF(AC46="",0,IF(AC46&gt;$C$13,0,('Sources &amp; Usage'!$C$8*$H$11)))</f>
        <v>0</v>
      </c>
    </row>
    <row r="72" spans="2:31" ht="15" thickBot="1" x14ac:dyDescent="0.35">
      <c r="B72" s="100" t="s">
        <v>85</v>
      </c>
      <c r="C72" s="128"/>
      <c r="D72" s="128"/>
      <c r="E72" s="128"/>
      <c r="F72" s="128"/>
      <c r="G72" s="128"/>
      <c r="H72" s="128"/>
      <c r="I72" s="400">
        <f t="shared" ref="I72:AC72" si="129">IF(I46&gt;$C$13,0,I66+I67+I68+I70+I71)</f>
        <v>569810.45482218033</v>
      </c>
      <c r="J72" s="400">
        <f t="shared" si="129"/>
        <v>549844.05760172755</v>
      </c>
      <c r="K72" s="400">
        <f t="shared" si="129"/>
        <v>607732.55557102943</v>
      </c>
      <c r="L72" s="400">
        <f t="shared" si="129"/>
        <v>334075.08011706336</v>
      </c>
      <c r="M72" s="400">
        <f t="shared" si="129"/>
        <v>11128890.590637658</v>
      </c>
      <c r="N72" s="400">
        <f t="shared" si="129"/>
        <v>0</v>
      </c>
      <c r="O72" s="400">
        <f t="shared" si="129"/>
        <v>0</v>
      </c>
      <c r="P72" s="400">
        <f t="shared" si="129"/>
        <v>0</v>
      </c>
      <c r="Q72" s="400">
        <f t="shared" si="129"/>
        <v>0</v>
      </c>
      <c r="R72" s="400">
        <f t="shared" si="129"/>
        <v>0</v>
      </c>
      <c r="S72" s="400">
        <f t="shared" si="129"/>
        <v>0</v>
      </c>
      <c r="T72" s="400">
        <f t="shared" si="129"/>
        <v>0</v>
      </c>
      <c r="U72" s="400">
        <f t="shared" si="129"/>
        <v>0</v>
      </c>
      <c r="V72" s="400">
        <f t="shared" si="129"/>
        <v>0</v>
      </c>
      <c r="W72" s="400">
        <f t="shared" si="129"/>
        <v>0</v>
      </c>
      <c r="X72" s="400">
        <f t="shared" si="129"/>
        <v>0</v>
      </c>
      <c r="Y72" s="400">
        <f t="shared" si="129"/>
        <v>0</v>
      </c>
      <c r="Z72" s="400">
        <f t="shared" si="129"/>
        <v>0</v>
      </c>
      <c r="AA72" s="400">
        <f t="shared" si="129"/>
        <v>0</v>
      </c>
      <c r="AB72" s="400">
        <f t="shared" si="129"/>
        <v>0</v>
      </c>
      <c r="AC72" s="401">
        <f t="shared" si="129"/>
        <v>0</v>
      </c>
    </row>
    <row r="73" spans="2:31" ht="15" thickBot="1" x14ac:dyDescent="0.35">
      <c r="B73" s="4"/>
      <c r="C73" s="4"/>
      <c r="D73" s="4"/>
      <c r="E73" s="4"/>
      <c r="F73" s="4"/>
      <c r="G73" s="4"/>
      <c r="H73" s="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2:31" x14ac:dyDescent="0.3">
      <c r="B74" s="157" t="s">
        <v>86</v>
      </c>
      <c r="C74" s="159"/>
      <c r="D74" s="159"/>
      <c r="E74" s="159"/>
      <c r="F74" s="159"/>
      <c r="G74" s="94" t="s">
        <v>87</v>
      </c>
      <c r="H74" s="88">
        <v>0</v>
      </c>
      <c r="I74" s="154">
        <f>IF(H74&lt;$C$13,H74+1,"")</f>
        <v>1</v>
      </c>
      <c r="J74" s="154">
        <f t="shared" ref="J74:R74" si="130">IF(I74&lt;$C$13,I74+1,"")</f>
        <v>2</v>
      </c>
      <c r="K74" s="154">
        <f>IF(J74&lt;$C$13,J74+1,"")</f>
        <v>3</v>
      </c>
      <c r="L74" s="154">
        <f t="shared" si="130"/>
        <v>4</v>
      </c>
      <c r="M74" s="154">
        <f t="shared" si="130"/>
        <v>5</v>
      </c>
      <c r="N74" s="154" t="str">
        <f t="shared" si="130"/>
        <v/>
      </c>
      <c r="O74" s="154" t="str">
        <f>IF(N74&lt;$C$13,N74+1,"")</f>
        <v/>
      </c>
      <c r="P74" s="154" t="str">
        <f t="shared" si="130"/>
        <v/>
      </c>
      <c r="Q74" s="154" t="str">
        <f t="shared" si="130"/>
        <v/>
      </c>
      <c r="R74" s="154" t="str">
        <f t="shared" si="130"/>
        <v/>
      </c>
      <c r="S74" s="154" t="str">
        <f t="shared" ref="S74:AC74" si="131">IF(R74&lt;$C$13,R74+1,"")</f>
        <v/>
      </c>
      <c r="T74" s="154" t="str">
        <f t="shared" si="131"/>
        <v/>
      </c>
      <c r="U74" s="154" t="str">
        <f t="shared" si="131"/>
        <v/>
      </c>
      <c r="V74" s="154" t="str">
        <f t="shared" si="131"/>
        <v/>
      </c>
      <c r="W74" s="154" t="str">
        <f t="shared" si="131"/>
        <v/>
      </c>
      <c r="X74" s="154" t="str">
        <f t="shared" si="131"/>
        <v/>
      </c>
      <c r="Y74" s="154" t="str">
        <f t="shared" si="131"/>
        <v/>
      </c>
      <c r="Z74" s="154" t="str">
        <f t="shared" si="131"/>
        <v/>
      </c>
      <c r="AA74" s="154" t="str">
        <f t="shared" si="131"/>
        <v/>
      </c>
      <c r="AB74" s="154" t="str">
        <f t="shared" si="131"/>
        <v/>
      </c>
      <c r="AC74" s="155" t="str">
        <f t="shared" si="131"/>
        <v/>
      </c>
    </row>
    <row r="75" spans="2:31" x14ac:dyDescent="0.3">
      <c r="B75" s="250" t="s">
        <v>88</v>
      </c>
      <c r="C75" s="251"/>
      <c r="D75" s="252"/>
      <c r="E75" s="252"/>
      <c r="F75" s="252"/>
      <c r="G75" s="164">
        <f>AVERAGE(I75:AC75)</f>
        <v>5.4114221692574002E-2</v>
      </c>
      <c r="I75" s="239">
        <f>IF(I46&gt;$C$13,"",I66/'Sources &amp; Usage'!$C$23)</f>
        <v>5.2570598534125025E-2</v>
      </c>
      <c r="J75" s="239">
        <f>IF(J46&gt;$C$13,"",J66/'Sources &amp; Usage'!$C$23)</f>
        <v>5.2009665896944161E-2</v>
      </c>
      <c r="K75" s="239">
        <f>IF(K46&gt;$C$13,"",K66/'Sources &amp; Usage'!$C$23)</f>
        <v>5.3635975714876515E-2</v>
      </c>
      <c r="L75" s="239">
        <f>IF(L46&gt;$C$13,"",L66/'Sources &amp; Usage'!$C$23)</f>
        <v>5.5312890372974967E-2</v>
      </c>
      <c r="M75" s="239">
        <f>IF(M46&gt;$C$13,"",M66/'Sources &amp; Usage'!$C$23)</f>
        <v>5.704197794394935E-2</v>
      </c>
      <c r="N75" s="239" t="str">
        <f>IF(N46&gt;$C$13,"",N66/'Sources &amp; Usage'!$C$23)</f>
        <v/>
      </c>
      <c r="O75" s="239" t="str">
        <f>IF(O46&gt;$C$13,"",O66/'Sources &amp; Usage'!$C$23)</f>
        <v/>
      </c>
      <c r="P75" s="239" t="str">
        <f>IF(P46&gt;$C$13,"",P66/'Sources &amp; Usage'!$C$23)</f>
        <v/>
      </c>
      <c r="Q75" s="239" t="str">
        <f>IF(Q46&gt;$C$13,"",Q66/'Sources &amp; Usage'!$C$23)</f>
        <v/>
      </c>
      <c r="R75" s="239" t="str">
        <f>IF(R46&gt;$C$13,"",R66/'Sources &amp; Usage'!$C$23)</f>
        <v/>
      </c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53"/>
    </row>
    <row r="76" spans="2:31" x14ac:dyDescent="0.3">
      <c r="B76" s="161" t="s">
        <v>89</v>
      </c>
      <c r="C76" s="254"/>
      <c r="D76" s="236"/>
      <c r="E76" s="236"/>
      <c r="F76" s="236"/>
      <c r="G76" s="165">
        <f>AVERAGE(I76:AC76)</f>
        <v>4.429173682411712E-2</v>
      </c>
      <c r="I76" s="239">
        <f>IF(I46&gt;$C$13,"",SUM(I66,I68,I71)/'Sources &amp; Usage'!$C$8)</f>
        <v>5.1357409177303318E-2</v>
      </c>
      <c r="J76" s="239">
        <f>IF(J46&gt;$C$13,"",SUM(J66,J68,J71)/'Sources &amp; Usage'!$C$8)</f>
        <v>4.9557824028997527E-2</v>
      </c>
      <c r="K76" s="239">
        <f>IF(K46&gt;$C$13,"",SUM(K66,K68,K71)/'Sources &amp; Usage'!$C$8)</f>
        <v>5.4775354265077007E-2</v>
      </c>
      <c r="L76" s="239">
        <f>IF(L46&gt;$C$13,"",SUM(L66,L68,L71)/'Sources &amp; Usage'!$C$8)</f>
        <v>3.0110417315643387E-2</v>
      </c>
      <c r="M76" s="239">
        <f>IF(M46&gt;$C$13,"",SUM(M66,M68,M71)/'Sources &amp; Usage'!$C$8)</f>
        <v>3.5657679333564361E-2</v>
      </c>
      <c r="N76" s="239" t="str">
        <f>IF(N46&gt;$C$13,"",SUM(N66,N68,N71)/'Sources &amp; Usage'!$C$8)</f>
        <v/>
      </c>
      <c r="O76" s="239" t="str">
        <f>IF(O46&gt;$C$13,"",SUM(O66,O68,O71)/'Sources &amp; Usage'!$C$8)</f>
        <v/>
      </c>
      <c r="P76" s="239" t="str">
        <f>IF(P46&gt;$C$13,"",SUM(P66,P68,P71)/'Sources &amp; Usage'!$C$8)</f>
        <v/>
      </c>
      <c r="Q76" s="239" t="str">
        <f>IF(Q46&gt;$C$13,"",SUM(Q66,Q68,Q71)/'Sources &amp; Usage'!$C$8)</f>
        <v/>
      </c>
      <c r="R76" s="239" t="str">
        <f>IF(R46&gt;$C$13,"",SUM(R66,R68,R71)/'Sources &amp; Usage'!$C$8)</f>
        <v/>
      </c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53"/>
    </row>
    <row r="77" spans="2:31" x14ac:dyDescent="0.3">
      <c r="B77" s="255" t="s">
        <v>90</v>
      </c>
      <c r="D77" s="156"/>
      <c r="E77" s="156"/>
      <c r="F77" s="156"/>
      <c r="G77" s="164">
        <f>IRR(H79:AC79)</f>
        <v>4.8665982433971022E-2</v>
      </c>
      <c r="AC77" s="245"/>
    </row>
    <row r="78" spans="2:31" x14ac:dyDescent="0.3">
      <c r="B78" s="255" t="s">
        <v>91</v>
      </c>
      <c r="D78" s="156"/>
      <c r="E78" s="156"/>
      <c r="F78" s="156"/>
      <c r="G78" s="428">
        <f>IRR(H80:AC80)</f>
        <v>3.8638988294092513E-2</v>
      </c>
      <c r="AC78" s="245"/>
    </row>
    <row r="79" spans="2:31" x14ac:dyDescent="0.3">
      <c r="B79" s="250" t="s">
        <v>92</v>
      </c>
      <c r="C79" s="251"/>
      <c r="D79" s="252"/>
      <c r="E79" s="252"/>
      <c r="F79" s="252"/>
      <c r="G79" s="252"/>
      <c r="H79" s="431">
        <f>IF(H74="","",-'Sources &amp; Usage'!C9)</f>
        <v>-35595000</v>
      </c>
      <c r="I79" s="242">
        <f t="shared" ref="I79:AC79" si="132">IF(I74="","",I66+I67+I71)</f>
        <v>1871250.4548221803</v>
      </c>
      <c r="J79" s="242">
        <f t="shared" si="132"/>
        <v>1851284.0576017275</v>
      </c>
      <c r="K79" s="242">
        <f t="shared" si="132"/>
        <v>1909172.5555710294</v>
      </c>
      <c r="L79" s="242">
        <f t="shared" si="132"/>
        <v>1968862.3328260439</v>
      </c>
      <c r="M79" s="242">
        <f t="shared" si="132"/>
        <v>36579275.931864776</v>
      </c>
      <c r="N79" s="242" t="str">
        <f t="shared" si="132"/>
        <v/>
      </c>
      <c r="O79" s="242" t="str">
        <f t="shared" si="132"/>
        <v/>
      </c>
      <c r="P79" s="242" t="str">
        <f t="shared" si="132"/>
        <v/>
      </c>
      <c r="Q79" s="242" t="str">
        <f t="shared" si="132"/>
        <v/>
      </c>
      <c r="R79" s="242" t="str">
        <f t="shared" si="132"/>
        <v/>
      </c>
      <c r="S79" s="242" t="str">
        <f t="shared" si="132"/>
        <v/>
      </c>
      <c r="T79" s="242" t="str">
        <f t="shared" si="132"/>
        <v/>
      </c>
      <c r="U79" s="242" t="str">
        <f t="shared" si="132"/>
        <v/>
      </c>
      <c r="V79" s="242" t="str">
        <f t="shared" si="132"/>
        <v/>
      </c>
      <c r="W79" s="242" t="str">
        <f t="shared" si="132"/>
        <v/>
      </c>
      <c r="X79" s="242" t="str">
        <f t="shared" si="132"/>
        <v/>
      </c>
      <c r="Y79" s="242" t="str">
        <f t="shared" si="132"/>
        <v/>
      </c>
      <c r="Z79" s="242" t="str">
        <f t="shared" si="132"/>
        <v/>
      </c>
      <c r="AA79" s="242" t="str">
        <f t="shared" si="132"/>
        <v/>
      </c>
      <c r="AB79" s="242" t="str">
        <f t="shared" si="132"/>
        <v/>
      </c>
      <c r="AC79" s="243" t="str">
        <f t="shared" si="132"/>
        <v/>
      </c>
      <c r="AD79" s="242"/>
      <c r="AE79" s="242"/>
    </row>
    <row r="80" spans="2:31" x14ac:dyDescent="0.3">
      <c r="B80" s="255" t="s">
        <v>93</v>
      </c>
      <c r="C80" s="300"/>
      <c r="H80" s="432">
        <f>-'Sources &amp; Usage'!C8</f>
        <v>-11095000</v>
      </c>
      <c r="I80" s="242">
        <f t="shared" ref="I80:AC80" si="133">I72</f>
        <v>569810.45482218033</v>
      </c>
      <c r="J80" s="242">
        <f t="shared" si="133"/>
        <v>549844.05760172755</v>
      </c>
      <c r="K80" s="242">
        <f t="shared" si="133"/>
        <v>607732.55557102943</v>
      </c>
      <c r="L80" s="242">
        <f t="shared" si="133"/>
        <v>334075.08011706336</v>
      </c>
      <c r="M80" s="242">
        <f t="shared" si="133"/>
        <v>11128890.590637658</v>
      </c>
      <c r="N80" s="242">
        <f t="shared" si="133"/>
        <v>0</v>
      </c>
      <c r="O80" s="242">
        <f t="shared" si="133"/>
        <v>0</v>
      </c>
      <c r="P80" s="242">
        <f t="shared" si="133"/>
        <v>0</v>
      </c>
      <c r="Q80" s="242">
        <f t="shared" si="133"/>
        <v>0</v>
      </c>
      <c r="R80" s="242">
        <f t="shared" si="133"/>
        <v>0</v>
      </c>
      <c r="S80" s="242">
        <f t="shared" si="133"/>
        <v>0</v>
      </c>
      <c r="T80" s="242">
        <f t="shared" si="133"/>
        <v>0</v>
      </c>
      <c r="U80" s="242">
        <f t="shared" si="133"/>
        <v>0</v>
      </c>
      <c r="V80" s="242">
        <f t="shared" si="133"/>
        <v>0</v>
      </c>
      <c r="W80" s="242">
        <f t="shared" si="133"/>
        <v>0</v>
      </c>
      <c r="X80" s="242">
        <f t="shared" si="133"/>
        <v>0</v>
      </c>
      <c r="Y80" s="242">
        <f t="shared" si="133"/>
        <v>0</v>
      </c>
      <c r="Z80" s="242">
        <f t="shared" si="133"/>
        <v>0</v>
      </c>
      <c r="AA80" s="242">
        <f t="shared" si="133"/>
        <v>0</v>
      </c>
      <c r="AB80" s="242">
        <f t="shared" si="133"/>
        <v>0</v>
      </c>
      <c r="AC80" s="243">
        <f t="shared" si="133"/>
        <v>0</v>
      </c>
      <c r="AD80" s="242"/>
      <c r="AE80" s="242"/>
    </row>
    <row r="81" spans="2:29" ht="15" thickBot="1" x14ac:dyDescent="0.35">
      <c r="B81" s="163" t="s">
        <v>94</v>
      </c>
      <c r="C81" s="256"/>
      <c r="D81" s="256"/>
      <c r="E81" s="256"/>
      <c r="F81" s="256"/>
      <c r="G81" s="256"/>
      <c r="H81" s="433">
        <f>'Sources &amp; Usage'!C8</f>
        <v>11095000</v>
      </c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7"/>
    </row>
    <row r="85" spans="2:29" ht="15" thickBot="1" x14ac:dyDescent="0.35">
      <c r="F85" s="522"/>
    </row>
    <row r="86" spans="2:29" x14ac:dyDescent="0.3">
      <c r="B86" s="526" t="s">
        <v>95</v>
      </c>
      <c r="C86" s="527"/>
      <c r="D86" s="527"/>
      <c r="E86" s="527"/>
      <c r="F86" s="527"/>
      <c r="G86" s="527"/>
      <c r="H86" s="527"/>
      <c r="I86" s="527"/>
      <c r="J86" s="527"/>
      <c r="K86" s="527"/>
      <c r="L86" s="527"/>
      <c r="M86" s="527"/>
      <c r="N86" s="527"/>
      <c r="O86" s="527"/>
      <c r="P86" s="527"/>
      <c r="Q86" s="527"/>
      <c r="R86" s="527"/>
      <c r="S86" s="541"/>
      <c r="T86" s="281"/>
      <c r="U86" s="281"/>
      <c r="V86" s="281"/>
      <c r="W86" s="281"/>
      <c r="X86" s="281"/>
      <c r="Y86" s="281"/>
      <c r="Z86" s="281"/>
      <c r="AA86" s="281"/>
      <c r="AB86" s="281"/>
    </row>
    <row r="87" spans="2:29" x14ac:dyDescent="0.3">
      <c r="B87" s="137"/>
      <c r="S87" s="245"/>
    </row>
    <row r="88" spans="2:29" x14ac:dyDescent="0.3">
      <c r="B88" s="528" t="s">
        <v>96</v>
      </c>
      <c r="C88" s="580"/>
      <c r="D88" s="580"/>
      <c r="E88" s="580"/>
      <c r="F88" s="580"/>
      <c r="G88" s="580"/>
      <c r="H88" s="580"/>
      <c r="I88" s="580"/>
      <c r="J88" s="580"/>
      <c r="K88" s="580"/>
      <c r="L88" s="580"/>
      <c r="M88" s="580"/>
      <c r="N88" s="580"/>
      <c r="O88" s="580"/>
      <c r="P88" s="580"/>
      <c r="Q88" s="580"/>
      <c r="R88" s="580"/>
      <c r="S88" s="542"/>
    </row>
    <row r="89" spans="2:29" x14ac:dyDescent="0.3">
      <c r="B89" s="529" t="s">
        <v>315</v>
      </c>
      <c r="C89" s="581"/>
      <c r="D89" s="581"/>
      <c r="E89" s="581"/>
      <c r="F89" s="581"/>
      <c r="G89" s="581"/>
      <c r="H89" s="581"/>
      <c r="I89" s="581"/>
      <c r="J89" s="581"/>
      <c r="K89" s="581"/>
      <c r="L89" s="581"/>
      <c r="S89" s="245"/>
    </row>
    <row r="90" spans="2:29" x14ac:dyDescent="0.3">
      <c r="B90" s="529" t="s">
        <v>614</v>
      </c>
      <c r="C90" s="581"/>
      <c r="D90" s="581"/>
      <c r="E90" s="581"/>
      <c r="F90" s="581"/>
      <c r="G90" s="581"/>
      <c r="H90" s="581"/>
      <c r="I90" s="581"/>
      <c r="J90" s="581"/>
      <c r="K90" s="581"/>
      <c r="L90" s="581"/>
      <c r="S90" s="245"/>
    </row>
    <row r="91" spans="2:29" x14ac:dyDescent="0.3">
      <c r="B91" s="529" t="s">
        <v>312</v>
      </c>
      <c r="C91" s="581"/>
      <c r="D91" s="581"/>
      <c r="E91" s="581"/>
      <c r="F91" s="581"/>
      <c r="G91" s="581"/>
      <c r="H91" s="581"/>
      <c r="I91" s="581"/>
      <c r="J91" s="581"/>
      <c r="K91" s="581"/>
      <c r="L91" s="581"/>
      <c r="S91" s="245"/>
    </row>
    <row r="92" spans="2:29" x14ac:dyDescent="0.3">
      <c r="B92" s="529"/>
      <c r="C92" s="581"/>
      <c r="D92" s="581"/>
      <c r="E92" s="581"/>
      <c r="F92" s="581"/>
      <c r="G92" s="581"/>
      <c r="H92" s="581"/>
      <c r="I92" s="581"/>
      <c r="J92" s="581"/>
      <c r="K92" s="581"/>
      <c r="L92" s="581"/>
      <c r="S92" s="245"/>
    </row>
    <row r="93" spans="2:29" x14ac:dyDescent="0.3">
      <c r="B93" s="528" t="s">
        <v>295</v>
      </c>
      <c r="C93" s="580"/>
      <c r="D93" s="580"/>
      <c r="E93" s="580"/>
      <c r="F93" s="580"/>
      <c r="G93" s="580"/>
      <c r="H93" s="580"/>
      <c r="I93" s="580"/>
      <c r="J93" s="580"/>
      <c r="K93" s="580"/>
      <c r="L93" s="580"/>
      <c r="M93" s="580"/>
      <c r="N93" s="580"/>
      <c r="O93" s="580"/>
      <c r="P93" s="580"/>
      <c r="Q93" s="580"/>
      <c r="R93" s="580"/>
      <c r="S93" s="542"/>
    </row>
    <row r="94" spans="2:29" x14ac:dyDescent="0.3">
      <c r="B94" s="582" t="s">
        <v>316</v>
      </c>
      <c r="S94" s="245"/>
    </row>
    <row r="95" spans="2:29" x14ac:dyDescent="0.3">
      <c r="B95" s="543" t="s">
        <v>298</v>
      </c>
      <c r="S95" s="245"/>
    </row>
    <row r="96" spans="2:29" x14ac:dyDescent="0.3">
      <c r="B96" s="543" t="s">
        <v>609</v>
      </c>
      <c r="S96" s="245"/>
    </row>
    <row r="97" spans="2:28" x14ac:dyDescent="0.3">
      <c r="B97" s="543" t="s">
        <v>620</v>
      </c>
      <c r="S97" s="245"/>
    </row>
    <row r="98" spans="2:28" x14ac:dyDescent="0.3">
      <c r="B98" s="582" t="s">
        <v>317</v>
      </c>
      <c r="S98" s="245"/>
    </row>
    <row r="99" spans="2:28" x14ac:dyDescent="0.3">
      <c r="B99" s="543" t="s">
        <v>615</v>
      </c>
      <c r="S99" s="245"/>
    </row>
    <row r="100" spans="2:28" x14ac:dyDescent="0.3">
      <c r="B100" s="543" t="s">
        <v>616</v>
      </c>
      <c r="S100" s="245"/>
    </row>
    <row r="101" spans="2:28" x14ac:dyDescent="0.3">
      <c r="B101" s="582" t="s">
        <v>318</v>
      </c>
      <c r="S101" s="245"/>
    </row>
    <row r="102" spans="2:28" ht="15" thickBot="1" x14ac:dyDescent="0.35">
      <c r="B102" s="529" t="s">
        <v>319</v>
      </c>
      <c r="S102" s="245"/>
      <c r="T102" s="256"/>
      <c r="U102" s="256"/>
      <c r="V102" s="256"/>
      <c r="W102" s="256"/>
      <c r="X102" s="256"/>
      <c r="Y102" s="256"/>
      <c r="Z102" s="256"/>
      <c r="AA102" s="256"/>
      <c r="AB102" s="256"/>
    </row>
    <row r="103" spans="2:28" x14ac:dyDescent="0.3">
      <c r="B103" s="529" t="s">
        <v>610</v>
      </c>
      <c r="S103" s="245"/>
    </row>
    <row r="104" spans="2:28" x14ac:dyDescent="0.3">
      <c r="B104" s="583" t="s">
        <v>320</v>
      </c>
      <c r="C104" s="581"/>
      <c r="D104" s="581"/>
      <c r="E104" s="581"/>
      <c r="F104" s="581"/>
      <c r="G104" s="581"/>
      <c r="S104" s="245"/>
    </row>
    <row r="105" spans="2:28" x14ac:dyDescent="0.3">
      <c r="B105" s="543" t="s">
        <v>611</v>
      </c>
      <c r="S105" s="245"/>
    </row>
    <row r="106" spans="2:28" x14ac:dyDescent="0.3">
      <c r="B106" s="529" t="s">
        <v>617</v>
      </c>
      <c r="S106" s="245"/>
    </row>
    <row r="107" spans="2:28" x14ac:dyDescent="0.3">
      <c r="B107" s="529"/>
      <c r="S107" s="245"/>
    </row>
    <row r="108" spans="2:28" x14ac:dyDescent="0.3">
      <c r="B108" s="583" t="s">
        <v>621</v>
      </c>
      <c r="S108" s="245"/>
    </row>
    <row r="109" spans="2:28" x14ac:dyDescent="0.3">
      <c r="B109" s="529" t="s">
        <v>622</v>
      </c>
      <c r="S109" s="245"/>
    </row>
    <row r="110" spans="2:28" x14ac:dyDescent="0.3">
      <c r="B110" s="529"/>
      <c r="S110" s="245"/>
    </row>
    <row r="111" spans="2:28" x14ac:dyDescent="0.3">
      <c r="B111" s="528" t="s">
        <v>296</v>
      </c>
      <c r="C111" s="580"/>
      <c r="D111" s="580"/>
      <c r="E111" s="580"/>
      <c r="F111" s="580"/>
      <c r="G111" s="580"/>
      <c r="H111" s="580"/>
      <c r="I111" s="580"/>
      <c r="J111" s="580"/>
      <c r="K111" s="580"/>
      <c r="L111" s="580"/>
      <c r="M111" s="580"/>
      <c r="N111" s="580"/>
      <c r="O111" s="580"/>
      <c r="P111" s="580"/>
      <c r="Q111" s="580"/>
      <c r="R111" s="580"/>
      <c r="S111" s="542"/>
    </row>
    <row r="112" spans="2:28" x14ac:dyDescent="0.3">
      <c r="B112" s="137"/>
      <c r="S112" s="245"/>
    </row>
    <row r="113" spans="2:19" x14ac:dyDescent="0.3">
      <c r="B113" s="543"/>
      <c r="S113" s="245"/>
    </row>
    <row r="114" spans="2:19" x14ac:dyDescent="0.3">
      <c r="B114" s="528" t="s">
        <v>297</v>
      </c>
      <c r="C114" s="609"/>
      <c r="D114" s="609"/>
      <c r="E114" s="609"/>
      <c r="F114" s="609"/>
      <c r="G114" s="609"/>
      <c r="H114" s="609"/>
      <c r="I114" s="609"/>
      <c r="J114" s="609"/>
      <c r="K114" s="609"/>
      <c r="L114" s="609"/>
      <c r="M114" s="609"/>
      <c r="N114" s="609"/>
      <c r="O114" s="609"/>
      <c r="P114" s="609"/>
      <c r="Q114" s="609"/>
      <c r="R114" s="609"/>
      <c r="S114" s="610"/>
    </row>
    <row r="115" spans="2:19" x14ac:dyDescent="0.3">
      <c r="B115" s="529" t="s">
        <v>618</v>
      </c>
      <c r="S115" s="245"/>
    </row>
    <row r="116" spans="2:19" ht="15" thickBot="1" x14ac:dyDescent="0.35">
      <c r="B116" s="544" t="s">
        <v>619</v>
      </c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7"/>
    </row>
  </sheetData>
  <mergeCells count="1">
    <mergeCell ref="I14:L15"/>
  </mergeCells>
  <conditionalFormatting sqref="G15">
    <cfRule type="cellIs" dxfId="27" priority="3" operator="lessThan">
      <formula>0.001</formula>
    </cfRule>
  </conditionalFormatting>
  <conditionalFormatting sqref="J8:J13">
    <cfRule type="expression" dxfId="26" priority="11">
      <formula>$G$4=$K$7</formula>
    </cfRule>
  </conditionalFormatting>
  <conditionalFormatting sqref="J9:J10">
    <cfRule type="expression" dxfId="25" priority="54">
      <formula>IF($G$4=$J$7,$J$9&lt;&gt;$I$63)</formula>
    </cfRule>
  </conditionalFormatting>
  <conditionalFormatting sqref="J11">
    <cfRule type="expression" dxfId="24" priority="56">
      <formula>IF($G$4=$J$7,$J$11&lt;&gt;$G$76)</formula>
    </cfRule>
  </conditionalFormatting>
  <conditionalFormatting sqref="J12:J13">
    <cfRule type="expression" dxfId="23" priority="57">
      <formula>IF($G$4=$J$7,$J$12&lt;&gt;$G$78)</formula>
    </cfRule>
  </conditionalFormatting>
  <conditionalFormatting sqref="J7:K7">
    <cfRule type="cellIs" dxfId="22" priority="21" operator="equal">
      <formula>$G$4</formula>
    </cfRule>
  </conditionalFormatting>
  <conditionalFormatting sqref="K8:K13">
    <cfRule type="expression" dxfId="21" priority="10">
      <formula>$G$4=$J$7</formula>
    </cfRule>
  </conditionalFormatting>
  <conditionalFormatting sqref="K9:K10">
    <cfRule type="expression" dxfId="20" priority="55">
      <formula>IF($G$4=$K$7,$K$9&lt;&gt;$I$63)</formula>
    </cfRule>
  </conditionalFormatting>
  <conditionalFormatting sqref="K11">
    <cfRule type="expression" dxfId="19" priority="58">
      <formula>IF($G$4=$K$7,$K$11&lt;&gt;$G$76)</formula>
    </cfRule>
  </conditionalFormatting>
  <conditionalFormatting sqref="K12:K13">
    <cfRule type="expression" dxfId="18" priority="59">
      <formula>IF($G$4=$K$7,$K$12&lt;&gt;$G$78)</formula>
    </cfRule>
  </conditionalFormatting>
  <dataValidations disablePrompts="1" count="2">
    <dataValidation type="list" allowBlank="1" showInputMessage="1" showErrorMessage="1" sqref="G4" xr:uid="{3E9B8C8A-58B5-4374-BD49-541824005986}">
      <formula1>"1,2"</formula1>
    </dataValidation>
    <dataValidation type="list" allowBlank="1" showInputMessage="1" showErrorMessage="1" sqref="F15" xr:uid="{A57583E3-3117-4DF8-9E50-B7AF70D81489}">
      <formula1>"Y1 Tax T12 Based,Y1 Tax Reassessed"</formula1>
    </dataValidation>
  </dataValidations>
  <hyperlinks>
    <hyperlink ref="Q4" r:id="rId1" xr:uid="{92CB2759-E407-4A41-9E3B-973D71AD962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D358-9887-4CFC-810A-BEA2121882F4}">
  <dimension ref="A1:Y1061"/>
  <sheetViews>
    <sheetView showGridLines="0" zoomScale="90" zoomScaleNormal="90" workbookViewId="0">
      <selection activeCell="B5" sqref="B5"/>
    </sheetView>
  </sheetViews>
  <sheetFormatPr defaultRowHeight="14.4" x14ac:dyDescent="0.3"/>
  <cols>
    <col min="1" max="1" width="1.33203125" customWidth="1"/>
    <col min="2" max="2" width="22.33203125" bestFit="1" customWidth="1"/>
    <col min="3" max="3" width="24.6640625" customWidth="1"/>
    <col min="4" max="4" width="21.77734375" bestFit="1" customWidth="1"/>
    <col min="5" max="5" width="11" customWidth="1"/>
    <col min="6" max="6" width="26.88671875" bestFit="1" customWidth="1"/>
    <col min="7" max="7" width="17.33203125" bestFit="1" customWidth="1"/>
    <col min="8" max="8" width="16" customWidth="1"/>
    <col min="9" max="9" width="21.77734375" bestFit="1" customWidth="1"/>
    <col min="10" max="11" width="23.6640625" customWidth="1"/>
    <col min="12" max="12" width="20.6640625" customWidth="1"/>
    <col min="13" max="13" width="19.33203125" customWidth="1"/>
    <col min="14" max="15" width="14.77734375" customWidth="1"/>
    <col min="16" max="16" width="18.6640625" customWidth="1"/>
    <col min="17" max="17" width="12.6640625" customWidth="1"/>
    <col min="18" max="18" width="9.44140625" customWidth="1"/>
    <col min="20" max="21" width="10.6640625" bestFit="1" customWidth="1"/>
    <col min="22" max="22" width="19.6640625" bestFit="1" customWidth="1"/>
    <col min="24" max="24" width="12.6640625" bestFit="1" customWidth="1"/>
  </cols>
  <sheetData>
    <row r="1" spans="1:25" s="112" customFormat="1" ht="5.25" customHeight="1" x14ac:dyDescent="0.3">
      <c r="A1" s="11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5"/>
    </row>
    <row r="2" spans="1:25" s="112" customFormat="1" ht="15.6" x14ac:dyDescent="0.3">
      <c r="A2" s="176"/>
      <c r="B2" s="177" t="str">
        <f>'CFS-Main Page'!B2</f>
        <v>Calabash Shores</v>
      </c>
      <c r="C2" s="158"/>
      <c r="D2" s="158" t="str">
        <f>'CFS-Main Page'!C2</f>
        <v>Address:</v>
      </c>
      <c r="E2" s="158" t="str">
        <f>'CFS-Main Page'!D2</f>
        <v>660 Aubrey Ln Calabash, NC, 28467</v>
      </c>
      <c r="F2" s="179"/>
      <c r="G2" s="179"/>
      <c r="H2" s="179"/>
      <c r="I2" s="179"/>
      <c r="J2" s="179"/>
      <c r="K2" s="179"/>
      <c r="L2" s="179"/>
      <c r="M2" s="179"/>
      <c r="N2" s="179"/>
      <c r="O2" s="180"/>
    </row>
    <row r="3" spans="1:25" s="112" customFormat="1" x14ac:dyDescent="0.3">
      <c r="A3" s="176"/>
      <c r="B3" s="179" t="s">
        <v>97</v>
      </c>
      <c r="C3" s="158"/>
      <c r="D3" s="158" t="str">
        <f>'CFS-Main Page'!C3</f>
        <v>Units</v>
      </c>
      <c r="E3" s="158">
        <f>'CFS-Main Page'!D3</f>
        <v>132</v>
      </c>
      <c r="F3" s="179"/>
      <c r="G3" s="179"/>
      <c r="H3" s="179"/>
      <c r="I3" s="179"/>
      <c r="J3" s="179"/>
      <c r="K3" s="179"/>
      <c r="L3" s="179"/>
      <c r="M3" s="179"/>
      <c r="N3" s="179"/>
      <c r="O3" s="180"/>
    </row>
    <row r="4" spans="1:25" s="112" customFormat="1" ht="15" thickBot="1" x14ac:dyDescent="0.35">
      <c r="A4" s="181"/>
      <c r="B4" s="182">
        <f>'CFS-Main Page'!B4</f>
        <v>0</v>
      </c>
      <c r="C4" s="185"/>
      <c r="D4" s="185" t="str">
        <f>'CFS-Main Page'!C4</f>
        <v>Year Built/Reno</v>
      </c>
      <c r="E4" s="185">
        <f>'CFS-Main Page'!D4</f>
        <v>2024</v>
      </c>
      <c r="F4" s="182"/>
      <c r="G4" s="182"/>
      <c r="H4" s="182"/>
      <c r="I4" s="182"/>
      <c r="J4" s="179"/>
      <c r="K4" s="179"/>
      <c r="L4" s="179"/>
      <c r="M4" s="179"/>
      <c r="N4" s="179"/>
      <c r="O4" s="180"/>
    </row>
    <row r="5" spans="1:25" ht="15" thickBot="1" x14ac:dyDescent="0.35">
      <c r="C5" s="194" t="s">
        <v>98</v>
      </c>
      <c r="D5" s="355">
        <v>46066</v>
      </c>
      <c r="E5" s="106" t="s">
        <v>99</v>
      </c>
      <c r="F5" s="585" t="s">
        <v>281</v>
      </c>
      <c r="G5" s="586" cm="1">
        <f t="array" ref="G5">-SUMPRODUCT(-($B$9:$B$28=F5),$E$9:$E$28,$J$9:$J$28)/SUMIF($B$9:$B$28,"="&amp;F5,$E$9:$E$28)</f>
        <v>1568.6399999999999</v>
      </c>
      <c r="H5" s="135" t="s">
        <v>100</v>
      </c>
      <c r="I5" s="587" cm="1">
        <f t="array" ref="I5">-SUMPRODUCT(-($B$9:$B$28=H5),$E$9:$E$28,$J$9:$J$28)/SUMIF($B$9:$B$28,"="&amp;H5,$E$9:$E$28)</f>
        <v>2441.5257675438597</v>
      </c>
      <c r="J5" s="179"/>
      <c r="K5" s="179"/>
      <c r="L5" s="584"/>
      <c r="M5" s="584"/>
      <c r="N5" s="584"/>
      <c r="O5" s="584"/>
    </row>
    <row r="6" spans="1:25" ht="15" thickBot="1" x14ac:dyDescent="0.35">
      <c r="C6" s="9" t="s">
        <v>101</v>
      </c>
      <c r="D6" s="264"/>
      <c r="E6" s="264"/>
      <c r="F6" s="584"/>
      <c r="G6" s="584"/>
      <c r="H6" s="584"/>
      <c r="I6" s="584"/>
      <c r="J6" s="584"/>
      <c r="K6" s="584"/>
      <c r="L6" s="584"/>
      <c r="M6" s="584"/>
      <c r="N6" s="584"/>
      <c r="O6" s="584"/>
      <c r="W6" s="232"/>
      <c r="X6" s="232"/>
      <c r="Y6" s="232"/>
    </row>
    <row r="7" spans="1:25" ht="15" hidden="1" thickBot="1" x14ac:dyDescent="0.35">
      <c r="C7" s="158"/>
      <c r="D7" s="573"/>
      <c r="E7" s="573"/>
      <c r="F7" s="195"/>
      <c r="G7" s="196"/>
      <c r="H7" s="195"/>
      <c r="I7" s="196"/>
      <c r="J7" s="195"/>
      <c r="K7" s="196"/>
      <c r="L7" s="195"/>
      <c r="M7" s="196"/>
      <c r="N7" s="195"/>
      <c r="O7" s="195"/>
      <c r="W7" s="232"/>
      <c r="X7" s="232"/>
      <c r="Y7" s="232"/>
    </row>
    <row r="8" spans="1:25" x14ac:dyDescent="0.3">
      <c r="B8" s="11" t="s">
        <v>301</v>
      </c>
      <c r="C8" s="11" t="s">
        <v>102</v>
      </c>
      <c r="D8" s="8" t="s">
        <v>2</v>
      </c>
      <c r="E8" s="8" t="s">
        <v>103</v>
      </c>
      <c r="F8" s="8" t="s">
        <v>104</v>
      </c>
      <c r="G8" s="8" t="s">
        <v>105</v>
      </c>
      <c r="H8" s="8" t="s">
        <v>106</v>
      </c>
      <c r="I8" s="8" t="s">
        <v>107</v>
      </c>
      <c r="J8" s="12" t="s">
        <v>299</v>
      </c>
      <c r="K8" s="12" t="s">
        <v>108</v>
      </c>
      <c r="L8" s="12" t="s">
        <v>300</v>
      </c>
      <c r="M8" s="93" t="s">
        <v>109</v>
      </c>
      <c r="N8" s="94" t="s">
        <v>110</v>
      </c>
      <c r="O8" s="95" t="s">
        <v>111</v>
      </c>
      <c r="V8" s="261"/>
      <c r="W8" s="261"/>
      <c r="X8" s="232"/>
    </row>
    <row r="9" spans="1:25" x14ac:dyDescent="0.3">
      <c r="B9" s="512" t="s">
        <v>281</v>
      </c>
      <c r="C9" s="530" t="s">
        <v>329</v>
      </c>
      <c r="D9" s="105">
        <f t="shared" ref="D9:D28" si="0">IF(C9="","",COUNTIF($D$62:$D$997,"="&amp;C9))</f>
        <v>40</v>
      </c>
      <c r="E9" s="105">
        <f t="shared" ref="E9:E28" si="1">IF(C9="","",COUNTIF($I$62:$I$997,"="&amp;C9))</f>
        <v>4</v>
      </c>
      <c r="F9" s="246">
        <f t="shared" ref="F9:F28" si="2">IFERROR(D9-E9,0)</f>
        <v>36</v>
      </c>
      <c r="G9" s="247">
        <f t="shared" ref="G9:G28" si="3">IFERROR(D9/$D$29,0)</f>
        <v>0.30303030303030304</v>
      </c>
      <c r="H9" s="247">
        <f t="shared" ref="H9:H28" si="4">IFERROR(E9/D9,0)</f>
        <v>0.1</v>
      </c>
      <c r="I9" s="105">
        <f t="shared" ref="I9:I28" si="5">IFERROR(SUMIF($D$62:$D$997,"="&amp;C9,$E$62:$E$997)/D9,0)</f>
        <v>745</v>
      </c>
      <c r="J9" s="632">
        <f>IFERROR(SUMIF($D$62:$D$997,"="&amp;C9,$G$62:$G$997)/D9,0)</f>
        <v>1575.8</v>
      </c>
      <c r="K9" s="633">
        <v>1700</v>
      </c>
      <c r="L9" s="441" t="s">
        <v>299</v>
      </c>
      <c r="M9" s="636">
        <f t="shared" ref="M9:M28" si="6">IFERROR(SUMIF($D$62:$D$997,"="&amp;C9,$H$62:$H$997)/E9,0)</f>
        <v>1941.75</v>
      </c>
      <c r="N9" s="637">
        <f t="shared" ref="N9:N28" si="7">IFERROR((M9*E9)+(F9*J9),0)</f>
        <v>64495.799999999996</v>
      </c>
      <c r="O9" s="638">
        <f t="shared" ref="O9:O28" si="8">IFERROR(N9/D9,0)</f>
        <v>1612.395</v>
      </c>
      <c r="V9" s="265"/>
      <c r="W9" s="261"/>
      <c r="X9" s="232"/>
    </row>
    <row r="10" spans="1:25" x14ac:dyDescent="0.3">
      <c r="B10" s="512" t="s">
        <v>281</v>
      </c>
      <c r="C10" s="205" t="s">
        <v>332</v>
      </c>
      <c r="D10" s="105">
        <f t="shared" si="0"/>
        <v>3</v>
      </c>
      <c r="E10" s="105">
        <f t="shared" si="1"/>
        <v>1</v>
      </c>
      <c r="F10" s="246">
        <f t="shared" si="2"/>
        <v>2</v>
      </c>
      <c r="G10" s="247">
        <f t="shared" si="3"/>
        <v>2.2727272727272728E-2</v>
      </c>
      <c r="H10" s="247">
        <f t="shared" si="4"/>
        <v>0.33333333333333331</v>
      </c>
      <c r="I10" s="105">
        <f t="shared" si="5"/>
        <v>745</v>
      </c>
      <c r="J10" s="632">
        <f t="shared" ref="J10:J28" si="9">IFERROR(SUMIF($D$62:$D$997,"="&amp;C10,$G$62:$G$997)/D10,0)</f>
        <v>1540</v>
      </c>
      <c r="K10" s="633">
        <v>1700</v>
      </c>
      <c r="L10" s="441" t="s">
        <v>299</v>
      </c>
      <c r="M10" s="636">
        <f t="shared" si="6"/>
        <v>1540</v>
      </c>
      <c r="N10" s="637">
        <f t="shared" si="7"/>
        <v>4620</v>
      </c>
      <c r="O10" s="638">
        <f t="shared" si="8"/>
        <v>1540</v>
      </c>
      <c r="V10" s="265"/>
      <c r="W10" s="261"/>
      <c r="X10" s="232"/>
    </row>
    <row r="11" spans="1:25" x14ac:dyDescent="0.3">
      <c r="B11" s="512" t="s">
        <v>499</v>
      </c>
      <c r="C11" s="205" t="s">
        <v>333</v>
      </c>
      <c r="D11" s="105">
        <f t="shared" si="0"/>
        <v>4</v>
      </c>
      <c r="E11" s="105">
        <f t="shared" si="1"/>
        <v>0</v>
      </c>
      <c r="F11" s="246">
        <f t="shared" si="2"/>
        <v>4</v>
      </c>
      <c r="G11" s="247">
        <f t="shared" si="3"/>
        <v>3.0303030303030304E-2</v>
      </c>
      <c r="H11" s="247">
        <f t="shared" si="4"/>
        <v>0</v>
      </c>
      <c r="I11" s="105">
        <f t="shared" si="5"/>
        <v>936</v>
      </c>
      <c r="J11" s="632">
        <f t="shared" si="9"/>
        <v>1650</v>
      </c>
      <c r="K11" s="633">
        <v>1935</v>
      </c>
      <c r="L11" s="441" t="s">
        <v>299</v>
      </c>
      <c r="M11" s="636">
        <f t="shared" si="6"/>
        <v>0</v>
      </c>
      <c r="N11" s="637">
        <f t="shared" si="7"/>
        <v>6600</v>
      </c>
      <c r="O11" s="638">
        <f t="shared" si="8"/>
        <v>1650</v>
      </c>
      <c r="V11" s="265"/>
      <c r="W11" s="261"/>
      <c r="X11" s="232"/>
    </row>
    <row r="12" spans="1:25" x14ac:dyDescent="0.3">
      <c r="B12" s="512" t="s">
        <v>100</v>
      </c>
      <c r="C12" s="205" t="s">
        <v>330</v>
      </c>
      <c r="D12" s="105">
        <f t="shared" si="0"/>
        <v>10</v>
      </c>
      <c r="E12" s="105">
        <f t="shared" si="1"/>
        <v>7</v>
      </c>
      <c r="F12" s="246">
        <f t="shared" si="2"/>
        <v>3</v>
      </c>
      <c r="G12" s="247">
        <f t="shared" si="3"/>
        <v>7.575757575757576E-2</v>
      </c>
      <c r="H12" s="247">
        <f t="shared" si="4"/>
        <v>0.7</v>
      </c>
      <c r="I12" s="105">
        <f t="shared" si="5"/>
        <v>995</v>
      </c>
      <c r="J12" s="632">
        <f t="shared" si="9"/>
        <v>1900</v>
      </c>
      <c r="K12" s="633">
        <v>1935</v>
      </c>
      <c r="L12" s="441" t="s">
        <v>299</v>
      </c>
      <c r="M12" s="636">
        <f t="shared" si="6"/>
        <v>1996.4285714285713</v>
      </c>
      <c r="N12" s="637">
        <f t="shared" si="7"/>
        <v>19675</v>
      </c>
      <c r="O12" s="638">
        <f t="shared" si="8"/>
        <v>1967.5</v>
      </c>
      <c r="V12" s="265"/>
      <c r="W12" s="261"/>
      <c r="X12" s="232"/>
    </row>
    <row r="13" spans="1:25" x14ac:dyDescent="0.3">
      <c r="B13" s="512" t="s">
        <v>100</v>
      </c>
      <c r="C13" s="205" t="s">
        <v>331</v>
      </c>
      <c r="D13" s="105">
        <f t="shared" si="0"/>
        <v>1</v>
      </c>
      <c r="E13" s="105">
        <f t="shared" si="1"/>
        <v>0</v>
      </c>
      <c r="F13" s="246">
        <f t="shared" si="2"/>
        <v>1</v>
      </c>
      <c r="G13" s="247">
        <f t="shared" si="3"/>
        <v>7.575757575757576E-3</v>
      </c>
      <c r="H13" s="247">
        <f t="shared" si="4"/>
        <v>0</v>
      </c>
      <c r="I13" s="105">
        <f t="shared" si="5"/>
        <v>995</v>
      </c>
      <c r="J13" s="632">
        <f t="shared" si="9"/>
        <v>1675</v>
      </c>
      <c r="K13" s="633">
        <v>1935</v>
      </c>
      <c r="L13" s="441" t="s">
        <v>299</v>
      </c>
      <c r="M13" s="636">
        <f t="shared" si="6"/>
        <v>0</v>
      </c>
      <c r="N13" s="637">
        <f t="shared" si="7"/>
        <v>1675</v>
      </c>
      <c r="O13" s="638">
        <f t="shared" si="8"/>
        <v>1675</v>
      </c>
      <c r="V13" s="265"/>
      <c r="W13" s="261"/>
      <c r="X13" s="232"/>
    </row>
    <row r="14" spans="1:25" x14ac:dyDescent="0.3">
      <c r="B14" s="512" t="s">
        <v>100</v>
      </c>
      <c r="C14" s="205" t="s">
        <v>328</v>
      </c>
      <c r="D14" s="105">
        <f t="shared" si="0"/>
        <v>12</v>
      </c>
      <c r="E14" s="105">
        <f t="shared" si="1"/>
        <v>2</v>
      </c>
      <c r="F14" s="246">
        <f t="shared" si="2"/>
        <v>10</v>
      </c>
      <c r="G14" s="247">
        <f t="shared" si="3"/>
        <v>9.0909090909090912E-2</v>
      </c>
      <c r="H14" s="247">
        <f t="shared" si="4"/>
        <v>0.16666666666666666</v>
      </c>
      <c r="I14" s="105">
        <f t="shared" si="5"/>
        <v>1000</v>
      </c>
      <c r="J14" s="632">
        <f t="shared" si="9"/>
        <v>1905.8333333333333</v>
      </c>
      <c r="K14" s="633">
        <v>1935</v>
      </c>
      <c r="L14" s="441" t="s">
        <v>299</v>
      </c>
      <c r="M14" s="636">
        <f t="shared" si="6"/>
        <v>1860</v>
      </c>
      <c r="N14" s="637">
        <f t="shared" si="7"/>
        <v>22778.333333333332</v>
      </c>
      <c r="O14" s="638">
        <f t="shared" si="8"/>
        <v>1898.1944444444443</v>
      </c>
      <c r="V14" s="265"/>
      <c r="W14" s="261"/>
      <c r="X14" s="232"/>
    </row>
    <row r="15" spans="1:25" x14ac:dyDescent="0.3">
      <c r="B15" s="512" t="s">
        <v>100</v>
      </c>
      <c r="C15" s="205" t="s">
        <v>336</v>
      </c>
      <c r="D15" s="105">
        <f t="shared" si="0"/>
        <v>38</v>
      </c>
      <c r="E15" s="105">
        <f t="shared" si="1"/>
        <v>4</v>
      </c>
      <c r="F15" s="246">
        <f t="shared" si="2"/>
        <v>34</v>
      </c>
      <c r="G15" s="247">
        <f t="shared" si="3"/>
        <v>0.2878787878787879</v>
      </c>
      <c r="H15" s="247">
        <f t="shared" si="4"/>
        <v>0.10526315789473684</v>
      </c>
      <c r="I15" s="105">
        <f t="shared" si="5"/>
        <v>1149</v>
      </c>
      <c r="J15" s="632">
        <f t="shared" si="9"/>
        <v>1956.7894736842106</v>
      </c>
      <c r="K15" s="633">
        <v>1935</v>
      </c>
      <c r="L15" s="441" t="s">
        <v>299</v>
      </c>
      <c r="M15" s="636">
        <f t="shared" si="6"/>
        <v>2312</v>
      </c>
      <c r="N15" s="637">
        <f t="shared" si="7"/>
        <v>75778.84210526316</v>
      </c>
      <c r="O15" s="638">
        <f t="shared" si="8"/>
        <v>1994.180055401662</v>
      </c>
      <c r="V15" s="265"/>
      <c r="W15" s="261"/>
      <c r="X15" s="232"/>
    </row>
    <row r="16" spans="1:25" x14ac:dyDescent="0.3">
      <c r="B16" s="512" t="s">
        <v>100</v>
      </c>
      <c r="C16" s="205" t="s">
        <v>335</v>
      </c>
      <c r="D16" s="105">
        <f t="shared" si="0"/>
        <v>22</v>
      </c>
      <c r="E16" s="105">
        <f t="shared" si="1"/>
        <v>18</v>
      </c>
      <c r="F16" s="246">
        <f t="shared" si="2"/>
        <v>4</v>
      </c>
      <c r="G16" s="247">
        <f t="shared" si="3"/>
        <v>0.16666666666666666</v>
      </c>
      <c r="H16" s="247">
        <f t="shared" si="4"/>
        <v>0.81818181818181823</v>
      </c>
      <c r="I16" s="105">
        <f t="shared" si="5"/>
        <v>1210</v>
      </c>
      <c r="J16" s="632">
        <f t="shared" si="9"/>
        <v>2810</v>
      </c>
      <c r="K16" s="633">
        <v>1935</v>
      </c>
      <c r="L16" s="441" t="s">
        <v>299</v>
      </c>
      <c r="M16" s="636">
        <f t="shared" si="6"/>
        <v>2845.5555555555557</v>
      </c>
      <c r="N16" s="637">
        <f t="shared" si="7"/>
        <v>62460</v>
      </c>
      <c r="O16" s="638">
        <f t="shared" si="8"/>
        <v>2839.090909090909</v>
      </c>
      <c r="V16" s="265"/>
      <c r="W16" s="261"/>
      <c r="X16" s="232"/>
    </row>
    <row r="17" spans="2:24" x14ac:dyDescent="0.3">
      <c r="B17" s="512" t="s">
        <v>100</v>
      </c>
      <c r="C17" s="205" t="s">
        <v>334</v>
      </c>
      <c r="D17" s="105">
        <f t="shared" si="0"/>
        <v>2</v>
      </c>
      <c r="E17" s="105">
        <f t="shared" si="1"/>
        <v>1</v>
      </c>
      <c r="F17" s="246">
        <f t="shared" si="2"/>
        <v>1</v>
      </c>
      <c r="G17" s="247">
        <f t="shared" si="3"/>
        <v>1.5151515151515152E-2</v>
      </c>
      <c r="H17" s="247">
        <f t="shared" si="4"/>
        <v>0.5</v>
      </c>
      <c r="I17" s="105">
        <f t="shared" si="5"/>
        <v>1417</v>
      </c>
      <c r="J17" s="632">
        <f t="shared" si="9"/>
        <v>2610</v>
      </c>
      <c r="K17" s="633">
        <v>1935</v>
      </c>
      <c r="L17" s="441" t="s">
        <v>299</v>
      </c>
      <c r="M17" s="636">
        <f t="shared" si="6"/>
        <v>2870</v>
      </c>
      <c r="N17" s="637">
        <f t="shared" si="7"/>
        <v>5480</v>
      </c>
      <c r="O17" s="638">
        <f t="shared" si="8"/>
        <v>2740</v>
      </c>
      <c r="V17" s="265"/>
      <c r="W17" s="261"/>
      <c r="X17" s="232"/>
    </row>
    <row r="18" spans="2:24" x14ac:dyDescent="0.3">
      <c r="B18" s="512"/>
      <c r="C18" s="205"/>
      <c r="D18" s="105" t="str">
        <f t="shared" si="0"/>
        <v/>
      </c>
      <c r="E18" s="105" t="str">
        <f t="shared" si="1"/>
        <v/>
      </c>
      <c r="F18" s="246">
        <f t="shared" si="2"/>
        <v>0</v>
      </c>
      <c r="G18" s="247">
        <f t="shared" si="3"/>
        <v>0</v>
      </c>
      <c r="H18" s="247">
        <f t="shared" si="4"/>
        <v>0</v>
      </c>
      <c r="I18" s="105">
        <f t="shared" si="5"/>
        <v>0</v>
      </c>
      <c r="J18" s="632">
        <f t="shared" si="9"/>
        <v>0</v>
      </c>
      <c r="K18" s="633">
        <v>0</v>
      </c>
      <c r="L18" s="441"/>
      <c r="M18" s="636">
        <f t="shared" si="6"/>
        <v>0</v>
      </c>
      <c r="N18" s="637">
        <f t="shared" si="7"/>
        <v>0</v>
      </c>
      <c r="O18" s="638">
        <f t="shared" si="8"/>
        <v>0</v>
      </c>
      <c r="V18" s="265"/>
      <c r="W18" s="261"/>
      <c r="X18" s="232"/>
    </row>
    <row r="19" spans="2:24" x14ac:dyDescent="0.3">
      <c r="B19" s="512"/>
      <c r="C19" s="205"/>
      <c r="D19" s="105" t="str">
        <f t="shared" si="0"/>
        <v/>
      </c>
      <c r="E19" s="105" t="str">
        <f t="shared" si="1"/>
        <v/>
      </c>
      <c r="F19" s="246">
        <f t="shared" si="2"/>
        <v>0</v>
      </c>
      <c r="G19" s="247">
        <f t="shared" si="3"/>
        <v>0</v>
      </c>
      <c r="H19" s="247">
        <f t="shared" si="4"/>
        <v>0</v>
      </c>
      <c r="I19" s="105">
        <f t="shared" si="5"/>
        <v>0</v>
      </c>
      <c r="J19" s="632">
        <f t="shared" si="9"/>
        <v>0</v>
      </c>
      <c r="K19" s="633">
        <v>0</v>
      </c>
      <c r="L19" s="441"/>
      <c r="M19" s="636">
        <f t="shared" si="6"/>
        <v>0</v>
      </c>
      <c r="N19" s="637">
        <f t="shared" si="7"/>
        <v>0</v>
      </c>
      <c r="O19" s="638">
        <f t="shared" si="8"/>
        <v>0</v>
      </c>
      <c r="V19" s="265"/>
      <c r="W19" s="261"/>
      <c r="X19" s="232"/>
    </row>
    <row r="20" spans="2:24" x14ac:dyDescent="0.3">
      <c r="B20" s="512"/>
      <c r="C20" s="205"/>
      <c r="D20" s="105" t="str">
        <f t="shared" si="0"/>
        <v/>
      </c>
      <c r="E20" s="105" t="str">
        <f t="shared" si="1"/>
        <v/>
      </c>
      <c r="F20" s="246">
        <f t="shared" si="2"/>
        <v>0</v>
      </c>
      <c r="G20" s="247">
        <f t="shared" si="3"/>
        <v>0</v>
      </c>
      <c r="H20" s="247">
        <f t="shared" si="4"/>
        <v>0</v>
      </c>
      <c r="I20" s="105">
        <f t="shared" si="5"/>
        <v>0</v>
      </c>
      <c r="J20" s="632">
        <f t="shared" si="9"/>
        <v>0</v>
      </c>
      <c r="K20" s="633">
        <v>0</v>
      </c>
      <c r="L20" s="441"/>
      <c r="M20" s="636">
        <f t="shared" si="6"/>
        <v>0</v>
      </c>
      <c r="N20" s="637">
        <f t="shared" si="7"/>
        <v>0</v>
      </c>
      <c r="O20" s="638">
        <f t="shared" si="8"/>
        <v>0</v>
      </c>
      <c r="V20" s="265"/>
      <c r="W20" s="261"/>
      <c r="X20" s="232"/>
    </row>
    <row r="21" spans="2:24" x14ac:dyDescent="0.3">
      <c r="B21" s="512"/>
      <c r="C21" s="205"/>
      <c r="D21" s="105" t="str">
        <f t="shared" si="0"/>
        <v/>
      </c>
      <c r="E21" s="105" t="str">
        <f t="shared" si="1"/>
        <v/>
      </c>
      <c r="F21" s="246">
        <f t="shared" si="2"/>
        <v>0</v>
      </c>
      <c r="G21" s="247">
        <f t="shared" si="3"/>
        <v>0</v>
      </c>
      <c r="H21" s="247">
        <f t="shared" si="4"/>
        <v>0</v>
      </c>
      <c r="I21" s="105">
        <f t="shared" si="5"/>
        <v>0</v>
      </c>
      <c r="J21" s="632">
        <f t="shared" si="9"/>
        <v>0</v>
      </c>
      <c r="K21" s="633">
        <v>0</v>
      </c>
      <c r="L21" s="441"/>
      <c r="M21" s="636">
        <f t="shared" si="6"/>
        <v>0</v>
      </c>
      <c r="N21" s="637">
        <f t="shared" si="7"/>
        <v>0</v>
      </c>
      <c r="O21" s="638">
        <f t="shared" si="8"/>
        <v>0</v>
      </c>
      <c r="V21" s="265"/>
      <c r="W21" s="261"/>
      <c r="X21" s="232"/>
    </row>
    <row r="22" spans="2:24" x14ac:dyDescent="0.3">
      <c r="B22" s="512"/>
      <c r="C22" s="205"/>
      <c r="D22" s="105" t="str">
        <f t="shared" si="0"/>
        <v/>
      </c>
      <c r="E22" s="105" t="str">
        <f t="shared" si="1"/>
        <v/>
      </c>
      <c r="F22" s="246">
        <f t="shared" si="2"/>
        <v>0</v>
      </c>
      <c r="G22" s="247">
        <f t="shared" si="3"/>
        <v>0</v>
      </c>
      <c r="H22" s="247">
        <f t="shared" si="4"/>
        <v>0</v>
      </c>
      <c r="I22" s="105">
        <f t="shared" si="5"/>
        <v>0</v>
      </c>
      <c r="J22" s="632">
        <f t="shared" si="9"/>
        <v>0</v>
      </c>
      <c r="K22" s="633">
        <v>0</v>
      </c>
      <c r="L22" s="441"/>
      <c r="M22" s="636">
        <f t="shared" si="6"/>
        <v>0</v>
      </c>
      <c r="N22" s="637">
        <f t="shared" si="7"/>
        <v>0</v>
      </c>
      <c r="O22" s="638">
        <f t="shared" si="8"/>
        <v>0</v>
      </c>
      <c r="V22" s="265"/>
      <c r="W22" s="261"/>
      <c r="X22" s="232"/>
    </row>
    <row r="23" spans="2:24" x14ac:dyDescent="0.3">
      <c r="B23" s="512"/>
      <c r="C23" s="205"/>
      <c r="D23" s="105" t="str">
        <f t="shared" si="0"/>
        <v/>
      </c>
      <c r="E23" s="105" t="str">
        <f t="shared" si="1"/>
        <v/>
      </c>
      <c r="F23" s="246">
        <f t="shared" si="2"/>
        <v>0</v>
      </c>
      <c r="G23" s="247">
        <f t="shared" si="3"/>
        <v>0</v>
      </c>
      <c r="H23" s="247">
        <f t="shared" si="4"/>
        <v>0</v>
      </c>
      <c r="I23" s="105">
        <f t="shared" si="5"/>
        <v>0</v>
      </c>
      <c r="J23" s="632">
        <f t="shared" si="9"/>
        <v>0</v>
      </c>
      <c r="K23" s="633">
        <v>0</v>
      </c>
      <c r="L23" s="441"/>
      <c r="M23" s="636">
        <f t="shared" si="6"/>
        <v>0</v>
      </c>
      <c r="N23" s="637">
        <f t="shared" si="7"/>
        <v>0</v>
      </c>
      <c r="O23" s="638">
        <f t="shared" si="8"/>
        <v>0</v>
      </c>
      <c r="V23" s="265"/>
      <c r="W23" s="261"/>
      <c r="X23" s="232"/>
    </row>
    <row r="24" spans="2:24" x14ac:dyDescent="0.3">
      <c r="B24" s="512"/>
      <c r="C24" s="205"/>
      <c r="D24" s="105" t="str">
        <f t="shared" si="0"/>
        <v/>
      </c>
      <c r="E24" s="105" t="str">
        <f t="shared" si="1"/>
        <v/>
      </c>
      <c r="F24" s="246">
        <f t="shared" si="2"/>
        <v>0</v>
      </c>
      <c r="G24" s="247">
        <f t="shared" si="3"/>
        <v>0</v>
      </c>
      <c r="H24" s="247">
        <f t="shared" si="4"/>
        <v>0</v>
      </c>
      <c r="I24" s="105">
        <f t="shared" si="5"/>
        <v>0</v>
      </c>
      <c r="J24" s="632">
        <f t="shared" si="9"/>
        <v>0</v>
      </c>
      <c r="K24" s="633">
        <v>0</v>
      </c>
      <c r="L24" s="441"/>
      <c r="M24" s="636">
        <f t="shared" si="6"/>
        <v>0</v>
      </c>
      <c r="N24" s="637">
        <f t="shared" si="7"/>
        <v>0</v>
      </c>
      <c r="O24" s="638">
        <f t="shared" si="8"/>
        <v>0</v>
      </c>
      <c r="V24" s="265"/>
      <c r="W24" s="261"/>
      <c r="X24" s="232"/>
    </row>
    <row r="25" spans="2:24" x14ac:dyDescent="0.3">
      <c r="B25" s="512"/>
      <c r="C25" s="205"/>
      <c r="D25" s="105" t="str">
        <f t="shared" si="0"/>
        <v/>
      </c>
      <c r="E25" s="105" t="str">
        <f t="shared" si="1"/>
        <v/>
      </c>
      <c r="F25" s="246">
        <f t="shared" si="2"/>
        <v>0</v>
      </c>
      <c r="G25" s="247">
        <f t="shared" si="3"/>
        <v>0</v>
      </c>
      <c r="H25" s="247">
        <f t="shared" si="4"/>
        <v>0</v>
      </c>
      <c r="I25" s="105">
        <f t="shared" si="5"/>
        <v>0</v>
      </c>
      <c r="J25" s="632">
        <f t="shared" si="9"/>
        <v>0</v>
      </c>
      <c r="K25" s="633">
        <v>0</v>
      </c>
      <c r="L25" s="441"/>
      <c r="M25" s="636">
        <f t="shared" si="6"/>
        <v>0</v>
      </c>
      <c r="N25" s="637">
        <f t="shared" si="7"/>
        <v>0</v>
      </c>
      <c r="O25" s="638">
        <f t="shared" si="8"/>
        <v>0</v>
      </c>
      <c r="Q25">
        <v>2350</v>
      </c>
      <c r="V25" s="265"/>
      <c r="W25" s="261"/>
      <c r="X25" s="232"/>
    </row>
    <row r="26" spans="2:24" x14ac:dyDescent="0.3">
      <c r="B26" s="512"/>
      <c r="C26" s="205"/>
      <c r="D26" s="105" t="str">
        <f t="shared" si="0"/>
        <v/>
      </c>
      <c r="E26" s="105" t="str">
        <f t="shared" si="1"/>
        <v/>
      </c>
      <c r="F26" s="246">
        <f t="shared" si="2"/>
        <v>0</v>
      </c>
      <c r="G26" s="247">
        <f t="shared" si="3"/>
        <v>0</v>
      </c>
      <c r="H26" s="247">
        <f t="shared" si="4"/>
        <v>0</v>
      </c>
      <c r="I26" s="105">
        <f t="shared" si="5"/>
        <v>0</v>
      </c>
      <c r="J26" s="632">
        <f t="shared" si="9"/>
        <v>0</v>
      </c>
      <c r="K26" s="633">
        <v>0</v>
      </c>
      <c r="L26" s="441"/>
      <c r="M26" s="636">
        <f t="shared" si="6"/>
        <v>0</v>
      </c>
      <c r="N26" s="637">
        <f t="shared" si="7"/>
        <v>0</v>
      </c>
      <c r="O26" s="638">
        <f t="shared" si="8"/>
        <v>0</v>
      </c>
      <c r="Q26">
        <v>2350</v>
      </c>
      <c r="V26" s="265"/>
      <c r="W26" s="261"/>
      <c r="X26" s="232"/>
    </row>
    <row r="27" spans="2:24" x14ac:dyDescent="0.3">
      <c r="B27" s="204"/>
      <c r="C27" s="205"/>
      <c r="D27" s="105" t="str">
        <f t="shared" si="0"/>
        <v/>
      </c>
      <c r="E27" s="105" t="str">
        <f t="shared" si="1"/>
        <v/>
      </c>
      <c r="F27" s="246">
        <f t="shared" si="2"/>
        <v>0</v>
      </c>
      <c r="G27" s="247">
        <f t="shared" si="3"/>
        <v>0</v>
      </c>
      <c r="H27" s="247">
        <f t="shared" si="4"/>
        <v>0</v>
      </c>
      <c r="I27" s="105">
        <f t="shared" si="5"/>
        <v>0</v>
      </c>
      <c r="J27" s="632">
        <f t="shared" si="9"/>
        <v>0</v>
      </c>
      <c r="K27" s="633">
        <v>0</v>
      </c>
      <c r="L27" s="441"/>
      <c r="M27" s="636">
        <f t="shared" si="6"/>
        <v>0</v>
      </c>
      <c r="N27" s="637">
        <f t="shared" si="7"/>
        <v>0</v>
      </c>
      <c r="O27" s="638">
        <f t="shared" si="8"/>
        <v>0</v>
      </c>
      <c r="Q27">
        <v>2025</v>
      </c>
      <c r="V27" s="265"/>
      <c r="W27" s="261"/>
      <c r="X27" s="232"/>
    </row>
    <row r="28" spans="2:24" ht="15" thickBot="1" x14ac:dyDescent="0.35">
      <c r="B28" s="204"/>
      <c r="C28" s="205"/>
      <c r="D28" s="105" t="str">
        <f t="shared" si="0"/>
        <v/>
      </c>
      <c r="E28" s="105" t="str">
        <f t="shared" si="1"/>
        <v/>
      </c>
      <c r="F28" s="246">
        <f t="shared" si="2"/>
        <v>0</v>
      </c>
      <c r="G28" s="247">
        <f t="shared" si="3"/>
        <v>0</v>
      </c>
      <c r="H28" s="247">
        <f t="shared" si="4"/>
        <v>0</v>
      </c>
      <c r="I28" s="105">
        <f t="shared" si="5"/>
        <v>0</v>
      </c>
      <c r="J28" s="632">
        <f t="shared" si="9"/>
        <v>0</v>
      </c>
      <c r="K28" s="633">
        <v>0</v>
      </c>
      <c r="L28" s="441"/>
      <c r="M28" s="636">
        <f t="shared" si="6"/>
        <v>0</v>
      </c>
      <c r="N28" s="637">
        <f t="shared" si="7"/>
        <v>0</v>
      </c>
      <c r="O28" s="638">
        <f t="shared" si="8"/>
        <v>0</v>
      </c>
      <c r="Q28">
        <v>1525</v>
      </c>
      <c r="V28" s="265"/>
      <c r="W28" s="261"/>
      <c r="X28" s="232"/>
    </row>
    <row r="29" spans="2:24" ht="15" thickBot="1" x14ac:dyDescent="0.35">
      <c r="C29" s="266" t="s">
        <v>112</v>
      </c>
      <c r="D29" s="220">
        <f>SUM(D9:D28)</f>
        <v>132</v>
      </c>
      <c r="E29" s="220">
        <f>SUM(E9:E28)</f>
        <v>37</v>
      </c>
      <c r="F29" s="220">
        <f>SUM(F9:F28)</f>
        <v>95</v>
      </c>
      <c r="G29" s="267">
        <f>SUM(G9:G28)</f>
        <v>0.99999999999999989</v>
      </c>
      <c r="H29" s="267">
        <f>E29/Units</f>
        <v>0.28030303030303028</v>
      </c>
      <c r="I29" s="268">
        <f>SUMPRODUCT($D$9:$D$28,I9:I28)</f>
        <v>131840</v>
      </c>
      <c r="J29" s="634">
        <f>SUMPRODUCT($D$9:$D$28,J9:J28)</f>
        <v>259195</v>
      </c>
      <c r="K29" s="635">
        <f>SUMPRODUCT($D$9:$D$28,K9:K28)</f>
        <v>245315</v>
      </c>
      <c r="L29" s="268"/>
      <c r="M29" s="639">
        <f>SUMPRODUCT(E9:E28,M9:M28)</f>
        <v>90340</v>
      </c>
      <c r="N29" s="635">
        <f>SUM(N9:N28)</f>
        <v>263562.97543859645</v>
      </c>
      <c r="O29" s="634"/>
      <c r="Q29">
        <v>1525</v>
      </c>
      <c r="V29" s="265"/>
      <c r="W29" s="261"/>
      <c r="X29" s="232"/>
    </row>
    <row r="30" spans="2:24" x14ac:dyDescent="0.3">
      <c r="G30" s="269" t="s">
        <v>113</v>
      </c>
      <c r="H30" s="270">
        <f>J29*12</f>
        <v>3110340</v>
      </c>
      <c r="I30" s="271" t="s">
        <v>114</v>
      </c>
      <c r="J30" s="270">
        <f>SUMPRODUCT(D9:D28,J9:J28)/D29</f>
        <v>1963.5984848484848</v>
      </c>
      <c r="K30" s="270">
        <f>SUMPRODUCT(D9:D28,K9:K28)/D29</f>
        <v>1858.4469696969697</v>
      </c>
      <c r="L30" s="281"/>
      <c r="M30" s="272">
        <f>SUMPRODUCT(E9:E28,M9:M28)/E29</f>
        <v>2441.6216216216217</v>
      </c>
      <c r="Q30">
        <v>2350</v>
      </c>
      <c r="U30" s="265"/>
      <c r="V30" s="261"/>
      <c r="W30" s="232"/>
    </row>
    <row r="31" spans="2:24" x14ac:dyDescent="0.3">
      <c r="G31" s="273" t="s">
        <v>110</v>
      </c>
      <c r="H31" s="248">
        <f>N29*12</f>
        <v>3162755.7052631574</v>
      </c>
      <c r="I31" s="274" t="s">
        <v>115</v>
      </c>
      <c r="J31" s="122">
        <f>J30/J32</f>
        <v>1.9659814927184467</v>
      </c>
      <c r="K31" s="122">
        <f>K30/K32</f>
        <v>1.8607023665048545</v>
      </c>
      <c r="M31" s="123">
        <f>M30/(SUMPRODUCT(E9:E28,I9:I28)/E29)</f>
        <v>2.2315539856235951</v>
      </c>
      <c r="Q31">
        <v>1525</v>
      </c>
      <c r="U31" s="265"/>
      <c r="V31" s="261"/>
      <c r="W31" s="232"/>
    </row>
    <row r="32" spans="2:24" ht="15" thickBot="1" x14ac:dyDescent="0.35">
      <c r="F32" s="239"/>
      <c r="G32" s="275" t="s">
        <v>116</v>
      </c>
      <c r="H32" s="276">
        <f>H30-H31</f>
        <v>-52415.705263157375</v>
      </c>
      <c r="I32" s="277" t="s">
        <v>117</v>
      </c>
      <c r="J32" s="278">
        <f>SUMPRODUCT(D9:D28,I9:I28)/D29</f>
        <v>998.78787878787875</v>
      </c>
      <c r="K32" s="278">
        <f>SUMPRODUCT(D9:D28,I9:I28)/D29</f>
        <v>998.78787878787875</v>
      </c>
      <c r="L32" s="256"/>
      <c r="M32" s="279">
        <f>SUMPRODUCT(E9:E28,I9:I28)/E29</f>
        <v>1094.1351351351352</v>
      </c>
      <c r="Q32">
        <v>2350</v>
      </c>
      <c r="U32" s="265"/>
      <c r="V32" s="261"/>
      <c r="W32" s="232"/>
    </row>
    <row r="33" spans="3:23" x14ac:dyDescent="0.3">
      <c r="Q33">
        <v>2350</v>
      </c>
      <c r="U33" s="265"/>
      <c r="V33" s="261"/>
      <c r="W33" s="232"/>
    </row>
    <row r="34" spans="3:23" x14ac:dyDescent="0.3">
      <c r="Q34">
        <v>1540</v>
      </c>
      <c r="U34" s="265"/>
      <c r="V34" s="261"/>
      <c r="W34" s="232"/>
    </row>
    <row r="35" spans="3:23" ht="15" thickBot="1" x14ac:dyDescent="0.35">
      <c r="C35" s="9" t="s">
        <v>118</v>
      </c>
      <c r="D35" s="264"/>
      <c r="E35" s="264"/>
      <c r="F35" s="264"/>
      <c r="G35" s="264"/>
      <c r="H35" s="264"/>
      <c r="I35" s="264"/>
      <c r="Q35">
        <v>1702</v>
      </c>
      <c r="U35" s="265"/>
      <c r="V35" s="261"/>
      <c r="W35" s="232"/>
    </row>
    <row r="36" spans="3:23" x14ac:dyDescent="0.3">
      <c r="C36" s="11" t="s">
        <v>102</v>
      </c>
      <c r="D36" s="8" t="s">
        <v>2</v>
      </c>
      <c r="E36" s="8"/>
      <c r="F36" s="8"/>
      <c r="G36" s="8" t="s">
        <v>119</v>
      </c>
      <c r="H36" s="8" t="s">
        <v>120</v>
      </c>
      <c r="I36" s="12" t="s">
        <v>121</v>
      </c>
      <c r="Q36">
        <v>2350</v>
      </c>
      <c r="U36" s="265"/>
      <c r="V36" s="261"/>
      <c r="W36" s="232"/>
    </row>
    <row r="37" spans="3:23" x14ac:dyDescent="0.3">
      <c r="C37" s="206" t="str">
        <f t="shared" ref="C37:C56" si="10">IF(C9="","",C9)</f>
        <v>Surfside - 1</v>
      </c>
      <c r="D37" s="207">
        <f>D9</f>
        <v>40</v>
      </c>
      <c r="E37" s="534"/>
      <c r="F37" s="5"/>
      <c r="G37" s="640">
        <v>0</v>
      </c>
      <c r="H37" s="641">
        <f>IFERROR(G37*D37,0)</f>
        <v>0</v>
      </c>
      <c r="I37" s="642">
        <v>0</v>
      </c>
      <c r="Q37">
        <v>2870</v>
      </c>
      <c r="U37" s="265"/>
      <c r="V37" s="261"/>
      <c r="W37" s="232"/>
    </row>
    <row r="38" spans="3:23" x14ac:dyDescent="0.3">
      <c r="C38" s="206" t="str">
        <f t="shared" si="10"/>
        <v>Surfside - 1ADA</v>
      </c>
      <c r="D38" s="207">
        <f>D10</f>
        <v>3</v>
      </c>
      <c r="E38" s="534"/>
      <c r="F38" s="5"/>
      <c r="G38" s="640">
        <v>0</v>
      </c>
      <c r="H38" s="641">
        <f t="shared" ref="H38:H56" si="11">IFERROR(G38*D38,0)</f>
        <v>0</v>
      </c>
      <c r="I38" s="642">
        <v>0</v>
      </c>
      <c r="Q38">
        <v>1365</v>
      </c>
      <c r="U38" s="265"/>
      <c r="V38" s="261"/>
      <c r="W38" s="232"/>
    </row>
    <row r="39" spans="3:23" x14ac:dyDescent="0.3">
      <c r="C39" s="206" t="str">
        <f t="shared" si="10"/>
        <v>Shoreline - 4</v>
      </c>
      <c r="D39" s="207">
        <f t="shared" ref="D39:D56" si="12">D11</f>
        <v>4</v>
      </c>
      <c r="E39" s="5"/>
      <c r="F39" s="5"/>
      <c r="G39" s="640">
        <v>0</v>
      </c>
      <c r="H39" s="641">
        <f t="shared" si="11"/>
        <v>0</v>
      </c>
      <c r="I39" s="642">
        <v>0</v>
      </c>
      <c r="Q39">
        <v>1695</v>
      </c>
      <c r="U39" s="265"/>
      <c r="V39" s="261"/>
      <c r="W39" s="232"/>
    </row>
    <row r="40" spans="3:23" x14ac:dyDescent="0.3">
      <c r="C40" s="206" t="str">
        <f t="shared" si="10"/>
        <v>Driftwood - 2</v>
      </c>
      <c r="D40" s="207">
        <f t="shared" si="12"/>
        <v>10</v>
      </c>
      <c r="E40" s="5"/>
      <c r="F40" s="5"/>
      <c r="G40" s="640">
        <v>0</v>
      </c>
      <c r="H40" s="641">
        <f t="shared" si="11"/>
        <v>0</v>
      </c>
      <c r="I40" s="642">
        <v>0</v>
      </c>
      <c r="Q40">
        <v>2870</v>
      </c>
      <c r="U40" s="265"/>
      <c r="V40" s="261"/>
      <c r="W40" s="232"/>
    </row>
    <row r="41" spans="3:23" x14ac:dyDescent="0.3">
      <c r="C41" s="206" t="str">
        <f t="shared" si="10"/>
        <v>Driftwood - 2ADA</v>
      </c>
      <c r="D41" s="207">
        <f t="shared" si="12"/>
        <v>1</v>
      </c>
      <c r="E41" s="5"/>
      <c r="F41" s="5"/>
      <c r="G41" s="640">
        <v>0</v>
      </c>
      <c r="H41" s="641">
        <f t="shared" si="11"/>
        <v>0</v>
      </c>
      <c r="I41" s="642">
        <v>0</v>
      </c>
      <c r="Q41">
        <v>2870</v>
      </c>
      <c r="U41" s="265"/>
      <c r="V41" s="261"/>
      <c r="W41" s="232"/>
    </row>
    <row r="42" spans="3:23" x14ac:dyDescent="0.3">
      <c r="C42" s="206" t="str">
        <f t="shared" si="10"/>
        <v>Seaglass - 3</v>
      </c>
      <c r="D42" s="207">
        <f t="shared" si="12"/>
        <v>12</v>
      </c>
      <c r="E42" s="5"/>
      <c r="F42" s="5"/>
      <c r="G42" s="640">
        <v>0</v>
      </c>
      <c r="H42" s="641">
        <f t="shared" si="11"/>
        <v>0</v>
      </c>
      <c r="I42" s="642">
        <v>0</v>
      </c>
      <c r="Q42">
        <v>2870</v>
      </c>
      <c r="U42" s="265"/>
      <c r="V42" s="261"/>
      <c r="W42" s="232"/>
    </row>
    <row r="43" spans="3:23" x14ac:dyDescent="0.3">
      <c r="C43" s="206" t="str">
        <f t="shared" si="10"/>
        <v>Beach Haven In-line Unit</v>
      </c>
      <c r="D43" s="207">
        <f t="shared" si="12"/>
        <v>38</v>
      </c>
      <c r="E43" s="5"/>
      <c r="F43" s="5"/>
      <c r="G43" s="640">
        <v>0</v>
      </c>
      <c r="H43" s="641">
        <f t="shared" si="11"/>
        <v>0</v>
      </c>
      <c r="I43" s="642">
        <v>0</v>
      </c>
      <c r="Q43">
        <v>2650</v>
      </c>
      <c r="U43" s="265"/>
      <c r="V43" s="261"/>
      <c r="W43" s="232"/>
    </row>
    <row r="44" spans="3:23" x14ac:dyDescent="0.3">
      <c r="C44" s="206" t="str">
        <f t="shared" si="10"/>
        <v>Ocean Breeze - End Unit</v>
      </c>
      <c r="D44" s="207">
        <f t="shared" si="12"/>
        <v>22</v>
      </c>
      <c r="E44" s="5"/>
      <c r="F44" s="5"/>
      <c r="G44" s="640">
        <v>0</v>
      </c>
      <c r="H44" s="641">
        <f t="shared" si="11"/>
        <v>0</v>
      </c>
      <c r="I44" s="642">
        <v>0</v>
      </c>
      <c r="Q44">
        <v>2650</v>
      </c>
      <c r="U44" s="265"/>
      <c r="V44" s="261"/>
      <c r="W44" s="232"/>
    </row>
    <row r="45" spans="3:23" x14ac:dyDescent="0.3">
      <c r="C45" s="206" t="str">
        <f t="shared" si="10"/>
        <v>Lighthouse - 5</v>
      </c>
      <c r="D45" s="207">
        <f t="shared" si="12"/>
        <v>2</v>
      </c>
      <c r="E45" s="5"/>
      <c r="F45" s="5"/>
      <c r="G45" s="640">
        <v>0</v>
      </c>
      <c r="H45" s="641">
        <f t="shared" si="11"/>
        <v>0</v>
      </c>
      <c r="I45" s="642">
        <v>0</v>
      </c>
      <c r="Q45">
        <v>2870</v>
      </c>
      <c r="U45" s="265"/>
      <c r="V45" s="261"/>
      <c r="W45" s="232"/>
    </row>
    <row r="46" spans="3:23" x14ac:dyDescent="0.3">
      <c r="C46" s="206" t="str">
        <f t="shared" si="10"/>
        <v/>
      </c>
      <c r="D46" s="207" t="str">
        <f t="shared" si="12"/>
        <v/>
      </c>
      <c r="E46" s="5"/>
      <c r="F46" s="5"/>
      <c r="G46" s="640">
        <v>0</v>
      </c>
      <c r="H46" s="641">
        <f t="shared" si="11"/>
        <v>0</v>
      </c>
      <c r="I46" s="642">
        <v>0</v>
      </c>
      <c r="Q46">
        <v>2650</v>
      </c>
      <c r="U46" s="265"/>
      <c r="V46" s="261"/>
      <c r="W46" s="232"/>
    </row>
    <row r="47" spans="3:23" x14ac:dyDescent="0.3">
      <c r="C47" s="206" t="str">
        <f t="shared" si="10"/>
        <v/>
      </c>
      <c r="D47" s="207" t="str">
        <f t="shared" si="12"/>
        <v/>
      </c>
      <c r="E47" s="5"/>
      <c r="F47" s="5"/>
      <c r="G47" s="640">
        <v>0</v>
      </c>
      <c r="H47" s="641">
        <f t="shared" si="11"/>
        <v>0</v>
      </c>
      <c r="I47" s="642">
        <v>0</v>
      </c>
      <c r="Q47">
        <v>2870</v>
      </c>
      <c r="U47" s="265"/>
      <c r="V47" s="261"/>
      <c r="W47" s="232"/>
    </row>
    <row r="48" spans="3:23" x14ac:dyDescent="0.3">
      <c r="C48" s="206" t="str">
        <f t="shared" si="10"/>
        <v/>
      </c>
      <c r="D48" s="207" t="str">
        <f t="shared" si="12"/>
        <v/>
      </c>
      <c r="E48" s="5"/>
      <c r="F48" s="5"/>
      <c r="G48" s="640">
        <v>0</v>
      </c>
      <c r="H48" s="641">
        <f t="shared" si="11"/>
        <v>0</v>
      </c>
      <c r="I48" s="642">
        <v>0</v>
      </c>
      <c r="Q48">
        <v>2870</v>
      </c>
      <c r="U48" s="265"/>
      <c r="V48" s="261"/>
      <c r="W48" s="232"/>
    </row>
    <row r="49" spans="2:23" x14ac:dyDescent="0.3">
      <c r="C49" s="206" t="str">
        <f t="shared" si="10"/>
        <v/>
      </c>
      <c r="D49" s="207" t="str">
        <f t="shared" si="12"/>
        <v/>
      </c>
      <c r="E49" s="5"/>
      <c r="F49" s="5"/>
      <c r="G49" s="640">
        <v>0</v>
      </c>
      <c r="H49" s="641">
        <f t="shared" si="11"/>
        <v>0</v>
      </c>
      <c r="I49" s="642">
        <v>0</v>
      </c>
      <c r="Q49">
        <v>2153</v>
      </c>
      <c r="U49" s="265"/>
      <c r="V49" s="261"/>
      <c r="W49" s="232"/>
    </row>
    <row r="50" spans="2:23" x14ac:dyDescent="0.3">
      <c r="C50" s="206" t="str">
        <f t="shared" si="10"/>
        <v/>
      </c>
      <c r="D50" s="207" t="str">
        <f t="shared" si="12"/>
        <v/>
      </c>
      <c r="E50" s="5"/>
      <c r="F50" s="5"/>
      <c r="G50" s="640">
        <v>0</v>
      </c>
      <c r="H50" s="641">
        <f t="shared" si="11"/>
        <v>0</v>
      </c>
      <c r="I50" s="642">
        <v>0</v>
      </c>
      <c r="Q50">
        <v>2870</v>
      </c>
      <c r="U50" s="265"/>
      <c r="V50" s="261"/>
      <c r="W50" s="232"/>
    </row>
    <row r="51" spans="2:23" x14ac:dyDescent="0.3">
      <c r="C51" s="206" t="str">
        <f t="shared" si="10"/>
        <v/>
      </c>
      <c r="D51" s="207" t="str">
        <f t="shared" si="12"/>
        <v/>
      </c>
      <c r="E51" s="5"/>
      <c r="F51" s="5"/>
      <c r="G51" s="640">
        <v>0</v>
      </c>
      <c r="H51" s="641">
        <f t="shared" si="11"/>
        <v>0</v>
      </c>
      <c r="I51" s="642">
        <v>0</v>
      </c>
      <c r="Q51">
        <v>2870</v>
      </c>
      <c r="U51" s="265"/>
      <c r="V51" s="261"/>
      <c r="W51" s="232"/>
    </row>
    <row r="52" spans="2:23" x14ac:dyDescent="0.3">
      <c r="C52" s="206" t="str">
        <f t="shared" si="10"/>
        <v/>
      </c>
      <c r="D52" s="207" t="str">
        <f t="shared" si="12"/>
        <v/>
      </c>
      <c r="E52" s="5"/>
      <c r="F52" s="5"/>
      <c r="G52" s="640">
        <v>0</v>
      </c>
      <c r="H52" s="641">
        <f t="shared" si="11"/>
        <v>0</v>
      </c>
      <c r="I52" s="642">
        <v>0</v>
      </c>
      <c r="Q52">
        <v>2650</v>
      </c>
      <c r="U52" s="265"/>
      <c r="V52" s="261"/>
      <c r="W52" s="232"/>
    </row>
    <row r="53" spans="2:23" x14ac:dyDescent="0.3">
      <c r="C53" s="206" t="str">
        <f t="shared" si="10"/>
        <v/>
      </c>
      <c r="D53" s="207" t="str">
        <f t="shared" si="12"/>
        <v/>
      </c>
      <c r="E53" s="5"/>
      <c r="F53" s="5"/>
      <c r="G53" s="640">
        <v>0</v>
      </c>
      <c r="H53" s="641">
        <f t="shared" si="11"/>
        <v>0</v>
      </c>
      <c r="I53" s="642">
        <v>0</v>
      </c>
      <c r="Q53">
        <v>2870</v>
      </c>
      <c r="U53" s="265"/>
      <c r="V53" s="261"/>
      <c r="W53" s="232"/>
    </row>
    <row r="54" spans="2:23" x14ac:dyDescent="0.3">
      <c r="C54" s="206" t="str">
        <f t="shared" si="10"/>
        <v/>
      </c>
      <c r="D54" s="207" t="str">
        <f t="shared" si="12"/>
        <v/>
      </c>
      <c r="E54" s="5"/>
      <c r="F54" s="5"/>
      <c r="G54" s="640">
        <v>0</v>
      </c>
      <c r="H54" s="641">
        <f t="shared" si="11"/>
        <v>0</v>
      </c>
      <c r="I54" s="642">
        <v>0</v>
      </c>
      <c r="Q54">
        <v>2870</v>
      </c>
      <c r="U54" s="265"/>
      <c r="V54" s="261"/>
      <c r="W54" s="232"/>
    </row>
    <row r="55" spans="2:23" x14ac:dyDescent="0.3">
      <c r="C55" s="206" t="str">
        <f t="shared" si="10"/>
        <v/>
      </c>
      <c r="D55" s="207" t="str">
        <f t="shared" si="12"/>
        <v/>
      </c>
      <c r="E55" s="5"/>
      <c r="F55" s="5"/>
      <c r="G55" s="640">
        <v>0</v>
      </c>
      <c r="H55" s="641">
        <f t="shared" si="11"/>
        <v>0</v>
      </c>
      <c r="I55" s="642">
        <v>0</v>
      </c>
      <c r="Q55">
        <v>2870</v>
      </c>
      <c r="U55" s="265"/>
      <c r="V55" s="261"/>
      <c r="W55" s="232"/>
    </row>
    <row r="56" spans="2:23" ht="15" thickBot="1" x14ac:dyDescent="0.35">
      <c r="C56" s="206" t="str">
        <f t="shared" si="10"/>
        <v/>
      </c>
      <c r="D56" s="207" t="str">
        <f t="shared" si="12"/>
        <v/>
      </c>
      <c r="E56" s="5"/>
      <c r="F56" s="5"/>
      <c r="G56" s="640">
        <v>0</v>
      </c>
      <c r="H56" s="641">
        <f t="shared" si="11"/>
        <v>0</v>
      </c>
      <c r="I56" s="642">
        <v>0</v>
      </c>
      <c r="Q56">
        <v>2870</v>
      </c>
      <c r="U56" s="265"/>
      <c r="V56" s="261"/>
      <c r="W56" s="232"/>
    </row>
    <row r="57" spans="2:23" ht="15" thickBot="1" x14ac:dyDescent="0.35">
      <c r="C57" s="266" t="s">
        <v>112</v>
      </c>
      <c r="D57" s="220">
        <f>SUM(D37:D56)</f>
        <v>132</v>
      </c>
      <c r="E57" s="220"/>
      <c r="F57" s="220"/>
      <c r="G57" s="635">
        <f>SUMPRODUCT(D37:D56,G37:G56)/D57</f>
        <v>0</v>
      </c>
      <c r="H57" s="635">
        <f>SUM(H37:H56)</f>
        <v>0</v>
      </c>
      <c r="I57" s="634">
        <f>SUMPRODUCT(D37:D56,I37:I56)</f>
        <v>0</v>
      </c>
      <c r="Q57">
        <v>2870</v>
      </c>
      <c r="S57" s="261"/>
      <c r="T57" s="265"/>
      <c r="U57" s="265"/>
      <c r="V57" s="261"/>
      <c r="W57" s="232"/>
    </row>
    <row r="58" spans="2:23" x14ac:dyDescent="0.3">
      <c r="Q58">
        <v>2870</v>
      </c>
      <c r="S58" s="261"/>
      <c r="T58" s="265"/>
      <c r="U58" s="265"/>
      <c r="V58" s="261"/>
      <c r="W58" s="232"/>
    </row>
    <row r="59" spans="2:23" x14ac:dyDescent="0.3">
      <c r="Q59">
        <v>2870</v>
      </c>
      <c r="S59" s="261"/>
      <c r="T59" s="265"/>
      <c r="U59" s="265"/>
      <c r="V59" s="261"/>
      <c r="W59" s="232"/>
    </row>
    <row r="60" spans="2:23" x14ac:dyDescent="0.3">
      <c r="F60" s="102"/>
      <c r="Q60">
        <v>1795</v>
      </c>
      <c r="S60" s="261"/>
      <c r="T60" s="265"/>
      <c r="U60" s="265"/>
      <c r="V60" s="261"/>
      <c r="W60" s="232"/>
    </row>
    <row r="61" spans="2:23" x14ac:dyDescent="0.3">
      <c r="B61" s="648" t="s">
        <v>122</v>
      </c>
      <c r="C61" s="103" t="s">
        <v>123</v>
      </c>
      <c r="D61" s="104" t="s">
        <v>124</v>
      </c>
      <c r="E61" s="104" t="s">
        <v>125</v>
      </c>
      <c r="F61" s="104" t="s">
        <v>126</v>
      </c>
      <c r="G61" s="104" t="s">
        <v>127</v>
      </c>
      <c r="H61" s="104" t="s">
        <v>128</v>
      </c>
      <c r="I61" s="104" t="s">
        <v>129</v>
      </c>
      <c r="Q61">
        <v>2870</v>
      </c>
      <c r="S61" s="261"/>
      <c r="T61" s="265"/>
      <c r="U61" s="265"/>
      <c r="V61" s="261"/>
      <c r="W61" s="232"/>
    </row>
    <row r="62" spans="2:23" ht="14.55" hidden="1" x14ac:dyDescent="0.3">
      <c r="B62" s="649" t="s">
        <v>336</v>
      </c>
      <c r="C62" s="208" t="s">
        <v>337</v>
      </c>
      <c r="D62" s="208" t="s">
        <v>328</v>
      </c>
      <c r="E62" s="208">
        <v>1000</v>
      </c>
      <c r="F62" s="208" t="s">
        <v>469</v>
      </c>
      <c r="G62" s="208">
        <v>1895</v>
      </c>
      <c r="H62" s="208">
        <v>0</v>
      </c>
      <c r="I62" s="263" t="str">
        <f>IF(H62=0,"",D62)</f>
        <v/>
      </c>
      <c r="S62" s="261"/>
      <c r="T62" s="265"/>
      <c r="U62" s="265"/>
      <c r="V62" s="261"/>
      <c r="W62" s="232"/>
    </row>
    <row r="63" spans="2:23" ht="14.7" hidden="1" customHeight="1" x14ac:dyDescent="0.3">
      <c r="B63" s="649" t="s">
        <v>330</v>
      </c>
      <c r="C63" s="208" t="s">
        <v>338</v>
      </c>
      <c r="D63" s="208" t="s">
        <v>328</v>
      </c>
      <c r="E63" s="208">
        <v>1000</v>
      </c>
      <c r="F63" s="208" t="s">
        <v>469</v>
      </c>
      <c r="G63" s="208">
        <v>1895</v>
      </c>
      <c r="H63" s="208">
        <v>0</v>
      </c>
      <c r="I63" s="263" t="str">
        <f>IF(H63=0,"",D63)</f>
        <v/>
      </c>
      <c r="S63" s="261"/>
      <c r="T63" s="265"/>
      <c r="U63" s="265"/>
      <c r="V63" s="261"/>
      <c r="W63" s="232"/>
    </row>
    <row r="64" spans="2:23" ht="14.55" hidden="1" x14ac:dyDescent="0.3">
      <c r="B64" s="649" t="s">
        <v>331</v>
      </c>
      <c r="C64" s="208" t="s">
        <v>339</v>
      </c>
      <c r="D64" s="208" t="s">
        <v>329</v>
      </c>
      <c r="E64" s="208">
        <v>745</v>
      </c>
      <c r="F64" s="208" t="s">
        <v>469</v>
      </c>
      <c r="G64" s="208">
        <v>1540</v>
      </c>
      <c r="H64" s="208">
        <v>0</v>
      </c>
      <c r="I64" s="263" t="str">
        <f t="shared" ref="I64:I125" si="13">IF(H64=0,"",D64)</f>
        <v/>
      </c>
      <c r="S64" s="261"/>
      <c r="T64" s="265"/>
      <c r="U64" s="265"/>
      <c r="V64" s="261"/>
      <c r="W64" s="232"/>
    </row>
    <row r="65" spans="2:23" ht="14.55" hidden="1" x14ac:dyDescent="0.3">
      <c r="B65" s="649" t="s">
        <v>334</v>
      </c>
      <c r="C65" s="208" t="s">
        <v>340</v>
      </c>
      <c r="D65" s="208" t="s">
        <v>329</v>
      </c>
      <c r="E65" s="208">
        <v>745</v>
      </c>
      <c r="F65" s="208" t="s">
        <v>469</v>
      </c>
      <c r="G65" s="208">
        <v>1540</v>
      </c>
      <c r="H65" s="208">
        <v>0</v>
      </c>
      <c r="I65" s="263" t="str">
        <f t="shared" si="13"/>
        <v/>
      </c>
      <c r="S65" s="261"/>
      <c r="T65" s="265"/>
      <c r="U65" s="265"/>
      <c r="V65" s="261"/>
      <c r="W65" s="232"/>
    </row>
    <row r="66" spans="2:23" ht="14.55" hidden="1" x14ac:dyDescent="0.3">
      <c r="B66" s="649" t="s">
        <v>335</v>
      </c>
      <c r="C66" s="208" t="s">
        <v>341</v>
      </c>
      <c r="D66" s="208" t="s">
        <v>329</v>
      </c>
      <c r="E66" s="208">
        <v>745</v>
      </c>
      <c r="F66" s="208" t="s">
        <v>469</v>
      </c>
      <c r="G66" s="208">
        <v>1540</v>
      </c>
      <c r="H66" s="208">
        <v>0</v>
      </c>
      <c r="I66" s="263" t="str">
        <f t="shared" si="13"/>
        <v/>
      </c>
      <c r="S66" s="261"/>
      <c r="T66" s="265"/>
      <c r="U66" s="265"/>
      <c r="V66" s="261"/>
      <c r="W66" s="232"/>
    </row>
    <row r="67" spans="2:23" ht="14.55" hidden="1" x14ac:dyDescent="0.3">
      <c r="B67" s="649" t="s">
        <v>328</v>
      </c>
      <c r="C67" s="208" t="s">
        <v>342</v>
      </c>
      <c r="D67" s="208" t="s">
        <v>329</v>
      </c>
      <c r="E67" s="208">
        <v>745</v>
      </c>
      <c r="F67" s="208" t="s">
        <v>469</v>
      </c>
      <c r="G67" s="208">
        <v>1540</v>
      </c>
      <c r="H67" s="208">
        <v>0</v>
      </c>
      <c r="I67" s="263" t="str">
        <f t="shared" si="13"/>
        <v/>
      </c>
      <c r="S67" s="261"/>
      <c r="T67" s="265"/>
      <c r="U67" s="265"/>
      <c r="V67" s="261"/>
      <c r="W67" s="232"/>
    </row>
    <row r="68" spans="2:23" ht="14.55" hidden="1" x14ac:dyDescent="0.3">
      <c r="B68" s="649" t="s">
        <v>333</v>
      </c>
      <c r="C68" s="208" t="s">
        <v>343</v>
      </c>
      <c r="D68" s="208" t="s">
        <v>329</v>
      </c>
      <c r="E68" s="208">
        <v>745</v>
      </c>
      <c r="F68" s="208" t="s">
        <v>469</v>
      </c>
      <c r="G68" s="208">
        <v>1540</v>
      </c>
      <c r="H68" s="208">
        <v>0</v>
      </c>
      <c r="I68" s="263" t="str">
        <f t="shared" si="13"/>
        <v/>
      </c>
      <c r="S68" s="261"/>
      <c r="T68" s="265"/>
      <c r="U68" s="265"/>
      <c r="V68" s="261"/>
      <c r="W68" s="232"/>
    </row>
    <row r="69" spans="2:23" ht="14.55" hidden="1" x14ac:dyDescent="0.3">
      <c r="B69" s="649" t="s">
        <v>329</v>
      </c>
      <c r="C69" s="208" t="s">
        <v>344</v>
      </c>
      <c r="D69" s="208" t="s">
        <v>329</v>
      </c>
      <c r="E69" s="208">
        <v>745</v>
      </c>
      <c r="F69" s="208" t="s">
        <v>469</v>
      </c>
      <c r="G69" s="208">
        <v>1540</v>
      </c>
      <c r="H69" s="208">
        <v>0</v>
      </c>
      <c r="I69" s="263" t="str">
        <f t="shared" si="13"/>
        <v/>
      </c>
      <c r="S69" s="261"/>
      <c r="T69" s="265"/>
      <c r="U69" s="265"/>
      <c r="V69" s="261"/>
      <c r="W69" s="232"/>
    </row>
    <row r="70" spans="2:23" ht="14.55" hidden="1" x14ac:dyDescent="0.3">
      <c r="B70" s="649" t="s">
        <v>332</v>
      </c>
      <c r="C70" s="208" t="s">
        <v>345</v>
      </c>
      <c r="D70" s="208" t="s">
        <v>330</v>
      </c>
      <c r="E70" s="208">
        <v>995</v>
      </c>
      <c r="F70" s="208" t="s">
        <v>469</v>
      </c>
      <c r="G70" s="208">
        <v>1675</v>
      </c>
      <c r="H70" s="208">
        <v>0</v>
      </c>
      <c r="I70" s="263" t="str">
        <f t="shared" si="13"/>
        <v/>
      </c>
      <c r="S70" s="261"/>
      <c r="T70" s="265"/>
      <c r="U70" s="265"/>
      <c r="V70" s="261"/>
      <c r="W70" s="232"/>
    </row>
    <row r="71" spans="2:23" ht="14.55" hidden="1" x14ac:dyDescent="0.3">
      <c r="B71" s="649" t="s">
        <v>130</v>
      </c>
      <c r="C71" s="208" t="s">
        <v>346</v>
      </c>
      <c r="D71" s="208" t="s">
        <v>331</v>
      </c>
      <c r="E71" s="208">
        <v>995</v>
      </c>
      <c r="F71" s="208" t="s">
        <v>469</v>
      </c>
      <c r="G71" s="208">
        <v>1675</v>
      </c>
      <c r="H71" s="208">
        <v>0</v>
      </c>
      <c r="I71" s="263" t="str">
        <f t="shared" si="13"/>
        <v/>
      </c>
      <c r="S71" s="261"/>
      <c r="T71" s="265"/>
      <c r="U71" s="265"/>
      <c r="V71" s="261"/>
      <c r="W71" s="232"/>
    </row>
    <row r="72" spans="2:23" ht="14.55" hidden="1" x14ac:dyDescent="0.3">
      <c r="B72" s="649" t="s">
        <v>131</v>
      </c>
      <c r="C72" s="208" t="s">
        <v>347</v>
      </c>
      <c r="D72" s="208" t="s">
        <v>332</v>
      </c>
      <c r="E72" s="208">
        <v>745</v>
      </c>
      <c r="F72" s="208" t="s">
        <v>469</v>
      </c>
      <c r="G72" s="208">
        <v>1540</v>
      </c>
      <c r="H72" s="208">
        <v>0</v>
      </c>
      <c r="I72" s="263" t="str">
        <f t="shared" si="13"/>
        <v/>
      </c>
      <c r="S72" s="261"/>
      <c r="T72" s="265"/>
      <c r="U72" s="265"/>
      <c r="V72" s="261"/>
      <c r="W72" s="232"/>
    </row>
    <row r="73" spans="2:23" ht="14.55" hidden="1" x14ac:dyDescent="0.3">
      <c r="C73" s="208" t="s">
        <v>348</v>
      </c>
      <c r="D73" s="208" t="s">
        <v>329</v>
      </c>
      <c r="E73" s="208">
        <v>745</v>
      </c>
      <c r="F73" s="208" t="s">
        <v>469</v>
      </c>
      <c r="G73" s="208">
        <v>1540</v>
      </c>
      <c r="H73" s="208">
        <v>0</v>
      </c>
      <c r="I73" s="263" t="str">
        <f t="shared" si="13"/>
        <v/>
      </c>
      <c r="S73" s="261"/>
      <c r="T73" s="265"/>
      <c r="U73" s="265"/>
      <c r="V73" s="261"/>
      <c r="W73" s="232"/>
    </row>
    <row r="74" spans="2:23" x14ac:dyDescent="0.3">
      <c r="C74" s="208" t="s">
        <v>349</v>
      </c>
      <c r="D74" s="208" t="s">
        <v>330</v>
      </c>
      <c r="E74" s="208">
        <v>995</v>
      </c>
      <c r="F74" s="208" t="s">
        <v>470</v>
      </c>
      <c r="G74" s="208">
        <v>2350</v>
      </c>
      <c r="H74" s="208">
        <v>2350</v>
      </c>
      <c r="I74" s="263" t="str">
        <f t="shared" si="13"/>
        <v>Driftwood - 2</v>
      </c>
      <c r="S74" s="261"/>
      <c r="T74" s="265"/>
      <c r="U74" s="265"/>
      <c r="V74" s="261"/>
      <c r="W74" s="232"/>
    </row>
    <row r="75" spans="2:23" ht="14.55" hidden="1" x14ac:dyDescent="0.3">
      <c r="C75" s="208" t="s">
        <v>350</v>
      </c>
      <c r="D75" s="208" t="s">
        <v>329</v>
      </c>
      <c r="E75" s="208">
        <v>745</v>
      </c>
      <c r="F75" s="208" t="s">
        <v>469</v>
      </c>
      <c r="G75" s="208">
        <v>1540</v>
      </c>
      <c r="H75" s="208">
        <v>0</v>
      </c>
      <c r="I75" s="263" t="str">
        <f t="shared" si="13"/>
        <v/>
      </c>
      <c r="S75" s="261"/>
      <c r="T75" s="265"/>
      <c r="U75" s="265"/>
      <c r="V75" s="261"/>
      <c r="W75" s="232"/>
    </row>
    <row r="76" spans="2:23" ht="14.55" hidden="1" x14ac:dyDescent="0.3">
      <c r="C76" s="208" t="s">
        <v>351</v>
      </c>
      <c r="D76" s="208" t="s">
        <v>329</v>
      </c>
      <c r="E76" s="208">
        <v>745</v>
      </c>
      <c r="F76" s="208" t="s">
        <v>469</v>
      </c>
      <c r="G76" s="208">
        <v>1540</v>
      </c>
      <c r="H76" s="208">
        <v>0</v>
      </c>
      <c r="I76" s="263" t="str">
        <f t="shared" si="13"/>
        <v/>
      </c>
      <c r="S76" s="261"/>
      <c r="T76" s="265"/>
      <c r="U76" s="265"/>
      <c r="V76" s="261"/>
      <c r="W76" s="232"/>
    </row>
    <row r="77" spans="2:23" ht="14.55" hidden="1" x14ac:dyDescent="0.3">
      <c r="C77" s="208" t="s">
        <v>352</v>
      </c>
      <c r="D77" s="208" t="s">
        <v>329</v>
      </c>
      <c r="E77" s="208">
        <v>745</v>
      </c>
      <c r="F77" s="208" t="s">
        <v>469</v>
      </c>
      <c r="G77" s="208">
        <v>1540</v>
      </c>
      <c r="H77" s="208">
        <v>0</v>
      </c>
      <c r="I77" s="263" t="str">
        <f t="shared" si="13"/>
        <v/>
      </c>
      <c r="S77" s="261"/>
      <c r="T77" s="265"/>
      <c r="U77" s="265"/>
      <c r="V77" s="261"/>
      <c r="W77" s="232"/>
    </row>
    <row r="78" spans="2:23" ht="14.55" hidden="1" x14ac:dyDescent="0.3">
      <c r="C78" s="208" t="s">
        <v>353</v>
      </c>
      <c r="D78" s="208" t="s">
        <v>329</v>
      </c>
      <c r="E78" s="208">
        <v>745</v>
      </c>
      <c r="F78" s="208" t="s">
        <v>469</v>
      </c>
      <c r="G78" s="208">
        <v>1540</v>
      </c>
      <c r="H78" s="208">
        <v>0</v>
      </c>
      <c r="I78" s="263" t="str">
        <f t="shared" si="13"/>
        <v/>
      </c>
      <c r="S78" s="261"/>
      <c r="T78" s="265"/>
      <c r="U78" s="265"/>
      <c r="V78" s="261"/>
      <c r="W78" s="232"/>
    </row>
    <row r="79" spans="2:23" ht="14.55" hidden="1" x14ac:dyDescent="0.3">
      <c r="C79" s="208" t="s">
        <v>354</v>
      </c>
      <c r="D79" s="208" t="s">
        <v>329</v>
      </c>
      <c r="E79" s="208">
        <v>745</v>
      </c>
      <c r="F79" s="208" t="s">
        <v>469</v>
      </c>
      <c r="G79" s="208">
        <v>1540</v>
      </c>
      <c r="H79" s="208">
        <v>0</v>
      </c>
      <c r="I79" s="263" t="str">
        <f t="shared" si="13"/>
        <v/>
      </c>
      <c r="S79" s="261"/>
      <c r="T79" s="265"/>
      <c r="U79" s="265"/>
      <c r="V79" s="261"/>
      <c r="W79" s="232"/>
    </row>
    <row r="80" spans="2:23" ht="14.55" hidden="1" x14ac:dyDescent="0.3">
      <c r="C80" s="208" t="s">
        <v>355</v>
      </c>
      <c r="D80" s="208" t="s">
        <v>329</v>
      </c>
      <c r="E80" s="208">
        <v>745</v>
      </c>
      <c r="F80" s="208" t="s">
        <v>471</v>
      </c>
      <c r="G80" s="208">
        <v>2350</v>
      </c>
      <c r="H80" s="208">
        <v>2350</v>
      </c>
      <c r="I80" s="263" t="str">
        <f t="shared" si="13"/>
        <v>Surfside - 1</v>
      </c>
      <c r="S80" s="261"/>
      <c r="T80" s="265"/>
      <c r="U80" s="265"/>
      <c r="V80" s="261"/>
      <c r="W80" s="232"/>
    </row>
    <row r="81" spans="3:23" ht="14.55" hidden="1" x14ac:dyDescent="0.3">
      <c r="C81" s="208" t="s">
        <v>356</v>
      </c>
      <c r="D81" s="208" t="s">
        <v>329</v>
      </c>
      <c r="E81" s="208">
        <v>745</v>
      </c>
      <c r="F81" s="208" t="s">
        <v>469</v>
      </c>
      <c r="G81" s="208">
        <v>1540</v>
      </c>
      <c r="H81" s="208">
        <v>0</v>
      </c>
      <c r="I81" s="263" t="str">
        <f t="shared" si="13"/>
        <v/>
      </c>
      <c r="S81" s="261"/>
      <c r="T81" s="265"/>
      <c r="U81" s="265"/>
      <c r="V81" s="261"/>
      <c r="W81" s="232"/>
    </row>
    <row r="82" spans="3:23" ht="14.55" hidden="1" x14ac:dyDescent="0.3">
      <c r="C82" s="208" t="s">
        <v>357</v>
      </c>
      <c r="D82" s="208" t="s">
        <v>328</v>
      </c>
      <c r="E82" s="208">
        <v>1000</v>
      </c>
      <c r="F82" s="208" t="s">
        <v>469</v>
      </c>
      <c r="G82" s="208">
        <v>1895</v>
      </c>
      <c r="H82" s="208">
        <v>0</v>
      </c>
      <c r="I82" s="263" t="str">
        <f t="shared" si="13"/>
        <v/>
      </c>
      <c r="S82" s="261"/>
      <c r="T82" s="265"/>
      <c r="U82" s="265"/>
      <c r="V82" s="261"/>
      <c r="W82" s="232"/>
    </row>
    <row r="83" spans="3:23" ht="14.55" hidden="1" x14ac:dyDescent="0.3">
      <c r="C83" s="208" t="s">
        <v>358</v>
      </c>
      <c r="D83" s="208" t="s">
        <v>328</v>
      </c>
      <c r="E83" s="208">
        <v>1000</v>
      </c>
      <c r="F83" s="208" t="s">
        <v>469</v>
      </c>
      <c r="G83" s="208">
        <v>1895</v>
      </c>
      <c r="H83" s="208">
        <v>0</v>
      </c>
      <c r="I83" s="263" t="str">
        <f t="shared" si="13"/>
        <v/>
      </c>
      <c r="S83" s="261"/>
      <c r="T83" s="265"/>
      <c r="U83" s="265"/>
      <c r="V83" s="261"/>
      <c r="W83" s="232"/>
    </row>
    <row r="84" spans="3:23" ht="14.55" hidden="1" x14ac:dyDescent="0.3">
      <c r="C84" s="208" t="s">
        <v>359</v>
      </c>
      <c r="D84" s="208" t="s">
        <v>328</v>
      </c>
      <c r="E84" s="208">
        <v>1000</v>
      </c>
      <c r="F84" s="208" t="s">
        <v>472</v>
      </c>
      <c r="G84" s="208">
        <v>2025</v>
      </c>
      <c r="H84" s="208">
        <v>2025</v>
      </c>
      <c r="I84" s="263" t="str">
        <f t="shared" si="13"/>
        <v>Seaglass - 3</v>
      </c>
      <c r="S84" s="261"/>
      <c r="T84" s="265"/>
      <c r="U84" s="265"/>
      <c r="V84" s="261"/>
      <c r="W84" s="232"/>
    </row>
    <row r="85" spans="3:23" ht="14.55" hidden="1" x14ac:dyDescent="0.3">
      <c r="C85" s="208" t="s">
        <v>360</v>
      </c>
      <c r="D85" s="208" t="s">
        <v>328</v>
      </c>
      <c r="E85" s="208">
        <v>1000</v>
      </c>
      <c r="F85" s="208" t="s">
        <v>469</v>
      </c>
      <c r="G85" s="208">
        <v>1895</v>
      </c>
      <c r="H85" s="208">
        <v>0</v>
      </c>
      <c r="I85" s="263" t="str">
        <f t="shared" si="13"/>
        <v/>
      </c>
      <c r="S85" s="261"/>
      <c r="T85" s="265"/>
      <c r="U85" s="265"/>
      <c r="V85" s="261"/>
      <c r="W85" s="232"/>
    </row>
    <row r="86" spans="3:23" ht="14.55" hidden="1" x14ac:dyDescent="0.3">
      <c r="C86" s="208" t="s">
        <v>361</v>
      </c>
      <c r="D86" s="208" t="s">
        <v>329</v>
      </c>
      <c r="E86" s="208">
        <v>745</v>
      </c>
      <c r="F86" s="208" t="s">
        <v>469</v>
      </c>
      <c r="G86" s="208">
        <v>1540</v>
      </c>
      <c r="H86" s="208">
        <v>0</v>
      </c>
      <c r="I86" s="263" t="str">
        <f t="shared" si="13"/>
        <v/>
      </c>
      <c r="S86" s="261"/>
      <c r="T86" s="265"/>
      <c r="U86" s="265"/>
      <c r="V86" s="261"/>
      <c r="W86" s="232"/>
    </row>
    <row r="87" spans="3:23" ht="14.55" hidden="1" x14ac:dyDescent="0.3">
      <c r="C87" s="208" t="s">
        <v>362</v>
      </c>
      <c r="D87" s="208" t="s">
        <v>329</v>
      </c>
      <c r="E87" s="208">
        <v>745</v>
      </c>
      <c r="F87" s="208" t="s">
        <v>469</v>
      </c>
      <c r="G87" s="208">
        <v>1540</v>
      </c>
      <c r="H87" s="208">
        <v>0</v>
      </c>
      <c r="I87" s="263" t="str">
        <f t="shared" si="13"/>
        <v/>
      </c>
      <c r="S87" s="261"/>
      <c r="T87" s="265"/>
      <c r="U87" s="265"/>
      <c r="V87" s="261"/>
      <c r="W87" s="232"/>
    </row>
    <row r="88" spans="3:23" ht="14.55" hidden="1" x14ac:dyDescent="0.3">
      <c r="C88" s="208" t="s">
        <v>363</v>
      </c>
      <c r="D88" s="208" t="s">
        <v>329</v>
      </c>
      <c r="E88" s="208">
        <v>745</v>
      </c>
      <c r="F88" s="208" t="s">
        <v>469</v>
      </c>
      <c r="G88" s="208">
        <v>1540</v>
      </c>
      <c r="H88" s="208">
        <v>0</v>
      </c>
      <c r="I88" s="263" t="str">
        <f t="shared" si="13"/>
        <v/>
      </c>
      <c r="S88" s="261"/>
      <c r="T88" s="265"/>
      <c r="U88" s="265"/>
      <c r="V88" s="261"/>
      <c r="W88" s="232"/>
    </row>
    <row r="89" spans="3:23" ht="14.55" hidden="1" x14ac:dyDescent="0.3">
      <c r="C89" s="208" t="s">
        <v>364</v>
      </c>
      <c r="D89" s="208" t="s">
        <v>329</v>
      </c>
      <c r="E89" s="208">
        <v>745</v>
      </c>
      <c r="F89" s="208" t="s">
        <v>469</v>
      </c>
      <c r="G89" s="208">
        <v>1540</v>
      </c>
      <c r="H89" s="208">
        <v>0</v>
      </c>
      <c r="I89" s="263" t="str">
        <f t="shared" si="13"/>
        <v/>
      </c>
      <c r="S89" s="261"/>
      <c r="T89" s="265"/>
      <c r="U89" s="265"/>
      <c r="V89" s="261"/>
      <c r="W89" s="232"/>
    </row>
    <row r="90" spans="3:23" ht="14.55" hidden="1" x14ac:dyDescent="0.3">
      <c r="C90" s="208" t="s">
        <v>365</v>
      </c>
      <c r="D90" s="208" t="s">
        <v>329</v>
      </c>
      <c r="E90" s="208">
        <v>745</v>
      </c>
      <c r="F90" s="208" t="s">
        <v>469</v>
      </c>
      <c r="G90" s="208">
        <v>1540</v>
      </c>
      <c r="H90" s="208">
        <v>0</v>
      </c>
      <c r="I90" s="263" t="str">
        <f t="shared" si="13"/>
        <v/>
      </c>
      <c r="S90" s="261"/>
      <c r="T90" s="265"/>
      <c r="U90" s="265"/>
      <c r="V90" s="261"/>
      <c r="W90" s="232"/>
    </row>
    <row r="91" spans="3:23" ht="14.55" hidden="1" x14ac:dyDescent="0.3">
      <c r="C91" s="208" t="s">
        <v>366</v>
      </c>
      <c r="D91" s="208" t="s">
        <v>329</v>
      </c>
      <c r="E91" s="208">
        <v>745</v>
      </c>
      <c r="F91" s="208" t="s">
        <v>469</v>
      </c>
      <c r="G91" s="208">
        <v>1540</v>
      </c>
      <c r="H91" s="208">
        <v>0</v>
      </c>
      <c r="I91" s="263" t="str">
        <f t="shared" si="13"/>
        <v/>
      </c>
      <c r="S91" s="261"/>
      <c r="T91" s="265"/>
      <c r="U91" s="265"/>
      <c r="V91" s="261"/>
      <c r="W91" s="232"/>
    </row>
    <row r="92" spans="3:23" ht="14.55" hidden="1" x14ac:dyDescent="0.3">
      <c r="C92" s="208" t="s">
        <v>367</v>
      </c>
      <c r="D92" s="208" t="s">
        <v>330</v>
      </c>
      <c r="E92" s="208">
        <v>995</v>
      </c>
      <c r="F92" s="208" t="s">
        <v>473</v>
      </c>
      <c r="G92" s="208">
        <v>1525</v>
      </c>
      <c r="H92" s="208">
        <v>1525</v>
      </c>
      <c r="I92" s="263" t="str">
        <f t="shared" si="13"/>
        <v>Driftwood - 2</v>
      </c>
      <c r="S92" s="261"/>
      <c r="T92" s="265"/>
      <c r="U92" s="265"/>
      <c r="V92" s="261"/>
      <c r="W92" s="232"/>
    </row>
    <row r="93" spans="3:23" ht="14.55" hidden="1" x14ac:dyDescent="0.3">
      <c r="C93" s="208" t="s">
        <v>368</v>
      </c>
      <c r="D93" s="208" t="s">
        <v>330</v>
      </c>
      <c r="E93" s="208">
        <v>995</v>
      </c>
      <c r="F93" s="208" t="s">
        <v>474</v>
      </c>
      <c r="G93" s="208">
        <v>1525</v>
      </c>
      <c r="H93" s="208">
        <v>1525</v>
      </c>
      <c r="I93" s="263" t="str">
        <f t="shared" si="13"/>
        <v>Driftwood - 2</v>
      </c>
      <c r="S93" s="261"/>
      <c r="T93" s="265"/>
      <c r="U93" s="265"/>
      <c r="V93" s="261"/>
      <c r="W93" s="232"/>
    </row>
    <row r="94" spans="3:23" ht="14.55" hidden="1" x14ac:dyDescent="0.3">
      <c r="C94" s="208" t="s">
        <v>369</v>
      </c>
      <c r="D94" s="208" t="s">
        <v>332</v>
      </c>
      <c r="E94" s="208">
        <v>745</v>
      </c>
      <c r="F94" s="208" t="s">
        <v>469</v>
      </c>
      <c r="G94" s="208">
        <v>1540</v>
      </c>
      <c r="H94" s="208">
        <v>0</v>
      </c>
      <c r="I94" s="263" t="str">
        <f t="shared" si="13"/>
        <v/>
      </c>
      <c r="S94" s="261"/>
      <c r="T94" s="265"/>
      <c r="U94" s="265"/>
      <c r="V94" s="261"/>
      <c r="W94" s="232"/>
    </row>
    <row r="95" spans="3:23" ht="14.55" hidden="1" x14ac:dyDescent="0.3">
      <c r="C95" s="208" t="s">
        <v>370</v>
      </c>
      <c r="D95" s="208" t="s">
        <v>329</v>
      </c>
      <c r="E95" s="208">
        <v>745</v>
      </c>
      <c r="F95" s="208" t="s">
        <v>469</v>
      </c>
      <c r="G95" s="208">
        <v>1540</v>
      </c>
      <c r="H95" s="208">
        <v>0</v>
      </c>
      <c r="I95" s="263" t="str">
        <f t="shared" si="13"/>
        <v/>
      </c>
      <c r="S95" s="261"/>
      <c r="T95" s="265"/>
      <c r="U95" s="265"/>
      <c r="V95" s="261"/>
      <c r="W95" s="232"/>
    </row>
    <row r="96" spans="3:23" ht="14.55" hidden="1" x14ac:dyDescent="0.3">
      <c r="C96" s="208" t="s">
        <v>371</v>
      </c>
      <c r="D96" s="208" t="s">
        <v>333</v>
      </c>
      <c r="E96" s="208">
        <v>936</v>
      </c>
      <c r="F96" s="208" t="s">
        <v>469</v>
      </c>
      <c r="G96" s="208">
        <v>1650</v>
      </c>
      <c r="H96" s="208">
        <v>0</v>
      </c>
      <c r="I96" s="263" t="str">
        <f t="shared" si="13"/>
        <v/>
      </c>
      <c r="S96" s="261"/>
      <c r="T96" s="265"/>
      <c r="U96" s="265"/>
      <c r="V96" s="261"/>
      <c r="W96" s="232"/>
    </row>
    <row r="97" spans="3:23" ht="14.55" hidden="1" x14ac:dyDescent="0.3">
      <c r="C97" s="208" t="s">
        <v>372</v>
      </c>
      <c r="D97" s="208" t="s">
        <v>333</v>
      </c>
      <c r="E97" s="208">
        <v>936</v>
      </c>
      <c r="F97" s="208" t="s">
        <v>469</v>
      </c>
      <c r="G97" s="208">
        <v>1650</v>
      </c>
      <c r="H97" s="208">
        <v>0</v>
      </c>
      <c r="I97" s="263" t="str">
        <f t="shared" si="13"/>
        <v/>
      </c>
      <c r="S97" s="261"/>
      <c r="T97" s="265"/>
      <c r="U97" s="265"/>
      <c r="V97" s="261"/>
      <c r="W97" s="232"/>
    </row>
    <row r="98" spans="3:23" ht="14.55" hidden="1" x14ac:dyDescent="0.3">
      <c r="C98" s="208" t="s">
        <v>373</v>
      </c>
      <c r="D98" s="208" t="s">
        <v>329</v>
      </c>
      <c r="E98" s="208">
        <v>745</v>
      </c>
      <c r="F98" s="208" t="s">
        <v>469</v>
      </c>
      <c r="G98" s="208">
        <v>1540</v>
      </c>
      <c r="H98" s="208">
        <v>0</v>
      </c>
      <c r="I98" s="263" t="str">
        <f t="shared" si="13"/>
        <v/>
      </c>
      <c r="S98" s="261"/>
      <c r="T98" s="265"/>
      <c r="U98" s="265"/>
      <c r="V98" s="261"/>
      <c r="W98" s="232"/>
    </row>
    <row r="99" spans="3:23" ht="14.55" hidden="1" x14ac:dyDescent="0.3">
      <c r="C99" s="208" t="s">
        <v>374</v>
      </c>
      <c r="D99" s="208" t="s">
        <v>329</v>
      </c>
      <c r="E99" s="208">
        <v>745</v>
      </c>
      <c r="F99" s="208" t="s">
        <v>475</v>
      </c>
      <c r="G99" s="208">
        <v>2350</v>
      </c>
      <c r="H99" s="208">
        <v>2350</v>
      </c>
      <c r="I99" s="263" t="str">
        <f t="shared" si="13"/>
        <v>Surfside - 1</v>
      </c>
      <c r="S99" s="261"/>
      <c r="T99" s="265"/>
      <c r="U99" s="265"/>
      <c r="V99" s="261"/>
      <c r="W99" s="232"/>
    </row>
    <row r="100" spans="3:23" ht="14.55" hidden="1" x14ac:dyDescent="0.3">
      <c r="C100" s="208" t="s">
        <v>375</v>
      </c>
      <c r="D100" s="208" t="s">
        <v>330</v>
      </c>
      <c r="E100" s="208">
        <v>995</v>
      </c>
      <c r="F100" s="208" t="s">
        <v>476</v>
      </c>
      <c r="G100" s="208">
        <v>1525</v>
      </c>
      <c r="H100" s="208">
        <v>1525</v>
      </c>
      <c r="I100" s="263" t="str">
        <f t="shared" si="13"/>
        <v>Driftwood - 2</v>
      </c>
      <c r="S100" s="261"/>
      <c r="T100" s="265"/>
      <c r="U100" s="265"/>
      <c r="V100" s="261"/>
      <c r="W100" s="232"/>
    </row>
    <row r="101" spans="3:23" x14ac:dyDescent="0.3">
      <c r="C101" s="208" t="s">
        <v>376</v>
      </c>
      <c r="D101" s="208" t="s">
        <v>330</v>
      </c>
      <c r="E101" s="208">
        <v>995</v>
      </c>
      <c r="F101" s="208" t="s">
        <v>470</v>
      </c>
      <c r="G101" s="208">
        <v>2350</v>
      </c>
      <c r="H101" s="208">
        <v>2350</v>
      </c>
      <c r="I101" s="263" t="str">
        <f t="shared" si="13"/>
        <v>Driftwood - 2</v>
      </c>
      <c r="S101" s="261"/>
      <c r="T101" s="265"/>
      <c r="U101" s="265"/>
      <c r="V101" s="261"/>
      <c r="W101" s="232"/>
    </row>
    <row r="102" spans="3:23" ht="14.55" hidden="1" x14ac:dyDescent="0.3">
      <c r="C102" s="208" t="s">
        <v>377</v>
      </c>
      <c r="D102" s="208" t="s">
        <v>329</v>
      </c>
      <c r="E102" s="208">
        <v>745</v>
      </c>
      <c r="F102" s="208" t="s">
        <v>469</v>
      </c>
      <c r="G102" s="208">
        <v>1540</v>
      </c>
      <c r="H102" s="208">
        <v>0</v>
      </c>
      <c r="I102" s="263" t="str">
        <f t="shared" si="13"/>
        <v/>
      </c>
      <c r="S102" s="261"/>
      <c r="T102" s="265"/>
      <c r="U102" s="265"/>
      <c r="V102" s="261"/>
      <c r="W102" s="232"/>
    </row>
    <row r="103" spans="3:23" ht="14.55" hidden="1" x14ac:dyDescent="0.3">
      <c r="C103" s="208" t="s">
        <v>378</v>
      </c>
      <c r="D103" s="208" t="s">
        <v>329</v>
      </c>
      <c r="E103" s="208">
        <v>745</v>
      </c>
      <c r="F103" s="208" t="s">
        <v>469</v>
      </c>
      <c r="G103" s="208">
        <v>1540</v>
      </c>
      <c r="H103" s="208">
        <v>0</v>
      </c>
      <c r="I103" s="263" t="str">
        <f t="shared" si="13"/>
        <v/>
      </c>
      <c r="S103" s="261"/>
      <c r="T103" s="265"/>
      <c r="U103" s="265"/>
      <c r="V103" s="261"/>
      <c r="W103" s="232"/>
    </row>
    <row r="104" spans="3:23" ht="14.55" hidden="1" x14ac:dyDescent="0.3">
      <c r="C104" s="208" t="s">
        <v>379</v>
      </c>
      <c r="D104" s="208" t="s">
        <v>329</v>
      </c>
      <c r="E104" s="208">
        <v>745</v>
      </c>
      <c r="F104" s="208" t="s">
        <v>469</v>
      </c>
      <c r="G104" s="208">
        <v>1540</v>
      </c>
      <c r="H104" s="208">
        <v>0</v>
      </c>
      <c r="I104" s="263" t="str">
        <f t="shared" si="13"/>
        <v/>
      </c>
      <c r="S104" s="261"/>
      <c r="T104" s="265"/>
      <c r="U104" s="265"/>
      <c r="V104" s="261"/>
      <c r="W104" s="232"/>
    </row>
    <row r="105" spans="3:23" ht="14.55" hidden="1" x14ac:dyDescent="0.3">
      <c r="C105" s="208" t="s">
        <v>380</v>
      </c>
      <c r="D105" s="208" t="s">
        <v>329</v>
      </c>
      <c r="E105" s="208">
        <v>745</v>
      </c>
      <c r="F105" s="208" t="s">
        <v>469</v>
      </c>
      <c r="G105" s="208">
        <v>1540</v>
      </c>
      <c r="H105" s="208">
        <v>0</v>
      </c>
      <c r="I105" s="263" t="str">
        <f t="shared" si="13"/>
        <v/>
      </c>
      <c r="S105" s="261"/>
      <c r="T105" s="265"/>
      <c r="U105" s="265"/>
      <c r="V105" s="261"/>
      <c r="W105" s="232"/>
    </row>
    <row r="106" spans="3:23" ht="14.55" hidden="1" x14ac:dyDescent="0.3">
      <c r="C106" s="208" t="s">
        <v>381</v>
      </c>
      <c r="D106" s="208" t="s">
        <v>329</v>
      </c>
      <c r="E106" s="208">
        <v>745</v>
      </c>
      <c r="F106" s="208" t="s">
        <v>469</v>
      </c>
      <c r="G106" s="208">
        <v>1540</v>
      </c>
      <c r="H106" s="208">
        <v>0</v>
      </c>
      <c r="I106" s="263" t="str">
        <f t="shared" si="13"/>
        <v/>
      </c>
      <c r="S106" s="261"/>
      <c r="T106" s="265"/>
      <c r="U106" s="265"/>
      <c r="V106" s="261"/>
      <c r="W106" s="232"/>
    </row>
    <row r="107" spans="3:23" ht="14.55" hidden="1" x14ac:dyDescent="0.3">
      <c r="C107" s="208" t="s">
        <v>382</v>
      </c>
      <c r="D107" s="208" t="s">
        <v>329</v>
      </c>
      <c r="E107" s="208">
        <v>745</v>
      </c>
      <c r="F107" s="208" t="s">
        <v>469</v>
      </c>
      <c r="G107" s="208">
        <v>1540</v>
      </c>
      <c r="H107" s="208">
        <v>0</v>
      </c>
      <c r="I107" s="263" t="str">
        <f t="shared" si="13"/>
        <v/>
      </c>
      <c r="S107" s="261"/>
      <c r="T107" s="265"/>
      <c r="U107" s="265"/>
      <c r="V107" s="261"/>
      <c r="W107" s="232"/>
    </row>
    <row r="108" spans="3:23" ht="14.55" hidden="1" x14ac:dyDescent="0.3">
      <c r="C108" s="208" t="s">
        <v>383</v>
      </c>
      <c r="D108" s="208" t="s">
        <v>328</v>
      </c>
      <c r="E108" s="208">
        <v>1000</v>
      </c>
      <c r="F108" s="208" t="s">
        <v>469</v>
      </c>
      <c r="G108" s="208">
        <v>1895</v>
      </c>
      <c r="H108" s="208">
        <v>0</v>
      </c>
      <c r="I108" s="263" t="str">
        <f t="shared" si="13"/>
        <v/>
      </c>
      <c r="S108" s="261"/>
      <c r="T108" s="265"/>
      <c r="U108" s="265"/>
      <c r="V108" s="261"/>
      <c r="W108" s="232"/>
    </row>
    <row r="109" spans="3:23" ht="14.55" hidden="1" x14ac:dyDescent="0.3">
      <c r="C109" s="208" t="s">
        <v>384</v>
      </c>
      <c r="D109" s="208" t="s">
        <v>328</v>
      </c>
      <c r="E109" s="208">
        <v>1000</v>
      </c>
      <c r="F109" s="208" t="s">
        <v>469</v>
      </c>
      <c r="G109" s="208">
        <v>1895</v>
      </c>
      <c r="H109" s="208">
        <v>0</v>
      </c>
      <c r="I109" s="263" t="str">
        <f t="shared" si="13"/>
        <v/>
      </c>
      <c r="S109" s="261"/>
      <c r="T109" s="265"/>
      <c r="U109" s="265"/>
      <c r="V109" s="261"/>
      <c r="W109" s="232"/>
    </row>
    <row r="110" spans="3:23" ht="14.55" hidden="1" x14ac:dyDescent="0.3">
      <c r="C110" s="208" t="s">
        <v>385</v>
      </c>
      <c r="D110" s="208" t="s">
        <v>328</v>
      </c>
      <c r="E110" s="208">
        <v>1000</v>
      </c>
      <c r="F110" s="208" t="s">
        <v>469</v>
      </c>
      <c r="G110" s="208">
        <v>1895</v>
      </c>
      <c r="H110" s="208">
        <v>0</v>
      </c>
      <c r="I110" s="263" t="str">
        <f t="shared" si="13"/>
        <v/>
      </c>
      <c r="S110" s="261"/>
      <c r="T110" s="265"/>
      <c r="U110" s="265"/>
      <c r="V110" s="261"/>
      <c r="W110" s="232"/>
    </row>
    <row r="111" spans="3:23" ht="14.55" hidden="1" x14ac:dyDescent="0.3">
      <c r="C111" s="208" t="s">
        <v>386</v>
      </c>
      <c r="D111" s="208" t="s">
        <v>328</v>
      </c>
      <c r="E111" s="208">
        <v>1000</v>
      </c>
      <c r="F111" s="208" t="s">
        <v>469</v>
      </c>
      <c r="G111" s="208">
        <v>1895</v>
      </c>
      <c r="H111" s="208">
        <v>0</v>
      </c>
      <c r="I111" s="263" t="str">
        <f t="shared" si="13"/>
        <v/>
      </c>
      <c r="S111" s="261"/>
      <c r="T111" s="265"/>
      <c r="U111" s="265"/>
      <c r="V111" s="261"/>
      <c r="W111" s="232"/>
    </row>
    <row r="112" spans="3:23" ht="14.55" hidden="1" x14ac:dyDescent="0.3">
      <c r="C112" s="208" t="s">
        <v>387</v>
      </c>
      <c r="D112" s="208" t="s">
        <v>329</v>
      </c>
      <c r="E112" s="208">
        <v>745</v>
      </c>
      <c r="F112" s="208" t="s">
        <v>469</v>
      </c>
      <c r="G112" s="208">
        <v>1540</v>
      </c>
      <c r="H112" s="208">
        <v>0</v>
      </c>
      <c r="I112" s="263" t="str">
        <f t="shared" si="13"/>
        <v/>
      </c>
      <c r="S112" s="261"/>
      <c r="T112" s="265"/>
      <c r="U112" s="265"/>
      <c r="V112" s="261"/>
      <c r="W112" s="232"/>
    </row>
    <row r="113" spans="3:23" ht="14.55" hidden="1" x14ac:dyDescent="0.3">
      <c r="C113" s="208" t="s">
        <v>388</v>
      </c>
      <c r="D113" s="208" t="s">
        <v>329</v>
      </c>
      <c r="E113" s="208">
        <v>745</v>
      </c>
      <c r="F113" s="208" t="s">
        <v>469</v>
      </c>
      <c r="G113" s="208">
        <v>1365</v>
      </c>
      <c r="H113" s="208">
        <v>0</v>
      </c>
      <c r="I113" s="263" t="str">
        <f t="shared" si="13"/>
        <v/>
      </c>
      <c r="S113" s="261"/>
      <c r="T113" s="265"/>
      <c r="U113" s="265"/>
      <c r="V113" s="261"/>
      <c r="W113" s="232"/>
    </row>
    <row r="114" spans="3:23" ht="14.55" hidden="1" x14ac:dyDescent="0.3">
      <c r="C114" s="208" t="s">
        <v>389</v>
      </c>
      <c r="D114" s="208" t="s">
        <v>329</v>
      </c>
      <c r="E114" s="208">
        <v>745</v>
      </c>
      <c r="F114" s="208" t="s">
        <v>469</v>
      </c>
      <c r="G114" s="208">
        <v>1540</v>
      </c>
      <c r="H114" s="208">
        <v>0</v>
      </c>
      <c r="I114" s="263" t="str">
        <f t="shared" si="13"/>
        <v/>
      </c>
      <c r="S114" s="261"/>
      <c r="T114" s="265"/>
      <c r="U114" s="265"/>
      <c r="V114" s="261"/>
      <c r="W114" s="232"/>
    </row>
    <row r="115" spans="3:23" ht="14.55" hidden="1" x14ac:dyDescent="0.3">
      <c r="C115" s="208" t="s">
        <v>390</v>
      </c>
      <c r="D115" s="208" t="s">
        <v>329</v>
      </c>
      <c r="E115" s="208">
        <v>745</v>
      </c>
      <c r="F115" s="208" t="s">
        <v>469</v>
      </c>
      <c r="G115" s="208">
        <v>1540</v>
      </c>
      <c r="H115" s="208">
        <v>0</v>
      </c>
      <c r="I115" s="263" t="str">
        <f t="shared" si="13"/>
        <v/>
      </c>
      <c r="S115" s="261"/>
      <c r="T115" s="265"/>
      <c r="U115" s="265"/>
      <c r="V115" s="261"/>
      <c r="W115" s="232"/>
    </row>
    <row r="116" spans="3:23" ht="14.55" hidden="1" x14ac:dyDescent="0.3">
      <c r="C116" s="208" t="s">
        <v>391</v>
      </c>
      <c r="D116" s="208" t="s">
        <v>329</v>
      </c>
      <c r="E116" s="208">
        <v>745</v>
      </c>
      <c r="F116" s="208" t="s">
        <v>469</v>
      </c>
      <c r="G116" s="208">
        <v>1540</v>
      </c>
      <c r="H116" s="208">
        <v>0</v>
      </c>
      <c r="I116" s="263" t="str">
        <f t="shared" si="13"/>
        <v/>
      </c>
      <c r="S116" s="261"/>
      <c r="T116" s="265"/>
      <c r="U116" s="265"/>
      <c r="V116" s="261"/>
      <c r="W116" s="232"/>
    </row>
    <row r="117" spans="3:23" ht="14.55" hidden="1" x14ac:dyDescent="0.3">
      <c r="C117" s="208" t="s">
        <v>392</v>
      </c>
      <c r="D117" s="208" t="s">
        <v>329</v>
      </c>
      <c r="E117" s="208">
        <v>745</v>
      </c>
      <c r="F117" s="208" t="s">
        <v>469</v>
      </c>
      <c r="G117" s="208">
        <v>1540</v>
      </c>
      <c r="H117" s="208">
        <v>0</v>
      </c>
      <c r="I117" s="263" t="str">
        <f t="shared" si="13"/>
        <v/>
      </c>
      <c r="S117" s="261"/>
      <c r="T117" s="265"/>
      <c r="U117" s="265"/>
      <c r="V117" s="261"/>
      <c r="W117" s="232"/>
    </row>
    <row r="118" spans="3:23" ht="14.55" hidden="1" x14ac:dyDescent="0.3">
      <c r="C118" s="208" t="s">
        <v>393</v>
      </c>
      <c r="D118" s="208" t="s">
        <v>330</v>
      </c>
      <c r="E118" s="208">
        <v>995</v>
      </c>
      <c r="F118" s="208" t="s">
        <v>469</v>
      </c>
      <c r="G118" s="208">
        <v>1675</v>
      </c>
      <c r="H118" s="208">
        <v>0</v>
      </c>
      <c r="I118" s="263" t="str">
        <f t="shared" si="13"/>
        <v/>
      </c>
      <c r="S118" s="261"/>
      <c r="T118" s="265"/>
      <c r="U118" s="265"/>
      <c r="V118" s="261"/>
      <c r="W118" s="232"/>
    </row>
    <row r="119" spans="3:23" x14ac:dyDescent="0.3">
      <c r="C119" s="208" t="s">
        <v>394</v>
      </c>
      <c r="D119" s="208" t="s">
        <v>330</v>
      </c>
      <c r="E119" s="208">
        <v>995</v>
      </c>
      <c r="F119" s="208" t="s">
        <v>470</v>
      </c>
      <c r="G119" s="208">
        <v>2350</v>
      </c>
      <c r="H119" s="208">
        <v>2350</v>
      </c>
      <c r="I119" s="263" t="str">
        <f t="shared" si="13"/>
        <v>Driftwood - 2</v>
      </c>
      <c r="S119" s="261"/>
      <c r="T119" s="265"/>
      <c r="U119" s="265"/>
      <c r="V119" s="261"/>
      <c r="W119" s="232"/>
    </row>
    <row r="120" spans="3:23" ht="14.55" hidden="1" x14ac:dyDescent="0.3">
      <c r="C120" s="208" t="s">
        <v>395</v>
      </c>
      <c r="D120" s="208" t="s">
        <v>332</v>
      </c>
      <c r="E120" s="208">
        <v>745</v>
      </c>
      <c r="F120" s="208" t="s">
        <v>477</v>
      </c>
      <c r="G120" s="208">
        <v>1540</v>
      </c>
      <c r="H120" s="208">
        <v>1540</v>
      </c>
      <c r="I120" s="263" t="str">
        <f t="shared" si="13"/>
        <v>Surfside - 1ADA</v>
      </c>
      <c r="S120" s="261"/>
      <c r="T120" s="265"/>
      <c r="U120" s="265"/>
      <c r="V120" s="261"/>
      <c r="W120" s="232"/>
    </row>
    <row r="121" spans="3:23" x14ac:dyDescent="0.3">
      <c r="C121" s="208" t="s">
        <v>396</v>
      </c>
      <c r="D121" s="208" t="s">
        <v>329</v>
      </c>
      <c r="E121" s="208">
        <v>745</v>
      </c>
      <c r="F121" s="208" t="s">
        <v>470</v>
      </c>
      <c r="G121" s="208">
        <v>1702</v>
      </c>
      <c r="H121" s="208">
        <v>1702</v>
      </c>
      <c r="I121" s="263" t="str">
        <f t="shared" si="13"/>
        <v>Surfside - 1</v>
      </c>
      <c r="S121" s="261"/>
      <c r="T121" s="265"/>
      <c r="U121" s="265"/>
      <c r="V121" s="261"/>
      <c r="W121" s="232"/>
    </row>
    <row r="122" spans="3:23" ht="14.55" hidden="1" x14ac:dyDescent="0.3">
      <c r="C122" s="208" t="s">
        <v>397</v>
      </c>
      <c r="D122" s="208" t="s">
        <v>333</v>
      </c>
      <c r="E122" s="208">
        <v>936</v>
      </c>
      <c r="F122" s="208" t="s">
        <v>469</v>
      </c>
      <c r="G122" s="208">
        <v>1650</v>
      </c>
      <c r="H122" s="208">
        <v>0</v>
      </c>
      <c r="I122" s="263" t="str">
        <f t="shared" si="13"/>
        <v/>
      </c>
      <c r="S122" s="261"/>
      <c r="T122" s="265"/>
      <c r="U122" s="265"/>
      <c r="V122" s="261"/>
      <c r="W122" s="232"/>
    </row>
    <row r="123" spans="3:23" ht="14.55" hidden="1" x14ac:dyDescent="0.3">
      <c r="C123" s="208" t="s">
        <v>398</v>
      </c>
      <c r="D123" s="208" t="s">
        <v>333</v>
      </c>
      <c r="E123" s="208">
        <v>936</v>
      </c>
      <c r="F123" s="208" t="s">
        <v>469</v>
      </c>
      <c r="G123" s="208">
        <v>1650</v>
      </c>
      <c r="H123" s="208">
        <v>0</v>
      </c>
      <c r="I123" s="263" t="str">
        <f t="shared" si="13"/>
        <v/>
      </c>
      <c r="S123" s="261"/>
      <c r="T123" s="265"/>
      <c r="U123" s="265"/>
      <c r="V123" s="261"/>
      <c r="W123" s="232"/>
    </row>
    <row r="124" spans="3:23" ht="14.55" hidden="1" x14ac:dyDescent="0.3">
      <c r="C124" s="208" t="s">
        <v>399</v>
      </c>
      <c r="D124" s="208" t="s">
        <v>329</v>
      </c>
      <c r="E124" s="208">
        <v>745</v>
      </c>
      <c r="F124" s="208" t="s">
        <v>469</v>
      </c>
      <c r="G124" s="208">
        <v>1540</v>
      </c>
      <c r="H124" s="208">
        <v>0</v>
      </c>
      <c r="I124" s="263" t="str">
        <f t="shared" si="13"/>
        <v/>
      </c>
      <c r="S124" s="261"/>
      <c r="T124" s="265"/>
      <c r="U124" s="265"/>
      <c r="V124" s="261"/>
      <c r="W124" s="232"/>
    </row>
    <row r="125" spans="3:23" ht="14.55" hidden="1" x14ac:dyDescent="0.3">
      <c r="C125" s="208" t="s">
        <v>400</v>
      </c>
      <c r="D125" s="208" t="s">
        <v>329</v>
      </c>
      <c r="E125" s="208">
        <v>745</v>
      </c>
      <c r="F125" s="208" t="s">
        <v>469</v>
      </c>
      <c r="G125" s="208">
        <v>1540</v>
      </c>
      <c r="H125" s="208">
        <v>0</v>
      </c>
      <c r="I125" s="263" t="str">
        <f t="shared" si="13"/>
        <v/>
      </c>
      <c r="S125" s="261"/>
      <c r="T125" s="265"/>
      <c r="U125" s="265"/>
      <c r="V125" s="261"/>
      <c r="W125" s="232"/>
    </row>
    <row r="126" spans="3:23" ht="14.55" hidden="1" x14ac:dyDescent="0.3">
      <c r="C126" s="208" t="s">
        <v>401</v>
      </c>
      <c r="D126" s="208" t="s">
        <v>330</v>
      </c>
      <c r="E126" s="208">
        <v>995</v>
      </c>
      <c r="F126" s="208" t="s">
        <v>469</v>
      </c>
      <c r="G126" s="208">
        <v>1675</v>
      </c>
      <c r="H126" s="208">
        <v>0</v>
      </c>
      <c r="I126" s="263" t="str">
        <f t="shared" ref="I126:I189" si="14">IF(H126=0,"",D126)</f>
        <v/>
      </c>
      <c r="S126" s="261"/>
      <c r="T126" s="265"/>
      <c r="U126" s="265"/>
      <c r="V126" s="261"/>
      <c r="W126" s="232"/>
    </row>
    <row r="127" spans="3:23" ht="14.55" hidden="1" x14ac:dyDescent="0.3">
      <c r="C127" s="208" t="s">
        <v>402</v>
      </c>
      <c r="D127" s="208" t="s">
        <v>330</v>
      </c>
      <c r="E127" s="208">
        <v>995</v>
      </c>
      <c r="F127" s="208" t="s">
        <v>478</v>
      </c>
      <c r="G127" s="208">
        <v>2350</v>
      </c>
      <c r="H127" s="208">
        <v>2350</v>
      </c>
      <c r="I127" s="263" t="str">
        <f t="shared" si="14"/>
        <v>Driftwood - 2</v>
      </c>
      <c r="S127" s="261"/>
      <c r="T127" s="265"/>
      <c r="U127" s="265"/>
      <c r="V127" s="261"/>
      <c r="W127" s="232"/>
    </row>
    <row r="128" spans="3:23" ht="14.55" hidden="1" x14ac:dyDescent="0.3">
      <c r="C128" s="208" t="s">
        <v>403</v>
      </c>
      <c r="D128" s="208" t="s">
        <v>334</v>
      </c>
      <c r="E128" s="208">
        <v>1417</v>
      </c>
      <c r="F128" s="208" t="s">
        <v>469</v>
      </c>
      <c r="G128" s="208">
        <v>2350</v>
      </c>
      <c r="H128" s="208">
        <v>0</v>
      </c>
      <c r="I128" s="263" t="str">
        <f t="shared" si="14"/>
        <v/>
      </c>
      <c r="S128" s="261"/>
      <c r="T128" s="265"/>
      <c r="U128" s="265"/>
      <c r="V128" s="261"/>
      <c r="W128" s="232"/>
    </row>
    <row r="129" spans="3:23" ht="14.55" hidden="1" x14ac:dyDescent="0.3">
      <c r="C129" s="208" t="s">
        <v>404</v>
      </c>
      <c r="D129" s="208" t="s">
        <v>334</v>
      </c>
      <c r="E129" s="208">
        <v>1417</v>
      </c>
      <c r="F129" s="208" t="s">
        <v>479</v>
      </c>
      <c r="G129" s="208">
        <v>2870</v>
      </c>
      <c r="H129" s="208">
        <v>2870</v>
      </c>
      <c r="I129" s="263" t="str">
        <f t="shared" si="14"/>
        <v>Lighthouse - 5</v>
      </c>
      <c r="S129" s="261"/>
      <c r="T129" s="265"/>
      <c r="U129" s="265"/>
      <c r="V129" s="261"/>
      <c r="W129" s="232"/>
    </row>
    <row r="130" spans="3:23" ht="14.55" hidden="1" x14ac:dyDescent="0.3">
      <c r="C130" s="208" t="s">
        <v>405</v>
      </c>
      <c r="D130" s="208" t="s">
        <v>329</v>
      </c>
      <c r="E130" s="208">
        <v>745</v>
      </c>
      <c r="F130" s="208" t="s">
        <v>480</v>
      </c>
      <c r="G130" s="208">
        <v>1365</v>
      </c>
      <c r="H130" s="208">
        <v>1365</v>
      </c>
      <c r="I130" s="263" t="str">
        <f t="shared" si="14"/>
        <v>Surfside - 1</v>
      </c>
      <c r="S130" s="261"/>
      <c r="T130" s="265"/>
      <c r="U130" s="265"/>
      <c r="V130" s="261"/>
      <c r="W130" s="232"/>
    </row>
    <row r="131" spans="3:23" ht="14.55" hidden="1" x14ac:dyDescent="0.3">
      <c r="C131" s="208" t="s">
        <v>406</v>
      </c>
      <c r="D131" s="208" t="s">
        <v>329</v>
      </c>
      <c r="E131" s="208">
        <v>745</v>
      </c>
      <c r="F131" s="208" t="s">
        <v>469</v>
      </c>
      <c r="G131" s="208">
        <v>1540</v>
      </c>
      <c r="H131" s="208">
        <v>0</v>
      </c>
      <c r="I131" s="263" t="str">
        <f t="shared" si="14"/>
        <v/>
      </c>
      <c r="S131" s="261"/>
      <c r="T131" s="265"/>
      <c r="U131" s="265"/>
      <c r="V131" s="261"/>
      <c r="W131" s="232"/>
    </row>
    <row r="132" spans="3:23" ht="14.55" hidden="1" x14ac:dyDescent="0.3">
      <c r="C132" s="208" t="s">
        <v>407</v>
      </c>
      <c r="D132" s="208" t="s">
        <v>328</v>
      </c>
      <c r="E132" s="208">
        <v>1000</v>
      </c>
      <c r="F132" s="208" t="s">
        <v>481</v>
      </c>
      <c r="G132" s="208">
        <v>1895</v>
      </c>
      <c r="H132" s="208">
        <v>1695</v>
      </c>
      <c r="I132" s="263" t="str">
        <f t="shared" si="14"/>
        <v>Seaglass - 3</v>
      </c>
      <c r="S132" s="261"/>
      <c r="T132" s="265"/>
      <c r="U132" s="265"/>
      <c r="V132" s="261"/>
      <c r="W132" s="232"/>
    </row>
    <row r="133" spans="3:23" ht="14.55" hidden="1" x14ac:dyDescent="0.3">
      <c r="C133" s="208" t="s">
        <v>408</v>
      </c>
      <c r="D133" s="208" t="s">
        <v>328</v>
      </c>
      <c r="E133" s="208">
        <v>1000</v>
      </c>
      <c r="F133" s="208" t="s">
        <v>469</v>
      </c>
      <c r="G133" s="208">
        <v>1895</v>
      </c>
      <c r="H133" s="208">
        <v>0</v>
      </c>
      <c r="I133" s="263" t="str">
        <f t="shared" si="14"/>
        <v/>
      </c>
      <c r="S133" s="261"/>
      <c r="T133" s="265"/>
      <c r="U133" s="265"/>
      <c r="V133" s="261"/>
      <c r="W133" s="232"/>
    </row>
    <row r="134" spans="3:23" ht="14.55" hidden="1" x14ac:dyDescent="0.3">
      <c r="C134" s="208" t="s">
        <v>409</v>
      </c>
      <c r="D134" s="208" t="s">
        <v>335</v>
      </c>
      <c r="E134" s="208">
        <v>1210</v>
      </c>
      <c r="F134" s="208" t="s">
        <v>482</v>
      </c>
      <c r="G134" s="208">
        <v>2870</v>
      </c>
      <c r="H134" s="208">
        <v>2870</v>
      </c>
      <c r="I134" s="263" t="str">
        <f t="shared" si="14"/>
        <v>Ocean Breeze - End Unit</v>
      </c>
      <c r="S134" s="261"/>
      <c r="T134" s="265"/>
      <c r="U134" s="265"/>
      <c r="V134" s="261"/>
      <c r="W134" s="232"/>
    </row>
    <row r="135" spans="3:23" ht="14.55" hidden="1" x14ac:dyDescent="0.3">
      <c r="C135" s="208" t="s">
        <v>410</v>
      </c>
      <c r="D135" s="208" t="s">
        <v>336</v>
      </c>
      <c r="E135" s="208">
        <v>1149</v>
      </c>
      <c r="F135" s="208" t="s">
        <v>469</v>
      </c>
      <c r="G135" s="208">
        <v>1915</v>
      </c>
      <c r="H135" s="208">
        <v>0</v>
      </c>
      <c r="I135" s="263" t="str">
        <f t="shared" si="14"/>
        <v/>
      </c>
      <c r="S135" s="261"/>
      <c r="T135" s="265"/>
      <c r="U135" s="265"/>
      <c r="V135" s="261"/>
      <c r="W135" s="232"/>
    </row>
    <row r="136" spans="3:23" ht="14.55" hidden="1" x14ac:dyDescent="0.3">
      <c r="C136" s="208" t="s">
        <v>411</v>
      </c>
      <c r="D136" s="208" t="s">
        <v>336</v>
      </c>
      <c r="E136" s="208">
        <v>1149</v>
      </c>
      <c r="F136" s="208" t="s">
        <v>469</v>
      </c>
      <c r="G136" s="208">
        <v>1915</v>
      </c>
      <c r="H136" s="208">
        <v>0</v>
      </c>
      <c r="I136" s="263" t="str">
        <f t="shared" si="14"/>
        <v/>
      </c>
      <c r="S136" s="261"/>
      <c r="T136" s="265"/>
      <c r="U136" s="265"/>
      <c r="V136" s="261"/>
      <c r="W136" s="232"/>
    </row>
    <row r="137" spans="3:23" ht="14.55" hidden="1" x14ac:dyDescent="0.3">
      <c r="C137" s="208" t="s">
        <v>412</v>
      </c>
      <c r="D137" s="208" t="s">
        <v>335</v>
      </c>
      <c r="E137" s="208">
        <v>1210</v>
      </c>
      <c r="F137" s="208" t="s">
        <v>483</v>
      </c>
      <c r="G137" s="208">
        <v>2870</v>
      </c>
      <c r="H137" s="208">
        <v>2870</v>
      </c>
      <c r="I137" s="263" t="str">
        <f t="shared" si="14"/>
        <v>Ocean Breeze - End Unit</v>
      </c>
      <c r="S137" s="261"/>
      <c r="T137" s="265"/>
      <c r="U137" s="265"/>
      <c r="V137" s="261"/>
      <c r="W137" s="232"/>
    </row>
    <row r="138" spans="3:23" ht="14.55" hidden="1" x14ac:dyDescent="0.3">
      <c r="C138" s="208" t="s">
        <v>413</v>
      </c>
      <c r="D138" s="208" t="s">
        <v>335</v>
      </c>
      <c r="E138" s="208">
        <v>1210</v>
      </c>
      <c r="F138" s="208" t="s">
        <v>484</v>
      </c>
      <c r="G138" s="208">
        <v>2870</v>
      </c>
      <c r="H138" s="208">
        <v>2870</v>
      </c>
      <c r="I138" s="263" t="str">
        <f t="shared" si="14"/>
        <v>Ocean Breeze - End Unit</v>
      </c>
      <c r="S138" s="261"/>
      <c r="T138" s="265"/>
      <c r="U138" s="265"/>
      <c r="V138" s="261"/>
      <c r="W138" s="232"/>
    </row>
    <row r="139" spans="3:23" x14ac:dyDescent="0.3">
      <c r="C139" s="208" t="s">
        <v>414</v>
      </c>
      <c r="D139" s="208" t="s">
        <v>336</v>
      </c>
      <c r="E139" s="208">
        <v>1149</v>
      </c>
      <c r="F139" s="208" t="s">
        <v>470</v>
      </c>
      <c r="G139" s="208">
        <v>2650</v>
      </c>
      <c r="H139" s="208">
        <v>2650</v>
      </c>
      <c r="I139" s="263" t="str">
        <f t="shared" si="14"/>
        <v>Beach Haven In-line Unit</v>
      </c>
      <c r="S139" s="261"/>
      <c r="T139" s="265"/>
      <c r="U139" s="265"/>
      <c r="V139" s="261"/>
      <c r="W139" s="232"/>
    </row>
    <row r="140" spans="3:23" ht="14.55" hidden="1" x14ac:dyDescent="0.3">
      <c r="C140" s="208" t="s">
        <v>415</v>
      </c>
      <c r="D140" s="208" t="s">
        <v>336</v>
      </c>
      <c r="E140" s="208">
        <v>1149</v>
      </c>
      <c r="F140" s="208" t="s">
        <v>469</v>
      </c>
      <c r="G140" s="208">
        <v>1915</v>
      </c>
      <c r="H140" s="208">
        <v>0</v>
      </c>
      <c r="I140" s="263" t="str">
        <f t="shared" si="14"/>
        <v/>
      </c>
      <c r="S140" s="261"/>
      <c r="T140" s="265"/>
      <c r="U140" s="265"/>
      <c r="V140" s="261"/>
      <c r="W140" s="232"/>
    </row>
    <row r="141" spans="3:23" x14ac:dyDescent="0.3">
      <c r="C141" s="208" t="s">
        <v>416</v>
      </c>
      <c r="D141" s="208" t="s">
        <v>335</v>
      </c>
      <c r="E141" s="208">
        <v>1210</v>
      </c>
      <c r="F141" s="208" t="s">
        <v>470</v>
      </c>
      <c r="G141" s="208">
        <v>2650</v>
      </c>
      <c r="H141" s="208">
        <v>2650</v>
      </c>
      <c r="I141" s="263" t="str">
        <f t="shared" si="14"/>
        <v>Ocean Breeze - End Unit</v>
      </c>
      <c r="S141" s="261"/>
      <c r="T141" s="265"/>
      <c r="U141" s="265"/>
      <c r="V141" s="261"/>
      <c r="W141" s="232"/>
    </row>
    <row r="142" spans="3:23" ht="14.55" hidden="1" x14ac:dyDescent="0.3">
      <c r="C142" s="208" t="s">
        <v>417</v>
      </c>
      <c r="D142" s="208" t="s">
        <v>335</v>
      </c>
      <c r="E142" s="208">
        <v>1210</v>
      </c>
      <c r="F142" s="208" t="s">
        <v>485</v>
      </c>
      <c r="G142" s="208">
        <v>2870</v>
      </c>
      <c r="H142" s="208">
        <v>2870</v>
      </c>
      <c r="I142" s="263" t="str">
        <f t="shared" si="14"/>
        <v>Ocean Breeze - End Unit</v>
      </c>
      <c r="S142" s="261"/>
      <c r="T142" s="265"/>
      <c r="U142" s="265"/>
      <c r="V142" s="261"/>
      <c r="W142" s="232"/>
    </row>
    <row r="143" spans="3:23" ht="14.55" hidden="1" x14ac:dyDescent="0.3">
      <c r="C143" s="208" t="s">
        <v>418</v>
      </c>
      <c r="D143" s="208" t="s">
        <v>336</v>
      </c>
      <c r="E143" s="208">
        <v>1149</v>
      </c>
      <c r="F143" s="208" t="s">
        <v>469</v>
      </c>
      <c r="G143" s="208">
        <v>1915</v>
      </c>
      <c r="H143" s="208">
        <v>0</v>
      </c>
      <c r="I143" s="263" t="str">
        <f t="shared" si="14"/>
        <v/>
      </c>
      <c r="S143" s="261"/>
      <c r="T143" s="265"/>
      <c r="U143" s="265"/>
      <c r="V143" s="261"/>
      <c r="W143" s="232"/>
    </row>
    <row r="144" spans="3:23" x14ac:dyDescent="0.3">
      <c r="C144" s="208" t="s">
        <v>419</v>
      </c>
      <c r="D144" s="208" t="s">
        <v>336</v>
      </c>
      <c r="E144" s="208">
        <v>1149</v>
      </c>
      <c r="F144" s="208" t="s">
        <v>470</v>
      </c>
      <c r="G144" s="208">
        <v>2650</v>
      </c>
      <c r="H144" s="208">
        <v>2650</v>
      </c>
      <c r="I144" s="263" t="str">
        <f t="shared" si="14"/>
        <v>Beach Haven In-line Unit</v>
      </c>
      <c r="S144" s="261"/>
      <c r="T144" s="265"/>
      <c r="U144" s="265"/>
      <c r="V144" s="261"/>
      <c r="W144" s="232"/>
    </row>
    <row r="145" spans="3:23" x14ac:dyDescent="0.3">
      <c r="C145" s="208" t="s">
        <v>420</v>
      </c>
      <c r="D145" s="208" t="s">
        <v>335</v>
      </c>
      <c r="E145" s="208">
        <v>1210</v>
      </c>
      <c r="F145" s="208" t="s">
        <v>470</v>
      </c>
      <c r="G145" s="208">
        <v>2870</v>
      </c>
      <c r="H145" s="208">
        <v>2870</v>
      </c>
      <c r="I145" s="263" t="str">
        <f t="shared" si="14"/>
        <v>Ocean Breeze - End Unit</v>
      </c>
      <c r="S145" s="261"/>
      <c r="T145" s="265"/>
      <c r="U145" s="265"/>
      <c r="V145" s="261"/>
      <c r="W145" s="232"/>
    </row>
    <row r="146" spans="3:23" ht="14.55" hidden="1" x14ac:dyDescent="0.3">
      <c r="C146" s="208" t="s">
        <v>421</v>
      </c>
      <c r="D146" s="208" t="s">
        <v>335</v>
      </c>
      <c r="E146" s="208">
        <v>1210</v>
      </c>
      <c r="F146" s="208" t="s">
        <v>486</v>
      </c>
      <c r="G146" s="208">
        <v>2870</v>
      </c>
      <c r="H146" s="208">
        <v>2870</v>
      </c>
      <c r="I146" s="263" t="str">
        <f t="shared" si="14"/>
        <v>Ocean Breeze - End Unit</v>
      </c>
      <c r="S146" s="261"/>
      <c r="T146" s="265"/>
      <c r="U146" s="265"/>
      <c r="V146" s="261"/>
      <c r="W146" s="232"/>
    </row>
    <row r="147" spans="3:23" ht="14.55" hidden="1" x14ac:dyDescent="0.3">
      <c r="C147" s="208" t="s">
        <v>422</v>
      </c>
      <c r="D147" s="208" t="s">
        <v>336</v>
      </c>
      <c r="E147" s="208">
        <v>1149</v>
      </c>
      <c r="F147" s="208" t="s">
        <v>469</v>
      </c>
      <c r="G147" s="208">
        <v>1915</v>
      </c>
      <c r="H147" s="208">
        <v>0</v>
      </c>
      <c r="I147" s="263" t="str">
        <f t="shared" si="14"/>
        <v/>
      </c>
      <c r="S147" s="261"/>
      <c r="T147" s="265"/>
      <c r="U147" s="265"/>
      <c r="V147" s="261"/>
      <c r="W147" s="232"/>
    </row>
    <row r="148" spans="3:23" ht="14.55" hidden="1" x14ac:dyDescent="0.3">
      <c r="C148" s="208" t="s">
        <v>423</v>
      </c>
      <c r="D148" s="208" t="s">
        <v>336</v>
      </c>
      <c r="E148" s="208">
        <v>1149</v>
      </c>
      <c r="F148" s="208" t="s">
        <v>487</v>
      </c>
      <c r="G148" s="208">
        <v>2153</v>
      </c>
      <c r="H148" s="208">
        <v>2153</v>
      </c>
      <c r="I148" s="263" t="str">
        <f t="shared" si="14"/>
        <v>Beach Haven In-line Unit</v>
      </c>
      <c r="S148" s="261"/>
      <c r="T148" s="265"/>
      <c r="U148" s="265"/>
      <c r="V148" s="261"/>
      <c r="W148" s="232"/>
    </row>
    <row r="149" spans="3:23" ht="14.55" hidden="1" x14ac:dyDescent="0.3">
      <c r="C149" s="208" t="s">
        <v>424</v>
      </c>
      <c r="D149" s="208" t="s">
        <v>335</v>
      </c>
      <c r="E149" s="208">
        <v>1210</v>
      </c>
      <c r="F149" s="208" t="s">
        <v>469</v>
      </c>
      <c r="G149" s="208">
        <v>2650</v>
      </c>
      <c r="H149" s="208">
        <v>0</v>
      </c>
      <c r="I149" s="263" t="str">
        <f t="shared" si="14"/>
        <v/>
      </c>
      <c r="S149" s="261"/>
      <c r="T149" s="265"/>
      <c r="U149" s="265"/>
      <c r="V149" s="261"/>
      <c r="W149" s="232"/>
    </row>
    <row r="150" spans="3:23" ht="14.55" hidden="1" x14ac:dyDescent="0.3">
      <c r="C150" s="208" t="s">
        <v>425</v>
      </c>
      <c r="D150" s="208" t="s">
        <v>335</v>
      </c>
      <c r="E150" s="208">
        <v>1210</v>
      </c>
      <c r="F150" s="208" t="s">
        <v>488</v>
      </c>
      <c r="G150" s="208">
        <v>2870</v>
      </c>
      <c r="H150" s="208">
        <v>2870</v>
      </c>
      <c r="I150" s="263" t="str">
        <f t="shared" si="14"/>
        <v>Ocean Breeze - End Unit</v>
      </c>
      <c r="S150" s="261"/>
      <c r="T150" s="265"/>
      <c r="U150" s="265"/>
      <c r="V150" s="261"/>
      <c r="W150" s="232"/>
    </row>
    <row r="151" spans="3:23" ht="14.55" hidden="1" x14ac:dyDescent="0.3">
      <c r="C151" s="208" t="s">
        <v>426</v>
      </c>
      <c r="D151" s="208" t="s">
        <v>336</v>
      </c>
      <c r="E151" s="208">
        <v>1149</v>
      </c>
      <c r="F151" s="208" t="s">
        <v>469</v>
      </c>
      <c r="G151" s="208">
        <v>1915</v>
      </c>
      <c r="H151" s="208">
        <v>0</v>
      </c>
      <c r="I151" s="263" t="str">
        <f t="shared" si="14"/>
        <v/>
      </c>
      <c r="S151" s="261"/>
      <c r="T151" s="265"/>
      <c r="U151" s="265"/>
      <c r="V151" s="261"/>
      <c r="W151" s="232"/>
    </row>
    <row r="152" spans="3:23" ht="14.55" hidden="1" x14ac:dyDescent="0.3">
      <c r="C152" s="208" t="s">
        <v>427</v>
      </c>
      <c r="D152" s="208" t="s">
        <v>336</v>
      </c>
      <c r="E152" s="208">
        <v>1149</v>
      </c>
      <c r="F152" s="208" t="s">
        <v>469</v>
      </c>
      <c r="G152" s="208">
        <v>1915</v>
      </c>
      <c r="H152" s="208">
        <v>0</v>
      </c>
      <c r="I152" s="263" t="str">
        <f t="shared" si="14"/>
        <v/>
      </c>
    </row>
    <row r="153" spans="3:23" ht="14.55" hidden="1" x14ac:dyDescent="0.3">
      <c r="C153" s="208" t="s">
        <v>428</v>
      </c>
      <c r="D153" s="208" t="s">
        <v>336</v>
      </c>
      <c r="E153" s="208">
        <v>1149</v>
      </c>
      <c r="F153" s="208" t="s">
        <v>469</v>
      </c>
      <c r="G153" s="208">
        <v>1915</v>
      </c>
      <c r="H153" s="208">
        <v>0</v>
      </c>
      <c r="I153" s="263" t="str">
        <f t="shared" si="14"/>
        <v/>
      </c>
    </row>
    <row r="154" spans="3:23" ht="14.55" hidden="1" x14ac:dyDescent="0.3">
      <c r="C154" s="208" t="s">
        <v>429</v>
      </c>
      <c r="D154" s="208" t="s">
        <v>336</v>
      </c>
      <c r="E154" s="208">
        <v>1149</v>
      </c>
      <c r="F154" s="208" t="s">
        <v>469</v>
      </c>
      <c r="G154" s="208">
        <v>1915</v>
      </c>
      <c r="H154" s="208">
        <v>0</v>
      </c>
      <c r="I154" s="263" t="str">
        <f t="shared" si="14"/>
        <v/>
      </c>
    </row>
    <row r="155" spans="3:23" ht="14.55" hidden="1" x14ac:dyDescent="0.3">
      <c r="C155" s="208" t="s">
        <v>430</v>
      </c>
      <c r="D155" s="208" t="s">
        <v>335</v>
      </c>
      <c r="E155" s="208">
        <v>1210</v>
      </c>
      <c r="F155" s="208" t="s">
        <v>469</v>
      </c>
      <c r="G155" s="208">
        <v>2650</v>
      </c>
      <c r="H155" s="208">
        <v>0</v>
      </c>
      <c r="I155" s="263" t="str">
        <f t="shared" si="14"/>
        <v/>
      </c>
    </row>
    <row r="156" spans="3:23" ht="14.55" hidden="1" x14ac:dyDescent="0.3">
      <c r="C156" s="208" t="s">
        <v>431</v>
      </c>
      <c r="D156" s="208" t="s">
        <v>335</v>
      </c>
      <c r="E156" s="208">
        <v>1210</v>
      </c>
      <c r="F156" s="208" t="s">
        <v>489</v>
      </c>
      <c r="G156" s="208">
        <v>2870</v>
      </c>
      <c r="H156" s="208">
        <v>2870</v>
      </c>
      <c r="I156" s="263" t="str">
        <f t="shared" si="14"/>
        <v>Ocean Breeze - End Unit</v>
      </c>
    </row>
    <row r="157" spans="3:23" ht="14.55" hidden="1" x14ac:dyDescent="0.3">
      <c r="C157" s="208" t="s">
        <v>432</v>
      </c>
      <c r="D157" s="208" t="s">
        <v>336</v>
      </c>
      <c r="E157" s="208">
        <v>1149</v>
      </c>
      <c r="F157" s="208" t="s">
        <v>469</v>
      </c>
      <c r="G157" s="208">
        <v>1915</v>
      </c>
      <c r="H157" s="208">
        <v>0</v>
      </c>
      <c r="I157" s="263" t="str">
        <f t="shared" si="14"/>
        <v/>
      </c>
    </row>
    <row r="158" spans="3:23" ht="14.55" hidden="1" x14ac:dyDescent="0.3">
      <c r="C158" s="208" t="s">
        <v>433</v>
      </c>
      <c r="D158" s="208" t="s">
        <v>336</v>
      </c>
      <c r="E158" s="208">
        <v>1149</v>
      </c>
      <c r="F158" s="208" t="s">
        <v>469</v>
      </c>
      <c r="G158" s="208">
        <v>1915</v>
      </c>
      <c r="H158" s="208">
        <v>0</v>
      </c>
      <c r="I158" s="263" t="str">
        <f t="shared" si="14"/>
        <v/>
      </c>
    </row>
    <row r="159" spans="3:23" x14ac:dyDescent="0.3">
      <c r="C159" s="208" t="s">
        <v>434</v>
      </c>
      <c r="D159" s="208" t="s">
        <v>335</v>
      </c>
      <c r="E159" s="208">
        <v>1210</v>
      </c>
      <c r="F159" s="208" t="s">
        <v>470</v>
      </c>
      <c r="G159" s="208">
        <v>2650</v>
      </c>
      <c r="H159" s="208">
        <v>2650</v>
      </c>
      <c r="I159" s="263" t="str">
        <f t="shared" si="14"/>
        <v>Ocean Breeze - End Unit</v>
      </c>
    </row>
    <row r="160" spans="3:23" ht="14.55" hidden="1" x14ac:dyDescent="0.3">
      <c r="C160" s="208" t="s">
        <v>435</v>
      </c>
      <c r="D160" s="208" t="s">
        <v>335</v>
      </c>
      <c r="E160" s="208">
        <v>1210</v>
      </c>
      <c r="F160" s="208" t="s">
        <v>469</v>
      </c>
      <c r="G160" s="208">
        <v>2650</v>
      </c>
      <c r="H160" s="208">
        <v>0</v>
      </c>
      <c r="I160" s="263" t="str">
        <f t="shared" si="14"/>
        <v/>
      </c>
    </row>
    <row r="161" spans="3:9" ht="14.55" hidden="1" x14ac:dyDescent="0.3">
      <c r="C161" s="208" t="s">
        <v>436</v>
      </c>
      <c r="D161" s="208" t="s">
        <v>336</v>
      </c>
      <c r="E161" s="208">
        <v>1149</v>
      </c>
      <c r="F161" s="208" t="s">
        <v>469</v>
      </c>
      <c r="G161" s="208">
        <v>1915</v>
      </c>
      <c r="H161" s="208">
        <v>0</v>
      </c>
      <c r="I161" s="263" t="str">
        <f t="shared" si="14"/>
        <v/>
      </c>
    </row>
    <row r="162" spans="3:9" ht="14.55" hidden="1" x14ac:dyDescent="0.3">
      <c r="C162" s="208" t="s">
        <v>437</v>
      </c>
      <c r="D162" s="208" t="s">
        <v>336</v>
      </c>
      <c r="E162" s="208">
        <v>1149</v>
      </c>
      <c r="F162" s="208" t="s">
        <v>469</v>
      </c>
      <c r="G162" s="208">
        <v>1915</v>
      </c>
      <c r="H162" s="208">
        <v>0</v>
      </c>
      <c r="I162" s="263" t="str">
        <f t="shared" si="14"/>
        <v/>
      </c>
    </row>
    <row r="163" spans="3:9" ht="14.55" hidden="1" x14ac:dyDescent="0.3">
      <c r="C163" s="208" t="s">
        <v>438</v>
      </c>
      <c r="D163" s="208" t="s">
        <v>336</v>
      </c>
      <c r="E163" s="208">
        <v>1149</v>
      </c>
      <c r="F163" s="208" t="s">
        <v>469</v>
      </c>
      <c r="G163" s="208">
        <v>1915</v>
      </c>
      <c r="H163" s="208">
        <v>0</v>
      </c>
      <c r="I163" s="263" t="str">
        <f t="shared" si="14"/>
        <v/>
      </c>
    </row>
    <row r="164" spans="3:9" ht="14.55" hidden="1" x14ac:dyDescent="0.3">
      <c r="C164" s="208" t="s">
        <v>439</v>
      </c>
      <c r="D164" s="208" t="s">
        <v>336</v>
      </c>
      <c r="E164" s="208">
        <v>1149</v>
      </c>
      <c r="F164" s="208" t="s">
        <v>469</v>
      </c>
      <c r="G164" s="208">
        <v>1915</v>
      </c>
      <c r="H164" s="208">
        <v>0</v>
      </c>
      <c r="I164" s="263" t="str">
        <f t="shared" si="14"/>
        <v/>
      </c>
    </row>
    <row r="165" spans="3:9" ht="14.55" hidden="1" x14ac:dyDescent="0.3">
      <c r="C165" s="208" t="s">
        <v>440</v>
      </c>
      <c r="D165" s="208" t="s">
        <v>335</v>
      </c>
      <c r="E165" s="208">
        <v>1210</v>
      </c>
      <c r="F165" s="208" t="s">
        <v>490</v>
      </c>
      <c r="G165" s="208">
        <v>2870</v>
      </c>
      <c r="H165" s="208">
        <v>2870</v>
      </c>
      <c r="I165" s="263" t="str">
        <f t="shared" si="14"/>
        <v>Ocean Breeze - End Unit</v>
      </c>
    </row>
    <row r="166" spans="3:9" ht="14.55" hidden="1" x14ac:dyDescent="0.3">
      <c r="C166" s="208" t="s">
        <v>441</v>
      </c>
      <c r="D166" s="208" t="s">
        <v>335</v>
      </c>
      <c r="E166" s="208">
        <v>1210</v>
      </c>
      <c r="F166" s="208" t="s">
        <v>491</v>
      </c>
      <c r="G166" s="208">
        <v>2870</v>
      </c>
      <c r="H166" s="208">
        <v>2870</v>
      </c>
      <c r="I166" s="263" t="str">
        <f t="shared" si="14"/>
        <v>Ocean Breeze - End Unit</v>
      </c>
    </row>
    <row r="167" spans="3:9" ht="14.55" hidden="1" x14ac:dyDescent="0.3">
      <c r="C167" s="208" t="s">
        <v>442</v>
      </c>
      <c r="D167" s="208" t="s">
        <v>336</v>
      </c>
      <c r="E167" s="208">
        <v>1149</v>
      </c>
      <c r="F167" s="208" t="s">
        <v>469</v>
      </c>
      <c r="G167" s="208">
        <v>1915</v>
      </c>
      <c r="H167" s="208">
        <v>0</v>
      </c>
      <c r="I167" s="263" t="str">
        <f t="shared" si="14"/>
        <v/>
      </c>
    </row>
    <row r="168" spans="3:9" ht="14.55" hidden="1" x14ac:dyDescent="0.3">
      <c r="C168" s="208" t="s">
        <v>443</v>
      </c>
      <c r="D168" s="208" t="s">
        <v>336</v>
      </c>
      <c r="E168" s="208">
        <v>1149</v>
      </c>
      <c r="F168" s="208" t="s">
        <v>469</v>
      </c>
      <c r="G168" s="208">
        <v>1915</v>
      </c>
      <c r="H168" s="208">
        <v>0</v>
      </c>
      <c r="I168" s="263" t="str">
        <f t="shared" si="14"/>
        <v/>
      </c>
    </row>
    <row r="169" spans="3:9" ht="14.55" hidden="1" x14ac:dyDescent="0.3">
      <c r="C169" s="208" t="s">
        <v>444</v>
      </c>
      <c r="D169" s="208" t="s">
        <v>336</v>
      </c>
      <c r="E169" s="208">
        <v>1149</v>
      </c>
      <c r="F169" s="208" t="s">
        <v>469</v>
      </c>
      <c r="G169" s="208">
        <v>1915</v>
      </c>
      <c r="H169" s="208">
        <v>0</v>
      </c>
      <c r="I169" s="263" t="str">
        <f t="shared" si="14"/>
        <v/>
      </c>
    </row>
    <row r="170" spans="3:9" ht="14.55" hidden="1" x14ac:dyDescent="0.3">
      <c r="C170" s="208" t="s">
        <v>445</v>
      </c>
      <c r="D170" s="208" t="s">
        <v>336</v>
      </c>
      <c r="E170" s="208">
        <v>1149</v>
      </c>
      <c r="F170" s="208" t="s">
        <v>469</v>
      </c>
      <c r="G170" s="208">
        <v>1915</v>
      </c>
      <c r="H170" s="208">
        <v>0</v>
      </c>
      <c r="I170" s="263" t="str">
        <f t="shared" si="14"/>
        <v/>
      </c>
    </row>
    <row r="171" spans="3:9" ht="14.55" hidden="1" x14ac:dyDescent="0.3">
      <c r="C171" s="208" t="s">
        <v>446</v>
      </c>
      <c r="D171" s="208" t="s">
        <v>336</v>
      </c>
      <c r="E171" s="208">
        <v>1149</v>
      </c>
      <c r="F171" s="208" t="s">
        <v>469</v>
      </c>
      <c r="G171" s="208">
        <v>1915</v>
      </c>
      <c r="H171" s="208">
        <v>0</v>
      </c>
      <c r="I171" s="263" t="str">
        <f t="shared" si="14"/>
        <v/>
      </c>
    </row>
    <row r="172" spans="3:9" ht="14.55" hidden="1" x14ac:dyDescent="0.3">
      <c r="C172" s="208" t="s">
        <v>447</v>
      </c>
      <c r="D172" s="208" t="s">
        <v>336</v>
      </c>
      <c r="E172" s="208">
        <v>1149</v>
      </c>
      <c r="F172" s="208" t="s">
        <v>469</v>
      </c>
      <c r="G172" s="208">
        <v>1915</v>
      </c>
      <c r="H172" s="208">
        <v>0</v>
      </c>
      <c r="I172" s="263" t="str">
        <f t="shared" si="14"/>
        <v/>
      </c>
    </row>
    <row r="173" spans="3:9" ht="14.55" hidden="1" x14ac:dyDescent="0.3">
      <c r="C173" s="208" t="s">
        <v>448</v>
      </c>
      <c r="D173" s="208" t="s">
        <v>335</v>
      </c>
      <c r="E173" s="208">
        <v>1210</v>
      </c>
      <c r="F173" s="208" t="s">
        <v>492</v>
      </c>
      <c r="G173" s="208">
        <v>2870</v>
      </c>
      <c r="H173" s="208">
        <v>2870</v>
      </c>
      <c r="I173" s="263" t="str">
        <f t="shared" si="14"/>
        <v>Ocean Breeze - End Unit</v>
      </c>
    </row>
    <row r="174" spans="3:9" ht="14.55" hidden="1" x14ac:dyDescent="0.3">
      <c r="C174" s="208" t="s">
        <v>449</v>
      </c>
      <c r="D174" s="208" t="s">
        <v>335</v>
      </c>
      <c r="E174" s="208">
        <v>1210</v>
      </c>
      <c r="F174" s="208" t="s">
        <v>493</v>
      </c>
      <c r="G174" s="208">
        <v>2870</v>
      </c>
      <c r="H174" s="208">
        <v>2870</v>
      </c>
      <c r="I174" s="263" t="str">
        <f t="shared" si="14"/>
        <v>Ocean Breeze - End Unit</v>
      </c>
    </row>
    <row r="175" spans="3:9" ht="14.55" hidden="1" x14ac:dyDescent="0.3">
      <c r="C175" s="208" t="s">
        <v>450</v>
      </c>
      <c r="D175" s="208" t="s">
        <v>336</v>
      </c>
      <c r="E175" s="208">
        <v>1149</v>
      </c>
      <c r="F175" s="208" t="s">
        <v>469</v>
      </c>
      <c r="G175" s="208">
        <v>1915</v>
      </c>
      <c r="H175" s="208">
        <v>0</v>
      </c>
      <c r="I175" s="263" t="str">
        <f t="shared" si="14"/>
        <v/>
      </c>
    </row>
    <row r="176" spans="3:9" ht="14.55" hidden="1" x14ac:dyDescent="0.3">
      <c r="C176" s="208" t="s">
        <v>451</v>
      </c>
      <c r="D176" s="208" t="s">
        <v>336</v>
      </c>
      <c r="E176" s="208">
        <v>1149</v>
      </c>
      <c r="F176" s="208" t="s">
        <v>469</v>
      </c>
      <c r="G176" s="208">
        <v>1915</v>
      </c>
      <c r="H176" s="208">
        <v>0</v>
      </c>
      <c r="I176" s="263" t="str">
        <f t="shared" si="14"/>
        <v/>
      </c>
    </row>
    <row r="177" spans="3:9" ht="14.55" hidden="1" x14ac:dyDescent="0.3">
      <c r="C177" s="208" t="s">
        <v>452</v>
      </c>
      <c r="D177" s="208" t="s">
        <v>336</v>
      </c>
      <c r="E177" s="208">
        <v>1149</v>
      </c>
      <c r="F177" s="208" t="s">
        <v>469</v>
      </c>
      <c r="G177" s="208">
        <v>1915</v>
      </c>
      <c r="H177" s="208">
        <v>0</v>
      </c>
      <c r="I177" s="263" t="str">
        <f t="shared" si="14"/>
        <v/>
      </c>
    </row>
    <row r="178" spans="3:9" ht="14.55" hidden="1" x14ac:dyDescent="0.3">
      <c r="C178" s="208" t="s">
        <v>453</v>
      </c>
      <c r="D178" s="208" t="s">
        <v>336</v>
      </c>
      <c r="E178" s="208">
        <v>1149</v>
      </c>
      <c r="F178" s="208" t="s">
        <v>469</v>
      </c>
      <c r="G178" s="208">
        <v>1915</v>
      </c>
      <c r="H178" s="208">
        <v>0</v>
      </c>
      <c r="I178" s="263" t="str">
        <f t="shared" si="14"/>
        <v/>
      </c>
    </row>
    <row r="179" spans="3:9" ht="14.55" hidden="1" x14ac:dyDescent="0.3">
      <c r="C179" s="208" t="s">
        <v>454</v>
      </c>
      <c r="D179" s="208" t="s">
        <v>335</v>
      </c>
      <c r="E179" s="208">
        <v>1210</v>
      </c>
      <c r="F179" s="208" t="s">
        <v>494</v>
      </c>
      <c r="G179" s="208">
        <v>2870</v>
      </c>
      <c r="H179" s="208">
        <v>2870</v>
      </c>
      <c r="I179" s="263" t="str">
        <f t="shared" si="14"/>
        <v>Ocean Breeze - End Unit</v>
      </c>
    </row>
    <row r="180" spans="3:9" ht="14.55" hidden="1" x14ac:dyDescent="0.3">
      <c r="C180" s="208" t="s">
        <v>455</v>
      </c>
      <c r="D180" s="208" t="s">
        <v>335</v>
      </c>
      <c r="E180" s="208">
        <v>1210</v>
      </c>
      <c r="F180" s="208" t="s">
        <v>469</v>
      </c>
      <c r="G180" s="208">
        <v>2650</v>
      </c>
      <c r="H180" s="208">
        <v>0</v>
      </c>
      <c r="I180" s="263" t="str">
        <f t="shared" si="14"/>
        <v/>
      </c>
    </row>
    <row r="181" spans="3:9" ht="14.55" hidden="1" x14ac:dyDescent="0.3">
      <c r="C181" s="208" t="s">
        <v>456</v>
      </c>
      <c r="D181" s="208" t="s">
        <v>336</v>
      </c>
      <c r="E181" s="208">
        <v>1149</v>
      </c>
      <c r="F181" s="208" t="s">
        <v>469</v>
      </c>
      <c r="G181" s="208">
        <v>1915</v>
      </c>
      <c r="H181" s="208">
        <v>0</v>
      </c>
      <c r="I181" s="263" t="str">
        <f t="shared" si="14"/>
        <v/>
      </c>
    </row>
    <row r="182" spans="3:9" ht="14.55" hidden="1" x14ac:dyDescent="0.3">
      <c r="C182" s="208" t="s">
        <v>457</v>
      </c>
      <c r="D182" s="208" t="s">
        <v>336</v>
      </c>
      <c r="E182" s="208">
        <v>1149</v>
      </c>
      <c r="F182" s="208" t="s">
        <v>469</v>
      </c>
      <c r="G182" s="208">
        <v>1915</v>
      </c>
      <c r="H182" s="208">
        <v>0</v>
      </c>
      <c r="I182" s="263" t="str">
        <f t="shared" si="14"/>
        <v/>
      </c>
    </row>
    <row r="183" spans="3:9" ht="14.55" hidden="1" x14ac:dyDescent="0.3">
      <c r="C183" s="208" t="s">
        <v>458</v>
      </c>
      <c r="D183" s="208" t="s">
        <v>336</v>
      </c>
      <c r="E183" s="208">
        <v>1149</v>
      </c>
      <c r="F183" s="208" t="s">
        <v>469</v>
      </c>
      <c r="G183" s="208">
        <v>1915</v>
      </c>
      <c r="H183" s="208">
        <v>0</v>
      </c>
      <c r="I183" s="263" t="str">
        <f t="shared" si="14"/>
        <v/>
      </c>
    </row>
    <row r="184" spans="3:9" ht="14.55" hidden="1" x14ac:dyDescent="0.3">
      <c r="C184" s="208" t="s">
        <v>459</v>
      </c>
      <c r="D184" s="208" t="s">
        <v>336</v>
      </c>
      <c r="E184" s="208">
        <v>1149</v>
      </c>
      <c r="F184" s="208" t="s">
        <v>469</v>
      </c>
      <c r="G184" s="208">
        <v>1915</v>
      </c>
      <c r="H184" s="208">
        <v>0</v>
      </c>
      <c r="I184" s="263" t="str">
        <f t="shared" si="14"/>
        <v/>
      </c>
    </row>
    <row r="185" spans="3:9" ht="14.55" hidden="1" x14ac:dyDescent="0.3">
      <c r="C185" s="208" t="s">
        <v>460</v>
      </c>
      <c r="D185" s="208" t="s">
        <v>335</v>
      </c>
      <c r="E185" s="208">
        <v>1210</v>
      </c>
      <c r="F185" s="208" t="s">
        <v>495</v>
      </c>
      <c r="G185" s="208">
        <v>2870</v>
      </c>
      <c r="H185" s="208">
        <v>2870</v>
      </c>
      <c r="I185" s="263" t="str">
        <f t="shared" si="14"/>
        <v>Ocean Breeze - End Unit</v>
      </c>
    </row>
    <row r="186" spans="3:9" ht="14.55" hidden="1" x14ac:dyDescent="0.3">
      <c r="C186" s="208" t="s">
        <v>461</v>
      </c>
      <c r="D186" s="208" t="s">
        <v>335</v>
      </c>
      <c r="E186" s="208">
        <v>1210</v>
      </c>
      <c r="F186" s="208" t="s">
        <v>496</v>
      </c>
      <c r="G186" s="208">
        <v>2870</v>
      </c>
      <c r="H186" s="208">
        <v>2870</v>
      </c>
      <c r="I186" s="263" t="str">
        <f t="shared" si="14"/>
        <v>Ocean Breeze - End Unit</v>
      </c>
    </row>
    <row r="187" spans="3:9" ht="14.55" hidden="1" x14ac:dyDescent="0.3">
      <c r="C187" s="208" t="s">
        <v>462</v>
      </c>
      <c r="D187" s="208" t="s">
        <v>336</v>
      </c>
      <c r="E187" s="208">
        <v>1149</v>
      </c>
      <c r="F187" s="208" t="s">
        <v>469</v>
      </c>
      <c r="G187" s="208">
        <v>1915</v>
      </c>
      <c r="H187" s="208">
        <v>0</v>
      </c>
      <c r="I187" s="263" t="str">
        <f t="shared" si="14"/>
        <v/>
      </c>
    </row>
    <row r="188" spans="3:9" ht="14.55" hidden="1" x14ac:dyDescent="0.3">
      <c r="C188" s="208" t="s">
        <v>463</v>
      </c>
      <c r="D188" s="208" t="s">
        <v>336</v>
      </c>
      <c r="E188" s="208">
        <v>1149</v>
      </c>
      <c r="F188" s="208" t="s">
        <v>497</v>
      </c>
      <c r="G188" s="208">
        <v>1795</v>
      </c>
      <c r="H188" s="208">
        <v>1795</v>
      </c>
      <c r="I188" s="263" t="str">
        <f t="shared" si="14"/>
        <v>Beach Haven In-line Unit</v>
      </c>
    </row>
    <row r="189" spans="3:9" ht="14.55" hidden="1" x14ac:dyDescent="0.3">
      <c r="C189" s="208" t="s">
        <v>464</v>
      </c>
      <c r="D189" s="208" t="s">
        <v>336</v>
      </c>
      <c r="E189" s="208">
        <v>1149</v>
      </c>
      <c r="F189" s="208" t="s">
        <v>469</v>
      </c>
      <c r="G189" s="208">
        <v>1915</v>
      </c>
      <c r="H189" s="208">
        <v>0</v>
      </c>
      <c r="I189" s="263" t="str">
        <f t="shared" si="14"/>
        <v/>
      </c>
    </row>
    <row r="190" spans="3:9" ht="14.55" hidden="1" x14ac:dyDescent="0.3">
      <c r="C190" s="208" t="s">
        <v>465</v>
      </c>
      <c r="D190" s="208" t="s">
        <v>336</v>
      </c>
      <c r="E190" s="208">
        <v>1149</v>
      </c>
      <c r="F190" s="208" t="s">
        <v>469</v>
      </c>
      <c r="G190" s="208">
        <v>1915</v>
      </c>
      <c r="H190" s="208">
        <v>0</v>
      </c>
      <c r="I190" s="263" t="str">
        <f t="shared" ref="I190:I253" si="15">IF(H190=0,"",D190)</f>
        <v/>
      </c>
    </row>
    <row r="191" spans="3:9" ht="14.55" hidden="1" x14ac:dyDescent="0.3">
      <c r="C191" s="208" t="s">
        <v>466</v>
      </c>
      <c r="D191" s="208" t="s">
        <v>336</v>
      </c>
      <c r="E191" s="208">
        <v>1149</v>
      </c>
      <c r="F191" s="208" t="s">
        <v>469</v>
      </c>
      <c r="G191" s="208">
        <v>1915</v>
      </c>
      <c r="H191" s="208">
        <v>0</v>
      </c>
      <c r="I191" s="263" t="str">
        <f t="shared" si="15"/>
        <v/>
      </c>
    </row>
    <row r="192" spans="3:9" ht="14.55" hidden="1" x14ac:dyDescent="0.3">
      <c r="C192" s="208" t="s">
        <v>467</v>
      </c>
      <c r="D192" s="208" t="s">
        <v>336</v>
      </c>
      <c r="E192" s="208">
        <v>1149</v>
      </c>
      <c r="F192" s="208" t="s">
        <v>469</v>
      </c>
      <c r="G192" s="208">
        <v>1915</v>
      </c>
      <c r="H192" s="208">
        <v>0</v>
      </c>
      <c r="I192" s="263" t="str">
        <f t="shared" si="15"/>
        <v/>
      </c>
    </row>
    <row r="193" spans="3:9" ht="14.55" hidden="1" x14ac:dyDescent="0.3">
      <c r="C193" s="208" t="s">
        <v>468</v>
      </c>
      <c r="D193" s="208" t="s">
        <v>335</v>
      </c>
      <c r="E193" s="208">
        <v>1210</v>
      </c>
      <c r="F193" s="208" t="s">
        <v>498</v>
      </c>
      <c r="G193" s="208">
        <v>2870</v>
      </c>
      <c r="H193" s="208">
        <v>2870</v>
      </c>
      <c r="I193" s="263" t="str">
        <f t="shared" si="15"/>
        <v>Ocean Breeze - End Unit</v>
      </c>
    </row>
    <row r="194" spans="3:9" ht="14.55" hidden="1" x14ac:dyDescent="0.3">
      <c r="C194" s="208"/>
      <c r="D194" s="208"/>
      <c r="E194" s="208"/>
      <c r="F194" s="208"/>
      <c r="G194" s="208"/>
      <c r="H194" s="208"/>
      <c r="I194" s="263" t="str">
        <f t="shared" si="15"/>
        <v/>
      </c>
    </row>
    <row r="195" spans="3:9" ht="14.55" hidden="1" x14ac:dyDescent="0.3">
      <c r="C195" s="208"/>
      <c r="D195" s="208"/>
      <c r="E195" s="208"/>
      <c r="F195" s="208"/>
      <c r="G195" s="208"/>
      <c r="H195" s="208"/>
      <c r="I195" s="263" t="str">
        <f t="shared" si="15"/>
        <v/>
      </c>
    </row>
    <row r="196" spans="3:9" ht="14.55" hidden="1" x14ac:dyDescent="0.3">
      <c r="C196" s="208"/>
      <c r="D196" s="208"/>
      <c r="E196" s="208"/>
      <c r="F196" s="208"/>
      <c r="G196" s="208"/>
      <c r="H196" s="208"/>
      <c r="I196" s="263" t="str">
        <f t="shared" si="15"/>
        <v/>
      </c>
    </row>
    <row r="197" spans="3:9" ht="14.55" hidden="1" x14ac:dyDescent="0.3">
      <c r="C197" s="208"/>
      <c r="D197" s="208"/>
      <c r="E197" s="208"/>
      <c r="F197" s="208"/>
      <c r="G197" s="208"/>
      <c r="H197" s="208"/>
      <c r="I197" s="263" t="str">
        <f t="shared" si="15"/>
        <v/>
      </c>
    </row>
    <row r="198" spans="3:9" ht="14.55" hidden="1" x14ac:dyDescent="0.3">
      <c r="C198" s="208"/>
      <c r="D198" s="208"/>
      <c r="E198" s="208"/>
      <c r="F198" s="208"/>
      <c r="G198" s="208"/>
      <c r="H198" s="208"/>
      <c r="I198" s="263" t="str">
        <f t="shared" si="15"/>
        <v/>
      </c>
    </row>
    <row r="199" spans="3:9" ht="14.55" hidden="1" x14ac:dyDescent="0.3">
      <c r="C199" s="208"/>
      <c r="D199" s="208"/>
      <c r="E199" s="208"/>
      <c r="F199" s="208"/>
      <c r="G199" s="208"/>
      <c r="H199" s="208"/>
      <c r="I199" s="263" t="str">
        <f t="shared" si="15"/>
        <v/>
      </c>
    </row>
    <row r="200" spans="3:9" ht="14.55" hidden="1" x14ac:dyDescent="0.3">
      <c r="C200" s="208"/>
      <c r="D200" s="208"/>
      <c r="E200" s="208"/>
      <c r="F200" s="208"/>
      <c r="G200" s="208"/>
      <c r="H200" s="208"/>
      <c r="I200" s="263" t="str">
        <f t="shared" si="15"/>
        <v/>
      </c>
    </row>
    <row r="201" spans="3:9" ht="14.55" hidden="1" x14ac:dyDescent="0.3">
      <c r="C201" s="208"/>
      <c r="D201" s="208"/>
      <c r="E201" s="208"/>
      <c r="F201" s="208"/>
      <c r="G201" s="208"/>
      <c r="H201" s="208"/>
      <c r="I201" s="263" t="str">
        <f t="shared" si="15"/>
        <v/>
      </c>
    </row>
    <row r="202" spans="3:9" ht="14.55" hidden="1" x14ac:dyDescent="0.3">
      <c r="C202" s="208"/>
      <c r="D202" s="208"/>
      <c r="E202" s="208"/>
      <c r="F202" s="208"/>
      <c r="G202" s="208"/>
      <c r="H202" s="208"/>
      <c r="I202" s="263" t="str">
        <f t="shared" si="15"/>
        <v/>
      </c>
    </row>
    <row r="203" spans="3:9" ht="14.55" hidden="1" x14ac:dyDescent="0.3">
      <c r="C203" s="208"/>
      <c r="D203" s="208"/>
      <c r="E203" s="208"/>
      <c r="F203" s="208"/>
      <c r="G203" s="208"/>
      <c r="H203" s="208"/>
      <c r="I203" s="263" t="str">
        <f t="shared" si="15"/>
        <v/>
      </c>
    </row>
    <row r="204" spans="3:9" ht="14.55" hidden="1" x14ac:dyDescent="0.3">
      <c r="C204" s="208"/>
      <c r="D204" s="208"/>
      <c r="E204" s="208"/>
      <c r="F204" s="208"/>
      <c r="G204" s="208"/>
      <c r="H204" s="208"/>
      <c r="I204" s="263" t="str">
        <f t="shared" si="15"/>
        <v/>
      </c>
    </row>
    <row r="205" spans="3:9" ht="14.55" hidden="1" x14ac:dyDescent="0.3">
      <c r="C205" s="208"/>
      <c r="D205" s="208"/>
      <c r="E205" s="208"/>
      <c r="F205" s="208"/>
      <c r="G205" s="208"/>
      <c r="H205" s="208"/>
      <c r="I205" s="263" t="str">
        <f t="shared" si="15"/>
        <v/>
      </c>
    </row>
    <row r="206" spans="3:9" ht="14.55" hidden="1" x14ac:dyDescent="0.3">
      <c r="C206" s="208"/>
      <c r="D206" s="208"/>
      <c r="E206" s="208"/>
      <c r="F206" s="208"/>
      <c r="G206" s="208"/>
      <c r="H206" s="208"/>
      <c r="I206" s="263" t="str">
        <f t="shared" si="15"/>
        <v/>
      </c>
    </row>
    <row r="207" spans="3:9" ht="14.55" hidden="1" x14ac:dyDescent="0.3">
      <c r="C207" s="208"/>
      <c r="D207" s="208"/>
      <c r="E207" s="208"/>
      <c r="F207" s="208"/>
      <c r="G207" s="208"/>
      <c r="H207" s="208"/>
      <c r="I207" s="263" t="str">
        <f t="shared" si="15"/>
        <v/>
      </c>
    </row>
    <row r="208" spans="3:9" ht="14.55" hidden="1" x14ac:dyDescent="0.3">
      <c r="C208" s="208"/>
      <c r="D208" s="208"/>
      <c r="E208" s="208"/>
      <c r="F208" s="208"/>
      <c r="G208" s="208"/>
      <c r="H208" s="208"/>
      <c r="I208" s="263" t="str">
        <f t="shared" si="15"/>
        <v/>
      </c>
    </row>
    <row r="209" spans="3:9" ht="14.55" hidden="1" x14ac:dyDescent="0.3">
      <c r="C209" s="208"/>
      <c r="D209" s="208"/>
      <c r="E209" s="208"/>
      <c r="F209" s="208"/>
      <c r="G209" s="208"/>
      <c r="H209" s="208"/>
      <c r="I209" s="263" t="str">
        <f t="shared" si="15"/>
        <v/>
      </c>
    </row>
    <row r="210" spans="3:9" ht="14.55" hidden="1" x14ac:dyDescent="0.3">
      <c r="C210" s="208"/>
      <c r="D210" s="208"/>
      <c r="E210" s="208"/>
      <c r="F210" s="208"/>
      <c r="G210" s="208"/>
      <c r="H210" s="208"/>
      <c r="I210" s="263" t="str">
        <f t="shared" si="15"/>
        <v/>
      </c>
    </row>
    <row r="211" spans="3:9" ht="14.55" hidden="1" x14ac:dyDescent="0.3">
      <c r="C211" s="208"/>
      <c r="D211" s="208"/>
      <c r="E211" s="208"/>
      <c r="F211" s="208"/>
      <c r="G211" s="208"/>
      <c r="H211" s="208"/>
      <c r="I211" s="263" t="str">
        <f t="shared" si="15"/>
        <v/>
      </c>
    </row>
    <row r="212" spans="3:9" ht="14.55" hidden="1" x14ac:dyDescent="0.3">
      <c r="C212" s="208"/>
      <c r="D212" s="208"/>
      <c r="E212" s="208"/>
      <c r="F212" s="208"/>
      <c r="G212" s="208"/>
      <c r="H212" s="208"/>
      <c r="I212" s="263" t="str">
        <f t="shared" si="15"/>
        <v/>
      </c>
    </row>
    <row r="213" spans="3:9" ht="14.55" hidden="1" x14ac:dyDescent="0.3">
      <c r="C213" s="208"/>
      <c r="D213" s="208"/>
      <c r="E213" s="208"/>
      <c r="F213" s="208"/>
      <c r="G213" s="208"/>
      <c r="H213" s="208"/>
      <c r="I213" s="263" t="str">
        <f t="shared" si="15"/>
        <v/>
      </c>
    </row>
    <row r="214" spans="3:9" ht="14.55" hidden="1" x14ac:dyDescent="0.3">
      <c r="C214" s="208"/>
      <c r="D214" s="208"/>
      <c r="E214" s="208"/>
      <c r="F214" s="208"/>
      <c r="G214" s="208"/>
      <c r="H214" s="208"/>
      <c r="I214" s="263" t="str">
        <f t="shared" si="15"/>
        <v/>
      </c>
    </row>
    <row r="215" spans="3:9" ht="14.55" hidden="1" x14ac:dyDescent="0.3">
      <c r="C215" s="208"/>
      <c r="D215" s="208"/>
      <c r="E215" s="208"/>
      <c r="F215" s="208"/>
      <c r="G215" s="208"/>
      <c r="H215" s="208"/>
      <c r="I215" s="263" t="str">
        <f t="shared" si="15"/>
        <v/>
      </c>
    </row>
    <row r="216" spans="3:9" ht="14.55" hidden="1" x14ac:dyDescent="0.3">
      <c r="C216" s="208"/>
      <c r="D216" s="208"/>
      <c r="E216" s="208"/>
      <c r="F216" s="208"/>
      <c r="G216" s="208"/>
      <c r="H216" s="208"/>
      <c r="I216" s="263" t="str">
        <f t="shared" si="15"/>
        <v/>
      </c>
    </row>
    <row r="217" spans="3:9" ht="14.55" hidden="1" x14ac:dyDescent="0.3">
      <c r="C217" s="208"/>
      <c r="D217" s="208"/>
      <c r="E217" s="208"/>
      <c r="F217" s="208"/>
      <c r="G217" s="208"/>
      <c r="H217" s="208"/>
      <c r="I217" s="263" t="str">
        <f t="shared" si="15"/>
        <v/>
      </c>
    </row>
    <row r="218" spans="3:9" ht="14.55" hidden="1" x14ac:dyDescent="0.3">
      <c r="C218" s="208"/>
      <c r="D218" s="208"/>
      <c r="E218" s="208"/>
      <c r="F218" s="208"/>
      <c r="G218" s="208"/>
      <c r="H218" s="208"/>
      <c r="I218" s="263" t="str">
        <f t="shared" si="15"/>
        <v/>
      </c>
    </row>
    <row r="219" spans="3:9" ht="14.55" hidden="1" x14ac:dyDescent="0.3">
      <c r="C219" s="208"/>
      <c r="D219" s="208"/>
      <c r="E219" s="208"/>
      <c r="F219" s="208"/>
      <c r="G219" s="208"/>
      <c r="H219" s="208"/>
      <c r="I219" s="263" t="str">
        <f t="shared" si="15"/>
        <v/>
      </c>
    </row>
    <row r="220" spans="3:9" ht="14.55" hidden="1" x14ac:dyDescent="0.3">
      <c r="C220" s="208"/>
      <c r="D220" s="208"/>
      <c r="E220" s="208"/>
      <c r="F220" s="208"/>
      <c r="G220" s="208"/>
      <c r="H220" s="208"/>
      <c r="I220" s="263" t="str">
        <f t="shared" si="15"/>
        <v/>
      </c>
    </row>
    <row r="221" spans="3:9" ht="14.55" hidden="1" x14ac:dyDescent="0.3">
      <c r="C221" s="208"/>
      <c r="D221" s="208"/>
      <c r="E221" s="208"/>
      <c r="F221" s="208"/>
      <c r="G221" s="208"/>
      <c r="H221" s="208"/>
      <c r="I221" s="263" t="str">
        <f t="shared" si="15"/>
        <v/>
      </c>
    </row>
    <row r="222" spans="3:9" ht="14.55" hidden="1" x14ac:dyDescent="0.3">
      <c r="C222" s="208"/>
      <c r="D222" s="208"/>
      <c r="E222" s="208"/>
      <c r="F222" s="208"/>
      <c r="G222" s="208"/>
      <c r="H222" s="208"/>
      <c r="I222" s="263" t="str">
        <f t="shared" si="15"/>
        <v/>
      </c>
    </row>
    <row r="223" spans="3:9" ht="14.55" hidden="1" x14ac:dyDescent="0.3">
      <c r="C223" s="208"/>
      <c r="D223" s="208"/>
      <c r="E223" s="208"/>
      <c r="F223" s="208"/>
      <c r="G223" s="208"/>
      <c r="H223" s="208"/>
      <c r="I223" s="263" t="str">
        <f t="shared" si="15"/>
        <v/>
      </c>
    </row>
    <row r="224" spans="3:9" ht="14.55" hidden="1" x14ac:dyDescent="0.3">
      <c r="C224" s="208"/>
      <c r="D224" s="208"/>
      <c r="E224" s="208"/>
      <c r="F224" s="208"/>
      <c r="G224" s="208"/>
      <c r="H224" s="208"/>
      <c r="I224" s="263" t="str">
        <f t="shared" si="15"/>
        <v/>
      </c>
    </row>
    <row r="225" spans="3:9" ht="14.55" hidden="1" x14ac:dyDescent="0.3">
      <c r="C225" s="208"/>
      <c r="D225" s="208"/>
      <c r="E225" s="208"/>
      <c r="F225" s="208"/>
      <c r="G225" s="208"/>
      <c r="H225" s="208"/>
      <c r="I225" s="263" t="str">
        <f t="shared" si="15"/>
        <v/>
      </c>
    </row>
    <row r="226" spans="3:9" ht="14.55" hidden="1" x14ac:dyDescent="0.3">
      <c r="C226" s="208"/>
      <c r="D226" s="208"/>
      <c r="E226" s="208"/>
      <c r="F226" s="208"/>
      <c r="G226" s="208"/>
      <c r="H226" s="208"/>
      <c r="I226" s="263" t="str">
        <f t="shared" si="15"/>
        <v/>
      </c>
    </row>
    <row r="227" spans="3:9" ht="14.55" hidden="1" x14ac:dyDescent="0.3">
      <c r="C227" s="208"/>
      <c r="D227" s="208"/>
      <c r="E227" s="208"/>
      <c r="F227" s="208"/>
      <c r="G227" s="208"/>
      <c r="H227" s="208"/>
      <c r="I227" s="263" t="str">
        <f t="shared" si="15"/>
        <v/>
      </c>
    </row>
    <row r="228" spans="3:9" ht="14.55" hidden="1" x14ac:dyDescent="0.3">
      <c r="C228" s="208"/>
      <c r="D228" s="208"/>
      <c r="E228" s="208"/>
      <c r="F228" s="208"/>
      <c r="G228" s="208"/>
      <c r="H228" s="208"/>
      <c r="I228" s="263" t="str">
        <f t="shared" si="15"/>
        <v/>
      </c>
    </row>
    <row r="229" spans="3:9" ht="14.55" hidden="1" x14ac:dyDescent="0.3">
      <c r="C229" s="208"/>
      <c r="D229" s="208"/>
      <c r="E229" s="208"/>
      <c r="F229" s="208"/>
      <c r="G229" s="208"/>
      <c r="H229" s="208"/>
      <c r="I229" s="263" t="str">
        <f t="shared" si="15"/>
        <v/>
      </c>
    </row>
    <row r="230" spans="3:9" ht="14.55" hidden="1" x14ac:dyDescent="0.3">
      <c r="C230" s="208"/>
      <c r="D230" s="208"/>
      <c r="E230" s="208"/>
      <c r="F230" s="208"/>
      <c r="G230" s="208"/>
      <c r="H230" s="208"/>
      <c r="I230" s="263" t="str">
        <f t="shared" si="15"/>
        <v/>
      </c>
    </row>
    <row r="231" spans="3:9" ht="14.55" hidden="1" x14ac:dyDescent="0.3">
      <c r="C231" s="208"/>
      <c r="D231" s="208"/>
      <c r="E231" s="208"/>
      <c r="F231" s="208"/>
      <c r="G231" s="208"/>
      <c r="H231" s="208"/>
      <c r="I231" s="263" t="str">
        <f t="shared" si="15"/>
        <v/>
      </c>
    </row>
    <row r="232" spans="3:9" ht="14.55" hidden="1" x14ac:dyDescent="0.3">
      <c r="C232" s="208"/>
      <c r="D232" s="208"/>
      <c r="E232" s="208"/>
      <c r="F232" s="208"/>
      <c r="G232" s="208"/>
      <c r="H232" s="208"/>
      <c r="I232" s="263" t="str">
        <f t="shared" si="15"/>
        <v/>
      </c>
    </row>
    <row r="233" spans="3:9" ht="14.55" hidden="1" x14ac:dyDescent="0.3">
      <c r="C233" s="208"/>
      <c r="D233" s="208"/>
      <c r="E233" s="208"/>
      <c r="F233" s="208"/>
      <c r="G233" s="208"/>
      <c r="H233" s="208"/>
      <c r="I233" s="263" t="str">
        <f t="shared" si="15"/>
        <v/>
      </c>
    </row>
    <row r="234" spans="3:9" ht="14.55" hidden="1" x14ac:dyDescent="0.3">
      <c r="C234" s="208"/>
      <c r="D234" s="208"/>
      <c r="E234" s="208"/>
      <c r="F234" s="208"/>
      <c r="G234" s="208"/>
      <c r="H234" s="208"/>
      <c r="I234" s="263" t="str">
        <f t="shared" si="15"/>
        <v/>
      </c>
    </row>
    <row r="235" spans="3:9" ht="14.55" hidden="1" x14ac:dyDescent="0.3">
      <c r="C235" s="208"/>
      <c r="D235" s="208"/>
      <c r="E235" s="208"/>
      <c r="F235" s="208"/>
      <c r="G235" s="208"/>
      <c r="H235" s="208"/>
      <c r="I235" s="263" t="str">
        <f t="shared" si="15"/>
        <v/>
      </c>
    </row>
    <row r="236" spans="3:9" ht="14.55" hidden="1" x14ac:dyDescent="0.3">
      <c r="C236" s="208"/>
      <c r="D236" s="208"/>
      <c r="E236" s="208"/>
      <c r="F236" s="208"/>
      <c r="G236" s="208"/>
      <c r="H236" s="208"/>
      <c r="I236" s="263" t="str">
        <f t="shared" si="15"/>
        <v/>
      </c>
    </row>
    <row r="237" spans="3:9" ht="14.55" hidden="1" x14ac:dyDescent="0.3">
      <c r="C237" s="208"/>
      <c r="D237" s="208"/>
      <c r="E237" s="208"/>
      <c r="F237" s="208"/>
      <c r="G237" s="208"/>
      <c r="H237" s="208"/>
      <c r="I237" s="263" t="str">
        <f t="shared" si="15"/>
        <v/>
      </c>
    </row>
    <row r="238" spans="3:9" ht="14.55" hidden="1" x14ac:dyDescent="0.3">
      <c r="C238" s="208"/>
      <c r="D238" s="208"/>
      <c r="E238" s="208"/>
      <c r="F238" s="208"/>
      <c r="G238" s="208"/>
      <c r="H238" s="208"/>
      <c r="I238" s="263" t="str">
        <f t="shared" si="15"/>
        <v/>
      </c>
    </row>
    <row r="239" spans="3:9" ht="14.55" hidden="1" x14ac:dyDescent="0.3">
      <c r="C239" s="208"/>
      <c r="D239" s="208"/>
      <c r="E239" s="208"/>
      <c r="F239" s="208"/>
      <c r="G239" s="208"/>
      <c r="H239" s="208"/>
      <c r="I239" s="263" t="str">
        <f t="shared" si="15"/>
        <v/>
      </c>
    </row>
    <row r="240" spans="3:9" ht="14.55" hidden="1" x14ac:dyDescent="0.3">
      <c r="C240" s="208"/>
      <c r="D240" s="208"/>
      <c r="E240" s="208"/>
      <c r="F240" s="208"/>
      <c r="G240" s="208"/>
      <c r="H240" s="208"/>
      <c r="I240" s="263" t="str">
        <f t="shared" si="15"/>
        <v/>
      </c>
    </row>
    <row r="241" spans="3:9" ht="14.55" hidden="1" x14ac:dyDescent="0.3">
      <c r="C241" s="208"/>
      <c r="D241" s="208"/>
      <c r="E241" s="208"/>
      <c r="F241" s="208"/>
      <c r="G241" s="208"/>
      <c r="H241" s="208"/>
      <c r="I241" s="263" t="str">
        <f t="shared" si="15"/>
        <v/>
      </c>
    </row>
    <row r="242" spans="3:9" ht="14.55" hidden="1" x14ac:dyDescent="0.3">
      <c r="C242" s="208"/>
      <c r="D242" s="208"/>
      <c r="E242" s="208"/>
      <c r="F242" s="208"/>
      <c r="G242" s="208"/>
      <c r="H242" s="208"/>
      <c r="I242" s="263" t="str">
        <f t="shared" si="15"/>
        <v/>
      </c>
    </row>
    <row r="243" spans="3:9" ht="14.55" hidden="1" x14ac:dyDescent="0.3">
      <c r="C243" s="208"/>
      <c r="D243" s="208"/>
      <c r="E243" s="208"/>
      <c r="F243" s="208"/>
      <c r="G243" s="208"/>
      <c r="H243" s="208"/>
      <c r="I243" s="263" t="str">
        <f t="shared" si="15"/>
        <v/>
      </c>
    </row>
    <row r="244" spans="3:9" ht="14.55" hidden="1" x14ac:dyDescent="0.3">
      <c r="C244" s="208"/>
      <c r="D244" s="208"/>
      <c r="E244" s="208"/>
      <c r="F244" s="208"/>
      <c r="G244" s="208"/>
      <c r="H244" s="208"/>
      <c r="I244" s="263" t="str">
        <f t="shared" si="15"/>
        <v/>
      </c>
    </row>
    <row r="245" spans="3:9" ht="14.55" hidden="1" x14ac:dyDescent="0.3">
      <c r="C245" s="208"/>
      <c r="D245" s="208"/>
      <c r="E245" s="208"/>
      <c r="F245" s="208"/>
      <c r="G245" s="208"/>
      <c r="H245" s="208"/>
      <c r="I245" s="263" t="str">
        <f t="shared" si="15"/>
        <v/>
      </c>
    </row>
    <row r="246" spans="3:9" ht="14.55" hidden="1" x14ac:dyDescent="0.3">
      <c r="C246" s="208"/>
      <c r="D246" s="208"/>
      <c r="E246" s="208"/>
      <c r="F246" s="208"/>
      <c r="G246" s="208"/>
      <c r="H246" s="208"/>
      <c r="I246" s="263" t="str">
        <f t="shared" si="15"/>
        <v/>
      </c>
    </row>
    <row r="247" spans="3:9" ht="14.55" hidden="1" x14ac:dyDescent="0.3">
      <c r="C247" s="208"/>
      <c r="D247" s="208"/>
      <c r="E247" s="208"/>
      <c r="F247" s="208"/>
      <c r="G247" s="208"/>
      <c r="H247" s="208"/>
      <c r="I247" s="263" t="str">
        <f t="shared" si="15"/>
        <v/>
      </c>
    </row>
    <row r="248" spans="3:9" ht="14.55" hidden="1" x14ac:dyDescent="0.3">
      <c r="C248" s="208"/>
      <c r="D248" s="208"/>
      <c r="E248" s="208"/>
      <c r="F248" s="208"/>
      <c r="G248" s="208"/>
      <c r="H248" s="208"/>
      <c r="I248" s="263" t="str">
        <f t="shared" si="15"/>
        <v/>
      </c>
    </row>
    <row r="249" spans="3:9" ht="14.55" hidden="1" x14ac:dyDescent="0.3">
      <c r="C249" s="208"/>
      <c r="D249" s="208"/>
      <c r="E249" s="208"/>
      <c r="F249" s="208"/>
      <c r="G249" s="208"/>
      <c r="H249" s="208"/>
      <c r="I249" s="263" t="str">
        <f t="shared" si="15"/>
        <v/>
      </c>
    </row>
    <row r="250" spans="3:9" ht="14.55" hidden="1" x14ac:dyDescent="0.3">
      <c r="C250" s="208"/>
      <c r="D250" s="208"/>
      <c r="E250" s="208"/>
      <c r="F250" s="208"/>
      <c r="G250" s="208"/>
      <c r="H250" s="208"/>
      <c r="I250" s="263" t="str">
        <f t="shared" si="15"/>
        <v/>
      </c>
    </row>
    <row r="251" spans="3:9" ht="14.55" hidden="1" x14ac:dyDescent="0.3">
      <c r="C251" s="208"/>
      <c r="D251" s="208"/>
      <c r="E251" s="208"/>
      <c r="F251" s="208"/>
      <c r="G251" s="208"/>
      <c r="H251" s="208"/>
      <c r="I251" s="263" t="str">
        <f t="shared" si="15"/>
        <v/>
      </c>
    </row>
    <row r="252" spans="3:9" ht="14.55" hidden="1" x14ac:dyDescent="0.3">
      <c r="C252" s="208"/>
      <c r="D252" s="208"/>
      <c r="E252" s="208"/>
      <c r="F252" s="208"/>
      <c r="G252" s="208"/>
      <c r="H252" s="208"/>
      <c r="I252" s="263" t="str">
        <f t="shared" si="15"/>
        <v/>
      </c>
    </row>
    <row r="253" spans="3:9" ht="14.55" hidden="1" x14ac:dyDescent="0.3">
      <c r="C253" s="208"/>
      <c r="D253" s="208"/>
      <c r="E253" s="208"/>
      <c r="F253" s="208"/>
      <c r="G253" s="208"/>
      <c r="H253" s="208"/>
      <c r="I253" s="263" t="str">
        <f t="shared" si="15"/>
        <v/>
      </c>
    </row>
    <row r="254" spans="3:9" ht="14.55" hidden="1" x14ac:dyDescent="0.3">
      <c r="C254" s="208"/>
      <c r="D254" s="208"/>
      <c r="E254" s="208"/>
      <c r="F254" s="208"/>
      <c r="G254" s="208"/>
      <c r="H254" s="208"/>
      <c r="I254" s="263" t="str">
        <f t="shared" ref="I254:I317" si="16">IF(H254=0,"",D254)</f>
        <v/>
      </c>
    </row>
    <row r="255" spans="3:9" ht="14.55" hidden="1" x14ac:dyDescent="0.3">
      <c r="C255" s="208"/>
      <c r="D255" s="208"/>
      <c r="E255" s="208"/>
      <c r="F255" s="208"/>
      <c r="G255" s="208"/>
      <c r="H255" s="208"/>
      <c r="I255" s="263" t="str">
        <f t="shared" si="16"/>
        <v/>
      </c>
    </row>
    <row r="256" spans="3:9" ht="14.55" hidden="1" x14ac:dyDescent="0.3">
      <c r="C256" s="208"/>
      <c r="D256" s="208"/>
      <c r="E256" s="208"/>
      <c r="F256" s="208"/>
      <c r="G256" s="208"/>
      <c r="H256" s="208"/>
      <c r="I256" s="263" t="str">
        <f t="shared" si="16"/>
        <v/>
      </c>
    </row>
    <row r="257" spans="3:9" ht="14.55" hidden="1" x14ac:dyDescent="0.3">
      <c r="C257" s="208"/>
      <c r="D257" s="208"/>
      <c r="E257" s="208"/>
      <c r="F257" s="208"/>
      <c r="G257" s="208"/>
      <c r="H257" s="208"/>
      <c r="I257" s="263" t="str">
        <f t="shared" si="16"/>
        <v/>
      </c>
    </row>
    <row r="258" spans="3:9" ht="14.55" hidden="1" x14ac:dyDescent="0.3">
      <c r="C258" s="208"/>
      <c r="D258" s="208"/>
      <c r="E258" s="208"/>
      <c r="F258" s="208"/>
      <c r="G258" s="208"/>
      <c r="H258" s="208"/>
      <c r="I258" s="263" t="str">
        <f t="shared" si="16"/>
        <v/>
      </c>
    </row>
    <row r="259" spans="3:9" ht="14.55" hidden="1" x14ac:dyDescent="0.3">
      <c r="C259" s="208"/>
      <c r="D259" s="208"/>
      <c r="E259" s="208"/>
      <c r="F259" s="208"/>
      <c r="G259" s="208"/>
      <c r="H259" s="208"/>
      <c r="I259" s="263" t="str">
        <f t="shared" si="16"/>
        <v/>
      </c>
    </row>
    <row r="260" spans="3:9" ht="14.55" hidden="1" x14ac:dyDescent="0.3">
      <c r="C260" s="208"/>
      <c r="D260" s="208"/>
      <c r="E260" s="208"/>
      <c r="F260" s="208"/>
      <c r="G260" s="208"/>
      <c r="H260" s="208"/>
      <c r="I260" s="263" t="str">
        <f t="shared" si="16"/>
        <v/>
      </c>
    </row>
    <row r="261" spans="3:9" ht="14.55" hidden="1" x14ac:dyDescent="0.3">
      <c r="C261" s="208"/>
      <c r="D261" s="208"/>
      <c r="E261" s="208"/>
      <c r="F261" s="208"/>
      <c r="G261" s="208"/>
      <c r="H261" s="208"/>
      <c r="I261" s="263" t="str">
        <f t="shared" si="16"/>
        <v/>
      </c>
    </row>
    <row r="262" spans="3:9" ht="14.55" hidden="1" x14ac:dyDescent="0.3">
      <c r="C262" s="208"/>
      <c r="D262" s="208"/>
      <c r="E262" s="208"/>
      <c r="F262" s="208"/>
      <c r="G262" s="208"/>
      <c r="H262" s="208"/>
      <c r="I262" s="263" t="str">
        <f t="shared" si="16"/>
        <v/>
      </c>
    </row>
    <row r="263" spans="3:9" ht="14.55" hidden="1" x14ac:dyDescent="0.3">
      <c r="C263" s="208"/>
      <c r="D263" s="208"/>
      <c r="E263" s="208"/>
      <c r="F263" s="208"/>
      <c r="G263" s="208"/>
      <c r="H263" s="208"/>
      <c r="I263" s="263" t="str">
        <f t="shared" si="16"/>
        <v/>
      </c>
    </row>
    <row r="264" spans="3:9" ht="14.55" hidden="1" x14ac:dyDescent="0.3">
      <c r="C264" s="208"/>
      <c r="D264" s="208"/>
      <c r="E264" s="208"/>
      <c r="F264" s="208"/>
      <c r="G264" s="208"/>
      <c r="H264" s="208"/>
      <c r="I264" s="263" t="str">
        <f t="shared" si="16"/>
        <v/>
      </c>
    </row>
    <row r="265" spans="3:9" ht="14.55" hidden="1" x14ac:dyDescent="0.3">
      <c r="C265" s="208"/>
      <c r="D265" s="208"/>
      <c r="E265" s="208"/>
      <c r="F265" s="208"/>
      <c r="G265" s="208"/>
      <c r="H265" s="208"/>
      <c r="I265" s="263" t="str">
        <f t="shared" si="16"/>
        <v/>
      </c>
    </row>
    <row r="266" spans="3:9" ht="14.55" hidden="1" x14ac:dyDescent="0.3">
      <c r="C266" s="208"/>
      <c r="D266" s="208"/>
      <c r="E266" s="208"/>
      <c r="F266" s="208"/>
      <c r="G266" s="208"/>
      <c r="H266" s="208"/>
      <c r="I266" s="263" t="str">
        <f t="shared" si="16"/>
        <v/>
      </c>
    </row>
    <row r="267" spans="3:9" ht="14.55" hidden="1" x14ac:dyDescent="0.3">
      <c r="C267" s="208"/>
      <c r="D267" s="208"/>
      <c r="E267" s="208"/>
      <c r="F267" s="208"/>
      <c r="G267" s="208"/>
      <c r="H267" s="208"/>
      <c r="I267" s="263" t="str">
        <f t="shared" si="16"/>
        <v/>
      </c>
    </row>
    <row r="268" spans="3:9" ht="14.55" hidden="1" x14ac:dyDescent="0.3">
      <c r="C268" s="208"/>
      <c r="D268" s="208"/>
      <c r="E268" s="208"/>
      <c r="F268" s="208"/>
      <c r="G268" s="208"/>
      <c r="H268" s="208"/>
      <c r="I268" s="263" t="str">
        <f t="shared" si="16"/>
        <v/>
      </c>
    </row>
    <row r="269" spans="3:9" ht="14.55" hidden="1" x14ac:dyDescent="0.3">
      <c r="C269" s="208"/>
      <c r="D269" s="208"/>
      <c r="E269" s="208"/>
      <c r="F269" s="208"/>
      <c r="G269" s="208"/>
      <c r="H269" s="208"/>
      <c r="I269" s="263" t="str">
        <f t="shared" si="16"/>
        <v/>
      </c>
    </row>
    <row r="270" spans="3:9" ht="14.55" hidden="1" x14ac:dyDescent="0.3">
      <c r="C270" s="208"/>
      <c r="D270" s="208"/>
      <c r="E270" s="208"/>
      <c r="F270" s="208"/>
      <c r="G270" s="208"/>
      <c r="H270" s="208"/>
      <c r="I270" s="263" t="str">
        <f t="shared" si="16"/>
        <v/>
      </c>
    </row>
    <row r="271" spans="3:9" ht="14.55" hidden="1" x14ac:dyDescent="0.3">
      <c r="C271" s="208"/>
      <c r="D271" s="208"/>
      <c r="E271" s="208"/>
      <c r="F271" s="208"/>
      <c r="G271" s="208"/>
      <c r="H271" s="208"/>
      <c r="I271" s="263" t="str">
        <f t="shared" si="16"/>
        <v/>
      </c>
    </row>
    <row r="272" spans="3:9" ht="14.55" hidden="1" x14ac:dyDescent="0.3">
      <c r="C272" s="208"/>
      <c r="D272" s="208"/>
      <c r="E272" s="208"/>
      <c r="F272" s="208"/>
      <c r="G272" s="208"/>
      <c r="H272" s="208"/>
      <c r="I272" s="263" t="str">
        <f t="shared" si="16"/>
        <v/>
      </c>
    </row>
    <row r="273" spans="3:9" ht="14.55" hidden="1" x14ac:dyDescent="0.3">
      <c r="C273" s="208"/>
      <c r="D273" s="208"/>
      <c r="E273" s="208"/>
      <c r="F273" s="208"/>
      <c r="G273" s="208"/>
      <c r="H273" s="208"/>
      <c r="I273" s="263" t="str">
        <f t="shared" si="16"/>
        <v/>
      </c>
    </row>
    <row r="274" spans="3:9" ht="14.55" hidden="1" x14ac:dyDescent="0.3">
      <c r="C274" s="208"/>
      <c r="D274" s="208"/>
      <c r="E274" s="208"/>
      <c r="F274" s="208"/>
      <c r="G274" s="208"/>
      <c r="H274" s="208"/>
      <c r="I274" s="263" t="str">
        <f t="shared" si="16"/>
        <v/>
      </c>
    </row>
    <row r="275" spans="3:9" ht="14.55" hidden="1" x14ac:dyDescent="0.3">
      <c r="C275" s="208"/>
      <c r="D275" s="208"/>
      <c r="E275" s="208"/>
      <c r="F275" s="208"/>
      <c r="G275" s="208"/>
      <c r="H275" s="208"/>
      <c r="I275" s="263" t="str">
        <f t="shared" si="16"/>
        <v/>
      </c>
    </row>
    <row r="276" spans="3:9" ht="14.55" hidden="1" x14ac:dyDescent="0.3">
      <c r="C276" s="208"/>
      <c r="D276" s="208"/>
      <c r="E276" s="208"/>
      <c r="F276" s="208"/>
      <c r="G276" s="208"/>
      <c r="H276" s="208"/>
      <c r="I276" s="263" t="str">
        <f t="shared" si="16"/>
        <v/>
      </c>
    </row>
    <row r="277" spans="3:9" ht="14.55" hidden="1" x14ac:dyDescent="0.3">
      <c r="C277" s="208"/>
      <c r="D277" s="208"/>
      <c r="E277" s="208"/>
      <c r="F277" s="208"/>
      <c r="G277" s="208"/>
      <c r="H277" s="208"/>
      <c r="I277" s="263" t="str">
        <f t="shared" si="16"/>
        <v/>
      </c>
    </row>
    <row r="278" spans="3:9" ht="14.55" hidden="1" x14ac:dyDescent="0.3">
      <c r="C278" s="208"/>
      <c r="D278" s="208"/>
      <c r="E278" s="208"/>
      <c r="F278" s="208"/>
      <c r="G278" s="208"/>
      <c r="H278" s="208"/>
      <c r="I278" s="263" t="str">
        <f t="shared" si="16"/>
        <v/>
      </c>
    </row>
    <row r="279" spans="3:9" ht="14.55" hidden="1" x14ac:dyDescent="0.3">
      <c r="C279" s="208"/>
      <c r="D279" s="208"/>
      <c r="E279" s="208"/>
      <c r="F279" s="208"/>
      <c r="G279" s="208"/>
      <c r="H279" s="208"/>
      <c r="I279" s="263" t="str">
        <f t="shared" si="16"/>
        <v/>
      </c>
    </row>
    <row r="280" spans="3:9" ht="14.55" hidden="1" x14ac:dyDescent="0.3">
      <c r="C280" s="208"/>
      <c r="D280" s="208"/>
      <c r="E280" s="208"/>
      <c r="F280" s="208"/>
      <c r="G280" s="208"/>
      <c r="H280" s="208"/>
      <c r="I280" s="263" t="str">
        <f t="shared" si="16"/>
        <v/>
      </c>
    </row>
    <row r="281" spans="3:9" ht="14.55" hidden="1" x14ac:dyDescent="0.3">
      <c r="C281" s="208"/>
      <c r="D281" s="208"/>
      <c r="E281" s="208"/>
      <c r="F281" s="208"/>
      <c r="G281" s="208"/>
      <c r="H281" s="208"/>
      <c r="I281" s="263" t="str">
        <f t="shared" si="16"/>
        <v/>
      </c>
    </row>
    <row r="282" spans="3:9" ht="14.55" hidden="1" x14ac:dyDescent="0.3">
      <c r="C282" s="208"/>
      <c r="D282" s="208"/>
      <c r="E282" s="208"/>
      <c r="F282" s="208"/>
      <c r="G282" s="208"/>
      <c r="H282" s="208"/>
      <c r="I282" s="263" t="str">
        <f t="shared" si="16"/>
        <v/>
      </c>
    </row>
    <row r="283" spans="3:9" ht="14.55" hidden="1" x14ac:dyDescent="0.3">
      <c r="C283" s="208"/>
      <c r="D283" s="208"/>
      <c r="E283" s="208"/>
      <c r="F283" s="208"/>
      <c r="G283" s="208"/>
      <c r="H283" s="208"/>
      <c r="I283" s="263" t="str">
        <f t="shared" si="16"/>
        <v/>
      </c>
    </row>
    <row r="284" spans="3:9" ht="14.55" hidden="1" x14ac:dyDescent="0.3">
      <c r="C284" s="208"/>
      <c r="D284" s="208"/>
      <c r="E284" s="208"/>
      <c r="F284" s="208"/>
      <c r="G284" s="208"/>
      <c r="H284" s="208"/>
      <c r="I284" s="263" t="str">
        <f t="shared" si="16"/>
        <v/>
      </c>
    </row>
    <row r="285" spans="3:9" ht="14.55" hidden="1" x14ac:dyDescent="0.3">
      <c r="C285" s="208"/>
      <c r="D285" s="208"/>
      <c r="E285" s="208"/>
      <c r="F285" s="208"/>
      <c r="G285" s="208"/>
      <c r="H285" s="208"/>
      <c r="I285" s="263" t="str">
        <f t="shared" si="16"/>
        <v/>
      </c>
    </row>
    <row r="286" spans="3:9" ht="14.55" hidden="1" x14ac:dyDescent="0.3">
      <c r="C286" s="208"/>
      <c r="D286" s="208"/>
      <c r="E286" s="208"/>
      <c r="F286" s="208"/>
      <c r="G286" s="208"/>
      <c r="H286" s="208"/>
      <c r="I286" s="263" t="str">
        <f t="shared" si="16"/>
        <v/>
      </c>
    </row>
    <row r="287" spans="3:9" ht="14.55" hidden="1" x14ac:dyDescent="0.3">
      <c r="C287" s="208"/>
      <c r="D287" s="208"/>
      <c r="E287" s="208"/>
      <c r="F287" s="208"/>
      <c r="G287" s="208"/>
      <c r="H287" s="208"/>
      <c r="I287" s="263" t="str">
        <f t="shared" si="16"/>
        <v/>
      </c>
    </row>
    <row r="288" spans="3:9" ht="14.55" hidden="1" x14ac:dyDescent="0.3">
      <c r="C288" s="208"/>
      <c r="D288" s="208"/>
      <c r="E288" s="208"/>
      <c r="F288" s="208"/>
      <c r="G288" s="208"/>
      <c r="H288" s="208"/>
      <c r="I288" s="263" t="str">
        <f t="shared" si="16"/>
        <v/>
      </c>
    </row>
    <row r="289" spans="3:9" ht="14.55" hidden="1" x14ac:dyDescent="0.3">
      <c r="C289" s="208"/>
      <c r="D289" s="208"/>
      <c r="E289" s="208"/>
      <c r="F289" s="208"/>
      <c r="G289" s="208"/>
      <c r="H289" s="208"/>
      <c r="I289" s="263" t="str">
        <f t="shared" si="16"/>
        <v/>
      </c>
    </row>
    <row r="290" spans="3:9" ht="14.55" hidden="1" x14ac:dyDescent="0.3">
      <c r="C290" s="208"/>
      <c r="D290" s="208"/>
      <c r="E290" s="208"/>
      <c r="F290" s="208"/>
      <c r="G290" s="208"/>
      <c r="H290" s="208"/>
      <c r="I290" s="263" t="str">
        <f t="shared" si="16"/>
        <v/>
      </c>
    </row>
    <row r="291" spans="3:9" ht="14.55" hidden="1" x14ac:dyDescent="0.3">
      <c r="C291" s="208"/>
      <c r="D291" s="208"/>
      <c r="E291" s="208"/>
      <c r="F291" s="208"/>
      <c r="G291" s="208"/>
      <c r="H291" s="208"/>
      <c r="I291" s="263" t="str">
        <f t="shared" si="16"/>
        <v/>
      </c>
    </row>
    <row r="292" spans="3:9" ht="14.55" hidden="1" x14ac:dyDescent="0.3">
      <c r="C292" s="208"/>
      <c r="D292" s="208"/>
      <c r="E292" s="208"/>
      <c r="F292" s="208"/>
      <c r="G292" s="208"/>
      <c r="H292" s="208"/>
      <c r="I292" s="263" t="str">
        <f t="shared" si="16"/>
        <v/>
      </c>
    </row>
    <row r="293" spans="3:9" ht="14.55" hidden="1" x14ac:dyDescent="0.3">
      <c r="C293" s="208"/>
      <c r="D293" s="208"/>
      <c r="E293" s="208"/>
      <c r="F293" s="208"/>
      <c r="G293" s="208"/>
      <c r="H293" s="208"/>
      <c r="I293" s="263" t="str">
        <f t="shared" si="16"/>
        <v/>
      </c>
    </row>
    <row r="294" spans="3:9" ht="14.55" hidden="1" x14ac:dyDescent="0.3">
      <c r="C294" s="208"/>
      <c r="D294" s="208"/>
      <c r="E294" s="208"/>
      <c r="F294" s="208"/>
      <c r="G294" s="208"/>
      <c r="H294" s="208"/>
      <c r="I294" s="263" t="str">
        <f t="shared" si="16"/>
        <v/>
      </c>
    </row>
    <row r="295" spans="3:9" ht="14.55" hidden="1" x14ac:dyDescent="0.3">
      <c r="C295" s="208"/>
      <c r="D295" s="208"/>
      <c r="E295" s="208"/>
      <c r="F295" s="208"/>
      <c r="G295" s="208"/>
      <c r="H295" s="208"/>
      <c r="I295" s="263" t="str">
        <f t="shared" si="16"/>
        <v/>
      </c>
    </row>
    <row r="296" spans="3:9" ht="14.55" hidden="1" x14ac:dyDescent="0.3">
      <c r="C296" s="208"/>
      <c r="D296" s="208"/>
      <c r="E296" s="208"/>
      <c r="F296" s="208"/>
      <c r="G296" s="208"/>
      <c r="H296" s="208"/>
      <c r="I296" s="263" t="str">
        <f t="shared" si="16"/>
        <v/>
      </c>
    </row>
    <row r="297" spans="3:9" ht="14.55" hidden="1" x14ac:dyDescent="0.3">
      <c r="C297" s="208"/>
      <c r="D297" s="208"/>
      <c r="E297" s="208"/>
      <c r="F297" s="208"/>
      <c r="G297" s="208"/>
      <c r="H297" s="208"/>
      <c r="I297" s="263" t="str">
        <f t="shared" si="16"/>
        <v/>
      </c>
    </row>
    <row r="298" spans="3:9" ht="14.55" hidden="1" x14ac:dyDescent="0.3">
      <c r="C298" s="208"/>
      <c r="D298" s="208"/>
      <c r="E298" s="208"/>
      <c r="F298" s="208"/>
      <c r="G298" s="208"/>
      <c r="H298" s="208"/>
      <c r="I298" s="263" t="str">
        <f t="shared" si="16"/>
        <v/>
      </c>
    </row>
    <row r="299" spans="3:9" ht="14.55" hidden="1" x14ac:dyDescent="0.3">
      <c r="C299" s="208"/>
      <c r="D299" s="208"/>
      <c r="E299" s="208"/>
      <c r="F299" s="208"/>
      <c r="G299" s="208"/>
      <c r="H299" s="208"/>
      <c r="I299" s="263" t="str">
        <f t="shared" si="16"/>
        <v/>
      </c>
    </row>
    <row r="300" spans="3:9" ht="14.55" hidden="1" x14ac:dyDescent="0.3">
      <c r="C300" s="208"/>
      <c r="D300" s="208"/>
      <c r="E300" s="208"/>
      <c r="F300" s="208"/>
      <c r="G300" s="208"/>
      <c r="H300" s="208"/>
      <c r="I300" s="263" t="str">
        <f t="shared" si="16"/>
        <v/>
      </c>
    </row>
    <row r="301" spans="3:9" ht="14.55" hidden="1" x14ac:dyDescent="0.3">
      <c r="C301" s="208"/>
      <c r="D301" s="208"/>
      <c r="E301" s="208"/>
      <c r="F301" s="208"/>
      <c r="G301" s="208"/>
      <c r="H301" s="208"/>
      <c r="I301" s="263" t="str">
        <f t="shared" si="16"/>
        <v/>
      </c>
    </row>
    <row r="302" spans="3:9" ht="14.55" hidden="1" x14ac:dyDescent="0.3">
      <c r="C302" s="208"/>
      <c r="D302" s="208"/>
      <c r="E302" s="208"/>
      <c r="F302" s="208"/>
      <c r="G302" s="208"/>
      <c r="H302" s="208"/>
      <c r="I302" s="263" t="str">
        <f t="shared" si="16"/>
        <v/>
      </c>
    </row>
    <row r="303" spans="3:9" ht="14.55" hidden="1" x14ac:dyDescent="0.3">
      <c r="C303" s="208"/>
      <c r="D303" s="208"/>
      <c r="E303" s="208"/>
      <c r="F303" s="208"/>
      <c r="G303" s="208"/>
      <c r="H303" s="208"/>
      <c r="I303" s="263" t="str">
        <f t="shared" si="16"/>
        <v/>
      </c>
    </row>
    <row r="304" spans="3:9" ht="14.55" hidden="1" x14ac:dyDescent="0.3">
      <c r="C304" s="208"/>
      <c r="D304" s="208"/>
      <c r="E304" s="208"/>
      <c r="F304" s="208"/>
      <c r="G304" s="208"/>
      <c r="H304" s="208"/>
      <c r="I304" s="263" t="str">
        <f t="shared" si="16"/>
        <v/>
      </c>
    </row>
    <row r="305" spans="3:9" ht="14.55" hidden="1" x14ac:dyDescent="0.3">
      <c r="C305" s="208"/>
      <c r="D305" s="208"/>
      <c r="E305" s="208"/>
      <c r="F305" s="208"/>
      <c r="G305" s="208"/>
      <c r="H305" s="208"/>
      <c r="I305" s="263" t="str">
        <f t="shared" si="16"/>
        <v/>
      </c>
    </row>
    <row r="306" spans="3:9" ht="14.55" hidden="1" x14ac:dyDescent="0.3">
      <c r="C306" s="208"/>
      <c r="D306" s="208"/>
      <c r="E306" s="208"/>
      <c r="F306" s="208"/>
      <c r="G306" s="208"/>
      <c r="H306" s="208"/>
      <c r="I306" s="263" t="str">
        <f t="shared" si="16"/>
        <v/>
      </c>
    </row>
    <row r="307" spans="3:9" ht="14.55" hidden="1" x14ac:dyDescent="0.3">
      <c r="C307" s="208"/>
      <c r="D307" s="208"/>
      <c r="E307" s="208"/>
      <c r="F307" s="208"/>
      <c r="G307" s="208"/>
      <c r="H307" s="208"/>
      <c r="I307" s="263" t="str">
        <f t="shared" si="16"/>
        <v/>
      </c>
    </row>
    <row r="308" spans="3:9" ht="14.55" hidden="1" x14ac:dyDescent="0.3">
      <c r="C308" s="208"/>
      <c r="D308" s="208"/>
      <c r="E308" s="208"/>
      <c r="F308" s="208"/>
      <c r="G308" s="208"/>
      <c r="H308" s="208"/>
      <c r="I308" s="263" t="str">
        <f t="shared" si="16"/>
        <v/>
      </c>
    </row>
    <row r="309" spans="3:9" ht="14.55" hidden="1" x14ac:dyDescent="0.3">
      <c r="C309" s="208"/>
      <c r="D309" s="208"/>
      <c r="E309" s="208"/>
      <c r="F309" s="208"/>
      <c r="G309" s="208"/>
      <c r="H309" s="208"/>
      <c r="I309" s="263" t="str">
        <f t="shared" si="16"/>
        <v/>
      </c>
    </row>
    <row r="310" spans="3:9" ht="14.55" hidden="1" x14ac:dyDescent="0.3">
      <c r="C310" s="208"/>
      <c r="D310" s="208"/>
      <c r="E310" s="208"/>
      <c r="F310" s="208"/>
      <c r="G310" s="208"/>
      <c r="H310" s="208"/>
      <c r="I310" s="263" t="str">
        <f t="shared" si="16"/>
        <v/>
      </c>
    </row>
    <row r="311" spans="3:9" ht="14.55" hidden="1" x14ac:dyDescent="0.3">
      <c r="C311" s="208"/>
      <c r="D311" s="208"/>
      <c r="E311" s="208"/>
      <c r="F311" s="208"/>
      <c r="G311" s="208"/>
      <c r="H311" s="208"/>
      <c r="I311" s="263" t="str">
        <f t="shared" si="16"/>
        <v/>
      </c>
    </row>
    <row r="312" spans="3:9" ht="14.55" hidden="1" x14ac:dyDescent="0.3">
      <c r="C312" s="208"/>
      <c r="D312" s="208"/>
      <c r="E312" s="208"/>
      <c r="F312" s="208"/>
      <c r="G312" s="208"/>
      <c r="H312" s="208"/>
      <c r="I312" s="263" t="str">
        <f t="shared" si="16"/>
        <v/>
      </c>
    </row>
    <row r="313" spans="3:9" ht="14.55" hidden="1" x14ac:dyDescent="0.3">
      <c r="C313" s="208"/>
      <c r="D313" s="208"/>
      <c r="E313" s="208"/>
      <c r="F313" s="208"/>
      <c r="G313" s="208"/>
      <c r="H313" s="208"/>
      <c r="I313" s="263" t="str">
        <f t="shared" si="16"/>
        <v/>
      </c>
    </row>
    <row r="314" spans="3:9" ht="14.55" hidden="1" x14ac:dyDescent="0.3">
      <c r="C314" s="208"/>
      <c r="D314" s="208"/>
      <c r="E314" s="208"/>
      <c r="F314" s="208"/>
      <c r="G314" s="208"/>
      <c r="H314" s="208"/>
      <c r="I314" s="263" t="str">
        <f t="shared" si="16"/>
        <v/>
      </c>
    </row>
    <row r="315" spans="3:9" ht="14.55" hidden="1" x14ac:dyDescent="0.3">
      <c r="C315" s="208"/>
      <c r="D315" s="208"/>
      <c r="E315" s="208"/>
      <c r="F315" s="208"/>
      <c r="G315" s="208"/>
      <c r="H315" s="208"/>
      <c r="I315" s="263" t="str">
        <f t="shared" si="16"/>
        <v/>
      </c>
    </row>
    <row r="316" spans="3:9" ht="14.55" hidden="1" x14ac:dyDescent="0.3">
      <c r="C316" s="208"/>
      <c r="D316" s="208"/>
      <c r="E316" s="208"/>
      <c r="F316" s="208"/>
      <c r="G316" s="208"/>
      <c r="H316" s="208"/>
      <c r="I316" s="263" t="str">
        <f t="shared" si="16"/>
        <v/>
      </c>
    </row>
    <row r="317" spans="3:9" ht="14.55" hidden="1" x14ac:dyDescent="0.3">
      <c r="C317" s="208"/>
      <c r="D317" s="208"/>
      <c r="E317" s="208"/>
      <c r="F317" s="208"/>
      <c r="G317" s="208"/>
      <c r="H317" s="208"/>
      <c r="I317" s="263" t="str">
        <f t="shared" si="16"/>
        <v/>
      </c>
    </row>
    <row r="318" spans="3:9" ht="14.55" hidden="1" x14ac:dyDescent="0.3">
      <c r="C318" s="208"/>
      <c r="D318" s="208"/>
      <c r="E318" s="208"/>
      <c r="F318" s="208"/>
      <c r="G318" s="208"/>
      <c r="H318" s="208"/>
      <c r="I318" s="263" t="str">
        <f t="shared" ref="I318:I381" si="17">IF(H318=0,"",D318)</f>
        <v/>
      </c>
    </row>
    <row r="319" spans="3:9" ht="14.55" hidden="1" x14ac:dyDescent="0.3">
      <c r="C319" s="208"/>
      <c r="D319" s="208"/>
      <c r="E319" s="208"/>
      <c r="F319" s="208"/>
      <c r="G319" s="208"/>
      <c r="H319" s="208"/>
      <c r="I319" s="263" t="str">
        <f t="shared" si="17"/>
        <v/>
      </c>
    </row>
    <row r="320" spans="3:9" ht="14.55" hidden="1" x14ac:dyDescent="0.3">
      <c r="C320" s="208"/>
      <c r="D320" s="208"/>
      <c r="E320" s="208"/>
      <c r="F320" s="208"/>
      <c r="G320" s="208"/>
      <c r="H320" s="208"/>
      <c r="I320" s="263" t="str">
        <f t="shared" si="17"/>
        <v/>
      </c>
    </row>
    <row r="321" spans="3:9" ht="14.55" hidden="1" x14ac:dyDescent="0.3">
      <c r="C321" s="208"/>
      <c r="D321" s="208"/>
      <c r="E321" s="208"/>
      <c r="F321" s="208"/>
      <c r="G321" s="208"/>
      <c r="H321" s="208"/>
      <c r="I321" s="263" t="str">
        <f t="shared" si="17"/>
        <v/>
      </c>
    </row>
    <row r="322" spans="3:9" ht="14.55" hidden="1" x14ac:dyDescent="0.3">
      <c r="C322" s="208"/>
      <c r="D322" s="208"/>
      <c r="E322" s="208"/>
      <c r="F322" s="208"/>
      <c r="G322" s="208"/>
      <c r="H322" s="208"/>
      <c r="I322" s="263" t="str">
        <f t="shared" si="17"/>
        <v/>
      </c>
    </row>
    <row r="323" spans="3:9" ht="14.55" hidden="1" x14ac:dyDescent="0.3">
      <c r="C323" s="208"/>
      <c r="D323" s="208"/>
      <c r="E323" s="208"/>
      <c r="F323" s="208"/>
      <c r="G323" s="208"/>
      <c r="H323" s="208"/>
      <c r="I323" s="263" t="str">
        <f t="shared" si="17"/>
        <v/>
      </c>
    </row>
    <row r="324" spans="3:9" ht="14.55" hidden="1" x14ac:dyDescent="0.3">
      <c r="C324" s="208"/>
      <c r="D324" s="208"/>
      <c r="E324" s="208"/>
      <c r="F324" s="208"/>
      <c r="G324" s="208"/>
      <c r="H324" s="208"/>
      <c r="I324" s="263" t="str">
        <f t="shared" si="17"/>
        <v/>
      </c>
    </row>
    <row r="325" spans="3:9" ht="14.55" hidden="1" x14ac:dyDescent="0.3">
      <c r="C325" s="208"/>
      <c r="D325" s="208"/>
      <c r="E325" s="208"/>
      <c r="F325" s="208"/>
      <c r="G325" s="208"/>
      <c r="H325" s="208"/>
      <c r="I325" s="263" t="str">
        <f t="shared" si="17"/>
        <v/>
      </c>
    </row>
    <row r="326" spans="3:9" ht="14.55" hidden="1" x14ac:dyDescent="0.3">
      <c r="C326" s="208"/>
      <c r="D326" s="208"/>
      <c r="E326" s="208"/>
      <c r="F326" s="208"/>
      <c r="G326" s="208"/>
      <c r="H326" s="208"/>
      <c r="I326" s="263" t="str">
        <f t="shared" si="17"/>
        <v/>
      </c>
    </row>
    <row r="327" spans="3:9" ht="14.55" hidden="1" x14ac:dyDescent="0.3">
      <c r="C327" s="208"/>
      <c r="D327" s="208"/>
      <c r="E327" s="208"/>
      <c r="F327" s="208"/>
      <c r="G327" s="208"/>
      <c r="H327" s="208"/>
      <c r="I327" s="263" t="str">
        <f t="shared" si="17"/>
        <v/>
      </c>
    </row>
    <row r="328" spans="3:9" ht="14.55" hidden="1" x14ac:dyDescent="0.3">
      <c r="C328" s="208"/>
      <c r="D328" s="208"/>
      <c r="E328" s="208"/>
      <c r="F328" s="208"/>
      <c r="G328" s="208"/>
      <c r="H328" s="208"/>
      <c r="I328" s="263" t="str">
        <f t="shared" si="17"/>
        <v/>
      </c>
    </row>
    <row r="329" spans="3:9" ht="14.55" hidden="1" x14ac:dyDescent="0.3">
      <c r="C329" s="208"/>
      <c r="D329" s="208"/>
      <c r="E329" s="208"/>
      <c r="F329" s="208"/>
      <c r="G329" s="208"/>
      <c r="H329" s="208"/>
      <c r="I329" s="263" t="str">
        <f t="shared" si="17"/>
        <v/>
      </c>
    </row>
    <row r="330" spans="3:9" ht="14.55" hidden="1" x14ac:dyDescent="0.3">
      <c r="C330" s="208"/>
      <c r="D330" s="208"/>
      <c r="E330" s="208"/>
      <c r="F330" s="208"/>
      <c r="G330" s="208"/>
      <c r="H330" s="208"/>
      <c r="I330" s="263" t="str">
        <f t="shared" si="17"/>
        <v/>
      </c>
    </row>
    <row r="331" spans="3:9" ht="14.55" hidden="1" x14ac:dyDescent="0.3">
      <c r="C331" s="208"/>
      <c r="D331" s="208"/>
      <c r="E331" s="208"/>
      <c r="F331" s="208"/>
      <c r="G331" s="208"/>
      <c r="H331" s="208"/>
      <c r="I331" s="263" t="str">
        <f t="shared" si="17"/>
        <v/>
      </c>
    </row>
    <row r="332" spans="3:9" ht="14.55" hidden="1" x14ac:dyDescent="0.3">
      <c r="C332" s="208"/>
      <c r="D332" s="208"/>
      <c r="E332" s="208"/>
      <c r="F332" s="208"/>
      <c r="G332" s="208"/>
      <c r="H332" s="208"/>
      <c r="I332" s="263" t="str">
        <f t="shared" si="17"/>
        <v/>
      </c>
    </row>
    <row r="333" spans="3:9" ht="14.55" hidden="1" x14ac:dyDescent="0.3">
      <c r="C333" s="208"/>
      <c r="D333" s="208"/>
      <c r="E333" s="208"/>
      <c r="F333" s="208"/>
      <c r="G333" s="208"/>
      <c r="H333" s="208"/>
      <c r="I333" s="263" t="str">
        <f t="shared" si="17"/>
        <v/>
      </c>
    </row>
    <row r="334" spans="3:9" ht="14.55" hidden="1" x14ac:dyDescent="0.3">
      <c r="C334" s="208"/>
      <c r="D334" s="208"/>
      <c r="E334" s="208"/>
      <c r="F334" s="208"/>
      <c r="G334" s="208"/>
      <c r="H334" s="208"/>
      <c r="I334" s="263" t="str">
        <f t="shared" si="17"/>
        <v/>
      </c>
    </row>
    <row r="335" spans="3:9" ht="14.55" hidden="1" x14ac:dyDescent="0.3">
      <c r="C335" s="208"/>
      <c r="D335" s="208"/>
      <c r="E335" s="208"/>
      <c r="F335" s="208"/>
      <c r="G335" s="208"/>
      <c r="H335" s="208"/>
      <c r="I335" s="263" t="str">
        <f t="shared" si="17"/>
        <v/>
      </c>
    </row>
    <row r="336" spans="3:9" ht="14.55" hidden="1" x14ac:dyDescent="0.3">
      <c r="C336" s="208"/>
      <c r="D336" s="208"/>
      <c r="E336" s="208"/>
      <c r="F336" s="208"/>
      <c r="G336" s="208"/>
      <c r="H336" s="208"/>
      <c r="I336" s="263" t="str">
        <f t="shared" si="17"/>
        <v/>
      </c>
    </row>
    <row r="337" spans="3:9" ht="14.55" hidden="1" x14ac:dyDescent="0.3">
      <c r="C337" s="208"/>
      <c r="D337" s="208"/>
      <c r="E337" s="208"/>
      <c r="F337" s="208"/>
      <c r="G337" s="208"/>
      <c r="H337" s="208"/>
      <c r="I337" s="263" t="str">
        <f t="shared" si="17"/>
        <v/>
      </c>
    </row>
    <row r="338" spans="3:9" ht="14.55" hidden="1" x14ac:dyDescent="0.3">
      <c r="C338" s="208"/>
      <c r="D338" s="208"/>
      <c r="E338" s="208"/>
      <c r="F338" s="208"/>
      <c r="G338" s="208"/>
      <c r="H338" s="208"/>
      <c r="I338" s="263" t="str">
        <f t="shared" si="17"/>
        <v/>
      </c>
    </row>
    <row r="339" spans="3:9" ht="14.55" hidden="1" x14ac:dyDescent="0.3">
      <c r="C339" s="208"/>
      <c r="D339" s="208"/>
      <c r="E339" s="208"/>
      <c r="F339" s="208"/>
      <c r="G339" s="208"/>
      <c r="H339" s="208"/>
      <c r="I339" s="263" t="str">
        <f t="shared" si="17"/>
        <v/>
      </c>
    </row>
    <row r="340" spans="3:9" ht="14.55" hidden="1" x14ac:dyDescent="0.3">
      <c r="C340" s="208"/>
      <c r="D340" s="208"/>
      <c r="E340" s="208"/>
      <c r="F340" s="208"/>
      <c r="G340" s="208"/>
      <c r="H340" s="208"/>
      <c r="I340" s="263" t="str">
        <f t="shared" si="17"/>
        <v/>
      </c>
    </row>
    <row r="341" spans="3:9" ht="14.55" hidden="1" x14ac:dyDescent="0.3">
      <c r="C341" s="208"/>
      <c r="D341" s="208"/>
      <c r="E341" s="208"/>
      <c r="F341" s="208"/>
      <c r="G341" s="208"/>
      <c r="H341" s="208"/>
      <c r="I341" s="263" t="str">
        <f t="shared" si="17"/>
        <v/>
      </c>
    </row>
    <row r="342" spans="3:9" ht="14.55" hidden="1" x14ac:dyDescent="0.3">
      <c r="C342" s="208"/>
      <c r="D342" s="208"/>
      <c r="E342" s="208"/>
      <c r="F342" s="208"/>
      <c r="G342" s="208"/>
      <c r="H342" s="208"/>
      <c r="I342" s="263" t="str">
        <f t="shared" si="17"/>
        <v/>
      </c>
    </row>
    <row r="343" spans="3:9" ht="14.55" hidden="1" x14ac:dyDescent="0.3">
      <c r="C343" s="208"/>
      <c r="D343" s="208"/>
      <c r="E343" s="208"/>
      <c r="F343" s="208"/>
      <c r="G343" s="208"/>
      <c r="H343" s="208"/>
      <c r="I343" s="263" t="str">
        <f t="shared" si="17"/>
        <v/>
      </c>
    </row>
    <row r="344" spans="3:9" ht="14.55" hidden="1" x14ac:dyDescent="0.3">
      <c r="C344" s="208"/>
      <c r="D344" s="208"/>
      <c r="E344" s="208"/>
      <c r="F344" s="208"/>
      <c r="G344" s="208"/>
      <c r="H344" s="208"/>
      <c r="I344" s="263" t="str">
        <f t="shared" si="17"/>
        <v/>
      </c>
    </row>
    <row r="345" spans="3:9" ht="14.55" hidden="1" x14ac:dyDescent="0.3">
      <c r="C345" s="208"/>
      <c r="D345" s="208"/>
      <c r="E345" s="208"/>
      <c r="F345" s="208"/>
      <c r="G345" s="208"/>
      <c r="H345" s="208"/>
      <c r="I345" s="263" t="str">
        <f t="shared" si="17"/>
        <v/>
      </c>
    </row>
    <row r="346" spans="3:9" ht="14.55" hidden="1" x14ac:dyDescent="0.3">
      <c r="C346" s="208"/>
      <c r="D346" s="208"/>
      <c r="E346" s="208"/>
      <c r="F346" s="208"/>
      <c r="G346" s="208"/>
      <c r="H346" s="208"/>
      <c r="I346" s="263" t="str">
        <f t="shared" si="17"/>
        <v/>
      </c>
    </row>
    <row r="347" spans="3:9" ht="14.55" hidden="1" x14ac:dyDescent="0.3">
      <c r="C347" s="208"/>
      <c r="D347" s="208"/>
      <c r="E347" s="208"/>
      <c r="F347" s="208"/>
      <c r="G347" s="208"/>
      <c r="H347" s="208"/>
      <c r="I347" s="263" t="str">
        <f t="shared" si="17"/>
        <v/>
      </c>
    </row>
    <row r="348" spans="3:9" ht="14.55" hidden="1" x14ac:dyDescent="0.3">
      <c r="C348" s="208"/>
      <c r="D348" s="208"/>
      <c r="E348" s="208"/>
      <c r="F348" s="208"/>
      <c r="G348" s="208"/>
      <c r="H348" s="208"/>
      <c r="I348" s="263" t="str">
        <f t="shared" si="17"/>
        <v/>
      </c>
    </row>
    <row r="349" spans="3:9" ht="14.55" hidden="1" x14ac:dyDescent="0.3">
      <c r="C349" s="208"/>
      <c r="D349" s="208"/>
      <c r="E349" s="208"/>
      <c r="F349" s="208"/>
      <c r="G349" s="208"/>
      <c r="H349" s="208"/>
      <c r="I349" s="263" t="str">
        <f t="shared" si="17"/>
        <v/>
      </c>
    </row>
    <row r="350" spans="3:9" ht="14.55" hidden="1" x14ac:dyDescent="0.3">
      <c r="C350" s="208"/>
      <c r="D350" s="208"/>
      <c r="E350" s="208"/>
      <c r="F350" s="208"/>
      <c r="G350" s="208"/>
      <c r="H350" s="208"/>
      <c r="I350" s="263" t="str">
        <f t="shared" si="17"/>
        <v/>
      </c>
    </row>
    <row r="351" spans="3:9" ht="14.55" hidden="1" x14ac:dyDescent="0.3">
      <c r="C351" s="208"/>
      <c r="D351" s="208"/>
      <c r="E351" s="208"/>
      <c r="F351" s="208"/>
      <c r="G351" s="208"/>
      <c r="H351" s="208"/>
      <c r="I351" s="263" t="str">
        <f t="shared" si="17"/>
        <v/>
      </c>
    </row>
    <row r="352" spans="3:9" ht="14.55" hidden="1" x14ac:dyDescent="0.3">
      <c r="C352" s="208"/>
      <c r="D352" s="208"/>
      <c r="E352" s="208"/>
      <c r="F352" s="208"/>
      <c r="G352" s="208"/>
      <c r="H352" s="208"/>
      <c r="I352" s="263" t="str">
        <f t="shared" si="17"/>
        <v/>
      </c>
    </row>
    <row r="353" spans="3:9" ht="14.55" hidden="1" x14ac:dyDescent="0.3">
      <c r="C353" s="208"/>
      <c r="D353" s="208"/>
      <c r="E353" s="208"/>
      <c r="F353" s="208"/>
      <c r="G353" s="208"/>
      <c r="H353" s="208"/>
      <c r="I353" s="263" t="str">
        <f t="shared" si="17"/>
        <v/>
      </c>
    </row>
    <row r="354" spans="3:9" ht="14.55" hidden="1" x14ac:dyDescent="0.3">
      <c r="C354" s="208"/>
      <c r="D354" s="208"/>
      <c r="E354" s="208"/>
      <c r="F354" s="208"/>
      <c r="G354" s="208"/>
      <c r="H354" s="208"/>
      <c r="I354" s="263" t="str">
        <f t="shared" si="17"/>
        <v/>
      </c>
    </row>
    <row r="355" spans="3:9" ht="14.55" hidden="1" x14ac:dyDescent="0.3">
      <c r="C355" s="208"/>
      <c r="D355" s="208"/>
      <c r="E355" s="208"/>
      <c r="F355" s="208"/>
      <c r="G355" s="208"/>
      <c r="H355" s="208"/>
      <c r="I355" s="263" t="str">
        <f t="shared" si="17"/>
        <v/>
      </c>
    </row>
    <row r="356" spans="3:9" ht="14.55" hidden="1" x14ac:dyDescent="0.3">
      <c r="C356" s="208"/>
      <c r="D356" s="208"/>
      <c r="E356" s="208"/>
      <c r="F356" s="208"/>
      <c r="G356" s="208"/>
      <c r="H356" s="208"/>
      <c r="I356" s="263" t="str">
        <f t="shared" si="17"/>
        <v/>
      </c>
    </row>
    <row r="357" spans="3:9" ht="14.55" hidden="1" x14ac:dyDescent="0.3">
      <c r="C357" s="208"/>
      <c r="D357" s="208"/>
      <c r="E357" s="208"/>
      <c r="F357" s="208"/>
      <c r="G357" s="208"/>
      <c r="H357" s="208"/>
      <c r="I357" s="263" t="str">
        <f t="shared" si="17"/>
        <v/>
      </c>
    </row>
    <row r="358" spans="3:9" ht="14.55" hidden="1" x14ac:dyDescent="0.3">
      <c r="C358" s="208"/>
      <c r="D358" s="208"/>
      <c r="E358" s="208"/>
      <c r="F358" s="208"/>
      <c r="G358" s="208"/>
      <c r="H358" s="208"/>
      <c r="I358" s="263" t="str">
        <f t="shared" si="17"/>
        <v/>
      </c>
    </row>
    <row r="359" spans="3:9" ht="14.55" hidden="1" x14ac:dyDescent="0.3">
      <c r="C359" s="208"/>
      <c r="D359" s="208"/>
      <c r="E359" s="208"/>
      <c r="F359" s="208"/>
      <c r="G359" s="208"/>
      <c r="H359" s="208"/>
      <c r="I359" s="263" t="str">
        <f t="shared" si="17"/>
        <v/>
      </c>
    </row>
    <row r="360" spans="3:9" ht="14.55" hidden="1" x14ac:dyDescent="0.3">
      <c r="C360" s="208"/>
      <c r="D360" s="208"/>
      <c r="E360" s="208"/>
      <c r="F360" s="208"/>
      <c r="G360" s="208"/>
      <c r="H360" s="208"/>
      <c r="I360" s="263" t="str">
        <f t="shared" si="17"/>
        <v/>
      </c>
    </row>
    <row r="361" spans="3:9" ht="14.55" hidden="1" x14ac:dyDescent="0.3">
      <c r="C361" s="208"/>
      <c r="D361" s="208"/>
      <c r="E361" s="208"/>
      <c r="F361" s="208"/>
      <c r="G361" s="208"/>
      <c r="H361" s="208"/>
      <c r="I361" s="263" t="str">
        <f t="shared" si="17"/>
        <v/>
      </c>
    </row>
    <row r="362" spans="3:9" ht="14.55" hidden="1" x14ac:dyDescent="0.3">
      <c r="C362" s="208"/>
      <c r="D362" s="208"/>
      <c r="E362" s="208"/>
      <c r="F362" s="208"/>
      <c r="G362" s="208"/>
      <c r="H362" s="208"/>
      <c r="I362" s="263" t="str">
        <f t="shared" si="17"/>
        <v/>
      </c>
    </row>
    <row r="363" spans="3:9" ht="14.55" hidden="1" x14ac:dyDescent="0.3">
      <c r="C363" s="208"/>
      <c r="D363" s="208"/>
      <c r="E363" s="208"/>
      <c r="F363" s="208"/>
      <c r="G363" s="208"/>
      <c r="H363" s="208"/>
      <c r="I363" s="263" t="str">
        <f t="shared" si="17"/>
        <v/>
      </c>
    </row>
    <row r="364" spans="3:9" ht="14.55" hidden="1" x14ac:dyDescent="0.3">
      <c r="C364" s="208"/>
      <c r="D364" s="208"/>
      <c r="E364" s="208"/>
      <c r="F364" s="208"/>
      <c r="G364" s="208"/>
      <c r="H364" s="208"/>
      <c r="I364" s="263" t="str">
        <f t="shared" si="17"/>
        <v/>
      </c>
    </row>
    <row r="365" spans="3:9" ht="14.55" hidden="1" x14ac:dyDescent="0.3">
      <c r="C365" s="208"/>
      <c r="D365" s="208"/>
      <c r="E365" s="208"/>
      <c r="F365" s="208"/>
      <c r="G365" s="208"/>
      <c r="H365" s="208"/>
      <c r="I365" s="263" t="str">
        <f t="shared" si="17"/>
        <v/>
      </c>
    </row>
    <row r="366" spans="3:9" ht="14.55" hidden="1" x14ac:dyDescent="0.3">
      <c r="C366" s="208"/>
      <c r="D366" s="208"/>
      <c r="E366" s="208"/>
      <c r="F366" s="208"/>
      <c r="G366" s="208"/>
      <c r="H366" s="208"/>
      <c r="I366" s="263" t="str">
        <f t="shared" si="17"/>
        <v/>
      </c>
    </row>
    <row r="367" spans="3:9" ht="14.55" hidden="1" x14ac:dyDescent="0.3">
      <c r="C367" s="208"/>
      <c r="D367" s="208"/>
      <c r="E367" s="208"/>
      <c r="F367" s="208"/>
      <c r="G367" s="208"/>
      <c r="H367" s="208"/>
      <c r="I367" s="263" t="str">
        <f t="shared" si="17"/>
        <v/>
      </c>
    </row>
    <row r="368" spans="3:9" ht="14.55" hidden="1" x14ac:dyDescent="0.3">
      <c r="C368" s="208"/>
      <c r="D368" s="208"/>
      <c r="E368" s="208"/>
      <c r="F368" s="208"/>
      <c r="G368" s="208"/>
      <c r="H368" s="208"/>
      <c r="I368" s="263" t="str">
        <f t="shared" si="17"/>
        <v/>
      </c>
    </row>
    <row r="369" spans="3:9" ht="14.55" hidden="1" x14ac:dyDescent="0.3">
      <c r="C369" s="208"/>
      <c r="D369" s="208"/>
      <c r="E369" s="208"/>
      <c r="F369" s="208"/>
      <c r="G369" s="208"/>
      <c r="H369" s="208"/>
      <c r="I369" s="263" t="str">
        <f t="shared" si="17"/>
        <v/>
      </c>
    </row>
    <row r="370" spans="3:9" ht="14.55" hidden="1" x14ac:dyDescent="0.3">
      <c r="C370" s="208"/>
      <c r="D370" s="208"/>
      <c r="E370" s="208"/>
      <c r="F370" s="208"/>
      <c r="G370" s="208"/>
      <c r="H370" s="208"/>
      <c r="I370" s="263" t="str">
        <f t="shared" si="17"/>
        <v/>
      </c>
    </row>
    <row r="371" spans="3:9" ht="14.55" hidden="1" x14ac:dyDescent="0.3">
      <c r="C371" s="208"/>
      <c r="D371" s="208"/>
      <c r="E371" s="208"/>
      <c r="F371" s="208"/>
      <c r="G371" s="208"/>
      <c r="H371" s="208"/>
      <c r="I371" s="263" t="str">
        <f t="shared" si="17"/>
        <v/>
      </c>
    </row>
    <row r="372" spans="3:9" ht="14.55" hidden="1" x14ac:dyDescent="0.3">
      <c r="C372" s="208"/>
      <c r="D372" s="208"/>
      <c r="E372" s="208"/>
      <c r="F372" s="208"/>
      <c r="G372" s="208"/>
      <c r="H372" s="208"/>
      <c r="I372" s="263" t="str">
        <f t="shared" si="17"/>
        <v/>
      </c>
    </row>
    <row r="373" spans="3:9" ht="14.55" hidden="1" x14ac:dyDescent="0.3">
      <c r="C373" s="208"/>
      <c r="D373" s="208"/>
      <c r="E373" s="208"/>
      <c r="F373" s="208"/>
      <c r="G373" s="208"/>
      <c r="H373" s="208"/>
      <c r="I373" s="263" t="str">
        <f t="shared" si="17"/>
        <v/>
      </c>
    </row>
    <row r="374" spans="3:9" ht="14.55" hidden="1" x14ac:dyDescent="0.3">
      <c r="C374" s="208"/>
      <c r="D374" s="208"/>
      <c r="E374" s="208"/>
      <c r="F374" s="208"/>
      <c r="G374" s="208"/>
      <c r="H374" s="208"/>
      <c r="I374" s="263" t="str">
        <f t="shared" si="17"/>
        <v/>
      </c>
    </row>
    <row r="375" spans="3:9" ht="14.55" hidden="1" x14ac:dyDescent="0.3">
      <c r="C375" s="208"/>
      <c r="D375" s="208"/>
      <c r="E375" s="208"/>
      <c r="F375" s="208"/>
      <c r="G375" s="208"/>
      <c r="H375" s="208"/>
      <c r="I375" s="263" t="str">
        <f t="shared" si="17"/>
        <v/>
      </c>
    </row>
    <row r="376" spans="3:9" ht="14.55" hidden="1" x14ac:dyDescent="0.3">
      <c r="C376" s="208"/>
      <c r="D376" s="208"/>
      <c r="E376" s="208"/>
      <c r="F376" s="208"/>
      <c r="G376" s="208"/>
      <c r="H376" s="208"/>
      <c r="I376" s="263" t="str">
        <f t="shared" si="17"/>
        <v/>
      </c>
    </row>
    <row r="377" spans="3:9" ht="14.55" hidden="1" x14ac:dyDescent="0.3">
      <c r="C377" s="208"/>
      <c r="D377" s="208"/>
      <c r="E377" s="208"/>
      <c r="F377" s="208"/>
      <c r="G377" s="208"/>
      <c r="H377" s="208"/>
      <c r="I377" s="263" t="str">
        <f t="shared" si="17"/>
        <v/>
      </c>
    </row>
    <row r="378" spans="3:9" ht="14.55" hidden="1" x14ac:dyDescent="0.3">
      <c r="C378" s="208"/>
      <c r="D378" s="208"/>
      <c r="E378" s="208"/>
      <c r="F378" s="208"/>
      <c r="G378" s="208"/>
      <c r="H378" s="208"/>
      <c r="I378" s="263" t="str">
        <f t="shared" si="17"/>
        <v/>
      </c>
    </row>
    <row r="379" spans="3:9" ht="14.55" hidden="1" x14ac:dyDescent="0.3">
      <c r="C379" s="208"/>
      <c r="D379" s="208"/>
      <c r="E379" s="208"/>
      <c r="F379" s="208"/>
      <c r="G379" s="208"/>
      <c r="H379" s="208"/>
      <c r="I379" s="263" t="str">
        <f t="shared" si="17"/>
        <v/>
      </c>
    </row>
    <row r="380" spans="3:9" ht="14.55" hidden="1" x14ac:dyDescent="0.3">
      <c r="C380" s="208"/>
      <c r="D380" s="208"/>
      <c r="E380" s="208"/>
      <c r="F380" s="208"/>
      <c r="G380" s="208"/>
      <c r="H380" s="208"/>
      <c r="I380" s="263" t="str">
        <f t="shared" si="17"/>
        <v/>
      </c>
    </row>
    <row r="381" spans="3:9" ht="14.55" hidden="1" x14ac:dyDescent="0.3">
      <c r="C381" s="208"/>
      <c r="D381" s="208"/>
      <c r="E381" s="208"/>
      <c r="F381" s="208"/>
      <c r="G381" s="208"/>
      <c r="H381" s="208"/>
      <c r="I381" s="263" t="str">
        <f t="shared" si="17"/>
        <v/>
      </c>
    </row>
    <row r="382" spans="3:9" ht="14.55" hidden="1" x14ac:dyDescent="0.3">
      <c r="C382" s="208"/>
      <c r="D382" s="208"/>
      <c r="E382" s="208"/>
      <c r="F382" s="208"/>
      <c r="G382" s="208"/>
      <c r="H382" s="208"/>
      <c r="I382" s="263" t="str">
        <f t="shared" ref="I382:I445" si="18">IF(H382=0,"",D382)</f>
        <v/>
      </c>
    </row>
    <row r="383" spans="3:9" ht="14.55" hidden="1" x14ac:dyDescent="0.3">
      <c r="C383" s="208"/>
      <c r="D383" s="208"/>
      <c r="E383" s="208"/>
      <c r="F383" s="208"/>
      <c r="G383" s="208"/>
      <c r="H383" s="208"/>
      <c r="I383" s="263" t="str">
        <f t="shared" si="18"/>
        <v/>
      </c>
    </row>
    <row r="384" spans="3:9" ht="14.55" hidden="1" x14ac:dyDescent="0.3">
      <c r="C384" s="208"/>
      <c r="D384" s="208"/>
      <c r="E384" s="208"/>
      <c r="F384" s="208"/>
      <c r="G384" s="208"/>
      <c r="H384" s="208"/>
      <c r="I384" s="263" t="str">
        <f t="shared" si="18"/>
        <v/>
      </c>
    </row>
    <row r="385" spans="3:9" ht="14.55" hidden="1" x14ac:dyDescent="0.3">
      <c r="C385" s="208"/>
      <c r="D385" s="208"/>
      <c r="E385" s="208"/>
      <c r="F385" s="208"/>
      <c r="G385" s="208"/>
      <c r="H385" s="208"/>
      <c r="I385" s="263" t="str">
        <f t="shared" si="18"/>
        <v/>
      </c>
    </row>
    <row r="386" spans="3:9" ht="14.55" hidden="1" x14ac:dyDescent="0.3">
      <c r="C386" s="208"/>
      <c r="D386" s="208"/>
      <c r="E386" s="208"/>
      <c r="F386" s="208"/>
      <c r="G386" s="208"/>
      <c r="H386" s="208"/>
      <c r="I386" s="263" t="str">
        <f t="shared" si="18"/>
        <v/>
      </c>
    </row>
    <row r="387" spans="3:9" ht="14.55" hidden="1" x14ac:dyDescent="0.3">
      <c r="C387" s="208"/>
      <c r="D387" s="208"/>
      <c r="E387" s="208"/>
      <c r="F387" s="208"/>
      <c r="G387" s="208"/>
      <c r="H387" s="208"/>
      <c r="I387" s="263" t="str">
        <f t="shared" si="18"/>
        <v/>
      </c>
    </row>
    <row r="388" spans="3:9" ht="14.55" hidden="1" x14ac:dyDescent="0.3">
      <c r="C388" s="208"/>
      <c r="D388" s="208"/>
      <c r="E388" s="208"/>
      <c r="F388" s="208"/>
      <c r="G388" s="208"/>
      <c r="H388" s="208"/>
      <c r="I388" s="263" t="str">
        <f t="shared" si="18"/>
        <v/>
      </c>
    </row>
    <row r="389" spans="3:9" ht="14.55" hidden="1" x14ac:dyDescent="0.3">
      <c r="C389" s="208"/>
      <c r="D389" s="208"/>
      <c r="E389" s="208"/>
      <c r="F389" s="208"/>
      <c r="G389" s="208"/>
      <c r="H389" s="208"/>
      <c r="I389" s="263" t="str">
        <f t="shared" si="18"/>
        <v/>
      </c>
    </row>
    <row r="390" spans="3:9" ht="14.55" hidden="1" x14ac:dyDescent="0.3">
      <c r="C390" s="208"/>
      <c r="D390" s="208"/>
      <c r="E390" s="208"/>
      <c r="F390" s="208"/>
      <c r="G390" s="208"/>
      <c r="H390" s="208"/>
      <c r="I390" s="263" t="str">
        <f t="shared" si="18"/>
        <v/>
      </c>
    </row>
    <row r="391" spans="3:9" ht="14.55" hidden="1" x14ac:dyDescent="0.3">
      <c r="C391" s="208"/>
      <c r="D391" s="208"/>
      <c r="E391" s="208"/>
      <c r="F391" s="208"/>
      <c r="G391" s="208"/>
      <c r="H391" s="208"/>
      <c r="I391" s="263" t="str">
        <f t="shared" si="18"/>
        <v/>
      </c>
    </row>
    <row r="392" spans="3:9" ht="14.55" hidden="1" x14ac:dyDescent="0.3">
      <c r="C392" s="208"/>
      <c r="D392" s="208"/>
      <c r="E392" s="208"/>
      <c r="F392" s="208"/>
      <c r="G392" s="208"/>
      <c r="H392" s="208"/>
      <c r="I392" s="263" t="str">
        <f t="shared" si="18"/>
        <v/>
      </c>
    </row>
    <row r="393" spans="3:9" ht="14.55" hidden="1" x14ac:dyDescent="0.3">
      <c r="C393" s="208"/>
      <c r="D393" s="208"/>
      <c r="E393" s="208"/>
      <c r="F393" s="208"/>
      <c r="G393" s="208"/>
      <c r="H393" s="208"/>
      <c r="I393" s="263" t="str">
        <f t="shared" si="18"/>
        <v/>
      </c>
    </row>
    <row r="394" spans="3:9" ht="14.55" hidden="1" x14ac:dyDescent="0.3">
      <c r="C394" s="208"/>
      <c r="D394" s="208"/>
      <c r="E394" s="208"/>
      <c r="F394" s="208"/>
      <c r="G394" s="208"/>
      <c r="H394" s="208"/>
      <c r="I394" s="263" t="str">
        <f t="shared" si="18"/>
        <v/>
      </c>
    </row>
    <row r="395" spans="3:9" ht="14.55" hidden="1" x14ac:dyDescent="0.3">
      <c r="C395" s="208"/>
      <c r="D395" s="208"/>
      <c r="E395" s="208"/>
      <c r="F395" s="208"/>
      <c r="G395" s="208"/>
      <c r="H395" s="208"/>
      <c r="I395" s="263" t="str">
        <f t="shared" si="18"/>
        <v/>
      </c>
    </row>
    <row r="396" spans="3:9" ht="14.55" hidden="1" x14ac:dyDescent="0.3">
      <c r="C396" s="208"/>
      <c r="D396" s="208"/>
      <c r="E396" s="208"/>
      <c r="F396" s="208"/>
      <c r="G396" s="208"/>
      <c r="H396" s="208"/>
      <c r="I396" s="263" t="str">
        <f t="shared" si="18"/>
        <v/>
      </c>
    </row>
    <row r="397" spans="3:9" ht="14.55" hidden="1" x14ac:dyDescent="0.3">
      <c r="C397" s="208"/>
      <c r="D397" s="208"/>
      <c r="E397" s="208"/>
      <c r="F397" s="208"/>
      <c r="G397" s="208"/>
      <c r="H397" s="208"/>
      <c r="I397" s="263" t="str">
        <f t="shared" si="18"/>
        <v/>
      </c>
    </row>
    <row r="398" spans="3:9" ht="14.55" hidden="1" x14ac:dyDescent="0.3">
      <c r="C398" s="208"/>
      <c r="D398" s="208"/>
      <c r="E398" s="208"/>
      <c r="F398" s="208"/>
      <c r="G398" s="208"/>
      <c r="H398" s="208"/>
      <c r="I398" s="263" t="str">
        <f t="shared" si="18"/>
        <v/>
      </c>
    </row>
    <row r="399" spans="3:9" ht="14.55" hidden="1" x14ac:dyDescent="0.3">
      <c r="C399" s="208"/>
      <c r="D399" s="208"/>
      <c r="E399" s="208"/>
      <c r="F399" s="208"/>
      <c r="G399" s="208"/>
      <c r="H399" s="208"/>
      <c r="I399" s="263" t="str">
        <f t="shared" si="18"/>
        <v/>
      </c>
    </row>
    <row r="400" spans="3:9" ht="14.55" hidden="1" x14ac:dyDescent="0.3">
      <c r="C400" s="208"/>
      <c r="D400" s="208"/>
      <c r="E400" s="208"/>
      <c r="F400" s="208"/>
      <c r="G400" s="208"/>
      <c r="H400" s="208"/>
      <c r="I400" s="263" t="str">
        <f t="shared" si="18"/>
        <v/>
      </c>
    </row>
    <row r="401" spans="3:9" ht="14.55" hidden="1" x14ac:dyDescent="0.3">
      <c r="C401" s="208"/>
      <c r="D401" s="208"/>
      <c r="E401" s="208"/>
      <c r="F401" s="208"/>
      <c r="G401" s="208"/>
      <c r="H401" s="208"/>
      <c r="I401" s="263" t="str">
        <f t="shared" si="18"/>
        <v/>
      </c>
    </row>
    <row r="402" spans="3:9" ht="14.55" hidden="1" x14ac:dyDescent="0.3">
      <c r="C402" s="208"/>
      <c r="D402" s="208"/>
      <c r="E402" s="208"/>
      <c r="F402" s="208"/>
      <c r="G402" s="208"/>
      <c r="H402" s="208"/>
      <c r="I402" s="263" t="str">
        <f t="shared" si="18"/>
        <v/>
      </c>
    </row>
    <row r="403" spans="3:9" ht="14.55" hidden="1" x14ac:dyDescent="0.3">
      <c r="C403" s="208"/>
      <c r="D403" s="208"/>
      <c r="E403" s="208"/>
      <c r="F403" s="208"/>
      <c r="G403" s="208"/>
      <c r="H403" s="208"/>
      <c r="I403" s="263" t="str">
        <f t="shared" si="18"/>
        <v/>
      </c>
    </row>
    <row r="404" spans="3:9" ht="14.55" hidden="1" x14ac:dyDescent="0.3">
      <c r="C404" s="208"/>
      <c r="D404" s="208"/>
      <c r="E404" s="208"/>
      <c r="F404" s="208"/>
      <c r="G404" s="208"/>
      <c r="H404" s="208"/>
      <c r="I404" s="263" t="str">
        <f t="shared" si="18"/>
        <v/>
      </c>
    </row>
    <row r="405" spans="3:9" ht="14.55" hidden="1" x14ac:dyDescent="0.3">
      <c r="C405" s="208"/>
      <c r="D405" s="208"/>
      <c r="E405" s="208"/>
      <c r="F405" s="208"/>
      <c r="G405" s="208"/>
      <c r="H405" s="208"/>
      <c r="I405" s="263" t="str">
        <f t="shared" si="18"/>
        <v/>
      </c>
    </row>
    <row r="406" spans="3:9" ht="14.55" hidden="1" x14ac:dyDescent="0.3">
      <c r="C406" s="208"/>
      <c r="D406" s="208"/>
      <c r="E406" s="208"/>
      <c r="F406" s="208"/>
      <c r="G406" s="208"/>
      <c r="H406" s="208"/>
      <c r="I406" s="263" t="str">
        <f t="shared" si="18"/>
        <v/>
      </c>
    </row>
    <row r="407" spans="3:9" ht="14.55" hidden="1" x14ac:dyDescent="0.3">
      <c r="C407" s="208"/>
      <c r="D407" s="208"/>
      <c r="E407" s="208"/>
      <c r="F407" s="208"/>
      <c r="G407" s="208"/>
      <c r="H407" s="208"/>
      <c r="I407" s="263" t="str">
        <f t="shared" si="18"/>
        <v/>
      </c>
    </row>
    <row r="408" spans="3:9" ht="14.55" hidden="1" x14ac:dyDescent="0.3">
      <c r="C408" s="208"/>
      <c r="D408" s="208"/>
      <c r="E408" s="208"/>
      <c r="F408" s="208"/>
      <c r="G408" s="208"/>
      <c r="H408" s="208"/>
      <c r="I408" s="263" t="str">
        <f t="shared" si="18"/>
        <v/>
      </c>
    </row>
    <row r="409" spans="3:9" ht="14.55" hidden="1" x14ac:dyDescent="0.3">
      <c r="C409" s="208"/>
      <c r="D409" s="208"/>
      <c r="E409" s="208"/>
      <c r="F409" s="208"/>
      <c r="G409" s="208"/>
      <c r="H409" s="208"/>
      <c r="I409" s="263" t="str">
        <f t="shared" si="18"/>
        <v/>
      </c>
    </row>
    <row r="410" spans="3:9" ht="14.55" hidden="1" x14ac:dyDescent="0.3">
      <c r="C410" s="208"/>
      <c r="D410" s="208"/>
      <c r="E410" s="208"/>
      <c r="F410" s="208"/>
      <c r="G410" s="208"/>
      <c r="H410" s="208"/>
      <c r="I410" s="263" t="str">
        <f t="shared" si="18"/>
        <v/>
      </c>
    </row>
    <row r="411" spans="3:9" ht="14.55" hidden="1" x14ac:dyDescent="0.3">
      <c r="C411" s="208"/>
      <c r="D411" s="208"/>
      <c r="E411" s="208"/>
      <c r="F411" s="208"/>
      <c r="G411" s="208"/>
      <c r="H411" s="208"/>
      <c r="I411" s="263" t="str">
        <f t="shared" si="18"/>
        <v/>
      </c>
    </row>
    <row r="412" spans="3:9" ht="14.55" hidden="1" x14ac:dyDescent="0.3">
      <c r="C412" s="208"/>
      <c r="D412" s="208"/>
      <c r="E412" s="208"/>
      <c r="F412" s="208"/>
      <c r="G412" s="208"/>
      <c r="H412" s="208"/>
      <c r="I412" s="263" t="str">
        <f t="shared" si="18"/>
        <v/>
      </c>
    </row>
    <row r="413" spans="3:9" ht="14.55" hidden="1" x14ac:dyDescent="0.3">
      <c r="C413" s="208"/>
      <c r="D413" s="208"/>
      <c r="E413" s="208"/>
      <c r="F413" s="208"/>
      <c r="G413" s="208"/>
      <c r="H413" s="208"/>
      <c r="I413" s="263" t="str">
        <f t="shared" si="18"/>
        <v/>
      </c>
    </row>
    <row r="414" spans="3:9" ht="14.55" hidden="1" x14ac:dyDescent="0.3">
      <c r="C414" s="208"/>
      <c r="D414" s="208"/>
      <c r="E414" s="208"/>
      <c r="F414" s="208"/>
      <c r="G414" s="208"/>
      <c r="H414" s="208"/>
      <c r="I414" s="263" t="str">
        <f t="shared" si="18"/>
        <v/>
      </c>
    </row>
    <row r="415" spans="3:9" ht="14.55" hidden="1" x14ac:dyDescent="0.3">
      <c r="C415" s="208"/>
      <c r="D415" s="208"/>
      <c r="E415" s="208"/>
      <c r="F415" s="208"/>
      <c r="G415" s="208"/>
      <c r="H415" s="208"/>
      <c r="I415" s="263" t="str">
        <f t="shared" si="18"/>
        <v/>
      </c>
    </row>
    <row r="416" spans="3:9" ht="14.55" hidden="1" x14ac:dyDescent="0.3">
      <c r="C416" s="208"/>
      <c r="D416" s="208"/>
      <c r="E416" s="208"/>
      <c r="F416" s="208"/>
      <c r="G416" s="208"/>
      <c r="H416" s="208"/>
      <c r="I416" s="263" t="str">
        <f t="shared" si="18"/>
        <v/>
      </c>
    </row>
    <row r="417" spans="3:9" ht="14.55" hidden="1" x14ac:dyDescent="0.3">
      <c r="C417" s="208"/>
      <c r="D417" s="208"/>
      <c r="E417" s="208"/>
      <c r="F417" s="208"/>
      <c r="G417" s="208"/>
      <c r="H417" s="208"/>
      <c r="I417" s="263" t="str">
        <f t="shared" si="18"/>
        <v/>
      </c>
    </row>
    <row r="418" spans="3:9" ht="14.55" hidden="1" x14ac:dyDescent="0.3">
      <c r="C418" s="208"/>
      <c r="D418" s="208"/>
      <c r="E418" s="208"/>
      <c r="F418" s="208"/>
      <c r="G418" s="208"/>
      <c r="H418" s="208"/>
      <c r="I418" s="263" t="str">
        <f t="shared" si="18"/>
        <v/>
      </c>
    </row>
    <row r="419" spans="3:9" ht="14.55" hidden="1" x14ac:dyDescent="0.3">
      <c r="C419" s="208"/>
      <c r="D419" s="208"/>
      <c r="E419" s="208"/>
      <c r="F419" s="208"/>
      <c r="G419" s="208"/>
      <c r="H419" s="208"/>
      <c r="I419" s="263" t="str">
        <f t="shared" si="18"/>
        <v/>
      </c>
    </row>
    <row r="420" spans="3:9" ht="14.55" hidden="1" x14ac:dyDescent="0.3">
      <c r="C420" s="208"/>
      <c r="D420" s="208"/>
      <c r="E420" s="208"/>
      <c r="F420" s="208"/>
      <c r="G420" s="208"/>
      <c r="H420" s="208"/>
      <c r="I420" s="263" t="str">
        <f t="shared" si="18"/>
        <v/>
      </c>
    </row>
    <row r="421" spans="3:9" ht="14.55" hidden="1" x14ac:dyDescent="0.3">
      <c r="C421" s="208"/>
      <c r="D421" s="208"/>
      <c r="E421" s="208"/>
      <c r="F421" s="208"/>
      <c r="G421" s="208"/>
      <c r="H421" s="208"/>
      <c r="I421" s="263" t="str">
        <f t="shared" si="18"/>
        <v/>
      </c>
    </row>
    <row r="422" spans="3:9" ht="14.55" hidden="1" x14ac:dyDescent="0.3">
      <c r="C422" s="208"/>
      <c r="D422" s="208"/>
      <c r="E422" s="208"/>
      <c r="F422" s="208"/>
      <c r="G422" s="208"/>
      <c r="H422" s="208"/>
      <c r="I422" s="263" t="str">
        <f t="shared" si="18"/>
        <v/>
      </c>
    </row>
    <row r="423" spans="3:9" ht="14.55" hidden="1" x14ac:dyDescent="0.3">
      <c r="C423" s="208"/>
      <c r="D423" s="208"/>
      <c r="E423" s="208"/>
      <c r="F423" s="208"/>
      <c r="G423" s="208"/>
      <c r="H423" s="208"/>
      <c r="I423" s="263" t="str">
        <f t="shared" si="18"/>
        <v/>
      </c>
    </row>
    <row r="424" spans="3:9" ht="14.55" hidden="1" x14ac:dyDescent="0.3">
      <c r="C424" s="208"/>
      <c r="D424" s="208"/>
      <c r="E424" s="208"/>
      <c r="F424" s="208"/>
      <c r="G424" s="208"/>
      <c r="H424" s="208"/>
      <c r="I424" s="263" t="str">
        <f t="shared" si="18"/>
        <v/>
      </c>
    </row>
    <row r="425" spans="3:9" ht="14.55" hidden="1" x14ac:dyDescent="0.3">
      <c r="C425" s="208"/>
      <c r="D425" s="208"/>
      <c r="E425" s="208"/>
      <c r="F425" s="208"/>
      <c r="G425" s="208"/>
      <c r="H425" s="208"/>
      <c r="I425" s="263" t="str">
        <f t="shared" si="18"/>
        <v/>
      </c>
    </row>
    <row r="426" spans="3:9" ht="14.55" hidden="1" x14ac:dyDescent="0.3">
      <c r="C426" s="208"/>
      <c r="D426" s="208"/>
      <c r="E426" s="208"/>
      <c r="F426" s="208"/>
      <c r="G426" s="208"/>
      <c r="H426" s="208"/>
      <c r="I426" s="263" t="str">
        <f t="shared" si="18"/>
        <v/>
      </c>
    </row>
    <row r="427" spans="3:9" ht="14.55" hidden="1" x14ac:dyDescent="0.3">
      <c r="C427" s="208"/>
      <c r="D427" s="208"/>
      <c r="E427" s="208"/>
      <c r="F427" s="208"/>
      <c r="G427" s="208"/>
      <c r="H427" s="208"/>
      <c r="I427" s="263" t="str">
        <f t="shared" si="18"/>
        <v/>
      </c>
    </row>
    <row r="428" spans="3:9" ht="14.55" hidden="1" x14ac:dyDescent="0.3">
      <c r="C428" s="208"/>
      <c r="D428" s="208"/>
      <c r="E428" s="208"/>
      <c r="F428" s="208"/>
      <c r="G428" s="208"/>
      <c r="H428" s="208"/>
      <c r="I428" s="263" t="str">
        <f t="shared" si="18"/>
        <v/>
      </c>
    </row>
    <row r="429" spans="3:9" ht="14.55" hidden="1" x14ac:dyDescent="0.3">
      <c r="C429" s="208"/>
      <c r="D429" s="208"/>
      <c r="E429" s="208"/>
      <c r="F429" s="208"/>
      <c r="G429" s="208"/>
      <c r="H429" s="208"/>
      <c r="I429" s="263" t="str">
        <f t="shared" si="18"/>
        <v/>
      </c>
    </row>
    <row r="430" spans="3:9" ht="14.55" hidden="1" x14ac:dyDescent="0.3">
      <c r="C430" s="208"/>
      <c r="D430" s="208"/>
      <c r="E430" s="208"/>
      <c r="F430" s="208"/>
      <c r="G430" s="208"/>
      <c r="H430" s="208"/>
      <c r="I430" s="263" t="str">
        <f t="shared" si="18"/>
        <v/>
      </c>
    </row>
    <row r="431" spans="3:9" ht="14.55" hidden="1" x14ac:dyDescent="0.3">
      <c r="C431" s="208"/>
      <c r="D431" s="208"/>
      <c r="E431" s="208"/>
      <c r="F431" s="208"/>
      <c r="G431" s="208"/>
      <c r="H431" s="208"/>
      <c r="I431" s="263" t="str">
        <f t="shared" si="18"/>
        <v/>
      </c>
    </row>
    <row r="432" spans="3:9" ht="14.55" hidden="1" x14ac:dyDescent="0.3">
      <c r="C432" s="208"/>
      <c r="D432" s="208"/>
      <c r="E432" s="208"/>
      <c r="F432" s="208"/>
      <c r="G432" s="208"/>
      <c r="H432" s="208"/>
      <c r="I432" s="263" t="str">
        <f t="shared" si="18"/>
        <v/>
      </c>
    </row>
    <row r="433" spans="3:9" ht="14.55" hidden="1" x14ac:dyDescent="0.3">
      <c r="C433" s="208"/>
      <c r="D433" s="208"/>
      <c r="E433" s="208"/>
      <c r="F433" s="208"/>
      <c r="G433" s="208"/>
      <c r="H433" s="208"/>
      <c r="I433" s="263" t="str">
        <f t="shared" si="18"/>
        <v/>
      </c>
    </row>
    <row r="434" spans="3:9" ht="14.55" hidden="1" x14ac:dyDescent="0.3">
      <c r="C434" s="208"/>
      <c r="D434" s="208"/>
      <c r="E434" s="208"/>
      <c r="F434" s="208"/>
      <c r="G434" s="208"/>
      <c r="H434" s="208"/>
      <c r="I434" s="263" t="str">
        <f t="shared" si="18"/>
        <v/>
      </c>
    </row>
    <row r="435" spans="3:9" ht="14.55" hidden="1" x14ac:dyDescent="0.3">
      <c r="C435" s="208"/>
      <c r="D435" s="208"/>
      <c r="E435" s="208"/>
      <c r="F435" s="208"/>
      <c r="G435" s="208"/>
      <c r="H435" s="208"/>
      <c r="I435" s="263" t="str">
        <f t="shared" si="18"/>
        <v/>
      </c>
    </row>
    <row r="436" spans="3:9" ht="14.55" hidden="1" x14ac:dyDescent="0.3">
      <c r="C436" s="208"/>
      <c r="D436" s="208"/>
      <c r="E436" s="208"/>
      <c r="F436" s="208"/>
      <c r="G436" s="208"/>
      <c r="H436" s="208"/>
      <c r="I436" s="263" t="str">
        <f t="shared" si="18"/>
        <v/>
      </c>
    </row>
    <row r="437" spans="3:9" ht="14.55" hidden="1" x14ac:dyDescent="0.3">
      <c r="C437" s="208"/>
      <c r="D437" s="208"/>
      <c r="E437" s="208"/>
      <c r="F437" s="208"/>
      <c r="G437" s="208"/>
      <c r="H437" s="208"/>
      <c r="I437" s="263" t="str">
        <f t="shared" si="18"/>
        <v/>
      </c>
    </row>
    <row r="438" spans="3:9" ht="14.55" hidden="1" x14ac:dyDescent="0.3">
      <c r="C438" s="208"/>
      <c r="D438" s="208"/>
      <c r="E438" s="208"/>
      <c r="F438" s="208"/>
      <c r="G438" s="208"/>
      <c r="H438" s="208"/>
      <c r="I438" s="263" t="str">
        <f t="shared" si="18"/>
        <v/>
      </c>
    </row>
    <row r="439" spans="3:9" ht="14.55" hidden="1" x14ac:dyDescent="0.3">
      <c r="C439" s="208"/>
      <c r="D439" s="208"/>
      <c r="E439" s="208"/>
      <c r="F439" s="208"/>
      <c r="G439" s="208"/>
      <c r="H439" s="208"/>
      <c r="I439" s="263" t="str">
        <f t="shared" si="18"/>
        <v/>
      </c>
    </row>
    <row r="440" spans="3:9" ht="14.55" hidden="1" x14ac:dyDescent="0.3">
      <c r="C440" s="208"/>
      <c r="D440" s="208"/>
      <c r="E440" s="208"/>
      <c r="F440" s="208"/>
      <c r="G440" s="208"/>
      <c r="H440" s="208"/>
      <c r="I440" s="263" t="str">
        <f t="shared" si="18"/>
        <v/>
      </c>
    </row>
    <row r="441" spans="3:9" ht="14.55" hidden="1" x14ac:dyDescent="0.3">
      <c r="C441" s="208"/>
      <c r="D441" s="208"/>
      <c r="E441" s="208"/>
      <c r="F441" s="208"/>
      <c r="G441" s="208"/>
      <c r="H441" s="208"/>
      <c r="I441" s="263" t="str">
        <f t="shared" si="18"/>
        <v/>
      </c>
    </row>
    <row r="442" spans="3:9" ht="14.55" hidden="1" x14ac:dyDescent="0.3">
      <c r="C442" s="208"/>
      <c r="D442" s="208"/>
      <c r="E442" s="208"/>
      <c r="F442" s="208"/>
      <c r="G442" s="208"/>
      <c r="H442" s="208"/>
      <c r="I442" s="263" t="str">
        <f t="shared" si="18"/>
        <v/>
      </c>
    </row>
    <row r="443" spans="3:9" ht="14.55" hidden="1" x14ac:dyDescent="0.3">
      <c r="C443" s="208"/>
      <c r="D443" s="208"/>
      <c r="E443" s="208"/>
      <c r="F443" s="208"/>
      <c r="G443" s="208"/>
      <c r="H443" s="208"/>
      <c r="I443" s="263" t="str">
        <f t="shared" si="18"/>
        <v/>
      </c>
    </row>
    <row r="444" spans="3:9" ht="14.55" hidden="1" x14ac:dyDescent="0.3">
      <c r="C444" s="208"/>
      <c r="D444" s="208"/>
      <c r="E444" s="208"/>
      <c r="F444" s="208"/>
      <c r="G444" s="208"/>
      <c r="H444" s="208"/>
      <c r="I444" s="263" t="str">
        <f t="shared" si="18"/>
        <v/>
      </c>
    </row>
    <row r="445" spans="3:9" ht="14.55" hidden="1" x14ac:dyDescent="0.3">
      <c r="C445" s="208"/>
      <c r="D445" s="208"/>
      <c r="E445" s="208"/>
      <c r="F445" s="208"/>
      <c r="G445" s="208"/>
      <c r="H445" s="208"/>
      <c r="I445" s="263" t="str">
        <f t="shared" si="18"/>
        <v/>
      </c>
    </row>
    <row r="446" spans="3:9" ht="14.55" hidden="1" x14ac:dyDescent="0.3">
      <c r="C446" s="208"/>
      <c r="D446" s="208"/>
      <c r="E446" s="208"/>
      <c r="F446" s="208"/>
      <c r="G446" s="208"/>
      <c r="H446" s="208"/>
      <c r="I446" s="263" t="str">
        <f t="shared" ref="I446:I509" si="19">IF(H446=0,"",D446)</f>
        <v/>
      </c>
    </row>
    <row r="447" spans="3:9" ht="14.55" hidden="1" x14ac:dyDescent="0.3">
      <c r="C447" s="208"/>
      <c r="D447" s="208"/>
      <c r="E447" s="208"/>
      <c r="F447" s="208"/>
      <c r="G447" s="208"/>
      <c r="H447" s="208"/>
      <c r="I447" s="263" t="str">
        <f t="shared" si="19"/>
        <v/>
      </c>
    </row>
    <row r="448" spans="3:9" ht="14.55" hidden="1" x14ac:dyDescent="0.3">
      <c r="C448" s="208"/>
      <c r="D448" s="208"/>
      <c r="E448" s="208"/>
      <c r="F448" s="208"/>
      <c r="G448" s="208"/>
      <c r="H448" s="208"/>
      <c r="I448" s="263" t="str">
        <f t="shared" si="19"/>
        <v/>
      </c>
    </row>
    <row r="449" spans="3:9" ht="14.55" hidden="1" x14ac:dyDescent="0.3">
      <c r="C449" s="208"/>
      <c r="D449" s="208"/>
      <c r="E449" s="208"/>
      <c r="F449" s="208"/>
      <c r="G449" s="208"/>
      <c r="H449" s="208"/>
      <c r="I449" s="263" t="str">
        <f t="shared" si="19"/>
        <v/>
      </c>
    </row>
    <row r="450" spans="3:9" ht="14.55" hidden="1" x14ac:dyDescent="0.3">
      <c r="C450" s="208"/>
      <c r="D450" s="208"/>
      <c r="E450" s="208"/>
      <c r="F450" s="208"/>
      <c r="G450" s="208"/>
      <c r="H450" s="208"/>
      <c r="I450" s="263" t="str">
        <f t="shared" si="19"/>
        <v/>
      </c>
    </row>
    <row r="451" spans="3:9" ht="14.55" hidden="1" x14ac:dyDescent="0.3">
      <c r="C451" s="208"/>
      <c r="D451" s="208"/>
      <c r="E451" s="208"/>
      <c r="F451" s="208"/>
      <c r="G451" s="208"/>
      <c r="H451" s="208"/>
      <c r="I451" s="263" t="str">
        <f t="shared" si="19"/>
        <v/>
      </c>
    </row>
    <row r="452" spans="3:9" ht="14.55" hidden="1" x14ac:dyDescent="0.3">
      <c r="C452" s="208"/>
      <c r="D452" s="208"/>
      <c r="E452" s="208"/>
      <c r="F452" s="208"/>
      <c r="G452" s="208"/>
      <c r="H452" s="208"/>
      <c r="I452" s="263" t="str">
        <f t="shared" si="19"/>
        <v/>
      </c>
    </row>
    <row r="453" spans="3:9" ht="14.55" hidden="1" x14ac:dyDescent="0.3">
      <c r="C453" s="208"/>
      <c r="D453" s="208"/>
      <c r="E453" s="208"/>
      <c r="F453" s="208"/>
      <c r="G453" s="208"/>
      <c r="H453" s="208"/>
      <c r="I453" s="263" t="str">
        <f t="shared" si="19"/>
        <v/>
      </c>
    </row>
    <row r="454" spans="3:9" ht="14.55" hidden="1" x14ac:dyDescent="0.3">
      <c r="C454" s="208"/>
      <c r="D454" s="208"/>
      <c r="E454" s="208"/>
      <c r="F454" s="208"/>
      <c r="G454" s="208"/>
      <c r="H454" s="208"/>
      <c r="I454" s="263" t="str">
        <f t="shared" si="19"/>
        <v/>
      </c>
    </row>
    <row r="455" spans="3:9" ht="14.55" hidden="1" x14ac:dyDescent="0.3">
      <c r="C455" s="208"/>
      <c r="D455" s="208"/>
      <c r="E455" s="208"/>
      <c r="F455" s="208"/>
      <c r="G455" s="208"/>
      <c r="H455" s="208"/>
      <c r="I455" s="263" t="str">
        <f t="shared" si="19"/>
        <v/>
      </c>
    </row>
    <row r="456" spans="3:9" ht="14.55" hidden="1" x14ac:dyDescent="0.3">
      <c r="C456" s="208"/>
      <c r="D456" s="208"/>
      <c r="E456" s="208"/>
      <c r="F456" s="208"/>
      <c r="G456" s="208"/>
      <c r="H456" s="208"/>
      <c r="I456" s="263" t="str">
        <f t="shared" si="19"/>
        <v/>
      </c>
    </row>
    <row r="457" spans="3:9" ht="14.55" hidden="1" x14ac:dyDescent="0.3">
      <c r="C457" s="208"/>
      <c r="D457" s="208"/>
      <c r="E457" s="208"/>
      <c r="F457" s="208"/>
      <c r="G457" s="208"/>
      <c r="H457" s="208"/>
      <c r="I457" s="263" t="str">
        <f t="shared" si="19"/>
        <v/>
      </c>
    </row>
    <row r="458" spans="3:9" ht="14.55" hidden="1" x14ac:dyDescent="0.3">
      <c r="C458" s="208"/>
      <c r="D458" s="208"/>
      <c r="E458" s="208"/>
      <c r="F458" s="208"/>
      <c r="G458" s="208"/>
      <c r="H458" s="208"/>
      <c r="I458" s="263" t="str">
        <f t="shared" si="19"/>
        <v/>
      </c>
    </row>
    <row r="459" spans="3:9" ht="14.55" hidden="1" x14ac:dyDescent="0.3">
      <c r="C459" s="208"/>
      <c r="D459" s="208"/>
      <c r="E459" s="208"/>
      <c r="F459" s="208"/>
      <c r="G459" s="208"/>
      <c r="H459" s="208"/>
      <c r="I459" s="263" t="str">
        <f t="shared" si="19"/>
        <v/>
      </c>
    </row>
    <row r="460" spans="3:9" ht="14.55" hidden="1" x14ac:dyDescent="0.3">
      <c r="C460" s="208"/>
      <c r="D460" s="208"/>
      <c r="E460" s="208"/>
      <c r="F460" s="208"/>
      <c r="G460" s="208"/>
      <c r="H460" s="208"/>
      <c r="I460" s="263" t="str">
        <f t="shared" si="19"/>
        <v/>
      </c>
    </row>
    <row r="461" spans="3:9" ht="14.55" hidden="1" x14ac:dyDescent="0.3">
      <c r="C461" s="208"/>
      <c r="D461" s="208"/>
      <c r="E461" s="208"/>
      <c r="F461" s="208"/>
      <c r="G461" s="208"/>
      <c r="H461" s="208"/>
      <c r="I461" s="263" t="str">
        <f t="shared" si="19"/>
        <v/>
      </c>
    </row>
    <row r="462" spans="3:9" ht="14.55" hidden="1" x14ac:dyDescent="0.3">
      <c r="C462" s="208"/>
      <c r="D462" s="208"/>
      <c r="E462" s="208"/>
      <c r="F462" s="208"/>
      <c r="G462" s="208"/>
      <c r="H462" s="208"/>
      <c r="I462" s="263" t="str">
        <f t="shared" si="19"/>
        <v/>
      </c>
    </row>
    <row r="463" spans="3:9" ht="14.55" hidden="1" x14ac:dyDescent="0.3">
      <c r="C463" s="208"/>
      <c r="D463" s="208"/>
      <c r="E463" s="208"/>
      <c r="F463" s="208"/>
      <c r="G463" s="208"/>
      <c r="H463" s="208"/>
      <c r="I463" s="263" t="str">
        <f t="shared" si="19"/>
        <v/>
      </c>
    </row>
    <row r="464" spans="3:9" ht="14.55" hidden="1" x14ac:dyDescent="0.3">
      <c r="C464" s="208"/>
      <c r="D464" s="208"/>
      <c r="E464" s="208"/>
      <c r="F464" s="208"/>
      <c r="G464" s="208"/>
      <c r="H464" s="208"/>
      <c r="I464" s="263" t="str">
        <f t="shared" si="19"/>
        <v/>
      </c>
    </row>
    <row r="465" spans="3:9" ht="14.55" hidden="1" x14ac:dyDescent="0.3">
      <c r="C465" s="208"/>
      <c r="D465" s="208"/>
      <c r="E465" s="208"/>
      <c r="F465" s="208"/>
      <c r="G465" s="208"/>
      <c r="H465" s="208"/>
      <c r="I465" s="263" t="str">
        <f t="shared" si="19"/>
        <v/>
      </c>
    </row>
    <row r="466" spans="3:9" ht="14.55" hidden="1" x14ac:dyDescent="0.3">
      <c r="C466" s="208"/>
      <c r="D466" s="208"/>
      <c r="E466" s="208"/>
      <c r="F466" s="208"/>
      <c r="G466" s="208"/>
      <c r="H466" s="208"/>
      <c r="I466" s="263" t="str">
        <f t="shared" si="19"/>
        <v/>
      </c>
    </row>
    <row r="467" spans="3:9" ht="14.55" hidden="1" x14ac:dyDescent="0.3">
      <c r="C467" s="208"/>
      <c r="D467" s="208"/>
      <c r="E467" s="208"/>
      <c r="F467" s="208"/>
      <c r="G467" s="208"/>
      <c r="H467" s="208"/>
      <c r="I467" s="263" t="str">
        <f t="shared" si="19"/>
        <v/>
      </c>
    </row>
    <row r="468" spans="3:9" ht="14.55" hidden="1" x14ac:dyDescent="0.3">
      <c r="C468" s="208"/>
      <c r="D468" s="208"/>
      <c r="E468" s="208"/>
      <c r="F468" s="208"/>
      <c r="G468" s="208"/>
      <c r="H468" s="208"/>
      <c r="I468" s="263" t="str">
        <f t="shared" si="19"/>
        <v/>
      </c>
    </row>
    <row r="469" spans="3:9" ht="14.55" hidden="1" x14ac:dyDescent="0.3">
      <c r="C469" s="208"/>
      <c r="D469" s="208"/>
      <c r="E469" s="208"/>
      <c r="F469" s="208"/>
      <c r="G469" s="208"/>
      <c r="H469" s="208"/>
      <c r="I469" s="263" t="str">
        <f t="shared" si="19"/>
        <v/>
      </c>
    </row>
    <row r="470" spans="3:9" ht="14.55" hidden="1" x14ac:dyDescent="0.3">
      <c r="C470" s="208"/>
      <c r="D470" s="208"/>
      <c r="E470" s="208"/>
      <c r="F470" s="208"/>
      <c r="G470" s="208"/>
      <c r="H470" s="208"/>
      <c r="I470" s="263" t="str">
        <f t="shared" si="19"/>
        <v/>
      </c>
    </row>
    <row r="471" spans="3:9" ht="14.55" hidden="1" x14ac:dyDescent="0.3">
      <c r="C471" s="208"/>
      <c r="D471" s="208"/>
      <c r="E471" s="208"/>
      <c r="F471" s="208"/>
      <c r="G471" s="208"/>
      <c r="H471" s="208"/>
      <c r="I471" s="263" t="str">
        <f t="shared" si="19"/>
        <v/>
      </c>
    </row>
    <row r="472" spans="3:9" ht="14.55" hidden="1" x14ac:dyDescent="0.3">
      <c r="C472" s="208"/>
      <c r="D472" s="208"/>
      <c r="E472" s="208"/>
      <c r="F472" s="208"/>
      <c r="G472" s="208"/>
      <c r="H472" s="208"/>
      <c r="I472" s="263" t="str">
        <f t="shared" si="19"/>
        <v/>
      </c>
    </row>
    <row r="473" spans="3:9" ht="14.55" hidden="1" x14ac:dyDescent="0.3">
      <c r="C473" s="208"/>
      <c r="D473" s="208"/>
      <c r="E473" s="208"/>
      <c r="F473" s="208"/>
      <c r="G473" s="208"/>
      <c r="H473" s="208"/>
      <c r="I473" s="263" t="str">
        <f t="shared" si="19"/>
        <v/>
      </c>
    </row>
    <row r="474" spans="3:9" ht="14.55" hidden="1" x14ac:dyDescent="0.3">
      <c r="C474" s="208"/>
      <c r="D474" s="208"/>
      <c r="E474" s="208"/>
      <c r="F474" s="208"/>
      <c r="G474" s="208"/>
      <c r="H474" s="208"/>
      <c r="I474" s="263" t="str">
        <f t="shared" si="19"/>
        <v/>
      </c>
    </row>
    <row r="475" spans="3:9" ht="14.55" hidden="1" x14ac:dyDescent="0.3">
      <c r="C475" s="208"/>
      <c r="D475" s="208"/>
      <c r="E475" s="208"/>
      <c r="F475" s="208"/>
      <c r="G475" s="208"/>
      <c r="H475" s="208"/>
      <c r="I475" s="263" t="str">
        <f t="shared" si="19"/>
        <v/>
      </c>
    </row>
    <row r="476" spans="3:9" ht="14.55" hidden="1" x14ac:dyDescent="0.3">
      <c r="C476" s="208"/>
      <c r="D476" s="208"/>
      <c r="E476" s="208"/>
      <c r="F476" s="208"/>
      <c r="G476" s="208"/>
      <c r="H476" s="208"/>
      <c r="I476" s="263" t="str">
        <f t="shared" si="19"/>
        <v/>
      </c>
    </row>
    <row r="477" spans="3:9" ht="14.55" hidden="1" x14ac:dyDescent="0.3">
      <c r="C477" s="208"/>
      <c r="D477" s="208"/>
      <c r="E477" s="208"/>
      <c r="F477" s="208"/>
      <c r="G477" s="208"/>
      <c r="H477" s="208"/>
      <c r="I477" s="263" t="str">
        <f t="shared" si="19"/>
        <v/>
      </c>
    </row>
    <row r="478" spans="3:9" ht="14.55" hidden="1" x14ac:dyDescent="0.3">
      <c r="C478" s="208"/>
      <c r="D478" s="208"/>
      <c r="E478" s="208"/>
      <c r="F478" s="208"/>
      <c r="G478" s="208"/>
      <c r="H478" s="208"/>
      <c r="I478" s="263" t="str">
        <f t="shared" si="19"/>
        <v/>
      </c>
    </row>
    <row r="479" spans="3:9" ht="14.55" hidden="1" x14ac:dyDescent="0.3">
      <c r="C479" s="208"/>
      <c r="D479" s="208"/>
      <c r="E479" s="208"/>
      <c r="F479" s="208"/>
      <c r="G479" s="208"/>
      <c r="H479" s="208"/>
      <c r="I479" s="263" t="str">
        <f t="shared" si="19"/>
        <v/>
      </c>
    </row>
    <row r="480" spans="3:9" ht="14.55" hidden="1" x14ac:dyDescent="0.3">
      <c r="C480" s="208"/>
      <c r="D480" s="208"/>
      <c r="E480" s="208"/>
      <c r="F480" s="208"/>
      <c r="G480" s="208"/>
      <c r="H480" s="208"/>
      <c r="I480" s="263" t="str">
        <f t="shared" si="19"/>
        <v/>
      </c>
    </row>
    <row r="481" spans="3:9" ht="14.55" hidden="1" x14ac:dyDescent="0.3">
      <c r="C481" s="208"/>
      <c r="D481" s="208"/>
      <c r="E481" s="208"/>
      <c r="F481" s="208"/>
      <c r="G481" s="208"/>
      <c r="H481" s="208"/>
      <c r="I481" s="263" t="str">
        <f t="shared" si="19"/>
        <v/>
      </c>
    </row>
    <row r="482" spans="3:9" ht="14.55" hidden="1" x14ac:dyDescent="0.3">
      <c r="C482" s="208"/>
      <c r="D482" s="208"/>
      <c r="E482" s="208"/>
      <c r="F482" s="208"/>
      <c r="G482" s="208"/>
      <c r="H482" s="208"/>
      <c r="I482" s="263" t="str">
        <f t="shared" si="19"/>
        <v/>
      </c>
    </row>
    <row r="483" spans="3:9" ht="14.55" hidden="1" x14ac:dyDescent="0.3">
      <c r="C483" s="208"/>
      <c r="D483" s="208"/>
      <c r="E483" s="208"/>
      <c r="F483" s="208"/>
      <c r="G483" s="208"/>
      <c r="H483" s="208"/>
      <c r="I483" s="263" t="str">
        <f t="shared" si="19"/>
        <v/>
      </c>
    </row>
    <row r="484" spans="3:9" ht="14.55" hidden="1" x14ac:dyDescent="0.3">
      <c r="C484" s="208"/>
      <c r="D484" s="208"/>
      <c r="E484" s="208"/>
      <c r="F484" s="208"/>
      <c r="G484" s="208"/>
      <c r="H484" s="208"/>
      <c r="I484" s="263" t="str">
        <f t="shared" si="19"/>
        <v/>
      </c>
    </row>
    <row r="485" spans="3:9" ht="14.55" hidden="1" x14ac:dyDescent="0.3">
      <c r="C485" s="208"/>
      <c r="D485" s="208"/>
      <c r="E485" s="208"/>
      <c r="F485" s="208"/>
      <c r="G485" s="208"/>
      <c r="H485" s="208"/>
      <c r="I485" s="263" t="str">
        <f t="shared" si="19"/>
        <v/>
      </c>
    </row>
    <row r="486" spans="3:9" ht="14.55" hidden="1" x14ac:dyDescent="0.3">
      <c r="C486" s="208"/>
      <c r="D486" s="208"/>
      <c r="E486" s="208"/>
      <c r="F486" s="208"/>
      <c r="G486" s="208"/>
      <c r="H486" s="208"/>
      <c r="I486" s="263" t="str">
        <f t="shared" si="19"/>
        <v/>
      </c>
    </row>
    <row r="487" spans="3:9" ht="14.55" hidden="1" x14ac:dyDescent="0.3">
      <c r="C487" s="208"/>
      <c r="D487" s="208"/>
      <c r="E487" s="208"/>
      <c r="F487" s="208"/>
      <c r="G487" s="208"/>
      <c r="H487" s="208"/>
      <c r="I487" s="263" t="str">
        <f t="shared" si="19"/>
        <v/>
      </c>
    </row>
    <row r="488" spans="3:9" ht="14.55" hidden="1" x14ac:dyDescent="0.3">
      <c r="C488" s="208"/>
      <c r="D488" s="208"/>
      <c r="E488" s="208"/>
      <c r="F488" s="208"/>
      <c r="G488" s="208"/>
      <c r="H488" s="208"/>
      <c r="I488" s="263" t="str">
        <f t="shared" si="19"/>
        <v/>
      </c>
    </row>
    <row r="489" spans="3:9" ht="14.55" hidden="1" x14ac:dyDescent="0.3">
      <c r="C489" s="208"/>
      <c r="D489" s="208"/>
      <c r="E489" s="208"/>
      <c r="F489" s="208"/>
      <c r="G489" s="208"/>
      <c r="H489" s="208"/>
      <c r="I489" s="263" t="str">
        <f t="shared" si="19"/>
        <v/>
      </c>
    </row>
    <row r="490" spans="3:9" ht="14.55" hidden="1" x14ac:dyDescent="0.3">
      <c r="C490" s="208"/>
      <c r="D490" s="208"/>
      <c r="E490" s="208"/>
      <c r="F490" s="208"/>
      <c r="G490" s="208"/>
      <c r="H490" s="208"/>
      <c r="I490" s="263" t="str">
        <f t="shared" si="19"/>
        <v/>
      </c>
    </row>
    <row r="491" spans="3:9" ht="14.55" hidden="1" x14ac:dyDescent="0.3">
      <c r="C491" s="208"/>
      <c r="D491" s="208"/>
      <c r="E491" s="208"/>
      <c r="F491" s="208"/>
      <c r="G491" s="208"/>
      <c r="H491" s="208"/>
      <c r="I491" s="263" t="str">
        <f t="shared" si="19"/>
        <v/>
      </c>
    </row>
    <row r="492" spans="3:9" ht="14.55" hidden="1" x14ac:dyDescent="0.3">
      <c r="C492" s="208"/>
      <c r="D492" s="208"/>
      <c r="E492" s="208"/>
      <c r="F492" s="208"/>
      <c r="G492" s="208"/>
      <c r="H492" s="208"/>
      <c r="I492" s="263" t="str">
        <f t="shared" si="19"/>
        <v/>
      </c>
    </row>
    <row r="493" spans="3:9" ht="14.55" hidden="1" x14ac:dyDescent="0.3">
      <c r="C493" s="208"/>
      <c r="D493" s="208"/>
      <c r="E493" s="208"/>
      <c r="F493" s="208"/>
      <c r="G493" s="208"/>
      <c r="H493" s="208"/>
      <c r="I493" s="263" t="str">
        <f t="shared" si="19"/>
        <v/>
      </c>
    </row>
    <row r="494" spans="3:9" ht="14.55" hidden="1" x14ac:dyDescent="0.3">
      <c r="C494" s="208"/>
      <c r="D494" s="208"/>
      <c r="E494" s="208"/>
      <c r="F494" s="208"/>
      <c r="G494" s="208"/>
      <c r="H494" s="208"/>
      <c r="I494" s="263" t="str">
        <f t="shared" si="19"/>
        <v/>
      </c>
    </row>
    <row r="495" spans="3:9" ht="14.55" hidden="1" x14ac:dyDescent="0.3">
      <c r="C495" s="208"/>
      <c r="D495" s="208"/>
      <c r="E495" s="208"/>
      <c r="F495" s="208"/>
      <c r="G495" s="208"/>
      <c r="H495" s="208"/>
      <c r="I495" s="263" t="str">
        <f t="shared" si="19"/>
        <v/>
      </c>
    </row>
    <row r="496" spans="3:9" ht="14.55" hidden="1" x14ac:dyDescent="0.3">
      <c r="C496" s="208"/>
      <c r="D496" s="208"/>
      <c r="E496" s="208"/>
      <c r="F496" s="208"/>
      <c r="G496" s="208"/>
      <c r="H496" s="208"/>
      <c r="I496" s="263" t="str">
        <f t="shared" si="19"/>
        <v/>
      </c>
    </row>
    <row r="497" spans="3:9" ht="14.55" hidden="1" x14ac:dyDescent="0.3">
      <c r="C497" s="208"/>
      <c r="D497" s="208"/>
      <c r="E497" s="208"/>
      <c r="F497" s="208"/>
      <c r="G497" s="208"/>
      <c r="H497" s="208"/>
      <c r="I497" s="263" t="str">
        <f t="shared" si="19"/>
        <v/>
      </c>
    </row>
    <row r="498" spans="3:9" ht="14.55" hidden="1" x14ac:dyDescent="0.3">
      <c r="C498" s="208"/>
      <c r="D498" s="208"/>
      <c r="E498" s="208"/>
      <c r="F498" s="208"/>
      <c r="G498" s="208"/>
      <c r="H498" s="208"/>
      <c r="I498" s="263" t="str">
        <f t="shared" si="19"/>
        <v/>
      </c>
    </row>
    <row r="499" spans="3:9" ht="14.55" hidden="1" x14ac:dyDescent="0.3">
      <c r="C499" s="208"/>
      <c r="D499" s="208"/>
      <c r="E499" s="208"/>
      <c r="F499" s="208"/>
      <c r="G499" s="208"/>
      <c r="H499" s="208"/>
      <c r="I499" s="263" t="str">
        <f t="shared" si="19"/>
        <v/>
      </c>
    </row>
    <row r="500" spans="3:9" ht="14.55" hidden="1" x14ac:dyDescent="0.3">
      <c r="C500" s="208"/>
      <c r="D500" s="208"/>
      <c r="E500" s="208"/>
      <c r="F500" s="208"/>
      <c r="G500" s="208"/>
      <c r="H500" s="208"/>
      <c r="I500" s="263" t="str">
        <f t="shared" si="19"/>
        <v/>
      </c>
    </row>
    <row r="501" spans="3:9" ht="14.55" hidden="1" x14ac:dyDescent="0.3">
      <c r="C501" s="208"/>
      <c r="D501" s="208"/>
      <c r="E501" s="208"/>
      <c r="F501" s="208"/>
      <c r="G501" s="208"/>
      <c r="H501" s="208"/>
      <c r="I501" s="263" t="str">
        <f t="shared" si="19"/>
        <v/>
      </c>
    </row>
    <row r="502" spans="3:9" ht="14.55" hidden="1" x14ac:dyDescent="0.3">
      <c r="C502" s="208"/>
      <c r="D502" s="208"/>
      <c r="E502" s="208"/>
      <c r="F502" s="208"/>
      <c r="G502" s="208"/>
      <c r="H502" s="208"/>
      <c r="I502" s="263" t="str">
        <f t="shared" si="19"/>
        <v/>
      </c>
    </row>
    <row r="503" spans="3:9" ht="14.55" hidden="1" x14ac:dyDescent="0.3">
      <c r="C503" s="208"/>
      <c r="D503" s="208"/>
      <c r="E503" s="208"/>
      <c r="F503" s="208"/>
      <c r="G503" s="208"/>
      <c r="H503" s="208"/>
      <c r="I503" s="263" t="str">
        <f t="shared" si="19"/>
        <v/>
      </c>
    </row>
    <row r="504" spans="3:9" ht="14.55" hidden="1" x14ac:dyDescent="0.3">
      <c r="C504" s="208"/>
      <c r="D504" s="208"/>
      <c r="E504" s="208"/>
      <c r="F504" s="208"/>
      <c r="G504" s="208"/>
      <c r="H504" s="208"/>
      <c r="I504" s="263" t="str">
        <f t="shared" si="19"/>
        <v/>
      </c>
    </row>
    <row r="505" spans="3:9" ht="14.55" hidden="1" x14ac:dyDescent="0.3">
      <c r="C505" s="208"/>
      <c r="D505" s="208"/>
      <c r="E505" s="208"/>
      <c r="F505" s="208"/>
      <c r="G505" s="208"/>
      <c r="H505" s="208"/>
      <c r="I505" s="263" t="str">
        <f t="shared" si="19"/>
        <v/>
      </c>
    </row>
    <row r="506" spans="3:9" ht="14.55" hidden="1" x14ac:dyDescent="0.3">
      <c r="C506" s="208"/>
      <c r="D506" s="208"/>
      <c r="E506" s="208"/>
      <c r="F506" s="208"/>
      <c r="G506" s="208"/>
      <c r="H506" s="208"/>
      <c r="I506" s="263" t="str">
        <f t="shared" si="19"/>
        <v/>
      </c>
    </row>
    <row r="507" spans="3:9" ht="14.55" hidden="1" x14ac:dyDescent="0.3">
      <c r="C507" s="208"/>
      <c r="D507" s="208"/>
      <c r="E507" s="208"/>
      <c r="F507" s="208"/>
      <c r="G507" s="208"/>
      <c r="H507" s="208"/>
      <c r="I507" s="263" t="str">
        <f t="shared" si="19"/>
        <v/>
      </c>
    </row>
    <row r="508" spans="3:9" ht="14.55" hidden="1" x14ac:dyDescent="0.3">
      <c r="C508" s="208"/>
      <c r="D508" s="208"/>
      <c r="E508" s="208"/>
      <c r="F508" s="208"/>
      <c r="G508" s="208"/>
      <c r="H508" s="208"/>
      <c r="I508" s="263" t="str">
        <f t="shared" si="19"/>
        <v/>
      </c>
    </row>
    <row r="509" spans="3:9" ht="14.55" hidden="1" x14ac:dyDescent="0.3">
      <c r="C509" s="208"/>
      <c r="D509" s="208"/>
      <c r="E509" s="208"/>
      <c r="F509" s="208"/>
      <c r="G509" s="208"/>
      <c r="H509" s="208"/>
      <c r="I509" s="263" t="str">
        <f t="shared" si="19"/>
        <v/>
      </c>
    </row>
    <row r="510" spans="3:9" ht="14.55" hidden="1" x14ac:dyDescent="0.3">
      <c r="C510" s="208"/>
      <c r="D510" s="208"/>
      <c r="E510" s="208"/>
      <c r="F510" s="208"/>
      <c r="G510" s="208"/>
      <c r="H510" s="208"/>
      <c r="I510" s="263" t="str">
        <f t="shared" ref="I510:I573" si="20">IF(H510=0,"",D510)</f>
        <v/>
      </c>
    </row>
    <row r="511" spans="3:9" ht="14.55" hidden="1" x14ac:dyDescent="0.3">
      <c r="C511" s="208"/>
      <c r="D511" s="208"/>
      <c r="E511" s="208"/>
      <c r="F511" s="208"/>
      <c r="G511" s="208"/>
      <c r="H511" s="208"/>
      <c r="I511" s="263" t="str">
        <f t="shared" si="20"/>
        <v/>
      </c>
    </row>
    <row r="512" spans="3:9" ht="14.55" hidden="1" x14ac:dyDescent="0.3">
      <c r="C512" s="208"/>
      <c r="D512" s="208"/>
      <c r="E512" s="208"/>
      <c r="F512" s="208"/>
      <c r="G512" s="208"/>
      <c r="H512" s="208"/>
      <c r="I512" s="263" t="str">
        <f t="shared" si="20"/>
        <v/>
      </c>
    </row>
    <row r="513" spans="3:9" ht="14.55" hidden="1" x14ac:dyDescent="0.3">
      <c r="C513" s="208"/>
      <c r="D513" s="208"/>
      <c r="E513" s="208"/>
      <c r="F513" s="208"/>
      <c r="G513" s="208"/>
      <c r="H513" s="208"/>
      <c r="I513" s="263" t="str">
        <f t="shared" si="20"/>
        <v/>
      </c>
    </row>
    <row r="514" spans="3:9" ht="14.55" hidden="1" x14ac:dyDescent="0.3">
      <c r="C514" s="208"/>
      <c r="D514" s="208"/>
      <c r="E514" s="208"/>
      <c r="F514" s="208"/>
      <c r="G514" s="208"/>
      <c r="H514" s="208"/>
      <c r="I514" s="263" t="str">
        <f t="shared" si="20"/>
        <v/>
      </c>
    </row>
    <row r="515" spans="3:9" ht="14.55" hidden="1" x14ac:dyDescent="0.3">
      <c r="C515" s="208"/>
      <c r="D515" s="208"/>
      <c r="E515" s="208"/>
      <c r="F515" s="208"/>
      <c r="G515" s="208"/>
      <c r="H515" s="208"/>
      <c r="I515" s="263" t="str">
        <f t="shared" si="20"/>
        <v/>
      </c>
    </row>
    <row r="516" spans="3:9" ht="14.55" hidden="1" x14ac:dyDescent="0.3">
      <c r="C516" s="208"/>
      <c r="D516" s="208"/>
      <c r="E516" s="208"/>
      <c r="F516" s="208"/>
      <c r="G516" s="208"/>
      <c r="H516" s="208"/>
      <c r="I516" s="263" t="str">
        <f t="shared" si="20"/>
        <v/>
      </c>
    </row>
    <row r="517" spans="3:9" ht="14.55" hidden="1" x14ac:dyDescent="0.3">
      <c r="C517" s="208"/>
      <c r="D517" s="208"/>
      <c r="E517" s="208"/>
      <c r="F517" s="208"/>
      <c r="G517" s="208"/>
      <c r="H517" s="208"/>
      <c r="I517" s="263" t="str">
        <f t="shared" si="20"/>
        <v/>
      </c>
    </row>
    <row r="518" spans="3:9" ht="14.55" hidden="1" x14ac:dyDescent="0.3">
      <c r="C518" s="208"/>
      <c r="D518" s="208"/>
      <c r="E518" s="208"/>
      <c r="F518" s="208"/>
      <c r="G518" s="208"/>
      <c r="H518" s="208"/>
      <c r="I518" s="263" t="str">
        <f t="shared" si="20"/>
        <v/>
      </c>
    </row>
    <row r="519" spans="3:9" ht="14.55" hidden="1" x14ac:dyDescent="0.3">
      <c r="C519" s="208"/>
      <c r="D519" s="208"/>
      <c r="E519" s="208"/>
      <c r="F519" s="208"/>
      <c r="G519" s="208"/>
      <c r="H519" s="208"/>
      <c r="I519" s="263" t="str">
        <f t="shared" si="20"/>
        <v/>
      </c>
    </row>
    <row r="520" spans="3:9" ht="14.55" hidden="1" x14ac:dyDescent="0.3">
      <c r="C520" s="208"/>
      <c r="D520" s="208"/>
      <c r="E520" s="208"/>
      <c r="F520" s="208"/>
      <c r="G520" s="208"/>
      <c r="H520" s="208"/>
      <c r="I520" s="263" t="str">
        <f t="shared" si="20"/>
        <v/>
      </c>
    </row>
    <row r="521" spans="3:9" ht="14.55" hidden="1" x14ac:dyDescent="0.3">
      <c r="C521" s="208"/>
      <c r="D521" s="208"/>
      <c r="E521" s="208"/>
      <c r="F521" s="208"/>
      <c r="G521" s="208"/>
      <c r="H521" s="208"/>
      <c r="I521" s="263" t="str">
        <f t="shared" si="20"/>
        <v/>
      </c>
    </row>
    <row r="522" spans="3:9" ht="14.55" hidden="1" x14ac:dyDescent="0.3">
      <c r="C522" s="208"/>
      <c r="D522" s="208"/>
      <c r="E522" s="208"/>
      <c r="F522" s="208"/>
      <c r="G522" s="208"/>
      <c r="H522" s="208"/>
      <c r="I522" s="263" t="str">
        <f t="shared" si="20"/>
        <v/>
      </c>
    </row>
    <row r="523" spans="3:9" ht="14.55" hidden="1" x14ac:dyDescent="0.3">
      <c r="C523" s="208"/>
      <c r="D523" s="208"/>
      <c r="E523" s="208"/>
      <c r="F523" s="208"/>
      <c r="G523" s="208"/>
      <c r="H523" s="208"/>
      <c r="I523" s="263" t="str">
        <f t="shared" si="20"/>
        <v/>
      </c>
    </row>
    <row r="524" spans="3:9" ht="14.55" hidden="1" x14ac:dyDescent="0.3">
      <c r="C524" s="208"/>
      <c r="D524" s="208"/>
      <c r="E524" s="208"/>
      <c r="F524" s="208"/>
      <c r="G524" s="208"/>
      <c r="H524" s="208"/>
      <c r="I524" s="263" t="str">
        <f t="shared" si="20"/>
        <v/>
      </c>
    </row>
    <row r="525" spans="3:9" ht="14.55" hidden="1" x14ac:dyDescent="0.3">
      <c r="C525" s="208"/>
      <c r="D525" s="208"/>
      <c r="E525" s="208"/>
      <c r="F525" s="208"/>
      <c r="G525" s="208"/>
      <c r="H525" s="208"/>
      <c r="I525" s="263" t="str">
        <f t="shared" si="20"/>
        <v/>
      </c>
    </row>
    <row r="526" spans="3:9" ht="14.55" hidden="1" x14ac:dyDescent="0.3">
      <c r="C526" s="208"/>
      <c r="D526" s="208"/>
      <c r="E526" s="208"/>
      <c r="F526" s="208"/>
      <c r="G526" s="208"/>
      <c r="H526" s="208"/>
      <c r="I526" s="263" t="str">
        <f t="shared" si="20"/>
        <v/>
      </c>
    </row>
    <row r="527" spans="3:9" ht="14.55" hidden="1" x14ac:dyDescent="0.3">
      <c r="C527" s="208"/>
      <c r="D527" s="208"/>
      <c r="E527" s="208"/>
      <c r="F527" s="208"/>
      <c r="G527" s="208"/>
      <c r="H527" s="208"/>
      <c r="I527" s="263" t="str">
        <f t="shared" si="20"/>
        <v/>
      </c>
    </row>
    <row r="528" spans="3:9" ht="14.55" hidden="1" x14ac:dyDescent="0.3">
      <c r="C528" s="208"/>
      <c r="D528" s="208"/>
      <c r="E528" s="208"/>
      <c r="F528" s="208"/>
      <c r="G528" s="208"/>
      <c r="H528" s="208"/>
      <c r="I528" s="263" t="str">
        <f t="shared" si="20"/>
        <v/>
      </c>
    </row>
    <row r="529" spans="3:9" ht="14.55" hidden="1" x14ac:dyDescent="0.3">
      <c r="C529" s="208"/>
      <c r="D529" s="208"/>
      <c r="E529" s="208"/>
      <c r="F529" s="208"/>
      <c r="G529" s="208"/>
      <c r="H529" s="208"/>
      <c r="I529" s="263" t="str">
        <f t="shared" si="20"/>
        <v/>
      </c>
    </row>
    <row r="530" spans="3:9" ht="14.55" hidden="1" x14ac:dyDescent="0.3">
      <c r="C530" s="208"/>
      <c r="D530" s="208"/>
      <c r="E530" s="208"/>
      <c r="F530" s="208"/>
      <c r="G530" s="208"/>
      <c r="H530" s="208"/>
      <c r="I530" s="263" t="str">
        <f t="shared" si="20"/>
        <v/>
      </c>
    </row>
    <row r="531" spans="3:9" ht="14.55" hidden="1" x14ac:dyDescent="0.3">
      <c r="C531" s="208"/>
      <c r="D531" s="208"/>
      <c r="E531" s="208"/>
      <c r="F531" s="208"/>
      <c r="G531" s="208"/>
      <c r="H531" s="208"/>
      <c r="I531" s="263" t="str">
        <f t="shared" si="20"/>
        <v/>
      </c>
    </row>
    <row r="532" spans="3:9" ht="14.55" hidden="1" x14ac:dyDescent="0.3">
      <c r="C532" s="208"/>
      <c r="D532" s="208"/>
      <c r="E532" s="208"/>
      <c r="F532" s="208"/>
      <c r="G532" s="208"/>
      <c r="H532" s="208"/>
      <c r="I532" s="263" t="str">
        <f t="shared" si="20"/>
        <v/>
      </c>
    </row>
    <row r="533" spans="3:9" ht="14.55" hidden="1" x14ac:dyDescent="0.3">
      <c r="C533" s="208"/>
      <c r="D533" s="208"/>
      <c r="E533" s="208"/>
      <c r="F533" s="208"/>
      <c r="G533" s="208"/>
      <c r="H533" s="208"/>
      <c r="I533" s="263" t="str">
        <f t="shared" si="20"/>
        <v/>
      </c>
    </row>
    <row r="534" spans="3:9" ht="14.55" hidden="1" x14ac:dyDescent="0.3">
      <c r="C534" s="208"/>
      <c r="D534" s="208"/>
      <c r="E534" s="208"/>
      <c r="F534" s="208"/>
      <c r="G534" s="208"/>
      <c r="H534" s="208"/>
      <c r="I534" s="263" t="str">
        <f t="shared" si="20"/>
        <v/>
      </c>
    </row>
    <row r="535" spans="3:9" ht="14.55" hidden="1" x14ac:dyDescent="0.3">
      <c r="C535" s="208"/>
      <c r="D535" s="208"/>
      <c r="E535" s="208"/>
      <c r="F535" s="208"/>
      <c r="G535" s="208"/>
      <c r="H535" s="208"/>
      <c r="I535" s="263" t="str">
        <f t="shared" si="20"/>
        <v/>
      </c>
    </row>
    <row r="536" spans="3:9" ht="14.55" hidden="1" x14ac:dyDescent="0.3">
      <c r="C536" s="208"/>
      <c r="D536" s="208"/>
      <c r="E536" s="208"/>
      <c r="F536" s="208"/>
      <c r="G536" s="208"/>
      <c r="H536" s="208"/>
      <c r="I536" s="263" t="str">
        <f t="shared" si="20"/>
        <v/>
      </c>
    </row>
    <row r="537" spans="3:9" ht="14.55" hidden="1" x14ac:dyDescent="0.3">
      <c r="C537" s="208"/>
      <c r="D537" s="208"/>
      <c r="E537" s="208"/>
      <c r="F537" s="208"/>
      <c r="G537" s="208"/>
      <c r="H537" s="208"/>
      <c r="I537" s="263" t="str">
        <f t="shared" si="20"/>
        <v/>
      </c>
    </row>
    <row r="538" spans="3:9" ht="14.55" hidden="1" x14ac:dyDescent="0.3">
      <c r="C538" s="208"/>
      <c r="D538" s="208"/>
      <c r="E538" s="208"/>
      <c r="F538" s="208"/>
      <c r="G538" s="208"/>
      <c r="H538" s="208"/>
      <c r="I538" s="263" t="str">
        <f t="shared" si="20"/>
        <v/>
      </c>
    </row>
    <row r="539" spans="3:9" ht="14.55" hidden="1" x14ac:dyDescent="0.3">
      <c r="C539" s="208"/>
      <c r="D539" s="208"/>
      <c r="E539" s="208"/>
      <c r="F539" s="208"/>
      <c r="G539" s="208"/>
      <c r="H539" s="208"/>
      <c r="I539" s="263" t="str">
        <f t="shared" si="20"/>
        <v/>
      </c>
    </row>
    <row r="540" spans="3:9" ht="14.55" hidden="1" x14ac:dyDescent="0.3">
      <c r="C540" s="208"/>
      <c r="D540" s="208"/>
      <c r="E540" s="208"/>
      <c r="F540" s="208"/>
      <c r="G540" s="208"/>
      <c r="H540" s="208"/>
      <c r="I540" s="263" t="str">
        <f t="shared" si="20"/>
        <v/>
      </c>
    </row>
    <row r="541" spans="3:9" ht="14.55" hidden="1" x14ac:dyDescent="0.3">
      <c r="C541" s="208"/>
      <c r="D541" s="208"/>
      <c r="E541" s="208"/>
      <c r="F541" s="208"/>
      <c r="G541" s="208"/>
      <c r="H541" s="208"/>
      <c r="I541" s="263" t="str">
        <f t="shared" si="20"/>
        <v/>
      </c>
    </row>
    <row r="542" spans="3:9" ht="14.55" hidden="1" x14ac:dyDescent="0.3">
      <c r="C542" s="208"/>
      <c r="D542" s="208"/>
      <c r="E542" s="208"/>
      <c r="F542" s="208"/>
      <c r="G542" s="208"/>
      <c r="H542" s="208"/>
      <c r="I542" s="263" t="str">
        <f t="shared" si="20"/>
        <v/>
      </c>
    </row>
    <row r="543" spans="3:9" ht="14.55" hidden="1" x14ac:dyDescent="0.3">
      <c r="C543" s="208"/>
      <c r="D543" s="208"/>
      <c r="E543" s="208"/>
      <c r="F543" s="208"/>
      <c r="G543" s="208"/>
      <c r="H543" s="208"/>
      <c r="I543" s="263" t="str">
        <f t="shared" si="20"/>
        <v/>
      </c>
    </row>
    <row r="544" spans="3:9" ht="14.55" hidden="1" x14ac:dyDescent="0.3">
      <c r="C544" s="208"/>
      <c r="D544" s="208"/>
      <c r="E544" s="208"/>
      <c r="F544" s="208"/>
      <c r="G544" s="208"/>
      <c r="H544" s="208"/>
      <c r="I544" s="263" t="str">
        <f t="shared" si="20"/>
        <v/>
      </c>
    </row>
    <row r="545" spans="3:9" ht="14.55" hidden="1" x14ac:dyDescent="0.3">
      <c r="C545" s="208"/>
      <c r="D545" s="208"/>
      <c r="E545" s="208"/>
      <c r="F545" s="208"/>
      <c r="G545" s="208"/>
      <c r="H545" s="208"/>
      <c r="I545" s="263" t="str">
        <f t="shared" si="20"/>
        <v/>
      </c>
    </row>
    <row r="546" spans="3:9" ht="14.55" hidden="1" x14ac:dyDescent="0.3">
      <c r="C546" s="208"/>
      <c r="D546" s="208"/>
      <c r="E546" s="208"/>
      <c r="F546" s="208"/>
      <c r="G546" s="208"/>
      <c r="H546" s="208"/>
      <c r="I546" s="263" t="str">
        <f t="shared" si="20"/>
        <v/>
      </c>
    </row>
    <row r="547" spans="3:9" ht="14.55" hidden="1" x14ac:dyDescent="0.3">
      <c r="C547" s="208"/>
      <c r="D547" s="208"/>
      <c r="E547" s="208"/>
      <c r="F547" s="208"/>
      <c r="G547" s="208"/>
      <c r="H547" s="208"/>
      <c r="I547" s="263" t="str">
        <f t="shared" si="20"/>
        <v/>
      </c>
    </row>
    <row r="548" spans="3:9" ht="14.55" hidden="1" x14ac:dyDescent="0.3">
      <c r="C548" s="208"/>
      <c r="D548" s="208"/>
      <c r="E548" s="208"/>
      <c r="F548" s="208"/>
      <c r="G548" s="208"/>
      <c r="H548" s="208"/>
      <c r="I548" s="263" t="str">
        <f t="shared" si="20"/>
        <v/>
      </c>
    </row>
    <row r="549" spans="3:9" ht="14.55" hidden="1" x14ac:dyDescent="0.3">
      <c r="C549" s="208"/>
      <c r="D549" s="208"/>
      <c r="E549" s="208"/>
      <c r="F549" s="208"/>
      <c r="G549" s="208"/>
      <c r="H549" s="208"/>
      <c r="I549" s="263" t="str">
        <f t="shared" si="20"/>
        <v/>
      </c>
    </row>
    <row r="550" spans="3:9" ht="14.55" hidden="1" x14ac:dyDescent="0.3">
      <c r="C550" s="208"/>
      <c r="D550" s="208"/>
      <c r="E550" s="208"/>
      <c r="F550" s="208"/>
      <c r="G550" s="208"/>
      <c r="H550" s="208"/>
      <c r="I550" s="263" t="str">
        <f t="shared" si="20"/>
        <v/>
      </c>
    </row>
    <row r="551" spans="3:9" ht="14.55" hidden="1" x14ac:dyDescent="0.3">
      <c r="C551" s="208"/>
      <c r="D551" s="208"/>
      <c r="E551" s="208"/>
      <c r="F551" s="208"/>
      <c r="G551" s="208"/>
      <c r="H551" s="208"/>
      <c r="I551" s="263" t="str">
        <f t="shared" si="20"/>
        <v/>
      </c>
    </row>
    <row r="552" spans="3:9" ht="14.55" hidden="1" x14ac:dyDescent="0.3">
      <c r="C552" s="208"/>
      <c r="D552" s="208"/>
      <c r="E552" s="208"/>
      <c r="F552" s="208"/>
      <c r="G552" s="208"/>
      <c r="H552" s="208"/>
      <c r="I552" s="263" t="str">
        <f t="shared" si="20"/>
        <v/>
      </c>
    </row>
    <row r="553" spans="3:9" ht="14.55" hidden="1" x14ac:dyDescent="0.3">
      <c r="C553" s="208"/>
      <c r="D553" s="208"/>
      <c r="E553" s="208"/>
      <c r="F553" s="208"/>
      <c r="G553" s="208"/>
      <c r="H553" s="208"/>
      <c r="I553" s="263" t="str">
        <f t="shared" si="20"/>
        <v/>
      </c>
    </row>
    <row r="554" spans="3:9" ht="14.55" hidden="1" x14ac:dyDescent="0.3">
      <c r="C554" s="208"/>
      <c r="D554" s="208"/>
      <c r="E554" s="208"/>
      <c r="F554" s="208"/>
      <c r="G554" s="208"/>
      <c r="H554" s="208"/>
      <c r="I554" s="263" t="str">
        <f t="shared" si="20"/>
        <v/>
      </c>
    </row>
    <row r="555" spans="3:9" ht="14.55" hidden="1" x14ac:dyDescent="0.3">
      <c r="C555" s="208"/>
      <c r="D555" s="208"/>
      <c r="E555" s="208"/>
      <c r="F555" s="208"/>
      <c r="G555" s="208"/>
      <c r="H555" s="208"/>
      <c r="I555" s="263" t="str">
        <f t="shared" si="20"/>
        <v/>
      </c>
    </row>
    <row r="556" spans="3:9" ht="14.55" hidden="1" x14ac:dyDescent="0.3">
      <c r="C556" s="208"/>
      <c r="D556" s="208"/>
      <c r="E556" s="208"/>
      <c r="F556" s="208"/>
      <c r="G556" s="208"/>
      <c r="H556" s="208"/>
      <c r="I556" s="263" t="str">
        <f t="shared" si="20"/>
        <v/>
      </c>
    </row>
    <row r="557" spans="3:9" ht="14.55" hidden="1" x14ac:dyDescent="0.3">
      <c r="C557" s="208"/>
      <c r="D557" s="208"/>
      <c r="E557" s="208"/>
      <c r="F557" s="208"/>
      <c r="G557" s="208"/>
      <c r="H557" s="208"/>
      <c r="I557" s="263" t="str">
        <f t="shared" si="20"/>
        <v/>
      </c>
    </row>
    <row r="558" spans="3:9" ht="14.55" hidden="1" x14ac:dyDescent="0.3">
      <c r="C558" s="208"/>
      <c r="D558" s="208"/>
      <c r="E558" s="208"/>
      <c r="F558" s="208"/>
      <c r="G558" s="208"/>
      <c r="H558" s="208"/>
      <c r="I558" s="263" t="str">
        <f t="shared" si="20"/>
        <v/>
      </c>
    </row>
    <row r="559" spans="3:9" ht="14.55" hidden="1" x14ac:dyDescent="0.3">
      <c r="C559" s="208"/>
      <c r="D559" s="208"/>
      <c r="E559" s="208"/>
      <c r="F559" s="208"/>
      <c r="G559" s="208"/>
      <c r="H559" s="208"/>
      <c r="I559" s="263" t="str">
        <f t="shared" si="20"/>
        <v/>
      </c>
    </row>
    <row r="560" spans="3:9" ht="14.55" hidden="1" x14ac:dyDescent="0.3">
      <c r="C560" s="208"/>
      <c r="D560" s="208"/>
      <c r="E560" s="208"/>
      <c r="F560" s="208"/>
      <c r="G560" s="208"/>
      <c r="H560" s="208"/>
      <c r="I560" s="263" t="str">
        <f t="shared" si="20"/>
        <v/>
      </c>
    </row>
    <row r="561" spans="3:9" ht="14.55" hidden="1" x14ac:dyDescent="0.3">
      <c r="C561" s="208"/>
      <c r="D561" s="208"/>
      <c r="E561" s="208"/>
      <c r="F561" s="208"/>
      <c r="G561" s="208"/>
      <c r="H561" s="208"/>
      <c r="I561" s="263" t="str">
        <f t="shared" si="20"/>
        <v/>
      </c>
    </row>
    <row r="562" spans="3:9" ht="14.55" hidden="1" x14ac:dyDescent="0.3">
      <c r="C562" s="208"/>
      <c r="D562" s="208"/>
      <c r="E562" s="208"/>
      <c r="F562" s="208"/>
      <c r="G562" s="208"/>
      <c r="H562" s="208"/>
      <c r="I562" s="263" t="str">
        <f t="shared" si="20"/>
        <v/>
      </c>
    </row>
    <row r="563" spans="3:9" ht="14.55" hidden="1" x14ac:dyDescent="0.3">
      <c r="C563" s="208"/>
      <c r="D563" s="208"/>
      <c r="E563" s="208"/>
      <c r="F563" s="208"/>
      <c r="G563" s="208"/>
      <c r="H563" s="208"/>
      <c r="I563" s="263" t="str">
        <f t="shared" si="20"/>
        <v/>
      </c>
    </row>
    <row r="564" spans="3:9" ht="14.55" hidden="1" x14ac:dyDescent="0.3">
      <c r="C564" s="208"/>
      <c r="D564" s="208"/>
      <c r="E564" s="208"/>
      <c r="F564" s="208"/>
      <c r="G564" s="208"/>
      <c r="H564" s="208"/>
      <c r="I564" s="263" t="str">
        <f t="shared" si="20"/>
        <v/>
      </c>
    </row>
    <row r="565" spans="3:9" ht="14.55" hidden="1" x14ac:dyDescent="0.3">
      <c r="C565" s="208"/>
      <c r="D565" s="208"/>
      <c r="E565" s="208"/>
      <c r="F565" s="208"/>
      <c r="G565" s="208"/>
      <c r="H565" s="208"/>
      <c r="I565" s="263" t="str">
        <f t="shared" si="20"/>
        <v/>
      </c>
    </row>
    <row r="566" spans="3:9" ht="14.55" hidden="1" x14ac:dyDescent="0.3">
      <c r="C566" s="208"/>
      <c r="D566" s="208"/>
      <c r="E566" s="208"/>
      <c r="F566" s="208"/>
      <c r="G566" s="208"/>
      <c r="H566" s="208"/>
      <c r="I566" s="263" t="str">
        <f t="shared" si="20"/>
        <v/>
      </c>
    </row>
    <row r="567" spans="3:9" ht="14.55" hidden="1" x14ac:dyDescent="0.3">
      <c r="C567" s="208"/>
      <c r="D567" s="208"/>
      <c r="E567" s="208"/>
      <c r="F567" s="208"/>
      <c r="G567" s="208"/>
      <c r="H567" s="208"/>
      <c r="I567" s="263" t="str">
        <f t="shared" si="20"/>
        <v/>
      </c>
    </row>
    <row r="568" spans="3:9" ht="14.55" hidden="1" x14ac:dyDescent="0.3">
      <c r="C568" s="208"/>
      <c r="D568" s="208"/>
      <c r="E568" s="208"/>
      <c r="F568" s="208"/>
      <c r="G568" s="208"/>
      <c r="H568" s="208"/>
      <c r="I568" s="263" t="str">
        <f t="shared" si="20"/>
        <v/>
      </c>
    </row>
    <row r="569" spans="3:9" ht="14.55" hidden="1" x14ac:dyDescent="0.3">
      <c r="C569" s="208"/>
      <c r="D569" s="208"/>
      <c r="E569" s="208"/>
      <c r="F569" s="208"/>
      <c r="G569" s="208"/>
      <c r="H569" s="208"/>
      <c r="I569" s="263" t="str">
        <f t="shared" si="20"/>
        <v/>
      </c>
    </row>
    <row r="570" spans="3:9" ht="14.55" hidden="1" x14ac:dyDescent="0.3">
      <c r="C570" s="208"/>
      <c r="D570" s="208"/>
      <c r="E570" s="208"/>
      <c r="F570" s="208"/>
      <c r="G570" s="208"/>
      <c r="H570" s="208"/>
      <c r="I570" s="263" t="str">
        <f t="shared" si="20"/>
        <v/>
      </c>
    </row>
    <row r="571" spans="3:9" ht="14.55" hidden="1" x14ac:dyDescent="0.3">
      <c r="C571" s="208"/>
      <c r="D571" s="208"/>
      <c r="E571" s="208"/>
      <c r="F571" s="208"/>
      <c r="G571" s="208"/>
      <c r="H571" s="208"/>
      <c r="I571" s="263" t="str">
        <f t="shared" si="20"/>
        <v/>
      </c>
    </row>
    <row r="572" spans="3:9" ht="14.55" hidden="1" x14ac:dyDescent="0.3">
      <c r="C572" s="208"/>
      <c r="D572" s="208"/>
      <c r="E572" s="208"/>
      <c r="F572" s="208"/>
      <c r="G572" s="208"/>
      <c r="H572" s="208"/>
      <c r="I572" s="263" t="str">
        <f t="shared" si="20"/>
        <v/>
      </c>
    </row>
    <row r="573" spans="3:9" ht="14.55" hidden="1" x14ac:dyDescent="0.3">
      <c r="C573" s="208"/>
      <c r="D573" s="208"/>
      <c r="E573" s="208"/>
      <c r="F573" s="208"/>
      <c r="G573" s="208"/>
      <c r="H573" s="208"/>
      <c r="I573" s="263" t="str">
        <f t="shared" si="20"/>
        <v/>
      </c>
    </row>
    <row r="574" spans="3:9" ht="14.55" hidden="1" x14ac:dyDescent="0.3">
      <c r="C574" s="208"/>
      <c r="D574" s="208"/>
      <c r="E574" s="208"/>
      <c r="F574" s="208"/>
      <c r="G574" s="208"/>
      <c r="H574" s="208"/>
      <c r="I574" s="263" t="str">
        <f t="shared" ref="I574:I637" si="21">IF(H574=0,"",D574)</f>
        <v/>
      </c>
    </row>
    <row r="575" spans="3:9" ht="14.55" hidden="1" x14ac:dyDescent="0.3">
      <c r="C575" s="208"/>
      <c r="D575" s="208"/>
      <c r="E575" s="208"/>
      <c r="F575" s="208"/>
      <c r="G575" s="208"/>
      <c r="H575" s="208"/>
      <c r="I575" s="263" t="str">
        <f t="shared" si="21"/>
        <v/>
      </c>
    </row>
    <row r="576" spans="3:9" ht="14.55" hidden="1" x14ac:dyDescent="0.3">
      <c r="C576" s="208"/>
      <c r="D576" s="208"/>
      <c r="E576" s="208"/>
      <c r="F576" s="208"/>
      <c r="G576" s="208"/>
      <c r="H576" s="208"/>
      <c r="I576" s="263" t="str">
        <f t="shared" si="21"/>
        <v/>
      </c>
    </row>
    <row r="577" spans="3:9" ht="14.55" hidden="1" x14ac:dyDescent="0.3">
      <c r="C577" s="208"/>
      <c r="D577" s="208"/>
      <c r="E577" s="208"/>
      <c r="F577" s="208"/>
      <c r="G577" s="208"/>
      <c r="H577" s="208"/>
      <c r="I577" s="263" t="str">
        <f t="shared" si="21"/>
        <v/>
      </c>
    </row>
    <row r="578" spans="3:9" ht="14.55" hidden="1" x14ac:dyDescent="0.3">
      <c r="C578" s="208"/>
      <c r="D578" s="208"/>
      <c r="E578" s="208"/>
      <c r="F578" s="208"/>
      <c r="G578" s="208"/>
      <c r="H578" s="208"/>
      <c r="I578" s="263" t="str">
        <f t="shared" si="21"/>
        <v/>
      </c>
    </row>
    <row r="579" spans="3:9" ht="14.55" hidden="1" x14ac:dyDescent="0.3">
      <c r="C579" s="208"/>
      <c r="D579" s="208"/>
      <c r="E579" s="208"/>
      <c r="F579" s="208"/>
      <c r="G579" s="208"/>
      <c r="H579" s="208"/>
      <c r="I579" s="263" t="str">
        <f t="shared" si="21"/>
        <v/>
      </c>
    </row>
    <row r="580" spans="3:9" ht="14.55" hidden="1" x14ac:dyDescent="0.3">
      <c r="C580" s="208"/>
      <c r="D580" s="208"/>
      <c r="E580" s="208"/>
      <c r="F580" s="208"/>
      <c r="G580" s="208"/>
      <c r="H580" s="208"/>
      <c r="I580" s="263" t="str">
        <f t="shared" si="21"/>
        <v/>
      </c>
    </row>
    <row r="581" spans="3:9" ht="14.55" hidden="1" x14ac:dyDescent="0.3">
      <c r="C581" s="208"/>
      <c r="D581" s="208"/>
      <c r="E581" s="208"/>
      <c r="F581" s="208"/>
      <c r="G581" s="208"/>
      <c r="H581" s="208"/>
      <c r="I581" s="263" t="str">
        <f t="shared" si="21"/>
        <v/>
      </c>
    </row>
    <row r="582" spans="3:9" ht="14.55" hidden="1" x14ac:dyDescent="0.3">
      <c r="C582" s="208"/>
      <c r="D582" s="208"/>
      <c r="E582" s="208"/>
      <c r="F582" s="208"/>
      <c r="G582" s="208"/>
      <c r="H582" s="208"/>
      <c r="I582" s="263" t="str">
        <f t="shared" si="21"/>
        <v/>
      </c>
    </row>
    <row r="583" spans="3:9" ht="14.55" hidden="1" x14ac:dyDescent="0.3">
      <c r="C583" s="208"/>
      <c r="D583" s="208"/>
      <c r="E583" s="208"/>
      <c r="F583" s="208"/>
      <c r="G583" s="208"/>
      <c r="H583" s="208"/>
      <c r="I583" s="263" t="str">
        <f t="shared" si="21"/>
        <v/>
      </c>
    </row>
    <row r="584" spans="3:9" ht="14.55" hidden="1" x14ac:dyDescent="0.3">
      <c r="C584" s="208"/>
      <c r="D584" s="208"/>
      <c r="E584" s="208"/>
      <c r="F584" s="208"/>
      <c r="G584" s="208"/>
      <c r="H584" s="208"/>
      <c r="I584" s="263" t="str">
        <f t="shared" si="21"/>
        <v/>
      </c>
    </row>
    <row r="585" spans="3:9" ht="14.55" hidden="1" x14ac:dyDescent="0.3">
      <c r="C585" s="208"/>
      <c r="D585" s="208"/>
      <c r="E585" s="208"/>
      <c r="F585" s="208"/>
      <c r="G585" s="208"/>
      <c r="H585" s="208"/>
      <c r="I585" s="263" t="str">
        <f t="shared" si="21"/>
        <v/>
      </c>
    </row>
    <row r="586" spans="3:9" ht="14.55" hidden="1" x14ac:dyDescent="0.3">
      <c r="C586" s="208"/>
      <c r="D586" s="208"/>
      <c r="E586" s="208"/>
      <c r="F586" s="208"/>
      <c r="G586" s="208"/>
      <c r="H586" s="208"/>
      <c r="I586" s="263" t="str">
        <f t="shared" si="21"/>
        <v/>
      </c>
    </row>
    <row r="587" spans="3:9" ht="14.55" hidden="1" x14ac:dyDescent="0.3">
      <c r="C587" s="208"/>
      <c r="D587" s="208"/>
      <c r="E587" s="208"/>
      <c r="F587" s="208"/>
      <c r="G587" s="208"/>
      <c r="H587" s="208"/>
      <c r="I587" s="263" t="str">
        <f t="shared" si="21"/>
        <v/>
      </c>
    </row>
    <row r="588" spans="3:9" ht="14.55" hidden="1" x14ac:dyDescent="0.3">
      <c r="C588" s="208"/>
      <c r="D588" s="208"/>
      <c r="E588" s="208"/>
      <c r="F588" s="208"/>
      <c r="G588" s="208"/>
      <c r="H588" s="208"/>
      <c r="I588" s="263" t="str">
        <f t="shared" si="21"/>
        <v/>
      </c>
    </row>
    <row r="589" spans="3:9" ht="14.55" hidden="1" x14ac:dyDescent="0.3">
      <c r="C589" s="208"/>
      <c r="D589" s="208"/>
      <c r="E589" s="208"/>
      <c r="F589" s="208"/>
      <c r="G589" s="208"/>
      <c r="H589" s="208"/>
      <c r="I589" s="263" t="str">
        <f t="shared" si="21"/>
        <v/>
      </c>
    </row>
    <row r="590" spans="3:9" ht="14.55" hidden="1" x14ac:dyDescent="0.3">
      <c r="C590" s="208"/>
      <c r="D590" s="208"/>
      <c r="E590" s="208"/>
      <c r="F590" s="208"/>
      <c r="G590" s="208"/>
      <c r="H590" s="208"/>
      <c r="I590" s="263" t="str">
        <f t="shared" si="21"/>
        <v/>
      </c>
    </row>
    <row r="591" spans="3:9" ht="14.55" hidden="1" x14ac:dyDescent="0.3">
      <c r="C591" s="208"/>
      <c r="D591" s="208"/>
      <c r="E591" s="208"/>
      <c r="F591" s="208"/>
      <c r="G591" s="208"/>
      <c r="H591" s="208"/>
      <c r="I591" s="263" t="str">
        <f t="shared" si="21"/>
        <v/>
      </c>
    </row>
    <row r="592" spans="3:9" ht="14.55" hidden="1" x14ac:dyDescent="0.3">
      <c r="C592" s="208"/>
      <c r="D592" s="208"/>
      <c r="E592" s="208"/>
      <c r="F592" s="208"/>
      <c r="G592" s="208"/>
      <c r="H592" s="208"/>
      <c r="I592" s="263" t="str">
        <f t="shared" si="21"/>
        <v/>
      </c>
    </row>
    <row r="593" spans="3:9" ht="14.55" hidden="1" x14ac:dyDescent="0.3">
      <c r="C593" s="208"/>
      <c r="D593" s="208"/>
      <c r="E593" s="208"/>
      <c r="F593" s="208"/>
      <c r="G593" s="208"/>
      <c r="H593" s="208"/>
      <c r="I593" s="263" t="str">
        <f t="shared" si="21"/>
        <v/>
      </c>
    </row>
    <row r="594" spans="3:9" ht="14.55" hidden="1" x14ac:dyDescent="0.3">
      <c r="C594" s="208"/>
      <c r="D594" s="208"/>
      <c r="E594" s="208"/>
      <c r="F594" s="208"/>
      <c r="G594" s="208"/>
      <c r="H594" s="208"/>
      <c r="I594" s="263" t="str">
        <f t="shared" si="21"/>
        <v/>
      </c>
    </row>
    <row r="595" spans="3:9" ht="14.55" hidden="1" x14ac:dyDescent="0.3">
      <c r="C595" s="208"/>
      <c r="D595" s="208"/>
      <c r="E595" s="208"/>
      <c r="F595" s="208"/>
      <c r="G595" s="208"/>
      <c r="H595" s="208"/>
      <c r="I595" s="263" t="str">
        <f t="shared" si="21"/>
        <v/>
      </c>
    </row>
    <row r="596" spans="3:9" ht="14.55" hidden="1" x14ac:dyDescent="0.3">
      <c r="C596" s="208"/>
      <c r="D596" s="208"/>
      <c r="E596" s="208"/>
      <c r="F596" s="208"/>
      <c r="G596" s="208"/>
      <c r="H596" s="208"/>
      <c r="I596" s="263" t="str">
        <f t="shared" si="21"/>
        <v/>
      </c>
    </row>
    <row r="597" spans="3:9" ht="14.55" hidden="1" x14ac:dyDescent="0.3">
      <c r="C597" s="208"/>
      <c r="D597" s="208"/>
      <c r="E597" s="208"/>
      <c r="F597" s="208"/>
      <c r="G597" s="208"/>
      <c r="H597" s="208"/>
      <c r="I597" s="263" t="str">
        <f t="shared" si="21"/>
        <v/>
      </c>
    </row>
    <row r="598" spans="3:9" ht="14.55" hidden="1" x14ac:dyDescent="0.3">
      <c r="C598" s="208"/>
      <c r="D598" s="208"/>
      <c r="E598" s="208"/>
      <c r="F598" s="208"/>
      <c r="G598" s="208"/>
      <c r="H598" s="208"/>
      <c r="I598" s="263" t="str">
        <f t="shared" si="21"/>
        <v/>
      </c>
    </row>
    <row r="599" spans="3:9" ht="14.55" hidden="1" x14ac:dyDescent="0.3">
      <c r="C599" s="208"/>
      <c r="D599" s="208"/>
      <c r="E599" s="208"/>
      <c r="F599" s="208"/>
      <c r="G599" s="208"/>
      <c r="H599" s="208"/>
      <c r="I599" s="263" t="str">
        <f t="shared" si="21"/>
        <v/>
      </c>
    </row>
    <row r="600" spans="3:9" ht="14.55" hidden="1" x14ac:dyDescent="0.3">
      <c r="C600" s="208"/>
      <c r="D600" s="208"/>
      <c r="E600" s="208"/>
      <c r="F600" s="208"/>
      <c r="G600" s="208"/>
      <c r="H600" s="208"/>
      <c r="I600" s="263" t="str">
        <f t="shared" si="21"/>
        <v/>
      </c>
    </row>
    <row r="601" spans="3:9" ht="14.55" hidden="1" x14ac:dyDescent="0.3">
      <c r="C601" s="208"/>
      <c r="D601" s="208"/>
      <c r="E601" s="208"/>
      <c r="F601" s="208"/>
      <c r="G601" s="208"/>
      <c r="H601" s="208"/>
      <c r="I601" s="263" t="str">
        <f t="shared" si="21"/>
        <v/>
      </c>
    </row>
    <row r="602" spans="3:9" ht="14.55" hidden="1" x14ac:dyDescent="0.3">
      <c r="C602" s="208"/>
      <c r="D602" s="208"/>
      <c r="E602" s="208"/>
      <c r="F602" s="208"/>
      <c r="G602" s="208"/>
      <c r="H602" s="208"/>
      <c r="I602" s="263" t="str">
        <f t="shared" si="21"/>
        <v/>
      </c>
    </row>
    <row r="603" spans="3:9" ht="14.55" hidden="1" x14ac:dyDescent="0.3">
      <c r="C603" s="208"/>
      <c r="D603" s="208"/>
      <c r="E603" s="208"/>
      <c r="F603" s="208"/>
      <c r="G603" s="208"/>
      <c r="H603" s="208"/>
      <c r="I603" s="263" t="str">
        <f t="shared" si="21"/>
        <v/>
      </c>
    </row>
    <row r="604" spans="3:9" ht="14.55" hidden="1" x14ac:dyDescent="0.3">
      <c r="C604" s="208"/>
      <c r="D604" s="208"/>
      <c r="E604" s="208"/>
      <c r="F604" s="208"/>
      <c r="G604" s="208"/>
      <c r="H604" s="208"/>
      <c r="I604" s="263" t="str">
        <f t="shared" si="21"/>
        <v/>
      </c>
    </row>
    <row r="605" spans="3:9" ht="14.55" hidden="1" x14ac:dyDescent="0.3">
      <c r="C605" s="208"/>
      <c r="D605" s="208"/>
      <c r="E605" s="208"/>
      <c r="F605" s="208"/>
      <c r="G605" s="208"/>
      <c r="H605" s="208"/>
      <c r="I605" s="263" t="str">
        <f t="shared" si="21"/>
        <v/>
      </c>
    </row>
    <row r="606" spans="3:9" ht="14.55" hidden="1" x14ac:dyDescent="0.3">
      <c r="C606" s="208"/>
      <c r="D606" s="208"/>
      <c r="E606" s="208"/>
      <c r="F606" s="208"/>
      <c r="G606" s="208"/>
      <c r="H606" s="208"/>
      <c r="I606" s="263" t="str">
        <f t="shared" si="21"/>
        <v/>
      </c>
    </row>
    <row r="607" spans="3:9" ht="14.55" hidden="1" x14ac:dyDescent="0.3">
      <c r="C607" s="208"/>
      <c r="D607" s="208"/>
      <c r="E607" s="208"/>
      <c r="F607" s="208"/>
      <c r="G607" s="208"/>
      <c r="H607" s="208"/>
      <c r="I607" s="263" t="str">
        <f t="shared" si="21"/>
        <v/>
      </c>
    </row>
    <row r="608" spans="3:9" ht="14.55" hidden="1" x14ac:dyDescent="0.3">
      <c r="C608" s="208"/>
      <c r="D608" s="208"/>
      <c r="E608" s="208"/>
      <c r="F608" s="208"/>
      <c r="G608" s="208"/>
      <c r="H608" s="208"/>
      <c r="I608" s="263" t="str">
        <f t="shared" si="21"/>
        <v/>
      </c>
    </row>
    <row r="609" spans="3:9" ht="14.55" hidden="1" x14ac:dyDescent="0.3">
      <c r="C609" s="208"/>
      <c r="D609" s="208"/>
      <c r="E609" s="208"/>
      <c r="F609" s="208"/>
      <c r="G609" s="208"/>
      <c r="H609" s="208"/>
      <c r="I609" s="263" t="str">
        <f t="shared" si="21"/>
        <v/>
      </c>
    </row>
    <row r="610" spans="3:9" ht="14.55" hidden="1" x14ac:dyDescent="0.3">
      <c r="C610" s="208"/>
      <c r="D610" s="208"/>
      <c r="E610" s="208"/>
      <c r="F610" s="208"/>
      <c r="G610" s="208"/>
      <c r="H610" s="208"/>
      <c r="I610" s="263" t="str">
        <f t="shared" si="21"/>
        <v/>
      </c>
    </row>
    <row r="611" spans="3:9" ht="14.55" hidden="1" x14ac:dyDescent="0.3">
      <c r="C611" s="208"/>
      <c r="D611" s="208"/>
      <c r="E611" s="208"/>
      <c r="F611" s="208"/>
      <c r="G611" s="208"/>
      <c r="H611" s="208"/>
      <c r="I611" s="263" t="str">
        <f t="shared" si="21"/>
        <v/>
      </c>
    </row>
    <row r="612" spans="3:9" ht="14.55" hidden="1" x14ac:dyDescent="0.3">
      <c r="C612" s="208"/>
      <c r="D612" s="208"/>
      <c r="E612" s="208"/>
      <c r="F612" s="208"/>
      <c r="G612" s="208"/>
      <c r="H612" s="208"/>
      <c r="I612" s="263" t="str">
        <f t="shared" si="21"/>
        <v/>
      </c>
    </row>
    <row r="613" spans="3:9" ht="14.55" hidden="1" x14ac:dyDescent="0.3">
      <c r="C613" s="208"/>
      <c r="D613" s="208"/>
      <c r="E613" s="208"/>
      <c r="F613" s="208"/>
      <c r="G613" s="208"/>
      <c r="H613" s="208"/>
      <c r="I613" s="263" t="str">
        <f t="shared" si="21"/>
        <v/>
      </c>
    </row>
    <row r="614" spans="3:9" ht="14.55" hidden="1" x14ac:dyDescent="0.3">
      <c r="C614" s="208"/>
      <c r="D614" s="208"/>
      <c r="E614" s="208"/>
      <c r="F614" s="208"/>
      <c r="G614" s="208"/>
      <c r="H614" s="208"/>
      <c r="I614" s="263" t="str">
        <f t="shared" si="21"/>
        <v/>
      </c>
    </row>
    <row r="615" spans="3:9" ht="14.55" hidden="1" x14ac:dyDescent="0.3">
      <c r="C615" s="208"/>
      <c r="D615" s="208"/>
      <c r="E615" s="208"/>
      <c r="F615" s="208"/>
      <c r="G615" s="208"/>
      <c r="H615" s="208"/>
      <c r="I615" s="263" t="str">
        <f t="shared" si="21"/>
        <v/>
      </c>
    </row>
    <row r="616" spans="3:9" ht="14.55" hidden="1" x14ac:dyDescent="0.3">
      <c r="C616" s="208"/>
      <c r="D616" s="208"/>
      <c r="E616" s="208"/>
      <c r="F616" s="208"/>
      <c r="G616" s="208"/>
      <c r="H616" s="208"/>
      <c r="I616" s="263" t="str">
        <f t="shared" si="21"/>
        <v/>
      </c>
    </row>
    <row r="617" spans="3:9" ht="14.55" hidden="1" x14ac:dyDescent="0.3">
      <c r="C617" s="208"/>
      <c r="D617" s="208"/>
      <c r="E617" s="208"/>
      <c r="F617" s="208"/>
      <c r="G617" s="208"/>
      <c r="H617" s="208"/>
      <c r="I617" s="263" t="str">
        <f t="shared" si="21"/>
        <v/>
      </c>
    </row>
    <row r="618" spans="3:9" ht="14.55" hidden="1" x14ac:dyDescent="0.3">
      <c r="C618" s="208"/>
      <c r="D618" s="208"/>
      <c r="E618" s="208"/>
      <c r="F618" s="208"/>
      <c r="G618" s="208"/>
      <c r="H618" s="208"/>
      <c r="I618" s="263" t="str">
        <f t="shared" si="21"/>
        <v/>
      </c>
    </row>
    <row r="619" spans="3:9" ht="14.55" hidden="1" x14ac:dyDescent="0.3">
      <c r="C619" s="208"/>
      <c r="D619" s="208"/>
      <c r="E619" s="208"/>
      <c r="F619" s="208"/>
      <c r="G619" s="208"/>
      <c r="H619" s="208"/>
      <c r="I619" s="263" t="str">
        <f t="shared" si="21"/>
        <v/>
      </c>
    </row>
    <row r="620" spans="3:9" ht="14.55" hidden="1" x14ac:dyDescent="0.3">
      <c r="C620" s="208"/>
      <c r="D620" s="208"/>
      <c r="E620" s="208"/>
      <c r="F620" s="208"/>
      <c r="G620" s="208"/>
      <c r="H620" s="208"/>
      <c r="I620" s="263" t="str">
        <f t="shared" si="21"/>
        <v/>
      </c>
    </row>
    <row r="621" spans="3:9" ht="14.55" hidden="1" x14ac:dyDescent="0.3">
      <c r="C621" s="208"/>
      <c r="D621" s="208"/>
      <c r="E621" s="208"/>
      <c r="F621" s="208"/>
      <c r="G621" s="208"/>
      <c r="H621" s="208"/>
      <c r="I621" s="263" t="str">
        <f t="shared" si="21"/>
        <v/>
      </c>
    </row>
    <row r="622" spans="3:9" ht="14.55" hidden="1" x14ac:dyDescent="0.3">
      <c r="C622" s="208"/>
      <c r="D622" s="208"/>
      <c r="E622" s="208"/>
      <c r="F622" s="208"/>
      <c r="G622" s="208"/>
      <c r="H622" s="208"/>
      <c r="I622" s="263" t="str">
        <f t="shared" si="21"/>
        <v/>
      </c>
    </row>
    <row r="623" spans="3:9" ht="14.55" hidden="1" x14ac:dyDescent="0.3">
      <c r="C623" s="208"/>
      <c r="D623" s="208"/>
      <c r="E623" s="208"/>
      <c r="F623" s="208"/>
      <c r="G623" s="208"/>
      <c r="H623" s="208"/>
      <c r="I623" s="263" t="str">
        <f t="shared" si="21"/>
        <v/>
      </c>
    </row>
    <row r="624" spans="3:9" ht="14.55" hidden="1" x14ac:dyDescent="0.3">
      <c r="C624" s="208"/>
      <c r="D624" s="208"/>
      <c r="E624" s="208"/>
      <c r="F624" s="208"/>
      <c r="G624" s="208"/>
      <c r="H624" s="208"/>
      <c r="I624" s="263" t="str">
        <f t="shared" si="21"/>
        <v/>
      </c>
    </row>
    <row r="625" spans="3:9" ht="14.55" hidden="1" x14ac:dyDescent="0.3">
      <c r="C625" s="208"/>
      <c r="D625" s="208"/>
      <c r="E625" s="208"/>
      <c r="F625" s="208"/>
      <c r="G625" s="208"/>
      <c r="H625" s="208"/>
      <c r="I625" s="263" t="str">
        <f t="shared" si="21"/>
        <v/>
      </c>
    </row>
    <row r="626" spans="3:9" ht="14.55" hidden="1" x14ac:dyDescent="0.3">
      <c r="C626" s="208"/>
      <c r="D626" s="208"/>
      <c r="E626" s="208"/>
      <c r="F626" s="208"/>
      <c r="G626" s="208"/>
      <c r="H626" s="208"/>
      <c r="I626" s="263" t="str">
        <f t="shared" si="21"/>
        <v/>
      </c>
    </row>
    <row r="627" spans="3:9" ht="14.55" hidden="1" x14ac:dyDescent="0.3">
      <c r="C627" s="208"/>
      <c r="D627" s="208"/>
      <c r="E627" s="208"/>
      <c r="F627" s="208"/>
      <c r="G627" s="208"/>
      <c r="H627" s="208"/>
      <c r="I627" s="263" t="str">
        <f t="shared" si="21"/>
        <v/>
      </c>
    </row>
    <row r="628" spans="3:9" ht="14.55" hidden="1" x14ac:dyDescent="0.3">
      <c r="C628" s="208"/>
      <c r="D628" s="208"/>
      <c r="E628" s="208"/>
      <c r="F628" s="208"/>
      <c r="G628" s="208"/>
      <c r="H628" s="208"/>
      <c r="I628" s="263" t="str">
        <f t="shared" si="21"/>
        <v/>
      </c>
    </row>
    <row r="629" spans="3:9" ht="14.55" hidden="1" x14ac:dyDescent="0.3">
      <c r="C629" s="208"/>
      <c r="D629" s="208"/>
      <c r="E629" s="208"/>
      <c r="F629" s="208"/>
      <c r="G629" s="208"/>
      <c r="H629" s="208"/>
      <c r="I629" s="263" t="str">
        <f t="shared" si="21"/>
        <v/>
      </c>
    </row>
    <row r="630" spans="3:9" ht="14.55" hidden="1" x14ac:dyDescent="0.3">
      <c r="C630" s="208"/>
      <c r="D630" s="208"/>
      <c r="E630" s="208"/>
      <c r="F630" s="208"/>
      <c r="G630" s="208"/>
      <c r="H630" s="208"/>
      <c r="I630" s="263" t="str">
        <f t="shared" si="21"/>
        <v/>
      </c>
    </row>
    <row r="631" spans="3:9" ht="14.55" hidden="1" x14ac:dyDescent="0.3">
      <c r="C631" s="208"/>
      <c r="D631" s="208"/>
      <c r="E631" s="208"/>
      <c r="F631" s="208"/>
      <c r="G631" s="208"/>
      <c r="H631" s="208"/>
      <c r="I631" s="263" t="str">
        <f t="shared" si="21"/>
        <v/>
      </c>
    </row>
    <row r="632" spans="3:9" ht="14.55" hidden="1" x14ac:dyDescent="0.3">
      <c r="C632" s="208"/>
      <c r="D632" s="208"/>
      <c r="E632" s="208"/>
      <c r="F632" s="208"/>
      <c r="G632" s="208"/>
      <c r="H632" s="208"/>
      <c r="I632" s="263" t="str">
        <f t="shared" si="21"/>
        <v/>
      </c>
    </row>
    <row r="633" spans="3:9" ht="14.55" hidden="1" x14ac:dyDescent="0.3">
      <c r="C633" s="208"/>
      <c r="D633" s="208"/>
      <c r="E633" s="208"/>
      <c r="F633" s="208"/>
      <c r="G633" s="208"/>
      <c r="H633" s="208"/>
      <c r="I633" s="263" t="str">
        <f t="shared" si="21"/>
        <v/>
      </c>
    </row>
    <row r="634" spans="3:9" ht="14.55" hidden="1" x14ac:dyDescent="0.3">
      <c r="C634" s="208"/>
      <c r="D634" s="208"/>
      <c r="E634" s="208"/>
      <c r="F634" s="208"/>
      <c r="G634" s="208"/>
      <c r="H634" s="208"/>
      <c r="I634" s="263" t="str">
        <f t="shared" si="21"/>
        <v/>
      </c>
    </row>
    <row r="635" spans="3:9" ht="14.55" hidden="1" x14ac:dyDescent="0.3">
      <c r="C635" s="208"/>
      <c r="D635" s="208"/>
      <c r="E635" s="208"/>
      <c r="F635" s="208"/>
      <c r="G635" s="208"/>
      <c r="H635" s="208"/>
      <c r="I635" s="263" t="str">
        <f t="shared" si="21"/>
        <v/>
      </c>
    </row>
    <row r="636" spans="3:9" ht="14.55" hidden="1" x14ac:dyDescent="0.3">
      <c r="C636" s="208"/>
      <c r="D636" s="208"/>
      <c r="E636" s="208"/>
      <c r="F636" s="208"/>
      <c r="G636" s="208"/>
      <c r="H636" s="208"/>
      <c r="I636" s="263" t="str">
        <f t="shared" si="21"/>
        <v/>
      </c>
    </row>
    <row r="637" spans="3:9" ht="14.55" hidden="1" x14ac:dyDescent="0.3">
      <c r="C637" s="208"/>
      <c r="D637" s="208"/>
      <c r="E637" s="208"/>
      <c r="F637" s="208"/>
      <c r="G637" s="208"/>
      <c r="H637" s="208"/>
      <c r="I637" s="263" t="str">
        <f t="shared" si="21"/>
        <v/>
      </c>
    </row>
    <row r="638" spans="3:9" ht="14.55" hidden="1" x14ac:dyDescent="0.3">
      <c r="C638" s="208"/>
      <c r="D638" s="208"/>
      <c r="E638" s="208"/>
      <c r="F638" s="208"/>
      <c r="G638" s="208"/>
      <c r="H638" s="208"/>
      <c r="I638" s="263" t="str">
        <f t="shared" ref="I638:I701" si="22">IF(H638=0,"",D638)</f>
        <v/>
      </c>
    </row>
    <row r="639" spans="3:9" ht="14.55" hidden="1" x14ac:dyDescent="0.3">
      <c r="C639" s="208"/>
      <c r="D639" s="208"/>
      <c r="E639" s="208"/>
      <c r="F639" s="208"/>
      <c r="G639" s="208"/>
      <c r="H639" s="208"/>
      <c r="I639" s="263" t="str">
        <f t="shared" si="22"/>
        <v/>
      </c>
    </row>
    <row r="640" spans="3:9" ht="14.55" hidden="1" x14ac:dyDescent="0.3">
      <c r="C640" s="208"/>
      <c r="D640" s="208"/>
      <c r="E640" s="208"/>
      <c r="F640" s="208"/>
      <c r="G640" s="208"/>
      <c r="H640" s="208"/>
      <c r="I640" s="263" t="str">
        <f t="shared" si="22"/>
        <v/>
      </c>
    </row>
    <row r="641" spans="3:9" ht="14.55" hidden="1" x14ac:dyDescent="0.3">
      <c r="C641" s="208"/>
      <c r="D641" s="208"/>
      <c r="E641" s="208"/>
      <c r="F641" s="208"/>
      <c r="G641" s="208"/>
      <c r="H641" s="208"/>
      <c r="I641" s="263" t="str">
        <f t="shared" si="22"/>
        <v/>
      </c>
    </row>
    <row r="642" spans="3:9" ht="14.55" hidden="1" x14ac:dyDescent="0.3">
      <c r="C642" s="208"/>
      <c r="D642" s="208"/>
      <c r="E642" s="208"/>
      <c r="F642" s="208"/>
      <c r="G642" s="208"/>
      <c r="H642" s="208"/>
      <c r="I642" s="263" t="str">
        <f t="shared" si="22"/>
        <v/>
      </c>
    </row>
    <row r="643" spans="3:9" ht="14.55" hidden="1" x14ac:dyDescent="0.3">
      <c r="C643" s="208"/>
      <c r="D643" s="208"/>
      <c r="E643" s="208"/>
      <c r="F643" s="208"/>
      <c r="G643" s="208"/>
      <c r="H643" s="208"/>
      <c r="I643" s="263" t="str">
        <f t="shared" si="22"/>
        <v/>
      </c>
    </row>
    <row r="644" spans="3:9" ht="14.55" hidden="1" x14ac:dyDescent="0.3">
      <c r="C644" s="208"/>
      <c r="D644" s="208"/>
      <c r="E644" s="208"/>
      <c r="F644" s="208"/>
      <c r="G644" s="208"/>
      <c r="H644" s="208"/>
      <c r="I644" s="263" t="str">
        <f t="shared" si="22"/>
        <v/>
      </c>
    </row>
    <row r="645" spans="3:9" ht="14.55" hidden="1" x14ac:dyDescent="0.3">
      <c r="C645" s="208"/>
      <c r="D645" s="208"/>
      <c r="E645" s="208"/>
      <c r="F645" s="208"/>
      <c r="G645" s="208"/>
      <c r="H645" s="208"/>
      <c r="I645" s="263" t="str">
        <f t="shared" si="22"/>
        <v/>
      </c>
    </row>
    <row r="646" spans="3:9" ht="14.55" hidden="1" x14ac:dyDescent="0.3">
      <c r="C646" s="208"/>
      <c r="D646" s="208"/>
      <c r="E646" s="208"/>
      <c r="F646" s="208"/>
      <c r="G646" s="208"/>
      <c r="H646" s="208"/>
      <c r="I646" s="263" t="str">
        <f t="shared" si="22"/>
        <v/>
      </c>
    </row>
    <row r="647" spans="3:9" ht="14.55" hidden="1" x14ac:dyDescent="0.3">
      <c r="C647" s="208"/>
      <c r="D647" s="208"/>
      <c r="E647" s="208"/>
      <c r="F647" s="208"/>
      <c r="G647" s="208"/>
      <c r="H647" s="208"/>
      <c r="I647" s="263" t="str">
        <f t="shared" si="22"/>
        <v/>
      </c>
    </row>
    <row r="648" spans="3:9" ht="14.55" hidden="1" x14ac:dyDescent="0.3">
      <c r="C648" s="208"/>
      <c r="D648" s="208"/>
      <c r="E648" s="208"/>
      <c r="F648" s="208"/>
      <c r="G648" s="208"/>
      <c r="H648" s="208"/>
      <c r="I648" s="263" t="str">
        <f t="shared" si="22"/>
        <v/>
      </c>
    </row>
    <row r="649" spans="3:9" ht="14.55" hidden="1" x14ac:dyDescent="0.3">
      <c r="C649" s="208"/>
      <c r="D649" s="208"/>
      <c r="E649" s="208"/>
      <c r="F649" s="208"/>
      <c r="G649" s="208"/>
      <c r="H649" s="208"/>
      <c r="I649" s="263" t="str">
        <f t="shared" si="22"/>
        <v/>
      </c>
    </row>
    <row r="650" spans="3:9" ht="14.55" hidden="1" x14ac:dyDescent="0.3">
      <c r="C650" s="208"/>
      <c r="D650" s="208"/>
      <c r="E650" s="208"/>
      <c r="F650" s="208"/>
      <c r="G650" s="208"/>
      <c r="H650" s="208"/>
      <c r="I650" s="263" t="str">
        <f t="shared" si="22"/>
        <v/>
      </c>
    </row>
    <row r="651" spans="3:9" ht="14.55" hidden="1" x14ac:dyDescent="0.3">
      <c r="C651" s="208"/>
      <c r="D651" s="208"/>
      <c r="E651" s="208"/>
      <c r="F651" s="208"/>
      <c r="G651" s="208"/>
      <c r="H651" s="208"/>
      <c r="I651" s="263" t="str">
        <f t="shared" si="22"/>
        <v/>
      </c>
    </row>
    <row r="652" spans="3:9" ht="14.55" hidden="1" x14ac:dyDescent="0.3">
      <c r="C652" s="208"/>
      <c r="D652" s="208"/>
      <c r="E652" s="208"/>
      <c r="F652" s="208"/>
      <c r="G652" s="208"/>
      <c r="H652" s="208"/>
      <c r="I652" s="263" t="str">
        <f t="shared" si="22"/>
        <v/>
      </c>
    </row>
    <row r="653" spans="3:9" ht="14.55" hidden="1" x14ac:dyDescent="0.3">
      <c r="C653" s="208"/>
      <c r="D653" s="208"/>
      <c r="E653" s="208"/>
      <c r="F653" s="208"/>
      <c r="G653" s="208"/>
      <c r="H653" s="208"/>
      <c r="I653" s="263" t="str">
        <f t="shared" si="22"/>
        <v/>
      </c>
    </row>
    <row r="654" spans="3:9" ht="14.55" hidden="1" x14ac:dyDescent="0.3">
      <c r="C654" s="208"/>
      <c r="D654" s="208"/>
      <c r="E654" s="208"/>
      <c r="F654" s="208"/>
      <c r="G654" s="208"/>
      <c r="H654" s="208"/>
      <c r="I654" s="263" t="str">
        <f t="shared" si="22"/>
        <v/>
      </c>
    </row>
    <row r="655" spans="3:9" ht="14.55" hidden="1" x14ac:dyDescent="0.3">
      <c r="C655" s="208"/>
      <c r="D655" s="208"/>
      <c r="E655" s="208"/>
      <c r="F655" s="208"/>
      <c r="G655" s="208"/>
      <c r="H655" s="208"/>
      <c r="I655" s="263" t="str">
        <f t="shared" si="22"/>
        <v/>
      </c>
    </row>
    <row r="656" spans="3:9" ht="14.55" hidden="1" x14ac:dyDescent="0.3">
      <c r="C656" s="208"/>
      <c r="D656" s="208"/>
      <c r="E656" s="208"/>
      <c r="F656" s="208"/>
      <c r="G656" s="208"/>
      <c r="H656" s="208"/>
      <c r="I656" s="263" t="str">
        <f t="shared" si="22"/>
        <v/>
      </c>
    </row>
    <row r="657" spans="3:9" ht="14.55" hidden="1" x14ac:dyDescent="0.3">
      <c r="C657" s="208"/>
      <c r="D657" s="208"/>
      <c r="E657" s="208"/>
      <c r="F657" s="208"/>
      <c r="G657" s="208"/>
      <c r="H657" s="208"/>
      <c r="I657" s="263" t="str">
        <f t="shared" si="22"/>
        <v/>
      </c>
    </row>
    <row r="658" spans="3:9" ht="14.55" hidden="1" x14ac:dyDescent="0.3">
      <c r="C658" s="208"/>
      <c r="D658" s="208"/>
      <c r="E658" s="208"/>
      <c r="F658" s="208"/>
      <c r="G658" s="208"/>
      <c r="H658" s="208"/>
      <c r="I658" s="263" t="str">
        <f t="shared" si="22"/>
        <v/>
      </c>
    </row>
    <row r="659" spans="3:9" ht="14.55" hidden="1" x14ac:dyDescent="0.3">
      <c r="C659" s="208"/>
      <c r="D659" s="208"/>
      <c r="E659" s="208"/>
      <c r="F659" s="208"/>
      <c r="G659" s="208"/>
      <c r="H659" s="208"/>
      <c r="I659" s="263" t="str">
        <f t="shared" si="22"/>
        <v/>
      </c>
    </row>
    <row r="660" spans="3:9" ht="14.55" hidden="1" x14ac:dyDescent="0.3">
      <c r="C660" s="208"/>
      <c r="D660" s="208"/>
      <c r="E660" s="208"/>
      <c r="F660" s="208"/>
      <c r="G660" s="208"/>
      <c r="H660" s="208"/>
      <c r="I660" s="263" t="str">
        <f t="shared" si="22"/>
        <v/>
      </c>
    </row>
    <row r="661" spans="3:9" ht="14.55" hidden="1" x14ac:dyDescent="0.3">
      <c r="C661" s="208"/>
      <c r="D661" s="208"/>
      <c r="E661" s="208"/>
      <c r="F661" s="208"/>
      <c r="G661" s="208"/>
      <c r="H661" s="208"/>
      <c r="I661" s="263" t="str">
        <f t="shared" si="22"/>
        <v/>
      </c>
    </row>
    <row r="662" spans="3:9" ht="14.55" hidden="1" x14ac:dyDescent="0.3">
      <c r="C662" s="208"/>
      <c r="D662" s="208"/>
      <c r="E662" s="208"/>
      <c r="F662" s="208"/>
      <c r="G662" s="208"/>
      <c r="H662" s="208"/>
      <c r="I662" s="263" t="str">
        <f t="shared" si="22"/>
        <v/>
      </c>
    </row>
    <row r="663" spans="3:9" ht="14.55" hidden="1" x14ac:dyDescent="0.3">
      <c r="C663" s="208"/>
      <c r="D663" s="208"/>
      <c r="E663" s="208"/>
      <c r="F663" s="208"/>
      <c r="G663" s="208"/>
      <c r="H663" s="208"/>
      <c r="I663" s="263" t="str">
        <f t="shared" si="22"/>
        <v/>
      </c>
    </row>
    <row r="664" spans="3:9" ht="14.55" hidden="1" x14ac:dyDescent="0.3">
      <c r="C664" s="208"/>
      <c r="D664" s="208"/>
      <c r="E664" s="208"/>
      <c r="F664" s="208"/>
      <c r="G664" s="208"/>
      <c r="H664" s="208"/>
      <c r="I664" s="263" t="str">
        <f t="shared" si="22"/>
        <v/>
      </c>
    </row>
    <row r="665" spans="3:9" ht="14.55" hidden="1" x14ac:dyDescent="0.3">
      <c r="C665" s="208"/>
      <c r="D665" s="208"/>
      <c r="E665" s="208"/>
      <c r="F665" s="208"/>
      <c r="G665" s="208"/>
      <c r="H665" s="208"/>
      <c r="I665" s="263" t="str">
        <f t="shared" si="22"/>
        <v/>
      </c>
    </row>
    <row r="666" spans="3:9" ht="14.55" hidden="1" x14ac:dyDescent="0.3">
      <c r="C666" s="208"/>
      <c r="D666" s="208"/>
      <c r="E666" s="208"/>
      <c r="F666" s="208"/>
      <c r="G666" s="208"/>
      <c r="H666" s="208"/>
      <c r="I666" s="263" t="str">
        <f t="shared" si="22"/>
        <v/>
      </c>
    </row>
    <row r="667" spans="3:9" ht="14.55" hidden="1" x14ac:dyDescent="0.3">
      <c r="C667" s="208"/>
      <c r="D667" s="208"/>
      <c r="E667" s="208"/>
      <c r="F667" s="208"/>
      <c r="G667" s="208"/>
      <c r="H667" s="208"/>
      <c r="I667" s="263" t="str">
        <f t="shared" si="22"/>
        <v/>
      </c>
    </row>
    <row r="668" spans="3:9" ht="14.55" hidden="1" x14ac:dyDescent="0.3">
      <c r="C668" s="208"/>
      <c r="D668" s="208"/>
      <c r="E668" s="208"/>
      <c r="F668" s="208"/>
      <c r="G668" s="208"/>
      <c r="H668" s="208"/>
      <c r="I668" s="263" t="str">
        <f t="shared" si="22"/>
        <v/>
      </c>
    </row>
    <row r="669" spans="3:9" ht="14.55" hidden="1" x14ac:dyDescent="0.3">
      <c r="C669" s="208"/>
      <c r="D669" s="208"/>
      <c r="E669" s="208"/>
      <c r="F669" s="208"/>
      <c r="G669" s="208"/>
      <c r="H669" s="208"/>
      <c r="I669" s="263" t="str">
        <f t="shared" si="22"/>
        <v/>
      </c>
    </row>
    <row r="670" spans="3:9" ht="14.55" hidden="1" x14ac:dyDescent="0.3">
      <c r="C670" s="208"/>
      <c r="D670" s="208"/>
      <c r="E670" s="208"/>
      <c r="F670" s="208"/>
      <c r="G670" s="208"/>
      <c r="H670" s="208"/>
      <c r="I670" s="263" t="str">
        <f t="shared" si="22"/>
        <v/>
      </c>
    </row>
    <row r="671" spans="3:9" ht="14.55" hidden="1" x14ac:dyDescent="0.3">
      <c r="C671" s="208"/>
      <c r="D671" s="208"/>
      <c r="E671" s="208"/>
      <c r="F671" s="208"/>
      <c r="G671" s="208"/>
      <c r="H671" s="208"/>
      <c r="I671" s="263" t="str">
        <f t="shared" si="22"/>
        <v/>
      </c>
    </row>
    <row r="672" spans="3:9" ht="14.55" hidden="1" x14ac:dyDescent="0.3">
      <c r="C672" s="208"/>
      <c r="D672" s="208"/>
      <c r="E672" s="208"/>
      <c r="F672" s="208"/>
      <c r="G672" s="208"/>
      <c r="H672" s="208"/>
      <c r="I672" s="263" t="str">
        <f t="shared" si="22"/>
        <v/>
      </c>
    </row>
    <row r="673" spans="3:9" ht="14.55" hidden="1" x14ac:dyDescent="0.3">
      <c r="C673" s="208"/>
      <c r="D673" s="208"/>
      <c r="E673" s="208"/>
      <c r="F673" s="208"/>
      <c r="G673" s="208"/>
      <c r="H673" s="208"/>
      <c r="I673" s="263" t="str">
        <f t="shared" si="22"/>
        <v/>
      </c>
    </row>
    <row r="674" spans="3:9" ht="14.55" hidden="1" x14ac:dyDescent="0.3">
      <c r="C674" s="208"/>
      <c r="D674" s="208"/>
      <c r="E674" s="208"/>
      <c r="F674" s="208"/>
      <c r="G674" s="208"/>
      <c r="H674" s="208"/>
      <c r="I674" s="263" t="str">
        <f t="shared" si="22"/>
        <v/>
      </c>
    </row>
    <row r="675" spans="3:9" ht="14.55" hidden="1" x14ac:dyDescent="0.3">
      <c r="C675" s="208"/>
      <c r="D675" s="208"/>
      <c r="E675" s="208"/>
      <c r="F675" s="208"/>
      <c r="G675" s="208"/>
      <c r="H675" s="208"/>
      <c r="I675" s="263" t="str">
        <f t="shared" si="22"/>
        <v/>
      </c>
    </row>
    <row r="676" spans="3:9" ht="14.55" hidden="1" x14ac:dyDescent="0.3">
      <c r="C676" s="208"/>
      <c r="D676" s="208"/>
      <c r="E676" s="208"/>
      <c r="F676" s="208"/>
      <c r="G676" s="208"/>
      <c r="H676" s="208"/>
      <c r="I676" s="263" t="str">
        <f t="shared" si="22"/>
        <v/>
      </c>
    </row>
    <row r="677" spans="3:9" ht="14.55" hidden="1" x14ac:dyDescent="0.3">
      <c r="C677" s="208"/>
      <c r="D677" s="208"/>
      <c r="E677" s="208"/>
      <c r="F677" s="208"/>
      <c r="G677" s="208"/>
      <c r="H677" s="208"/>
      <c r="I677" s="263" t="str">
        <f t="shared" si="22"/>
        <v/>
      </c>
    </row>
    <row r="678" spans="3:9" ht="14.55" hidden="1" x14ac:dyDescent="0.3">
      <c r="C678" s="208"/>
      <c r="D678" s="208"/>
      <c r="E678" s="208"/>
      <c r="F678" s="208"/>
      <c r="G678" s="208"/>
      <c r="H678" s="208"/>
      <c r="I678" s="263" t="str">
        <f t="shared" si="22"/>
        <v/>
      </c>
    </row>
    <row r="679" spans="3:9" ht="14.55" hidden="1" x14ac:dyDescent="0.3">
      <c r="C679" s="208"/>
      <c r="D679" s="208"/>
      <c r="E679" s="208"/>
      <c r="F679" s="208"/>
      <c r="G679" s="208"/>
      <c r="H679" s="208"/>
      <c r="I679" s="263" t="str">
        <f t="shared" si="22"/>
        <v/>
      </c>
    </row>
    <row r="680" spans="3:9" ht="14.55" hidden="1" x14ac:dyDescent="0.3">
      <c r="C680" s="208"/>
      <c r="D680" s="208"/>
      <c r="E680" s="208"/>
      <c r="F680" s="208"/>
      <c r="G680" s="208"/>
      <c r="H680" s="208"/>
      <c r="I680" s="263" t="str">
        <f t="shared" si="22"/>
        <v/>
      </c>
    </row>
    <row r="681" spans="3:9" ht="14.55" hidden="1" x14ac:dyDescent="0.3">
      <c r="C681" s="208"/>
      <c r="D681" s="208"/>
      <c r="E681" s="208"/>
      <c r="F681" s="208"/>
      <c r="G681" s="208"/>
      <c r="H681" s="208"/>
      <c r="I681" s="263" t="str">
        <f t="shared" si="22"/>
        <v/>
      </c>
    </row>
    <row r="682" spans="3:9" ht="14.55" hidden="1" x14ac:dyDescent="0.3">
      <c r="C682" s="208"/>
      <c r="D682" s="208"/>
      <c r="E682" s="208"/>
      <c r="F682" s="208"/>
      <c r="G682" s="208"/>
      <c r="H682" s="208"/>
      <c r="I682" s="263" t="str">
        <f t="shared" si="22"/>
        <v/>
      </c>
    </row>
    <row r="683" spans="3:9" ht="14.55" hidden="1" x14ac:dyDescent="0.3">
      <c r="C683" s="208"/>
      <c r="D683" s="208"/>
      <c r="E683" s="208"/>
      <c r="F683" s="208"/>
      <c r="G683" s="208"/>
      <c r="H683" s="208"/>
      <c r="I683" s="263" t="str">
        <f t="shared" si="22"/>
        <v/>
      </c>
    </row>
    <row r="684" spans="3:9" ht="14.55" hidden="1" x14ac:dyDescent="0.3">
      <c r="C684" s="208"/>
      <c r="D684" s="208"/>
      <c r="E684" s="208"/>
      <c r="F684" s="208"/>
      <c r="G684" s="208"/>
      <c r="H684" s="208"/>
      <c r="I684" s="263" t="str">
        <f t="shared" si="22"/>
        <v/>
      </c>
    </row>
    <row r="685" spans="3:9" ht="14.55" hidden="1" x14ac:dyDescent="0.3">
      <c r="C685" s="208"/>
      <c r="D685" s="208"/>
      <c r="E685" s="208"/>
      <c r="F685" s="208"/>
      <c r="G685" s="208"/>
      <c r="H685" s="208"/>
      <c r="I685" s="263" t="str">
        <f t="shared" si="22"/>
        <v/>
      </c>
    </row>
    <row r="686" spans="3:9" ht="14.55" hidden="1" x14ac:dyDescent="0.3">
      <c r="C686" s="208"/>
      <c r="D686" s="208"/>
      <c r="E686" s="208"/>
      <c r="F686" s="208"/>
      <c r="G686" s="208"/>
      <c r="H686" s="208"/>
      <c r="I686" s="263" t="str">
        <f t="shared" si="22"/>
        <v/>
      </c>
    </row>
    <row r="687" spans="3:9" ht="14.55" hidden="1" x14ac:dyDescent="0.3">
      <c r="C687" s="208"/>
      <c r="D687" s="208"/>
      <c r="E687" s="208"/>
      <c r="F687" s="208"/>
      <c r="G687" s="208"/>
      <c r="H687" s="208"/>
      <c r="I687" s="263" t="str">
        <f t="shared" si="22"/>
        <v/>
      </c>
    </row>
    <row r="688" spans="3:9" ht="14.55" hidden="1" x14ac:dyDescent="0.3">
      <c r="C688" s="208"/>
      <c r="D688" s="208"/>
      <c r="E688" s="208"/>
      <c r="F688" s="208"/>
      <c r="G688" s="208"/>
      <c r="H688" s="208"/>
      <c r="I688" s="263" t="str">
        <f t="shared" si="22"/>
        <v/>
      </c>
    </row>
    <row r="689" spans="3:9" ht="14.55" hidden="1" x14ac:dyDescent="0.3">
      <c r="C689" s="208"/>
      <c r="D689" s="208"/>
      <c r="E689" s="208"/>
      <c r="F689" s="208"/>
      <c r="G689" s="208"/>
      <c r="H689" s="208"/>
      <c r="I689" s="263" t="str">
        <f t="shared" si="22"/>
        <v/>
      </c>
    </row>
    <row r="690" spans="3:9" ht="14.55" hidden="1" x14ac:dyDescent="0.3">
      <c r="C690" s="208"/>
      <c r="D690" s="208"/>
      <c r="E690" s="208"/>
      <c r="F690" s="208"/>
      <c r="G690" s="208"/>
      <c r="H690" s="208"/>
      <c r="I690" s="263" t="str">
        <f t="shared" si="22"/>
        <v/>
      </c>
    </row>
    <row r="691" spans="3:9" ht="14.55" hidden="1" x14ac:dyDescent="0.3">
      <c r="C691" s="208"/>
      <c r="D691" s="208"/>
      <c r="E691" s="208"/>
      <c r="F691" s="208"/>
      <c r="G691" s="208"/>
      <c r="H691" s="208"/>
      <c r="I691" s="263" t="str">
        <f t="shared" si="22"/>
        <v/>
      </c>
    </row>
    <row r="692" spans="3:9" ht="14.55" hidden="1" x14ac:dyDescent="0.3">
      <c r="C692" s="208"/>
      <c r="D692" s="208"/>
      <c r="E692" s="208"/>
      <c r="F692" s="208"/>
      <c r="G692" s="208"/>
      <c r="H692" s="208"/>
      <c r="I692" s="263" t="str">
        <f t="shared" si="22"/>
        <v/>
      </c>
    </row>
    <row r="693" spans="3:9" ht="14.55" hidden="1" x14ac:dyDescent="0.3">
      <c r="C693" s="208"/>
      <c r="D693" s="208"/>
      <c r="E693" s="208"/>
      <c r="F693" s="208"/>
      <c r="G693" s="208"/>
      <c r="H693" s="208"/>
      <c r="I693" s="263" t="str">
        <f t="shared" si="22"/>
        <v/>
      </c>
    </row>
    <row r="694" spans="3:9" ht="14.55" hidden="1" x14ac:dyDescent="0.3">
      <c r="C694" s="208"/>
      <c r="D694" s="208"/>
      <c r="E694" s="208"/>
      <c r="F694" s="208"/>
      <c r="G694" s="208"/>
      <c r="H694" s="208"/>
      <c r="I694" s="263" t="str">
        <f t="shared" si="22"/>
        <v/>
      </c>
    </row>
    <row r="695" spans="3:9" ht="14.55" hidden="1" x14ac:dyDescent="0.3">
      <c r="C695" s="208"/>
      <c r="D695" s="208"/>
      <c r="E695" s="208"/>
      <c r="F695" s="208"/>
      <c r="G695" s="208"/>
      <c r="H695" s="208"/>
      <c r="I695" s="263" t="str">
        <f t="shared" si="22"/>
        <v/>
      </c>
    </row>
    <row r="696" spans="3:9" ht="14.55" hidden="1" x14ac:dyDescent="0.3">
      <c r="C696" s="208"/>
      <c r="D696" s="208"/>
      <c r="E696" s="208"/>
      <c r="F696" s="208"/>
      <c r="G696" s="208"/>
      <c r="H696" s="208"/>
      <c r="I696" s="263" t="str">
        <f t="shared" si="22"/>
        <v/>
      </c>
    </row>
    <row r="697" spans="3:9" ht="14.55" hidden="1" x14ac:dyDescent="0.3">
      <c r="C697" s="208"/>
      <c r="D697" s="208"/>
      <c r="E697" s="208"/>
      <c r="F697" s="208"/>
      <c r="G697" s="208"/>
      <c r="H697" s="208"/>
      <c r="I697" s="263" t="str">
        <f t="shared" si="22"/>
        <v/>
      </c>
    </row>
    <row r="698" spans="3:9" ht="14.55" hidden="1" x14ac:dyDescent="0.3">
      <c r="C698" s="208"/>
      <c r="D698" s="208"/>
      <c r="E698" s="208"/>
      <c r="F698" s="208"/>
      <c r="G698" s="208"/>
      <c r="H698" s="208"/>
      <c r="I698" s="263" t="str">
        <f t="shared" si="22"/>
        <v/>
      </c>
    </row>
    <row r="699" spans="3:9" ht="14.55" hidden="1" x14ac:dyDescent="0.3">
      <c r="C699" s="208"/>
      <c r="D699" s="208"/>
      <c r="E699" s="208"/>
      <c r="F699" s="208"/>
      <c r="G699" s="208"/>
      <c r="H699" s="208"/>
      <c r="I699" s="263" t="str">
        <f t="shared" si="22"/>
        <v/>
      </c>
    </row>
    <row r="700" spans="3:9" ht="14.55" hidden="1" x14ac:dyDescent="0.3">
      <c r="C700" s="208"/>
      <c r="D700" s="208"/>
      <c r="E700" s="208"/>
      <c r="F700" s="208"/>
      <c r="G700" s="208"/>
      <c r="H700" s="208"/>
      <c r="I700" s="263" t="str">
        <f t="shared" si="22"/>
        <v/>
      </c>
    </row>
    <row r="701" spans="3:9" ht="14.55" hidden="1" x14ac:dyDescent="0.3">
      <c r="C701" s="208"/>
      <c r="D701" s="208"/>
      <c r="E701" s="208"/>
      <c r="F701" s="208"/>
      <c r="G701" s="208"/>
      <c r="H701" s="208"/>
      <c r="I701" s="263" t="str">
        <f t="shared" si="22"/>
        <v/>
      </c>
    </row>
    <row r="702" spans="3:9" ht="14.55" hidden="1" x14ac:dyDescent="0.3">
      <c r="C702" s="208"/>
      <c r="D702" s="208"/>
      <c r="E702" s="208"/>
      <c r="F702" s="208"/>
      <c r="G702" s="208"/>
      <c r="H702" s="208"/>
      <c r="I702" s="263" t="str">
        <f t="shared" ref="I702:I765" si="23">IF(H702=0,"",D702)</f>
        <v/>
      </c>
    </row>
    <row r="703" spans="3:9" ht="14.55" hidden="1" x14ac:dyDescent="0.3">
      <c r="C703" s="208"/>
      <c r="D703" s="208"/>
      <c r="E703" s="208"/>
      <c r="F703" s="208"/>
      <c r="G703" s="208"/>
      <c r="H703" s="208"/>
      <c r="I703" s="263" t="str">
        <f t="shared" si="23"/>
        <v/>
      </c>
    </row>
    <row r="704" spans="3:9" ht="14.55" hidden="1" x14ac:dyDescent="0.3">
      <c r="C704" s="208"/>
      <c r="D704" s="208"/>
      <c r="E704" s="208"/>
      <c r="F704" s="208"/>
      <c r="G704" s="208"/>
      <c r="H704" s="208"/>
      <c r="I704" s="263" t="str">
        <f t="shared" si="23"/>
        <v/>
      </c>
    </row>
    <row r="705" spans="3:9" ht="14.55" hidden="1" x14ac:dyDescent="0.3">
      <c r="C705" s="208"/>
      <c r="D705" s="208"/>
      <c r="E705" s="208"/>
      <c r="F705" s="208"/>
      <c r="G705" s="208"/>
      <c r="H705" s="208"/>
      <c r="I705" s="263" t="str">
        <f t="shared" si="23"/>
        <v/>
      </c>
    </row>
    <row r="706" spans="3:9" ht="14.55" hidden="1" x14ac:dyDescent="0.3">
      <c r="C706" s="208"/>
      <c r="D706" s="208"/>
      <c r="E706" s="208"/>
      <c r="F706" s="208"/>
      <c r="G706" s="208"/>
      <c r="H706" s="208"/>
      <c r="I706" s="263" t="str">
        <f t="shared" si="23"/>
        <v/>
      </c>
    </row>
    <row r="707" spans="3:9" ht="14.55" hidden="1" x14ac:dyDescent="0.3">
      <c r="C707" s="208"/>
      <c r="D707" s="208"/>
      <c r="E707" s="208"/>
      <c r="F707" s="208"/>
      <c r="G707" s="208"/>
      <c r="H707" s="208"/>
      <c r="I707" s="263" t="str">
        <f t="shared" si="23"/>
        <v/>
      </c>
    </row>
    <row r="708" spans="3:9" ht="14.55" hidden="1" x14ac:dyDescent="0.3">
      <c r="C708" s="208"/>
      <c r="D708" s="208"/>
      <c r="E708" s="208"/>
      <c r="F708" s="208"/>
      <c r="G708" s="208"/>
      <c r="H708" s="208"/>
      <c r="I708" s="263" t="str">
        <f t="shared" si="23"/>
        <v/>
      </c>
    </row>
    <row r="709" spans="3:9" ht="14.55" hidden="1" x14ac:dyDescent="0.3">
      <c r="C709" s="208"/>
      <c r="D709" s="208"/>
      <c r="E709" s="208"/>
      <c r="F709" s="208"/>
      <c r="G709" s="208"/>
      <c r="H709" s="208"/>
      <c r="I709" s="263" t="str">
        <f t="shared" si="23"/>
        <v/>
      </c>
    </row>
    <row r="710" spans="3:9" ht="14.55" hidden="1" x14ac:dyDescent="0.3">
      <c r="C710" s="208"/>
      <c r="D710" s="208"/>
      <c r="E710" s="208"/>
      <c r="F710" s="208"/>
      <c r="G710" s="208"/>
      <c r="H710" s="208"/>
      <c r="I710" s="263" t="str">
        <f t="shared" si="23"/>
        <v/>
      </c>
    </row>
    <row r="711" spans="3:9" ht="14.55" hidden="1" x14ac:dyDescent="0.3">
      <c r="C711" s="208"/>
      <c r="D711" s="208"/>
      <c r="E711" s="208"/>
      <c r="F711" s="208"/>
      <c r="G711" s="208"/>
      <c r="H711" s="208"/>
      <c r="I711" s="263" t="str">
        <f t="shared" si="23"/>
        <v/>
      </c>
    </row>
    <row r="712" spans="3:9" ht="14.55" hidden="1" x14ac:dyDescent="0.3">
      <c r="C712" s="208"/>
      <c r="D712" s="208"/>
      <c r="E712" s="208"/>
      <c r="F712" s="208"/>
      <c r="G712" s="208"/>
      <c r="H712" s="208"/>
      <c r="I712" s="263" t="str">
        <f t="shared" si="23"/>
        <v/>
      </c>
    </row>
    <row r="713" spans="3:9" ht="14.55" hidden="1" x14ac:dyDescent="0.3">
      <c r="C713" s="208"/>
      <c r="D713" s="208"/>
      <c r="E713" s="208"/>
      <c r="F713" s="208"/>
      <c r="G713" s="208"/>
      <c r="H713" s="208"/>
      <c r="I713" s="263" t="str">
        <f t="shared" si="23"/>
        <v/>
      </c>
    </row>
    <row r="714" spans="3:9" ht="14.55" hidden="1" x14ac:dyDescent="0.3">
      <c r="C714" s="208"/>
      <c r="D714" s="208"/>
      <c r="E714" s="208"/>
      <c r="F714" s="208"/>
      <c r="G714" s="208"/>
      <c r="H714" s="208"/>
      <c r="I714" s="263" t="str">
        <f t="shared" si="23"/>
        <v/>
      </c>
    </row>
    <row r="715" spans="3:9" ht="14.55" hidden="1" x14ac:dyDescent="0.3">
      <c r="C715" s="208"/>
      <c r="D715" s="208"/>
      <c r="E715" s="208"/>
      <c r="F715" s="208"/>
      <c r="G715" s="208"/>
      <c r="H715" s="208"/>
      <c r="I715" s="263" t="str">
        <f t="shared" si="23"/>
        <v/>
      </c>
    </row>
    <row r="716" spans="3:9" ht="14.55" hidden="1" x14ac:dyDescent="0.3">
      <c r="C716" s="208"/>
      <c r="D716" s="208"/>
      <c r="E716" s="208"/>
      <c r="F716" s="208"/>
      <c r="G716" s="208"/>
      <c r="H716" s="208"/>
      <c r="I716" s="263" t="str">
        <f t="shared" si="23"/>
        <v/>
      </c>
    </row>
    <row r="717" spans="3:9" ht="14.55" hidden="1" x14ac:dyDescent="0.3">
      <c r="C717" s="208"/>
      <c r="D717" s="208"/>
      <c r="E717" s="208"/>
      <c r="F717" s="208"/>
      <c r="G717" s="208"/>
      <c r="H717" s="208"/>
      <c r="I717" s="263" t="str">
        <f t="shared" si="23"/>
        <v/>
      </c>
    </row>
    <row r="718" spans="3:9" ht="14.55" hidden="1" x14ac:dyDescent="0.3">
      <c r="C718" s="208"/>
      <c r="D718" s="208"/>
      <c r="E718" s="208"/>
      <c r="F718" s="208"/>
      <c r="G718" s="208"/>
      <c r="H718" s="208"/>
      <c r="I718" s="263" t="str">
        <f t="shared" si="23"/>
        <v/>
      </c>
    </row>
    <row r="719" spans="3:9" ht="14.55" hidden="1" x14ac:dyDescent="0.3">
      <c r="C719" s="208"/>
      <c r="D719" s="208"/>
      <c r="E719" s="208"/>
      <c r="F719" s="208"/>
      <c r="G719" s="208"/>
      <c r="H719" s="208"/>
      <c r="I719" s="263" t="str">
        <f t="shared" si="23"/>
        <v/>
      </c>
    </row>
    <row r="720" spans="3:9" ht="14.55" hidden="1" x14ac:dyDescent="0.3">
      <c r="C720" s="208"/>
      <c r="D720" s="208"/>
      <c r="E720" s="208"/>
      <c r="F720" s="208"/>
      <c r="G720" s="208"/>
      <c r="H720" s="208"/>
      <c r="I720" s="263" t="str">
        <f t="shared" si="23"/>
        <v/>
      </c>
    </row>
    <row r="721" spans="3:9" ht="14.55" hidden="1" x14ac:dyDescent="0.3">
      <c r="C721" s="208"/>
      <c r="D721" s="208"/>
      <c r="E721" s="208"/>
      <c r="F721" s="208"/>
      <c r="G721" s="208"/>
      <c r="H721" s="208"/>
      <c r="I721" s="263" t="str">
        <f t="shared" si="23"/>
        <v/>
      </c>
    </row>
    <row r="722" spans="3:9" ht="14.55" hidden="1" x14ac:dyDescent="0.3">
      <c r="C722" s="208"/>
      <c r="D722" s="208"/>
      <c r="E722" s="208"/>
      <c r="F722" s="208"/>
      <c r="G722" s="208"/>
      <c r="H722" s="208"/>
      <c r="I722" s="263" t="str">
        <f t="shared" si="23"/>
        <v/>
      </c>
    </row>
    <row r="723" spans="3:9" ht="14.55" hidden="1" x14ac:dyDescent="0.3">
      <c r="C723" s="208"/>
      <c r="D723" s="208"/>
      <c r="E723" s="208"/>
      <c r="F723" s="208"/>
      <c r="G723" s="208"/>
      <c r="H723" s="208"/>
      <c r="I723" s="263" t="str">
        <f t="shared" si="23"/>
        <v/>
      </c>
    </row>
    <row r="724" spans="3:9" ht="14.55" hidden="1" x14ac:dyDescent="0.3">
      <c r="C724" s="208"/>
      <c r="D724" s="208"/>
      <c r="E724" s="208"/>
      <c r="F724" s="208"/>
      <c r="G724" s="208"/>
      <c r="H724" s="208"/>
      <c r="I724" s="263" t="str">
        <f t="shared" si="23"/>
        <v/>
      </c>
    </row>
    <row r="725" spans="3:9" ht="14.55" hidden="1" x14ac:dyDescent="0.3">
      <c r="C725" s="208"/>
      <c r="D725" s="208"/>
      <c r="E725" s="208"/>
      <c r="F725" s="208"/>
      <c r="G725" s="208"/>
      <c r="H725" s="208"/>
      <c r="I725" s="263" t="str">
        <f t="shared" si="23"/>
        <v/>
      </c>
    </row>
    <row r="726" spans="3:9" ht="14.55" hidden="1" x14ac:dyDescent="0.3">
      <c r="C726" s="208"/>
      <c r="D726" s="208"/>
      <c r="E726" s="208"/>
      <c r="F726" s="208"/>
      <c r="G726" s="208"/>
      <c r="H726" s="208"/>
      <c r="I726" s="263" t="str">
        <f t="shared" si="23"/>
        <v/>
      </c>
    </row>
    <row r="727" spans="3:9" ht="14.55" hidden="1" x14ac:dyDescent="0.3">
      <c r="C727" s="208"/>
      <c r="D727" s="208"/>
      <c r="E727" s="208"/>
      <c r="F727" s="208"/>
      <c r="G727" s="208"/>
      <c r="H727" s="208"/>
      <c r="I727" s="263" t="str">
        <f t="shared" si="23"/>
        <v/>
      </c>
    </row>
    <row r="728" spans="3:9" ht="14.55" hidden="1" x14ac:dyDescent="0.3">
      <c r="C728" s="208"/>
      <c r="D728" s="208"/>
      <c r="E728" s="208"/>
      <c r="F728" s="208"/>
      <c r="G728" s="208"/>
      <c r="H728" s="208"/>
      <c r="I728" s="263" t="str">
        <f t="shared" si="23"/>
        <v/>
      </c>
    </row>
    <row r="729" spans="3:9" ht="14.55" hidden="1" x14ac:dyDescent="0.3">
      <c r="C729" s="208"/>
      <c r="D729" s="208"/>
      <c r="E729" s="208"/>
      <c r="F729" s="208"/>
      <c r="G729" s="208"/>
      <c r="H729" s="208"/>
      <c r="I729" s="263" t="str">
        <f t="shared" si="23"/>
        <v/>
      </c>
    </row>
    <row r="730" spans="3:9" ht="14.55" hidden="1" x14ac:dyDescent="0.3">
      <c r="C730" s="208"/>
      <c r="D730" s="208"/>
      <c r="E730" s="208"/>
      <c r="F730" s="208"/>
      <c r="G730" s="208"/>
      <c r="H730" s="208"/>
      <c r="I730" s="263" t="str">
        <f t="shared" si="23"/>
        <v/>
      </c>
    </row>
    <row r="731" spans="3:9" ht="14.55" hidden="1" x14ac:dyDescent="0.3">
      <c r="C731" s="208"/>
      <c r="D731" s="208"/>
      <c r="E731" s="208"/>
      <c r="F731" s="208"/>
      <c r="G731" s="208"/>
      <c r="H731" s="208"/>
      <c r="I731" s="263" t="str">
        <f t="shared" si="23"/>
        <v/>
      </c>
    </row>
    <row r="732" spans="3:9" ht="14.55" hidden="1" x14ac:dyDescent="0.3">
      <c r="C732" s="208"/>
      <c r="D732" s="208"/>
      <c r="E732" s="208"/>
      <c r="F732" s="208"/>
      <c r="G732" s="208"/>
      <c r="H732" s="208"/>
      <c r="I732" s="263" t="str">
        <f t="shared" si="23"/>
        <v/>
      </c>
    </row>
    <row r="733" spans="3:9" ht="14.55" hidden="1" x14ac:dyDescent="0.3">
      <c r="C733" s="208"/>
      <c r="D733" s="208"/>
      <c r="E733" s="208"/>
      <c r="F733" s="208"/>
      <c r="G733" s="208"/>
      <c r="H733" s="208"/>
      <c r="I733" s="263" t="str">
        <f t="shared" si="23"/>
        <v/>
      </c>
    </row>
    <row r="734" spans="3:9" ht="14.55" hidden="1" x14ac:dyDescent="0.3">
      <c r="C734" s="208"/>
      <c r="D734" s="208"/>
      <c r="E734" s="208"/>
      <c r="F734" s="208"/>
      <c r="G734" s="208"/>
      <c r="H734" s="208"/>
      <c r="I734" s="263" t="str">
        <f t="shared" si="23"/>
        <v/>
      </c>
    </row>
    <row r="735" spans="3:9" ht="14.55" hidden="1" x14ac:dyDescent="0.3">
      <c r="C735" s="208"/>
      <c r="D735" s="208"/>
      <c r="E735" s="208"/>
      <c r="F735" s="208"/>
      <c r="G735" s="208"/>
      <c r="H735" s="208"/>
      <c r="I735" s="263" t="str">
        <f t="shared" si="23"/>
        <v/>
      </c>
    </row>
    <row r="736" spans="3:9" ht="14.55" hidden="1" x14ac:dyDescent="0.3">
      <c r="C736" s="208"/>
      <c r="D736" s="208"/>
      <c r="E736" s="208"/>
      <c r="F736" s="208"/>
      <c r="G736" s="208"/>
      <c r="H736" s="208"/>
      <c r="I736" s="263" t="str">
        <f t="shared" si="23"/>
        <v/>
      </c>
    </row>
    <row r="737" spans="3:9" ht="14.55" hidden="1" x14ac:dyDescent="0.3">
      <c r="C737" s="208"/>
      <c r="D737" s="208"/>
      <c r="E737" s="208"/>
      <c r="F737" s="208"/>
      <c r="G737" s="208"/>
      <c r="H737" s="208"/>
      <c r="I737" s="263" t="str">
        <f t="shared" si="23"/>
        <v/>
      </c>
    </row>
    <row r="738" spans="3:9" ht="14.55" hidden="1" x14ac:dyDescent="0.3">
      <c r="C738" s="208"/>
      <c r="D738" s="208"/>
      <c r="E738" s="208"/>
      <c r="F738" s="208"/>
      <c r="G738" s="208"/>
      <c r="H738" s="208"/>
      <c r="I738" s="263" t="str">
        <f t="shared" si="23"/>
        <v/>
      </c>
    </row>
    <row r="739" spans="3:9" ht="14.55" hidden="1" x14ac:dyDescent="0.3">
      <c r="C739" s="208"/>
      <c r="D739" s="208"/>
      <c r="E739" s="208"/>
      <c r="F739" s="208"/>
      <c r="G739" s="208"/>
      <c r="H739" s="208"/>
      <c r="I739" s="263" t="str">
        <f t="shared" si="23"/>
        <v/>
      </c>
    </row>
    <row r="740" spans="3:9" ht="14.55" hidden="1" x14ac:dyDescent="0.3">
      <c r="C740" s="208"/>
      <c r="D740" s="208"/>
      <c r="E740" s="208"/>
      <c r="F740" s="208"/>
      <c r="G740" s="208"/>
      <c r="H740" s="208"/>
      <c r="I740" s="263" t="str">
        <f t="shared" si="23"/>
        <v/>
      </c>
    </row>
    <row r="741" spans="3:9" ht="14.55" hidden="1" x14ac:dyDescent="0.3">
      <c r="C741" s="208"/>
      <c r="D741" s="208"/>
      <c r="E741" s="208"/>
      <c r="F741" s="208"/>
      <c r="G741" s="208"/>
      <c r="H741" s="208"/>
      <c r="I741" s="263" t="str">
        <f t="shared" si="23"/>
        <v/>
      </c>
    </row>
    <row r="742" spans="3:9" ht="14.55" hidden="1" x14ac:dyDescent="0.3">
      <c r="C742" s="208"/>
      <c r="D742" s="208"/>
      <c r="E742" s="208"/>
      <c r="F742" s="208"/>
      <c r="G742" s="208"/>
      <c r="H742" s="208"/>
      <c r="I742" s="263" t="str">
        <f t="shared" si="23"/>
        <v/>
      </c>
    </row>
    <row r="743" spans="3:9" ht="14.55" hidden="1" x14ac:dyDescent="0.3">
      <c r="C743" s="208"/>
      <c r="D743" s="208"/>
      <c r="E743" s="208"/>
      <c r="F743" s="208"/>
      <c r="G743" s="208"/>
      <c r="H743" s="208"/>
      <c r="I743" s="263" t="str">
        <f t="shared" si="23"/>
        <v/>
      </c>
    </row>
    <row r="744" spans="3:9" ht="14.55" hidden="1" x14ac:dyDescent="0.3">
      <c r="C744" s="208"/>
      <c r="D744" s="208"/>
      <c r="E744" s="208"/>
      <c r="F744" s="208"/>
      <c r="G744" s="208"/>
      <c r="H744" s="208"/>
      <c r="I744" s="263" t="str">
        <f t="shared" si="23"/>
        <v/>
      </c>
    </row>
    <row r="745" spans="3:9" ht="14.55" hidden="1" x14ac:dyDescent="0.3">
      <c r="C745" s="208"/>
      <c r="D745" s="208"/>
      <c r="E745" s="208"/>
      <c r="F745" s="208"/>
      <c r="G745" s="208"/>
      <c r="H745" s="208"/>
      <c r="I745" s="263" t="str">
        <f t="shared" si="23"/>
        <v/>
      </c>
    </row>
    <row r="746" spans="3:9" ht="14.55" hidden="1" x14ac:dyDescent="0.3">
      <c r="C746" s="208"/>
      <c r="D746" s="208"/>
      <c r="E746" s="208"/>
      <c r="F746" s="208"/>
      <c r="G746" s="208"/>
      <c r="H746" s="208"/>
      <c r="I746" s="263" t="str">
        <f t="shared" si="23"/>
        <v/>
      </c>
    </row>
    <row r="747" spans="3:9" ht="14.55" hidden="1" x14ac:dyDescent="0.3">
      <c r="C747" s="208"/>
      <c r="D747" s="208"/>
      <c r="E747" s="208"/>
      <c r="F747" s="208"/>
      <c r="G747" s="208"/>
      <c r="H747" s="208"/>
      <c r="I747" s="263" t="str">
        <f t="shared" si="23"/>
        <v/>
      </c>
    </row>
    <row r="748" spans="3:9" ht="14.55" hidden="1" x14ac:dyDescent="0.3">
      <c r="C748" s="208"/>
      <c r="D748" s="208"/>
      <c r="E748" s="208"/>
      <c r="F748" s="208"/>
      <c r="G748" s="208"/>
      <c r="H748" s="208"/>
      <c r="I748" s="263" t="str">
        <f t="shared" si="23"/>
        <v/>
      </c>
    </row>
    <row r="749" spans="3:9" ht="14.55" hidden="1" x14ac:dyDescent="0.3">
      <c r="C749" s="208"/>
      <c r="D749" s="208"/>
      <c r="E749" s="208"/>
      <c r="F749" s="208"/>
      <c r="G749" s="208"/>
      <c r="H749" s="208"/>
      <c r="I749" s="263" t="str">
        <f t="shared" si="23"/>
        <v/>
      </c>
    </row>
    <row r="750" spans="3:9" ht="14.55" hidden="1" x14ac:dyDescent="0.3">
      <c r="C750" s="208"/>
      <c r="D750" s="208"/>
      <c r="E750" s="208"/>
      <c r="F750" s="208"/>
      <c r="G750" s="208"/>
      <c r="H750" s="208"/>
      <c r="I750" s="263" t="str">
        <f t="shared" si="23"/>
        <v/>
      </c>
    </row>
    <row r="751" spans="3:9" ht="14.55" hidden="1" x14ac:dyDescent="0.3">
      <c r="C751" s="208"/>
      <c r="D751" s="208"/>
      <c r="E751" s="208"/>
      <c r="F751" s="208"/>
      <c r="G751" s="208"/>
      <c r="H751" s="208"/>
      <c r="I751" s="263" t="str">
        <f t="shared" si="23"/>
        <v/>
      </c>
    </row>
    <row r="752" spans="3:9" ht="14.55" hidden="1" x14ac:dyDescent="0.3">
      <c r="C752" s="208"/>
      <c r="D752" s="208"/>
      <c r="E752" s="208"/>
      <c r="F752" s="208"/>
      <c r="G752" s="208"/>
      <c r="H752" s="208"/>
      <c r="I752" s="263" t="str">
        <f t="shared" si="23"/>
        <v/>
      </c>
    </row>
    <row r="753" spans="3:9" ht="14.55" hidden="1" x14ac:dyDescent="0.3">
      <c r="C753" s="208"/>
      <c r="D753" s="208"/>
      <c r="E753" s="208"/>
      <c r="F753" s="208"/>
      <c r="G753" s="208"/>
      <c r="H753" s="208"/>
      <c r="I753" s="263" t="str">
        <f t="shared" si="23"/>
        <v/>
      </c>
    </row>
    <row r="754" spans="3:9" ht="14.55" hidden="1" x14ac:dyDescent="0.3">
      <c r="C754" s="208"/>
      <c r="D754" s="208"/>
      <c r="E754" s="208"/>
      <c r="F754" s="208"/>
      <c r="G754" s="208"/>
      <c r="H754" s="208"/>
      <c r="I754" s="263" t="str">
        <f t="shared" si="23"/>
        <v/>
      </c>
    </row>
    <row r="755" spans="3:9" ht="14.55" hidden="1" x14ac:dyDescent="0.3">
      <c r="C755" s="208"/>
      <c r="D755" s="208"/>
      <c r="E755" s="208"/>
      <c r="F755" s="208"/>
      <c r="G755" s="208"/>
      <c r="H755" s="208"/>
      <c r="I755" s="263" t="str">
        <f t="shared" si="23"/>
        <v/>
      </c>
    </row>
    <row r="756" spans="3:9" ht="14.55" hidden="1" x14ac:dyDescent="0.3">
      <c r="C756" s="208"/>
      <c r="D756" s="208"/>
      <c r="E756" s="208"/>
      <c r="F756" s="208"/>
      <c r="G756" s="208"/>
      <c r="H756" s="208"/>
      <c r="I756" s="263" t="str">
        <f t="shared" si="23"/>
        <v/>
      </c>
    </row>
    <row r="757" spans="3:9" ht="14.55" hidden="1" x14ac:dyDescent="0.3">
      <c r="C757" s="208"/>
      <c r="D757" s="208"/>
      <c r="E757" s="208"/>
      <c r="F757" s="208"/>
      <c r="G757" s="208"/>
      <c r="H757" s="208"/>
      <c r="I757" s="263" t="str">
        <f t="shared" si="23"/>
        <v/>
      </c>
    </row>
    <row r="758" spans="3:9" ht="14.55" hidden="1" x14ac:dyDescent="0.3">
      <c r="C758" s="208"/>
      <c r="D758" s="208"/>
      <c r="E758" s="208"/>
      <c r="F758" s="208"/>
      <c r="G758" s="208"/>
      <c r="H758" s="208"/>
      <c r="I758" s="263" t="str">
        <f t="shared" si="23"/>
        <v/>
      </c>
    </row>
    <row r="759" spans="3:9" ht="14.55" hidden="1" x14ac:dyDescent="0.3">
      <c r="C759" s="208"/>
      <c r="D759" s="208"/>
      <c r="E759" s="208"/>
      <c r="F759" s="208"/>
      <c r="G759" s="208"/>
      <c r="H759" s="208"/>
      <c r="I759" s="263" t="str">
        <f t="shared" si="23"/>
        <v/>
      </c>
    </row>
    <row r="760" spans="3:9" ht="14.55" hidden="1" x14ac:dyDescent="0.3">
      <c r="C760" s="208"/>
      <c r="D760" s="208"/>
      <c r="E760" s="208"/>
      <c r="F760" s="208"/>
      <c r="G760" s="208"/>
      <c r="H760" s="208"/>
      <c r="I760" s="263" t="str">
        <f t="shared" si="23"/>
        <v/>
      </c>
    </row>
    <row r="761" spans="3:9" ht="14.55" hidden="1" x14ac:dyDescent="0.3">
      <c r="C761" s="208"/>
      <c r="D761" s="208"/>
      <c r="E761" s="208"/>
      <c r="F761" s="208"/>
      <c r="G761" s="208"/>
      <c r="H761" s="208"/>
      <c r="I761" s="263" t="str">
        <f t="shared" si="23"/>
        <v/>
      </c>
    </row>
    <row r="762" spans="3:9" ht="14.55" hidden="1" x14ac:dyDescent="0.3">
      <c r="C762" s="208"/>
      <c r="D762" s="208"/>
      <c r="E762" s="208"/>
      <c r="F762" s="208"/>
      <c r="G762" s="208"/>
      <c r="H762" s="208"/>
      <c r="I762" s="263" t="str">
        <f t="shared" si="23"/>
        <v/>
      </c>
    </row>
    <row r="763" spans="3:9" ht="14.55" hidden="1" x14ac:dyDescent="0.3">
      <c r="C763" s="208"/>
      <c r="D763" s="208"/>
      <c r="E763" s="208"/>
      <c r="F763" s="208"/>
      <c r="G763" s="208"/>
      <c r="H763" s="208"/>
      <c r="I763" s="263" t="str">
        <f t="shared" si="23"/>
        <v/>
      </c>
    </row>
    <row r="764" spans="3:9" ht="14.55" hidden="1" x14ac:dyDescent="0.3">
      <c r="C764" s="208"/>
      <c r="D764" s="208"/>
      <c r="E764" s="208"/>
      <c r="F764" s="208"/>
      <c r="G764" s="208"/>
      <c r="H764" s="208"/>
      <c r="I764" s="263" t="str">
        <f t="shared" si="23"/>
        <v/>
      </c>
    </row>
    <row r="765" spans="3:9" ht="14.55" hidden="1" x14ac:dyDescent="0.3">
      <c r="C765" s="208"/>
      <c r="D765" s="208"/>
      <c r="E765" s="208"/>
      <c r="F765" s="208"/>
      <c r="G765" s="208"/>
      <c r="H765" s="208"/>
      <c r="I765" s="263" t="str">
        <f t="shared" si="23"/>
        <v/>
      </c>
    </row>
    <row r="766" spans="3:9" ht="14.55" hidden="1" x14ac:dyDescent="0.3">
      <c r="C766" s="208"/>
      <c r="D766" s="208"/>
      <c r="E766" s="208"/>
      <c r="F766" s="208"/>
      <c r="G766" s="208"/>
      <c r="H766" s="208"/>
      <c r="I766" s="263" t="str">
        <f t="shared" ref="I766:I829" si="24">IF(H766=0,"",D766)</f>
        <v/>
      </c>
    </row>
    <row r="767" spans="3:9" ht="14.55" hidden="1" x14ac:dyDescent="0.3">
      <c r="C767" s="208"/>
      <c r="D767" s="208"/>
      <c r="E767" s="208"/>
      <c r="F767" s="208"/>
      <c r="G767" s="208"/>
      <c r="H767" s="208"/>
      <c r="I767" s="263" t="str">
        <f t="shared" si="24"/>
        <v/>
      </c>
    </row>
    <row r="768" spans="3:9" ht="14.55" hidden="1" x14ac:dyDescent="0.3">
      <c r="C768" s="208"/>
      <c r="D768" s="208"/>
      <c r="E768" s="208"/>
      <c r="F768" s="208"/>
      <c r="G768" s="208"/>
      <c r="H768" s="208"/>
      <c r="I768" s="263" t="str">
        <f t="shared" si="24"/>
        <v/>
      </c>
    </row>
    <row r="769" spans="3:9" ht="14.55" hidden="1" x14ac:dyDescent="0.3">
      <c r="C769" s="208"/>
      <c r="D769" s="208"/>
      <c r="E769" s="208"/>
      <c r="F769" s="208"/>
      <c r="G769" s="208"/>
      <c r="H769" s="208"/>
      <c r="I769" s="263" t="str">
        <f t="shared" si="24"/>
        <v/>
      </c>
    </row>
    <row r="770" spans="3:9" ht="14.55" hidden="1" x14ac:dyDescent="0.3">
      <c r="C770" s="208"/>
      <c r="D770" s="208"/>
      <c r="E770" s="208"/>
      <c r="F770" s="208"/>
      <c r="G770" s="208"/>
      <c r="H770" s="208"/>
      <c r="I770" s="263" t="str">
        <f t="shared" si="24"/>
        <v/>
      </c>
    </row>
    <row r="771" spans="3:9" ht="14.55" hidden="1" x14ac:dyDescent="0.3">
      <c r="C771" s="208"/>
      <c r="D771" s="208"/>
      <c r="E771" s="208"/>
      <c r="F771" s="208"/>
      <c r="G771" s="208"/>
      <c r="H771" s="208"/>
      <c r="I771" s="263" t="str">
        <f t="shared" si="24"/>
        <v/>
      </c>
    </row>
    <row r="772" spans="3:9" ht="14.55" hidden="1" x14ac:dyDescent="0.3">
      <c r="C772" s="208"/>
      <c r="D772" s="208"/>
      <c r="E772" s="208"/>
      <c r="F772" s="208"/>
      <c r="G772" s="208"/>
      <c r="H772" s="208"/>
      <c r="I772" s="263" t="str">
        <f t="shared" si="24"/>
        <v/>
      </c>
    </row>
    <row r="773" spans="3:9" ht="14.55" hidden="1" x14ac:dyDescent="0.3">
      <c r="C773" s="208"/>
      <c r="D773" s="208"/>
      <c r="E773" s="208"/>
      <c r="F773" s="208"/>
      <c r="G773" s="208"/>
      <c r="H773" s="208"/>
      <c r="I773" s="263" t="str">
        <f t="shared" si="24"/>
        <v/>
      </c>
    </row>
    <row r="774" spans="3:9" ht="14.55" hidden="1" x14ac:dyDescent="0.3">
      <c r="C774" s="208"/>
      <c r="D774" s="208"/>
      <c r="E774" s="208"/>
      <c r="F774" s="208"/>
      <c r="G774" s="208"/>
      <c r="H774" s="208"/>
      <c r="I774" s="263" t="str">
        <f t="shared" si="24"/>
        <v/>
      </c>
    </row>
    <row r="775" spans="3:9" ht="14.55" hidden="1" x14ac:dyDescent="0.3">
      <c r="C775" s="208"/>
      <c r="D775" s="208"/>
      <c r="E775" s="208"/>
      <c r="F775" s="208"/>
      <c r="G775" s="208"/>
      <c r="H775" s="208"/>
      <c r="I775" s="263" t="str">
        <f t="shared" si="24"/>
        <v/>
      </c>
    </row>
    <row r="776" spans="3:9" ht="14.55" hidden="1" x14ac:dyDescent="0.3">
      <c r="C776" s="208"/>
      <c r="D776" s="208"/>
      <c r="E776" s="208"/>
      <c r="F776" s="208"/>
      <c r="G776" s="208"/>
      <c r="H776" s="208"/>
      <c r="I776" s="263" t="str">
        <f t="shared" si="24"/>
        <v/>
      </c>
    </row>
    <row r="777" spans="3:9" ht="14.55" hidden="1" x14ac:dyDescent="0.3">
      <c r="C777" s="208"/>
      <c r="D777" s="208"/>
      <c r="E777" s="208"/>
      <c r="F777" s="208"/>
      <c r="G777" s="208"/>
      <c r="H777" s="208"/>
      <c r="I777" s="263" t="str">
        <f t="shared" si="24"/>
        <v/>
      </c>
    </row>
    <row r="778" spans="3:9" ht="14.55" hidden="1" x14ac:dyDescent="0.3">
      <c r="C778" s="208"/>
      <c r="D778" s="208"/>
      <c r="E778" s="208"/>
      <c r="F778" s="208"/>
      <c r="G778" s="208"/>
      <c r="H778" s="208"/>
      <c r="I778" s="263" t="str">
        <f t="shared" si="24"/>
        <v/>
      </c>
    </row>
    <row r="779" spans="3:9" ht="14.55" hidden="1" x14ac:dyDescent="0.3">
      <c r="C779" s="208"/>
      <c r="D779" s="208"/>
      <c r="E779" s="208"/>
      <c r="F779" s="208"/>
      <c r="G779" s="208"/>
      <c r="H779" s="208"/>
      <c r="I779" s="263" t="str">
        <f t="shared" si="24"/>
        <v/>
      </c>
    </row>
    <row r="780" spans="3:9" ht="14.55" hidden="1" x14ac:dyDescent="0.3">
      <c r="C780" s="208"/>
      <c r="D780" s="208"/>
      <c r="E780" s="208"/>
      <c r="F780" s="208"/>
      <c r="G780" s="208"/>
      <c r="H780" s="208"/>
      <c r="I780" s="263" t="str">
        <f t="shared" si="24"/>
        <v/>
      </c>
    </row>
    <row r="781" spans="3:9" ht="14.55" hidden="1" x14ac:dyDescent="0.3">
      <c r="C781" s="208"/>
      <c r="D781" s="208"/>
      <c r="E781" s="208"/>
      <c r="F781" s="208"/>
      <c r="G781" s="208"/>
      <c r="H781" s="208"/>
      <c r="I781" s="263" t="str">
        <f t="shared" si="24"/>
        <v/>
      </c>
    </row>
    <row r="782" spans="3:9" ht="14.55" hidden="1" x14ac:dyDescent="0.3">
      <c r="C782" s="208"/>
      <c r="D782" s="208"/>
      <c r="E782" s="208"/>
      <c r="F782" s="208"/>
      <c r="G782" s="208"/>
      <c r="H782" s="208"/>
      <c r="I782" s="263" t="str">
        <f t="shared" si="24"/>
        <v/>
      </c>
    </row>
    <row r="783" spans="3:9" ht="14.55" hidden="1" x14ac:dyDescent="0.3">
      <c r="C783" s="208"/>
      <c r="D783" s="208"/>
      <c r="E783" s="208"/>
      <c r="F783" s="208"/>
      <c r="G783" s="208"/>
      <c r="H783" s="208"/>
      <c r="I783" s="263" t="str">
        <f t="shared" si="24"/>
        <v/>
      </c>
    </row>
    <row r="784" spans="3:9" ht="14.55" hidden="1" x14ac:dyDescent="0.3">
      <c r="C784" s="208"/>
      <c r="D784" s="208"/>
      <c r="E784" s="208"/>
      <c r="F784" s="208"/>
      <c r="G784" s="208"/>
      <c r="H784" s="208"/>
      <c r="I784" s="263" t="str">
        <f t="shared" si="24"/>
        <v/>
      </c>
    </row>
    <row r="785" spans="3:9" ht="14.55" hidden="1" x14ac:dyDescent="0.3">
      <c r="C785" s="208"/>
      <c r="D785" s="208"/>
      <c r="E785" s="208"/>
      <c r="F785" s="208"/>
      <c r="G785" s="208"/>
      <c r="H785" s="208"/>
      <c r="I785" s="263" t="str">
        <f t="shared" si="24"/>
        <v/>
      </c>
    </row>
    <row r="786" spans="3:9" ht="14.55" hidden="1" x14ac:dyDescent="0.3">
      <c r="C786" s="208"/>
      <c r="D786" s="208"/>
      <c r="E786" s="208"/>
      <c r="F786" s="208"/>
      <c r="G786" s="208"/>
      <c r="H786" s="208"/>
      <c r="I786" s="263" t="str">
        <f t="shared" si="24"/>
        <v/>
      </c>
    </row>
    <row r="787" spans="3:9" ht="14.55" hidden="1" x14ac:dyDescent="0.3">
      <c r="C787" s="208"/>
      <c r="D787" s="208"/>
      <c r="E787" s="208"/>
      <c r="F787" s="208"/>
      <c r="G787" s="208"/>
      <c r="H787" s="208"/>
      <c r="I787" s="263" t="str">
        <f t="shared" si="24"/>
        <v/>
      </c>
    </row>
    <row r="788" spans="3:9" ht="14.55" hidden="1" x14ac:dyDescent="0.3">
      <c r="C788" s="208"/>
      <c r="D788" s="208"/>
      <c r="E788" s="208"/>
      <c r="F788" s="208"/>
      <c r="G788" s="208"/>
      <c r="H788" s="208"/>
      <c r="I788" s="263" t="str">
        <f t="shared" si="24"/>
        <v/>
      </c>
    </row>
    <row r="789" spans="3:9" ht="14.55" hidden="1" x14ac:dyDescent="0.3">
      <c r="C789" s="208"/>
      <c r="D789" s="208"/>
      <c r="E789" s="208"/>
      <c r="F789" s="208"/>
      <c r="G789" s="208"/>
      <c r="H789" s="208"/>
      <c r="I789" s="263" t="str">
        <f t="shared" si="24"/>
        <v/>
      </c>
    </row>
    <row r="790" spans="3:9" ht="14.55" hidden="1" x14ac:dyDescent="0.3">
      <c r="C790" s="208"/>
      <c r="D790" s="208"/>
      <c r="E790" s="208"/>
      <c r="F790" s="208"/>
      <c r="G790" s="208"/>
      <c r="H790" s="208"/>
      <c r="I790" s="263" t="str">
        <f t="shared" si="24"/>
        <v/>
      </c>
    </row>
    <row r="791" spans="3:9" ht="14.55" hidden="1" x14ac:dyDescent="0.3">
      <c r="C791" s="208"/>
      <c r="D791" s="208"/>
      <c r="E791" s="208"/>
      <c r="F791" s="208"/>
      <c r="G791" s="208"/>
      <c r="H791" s="208"/>
      <c r="I791" s="263" t="str">
        <f t="shared" si="24"/>
        <v/>
      </c>
    </row>
    <row r="792" spans="3:9" ht="14.55" hidden="1" x14ac:dyDescent="0.3">
      <c r="C792" s="208"/>
      <c r="D792" s="208"/>
      <c r="E792" s="208"/>
      <c r="F792" s="208"/>
      <c r="G792" s="208"/>
      <c r="H792" s="208"/>
      <c r="I792" s="263" t="str">
        <f t="shared" si="24"/>
        <v/>
      </c>
    </row>
    <row r="793" spans="3:9" ht="14.55" hidden="1" x14ac:dyDescent="0.3">
      <c r="C793" s="208"/>
      <c r="D793" s="208"/>
      <c r="E793" s="208"/>
      <c r="F793" s="208"/>
      <c r="G793" s="208"/>
      <c r="H793" s="208"/>
      <c r="I793" s="263" t="str">
        <f t="shared" si="24"/>
        <v/>
      </c>
    </row>
    <row r="794" spans="3:9" ht="14.55" hidden="1" x14ac:dyDescent="0.3">
      <c r="C794" s="208"/>
      <c r="D794" s="208"/>
      <c r="E794" s="208"/>
      <c r="F794" s="208"/>
      <c r="G794" s="208"/>
      <c r="H794" s="208"/>
      <c r="I794" s="263" t="str">
        <f t="shared" si="24"/>
        <v/>
      </c>
    </row>
    <row r="795" spans="3:9" ht="14.55" hidden="1" x14ac:dyDescent="0.3">
      <c r="C795" s="208"/>
      <c r="D795" s="208"/>
      <c r="E795" s="208"/>
      <c r="F795" s="208"/>
      <c r="G795" s="208"/>
      <c r="H795" s="208"/>
      <c r="I795" s="263" t="str">
        <f t="shared" si="24"/>
        <v/>
      </c>
    </row>
    <row r="796" spans="3:9" ht="14.55" hidden="1" x14ac:dyDescent="0.3">
      <c r="C796" s="208"/>
      <c r="D796" s="208"/>
      <c r="E796" s="208"/>
      <c r="F796" s="208"/>
      <c r="G796" s="208"/>
      <c r="H796" s="208"/>
      <c r="I796" s="263" t="str">
        <f t="shared" si="24"/>
        <v/>
      </c>
    </row>
    <row r="797" spans="3:9" ht="14.55" hidden="1" x14ac:dyDescent="0.3">
      <c r="C797" s="208"/>
      <c r="D797" s="208"/>
      <c r="E797" s="208"/>
      <c r="F797" s="208"/>
      <c r="G797" s="208"/>
      <c r="H797" s="208"/>
      <c r="I797" s="263" t="str">
        <f t="shared" si="24"/>
        <v/>
      </c>
    </row>
    <row r="798" spans="3:9" ht="14.55" hidden="1" x14ac:dyDescent="0.3">
      <c r="C798" s="208"/>
      <c r="D798" s="208"/>
      <c r="E798" s="208"/>
      <c r="F798" s="208"/>
      <c r="G798" s="208"/>
      <c r="H798" s="208"/>
      <c r="I798" s="263" t="str">
        <f t="shared" si="24"/>
        <v/>
      </c>
    </row>
    <row r="799" spans="3:9" ht="14.55" hidden="1" x14ac:dyDescent="0.3">
      <c r="C799" s="208"/>
      <c r="D799" s="208"/>
      <c r="E799" s="208"/>
      <c r="F799" s="208"/>
      <c r="G799" s="208"/>
      <c r="H799" s="208"/>
      <c r="I799" s="263" t="str">
        <f t="shared" si="24"/>
        <v/>
      </c>
    </row>
    <row r="800" spans="3:9" ht="14.55" hidden="1" x14ac:dyDescent="0.3">
      <c r="C800" s="208"/>
      <c r="D800" s="208"/>
      <c r="E800" s="208"/>
      <c r="F800" s="208"/>
      <c r="G800" s="208"/>
      <c r="H800" s="208"/>
      <c r="I800" s="263" t="str">
        <f t="shared" si="24"/>
        <v/>
      </c>
    </row>
    <row r="801" spans="3:9" ht="14.55" hidden="1" x14ac:dyDescent="0.3">
      <c r="C801" s="208"/>
      <c r="D801" s="208"/>
      <c r="E801" s="208"/>
      <c r="F801" s="208"/>
      <c r="G801" s="208"/>
      <c r="H801" s="208"/>
      <c r="I801" s="263" t="str">
        <f t="shared" si="24"/>
        <v/>
      </c>
    </row>
    <row r="802" spans="3:9" ht="14.55" hidden="1" x14ac:dyDescent="0.3">
      <c r="C802" s="208"/>
      <c r="D802" s="208"/>
      <c r="E802" s="208"/>
      <c r="F802" s="208"/>
      <c r="G802" s="208"/>
      <c r="H802" s="208"/>
      <c r="I802" s="263" t="str">
        <f t="shared" si="24"/>
        <v/>
      </c>
    </row>
    <row r="803" spans="3:9" ht="14.55" hidden="1" x14ac:dyDescent="0.3">
      <c r="C803" s="208"/>
      <c r="D803" s="208"/>
      <c r="E803" s="208"/>
      <c r="F803" s="208"/>
      <c r="G803" s="208"/>
      <c r="H803" s="208"/>
      <c r="I803" s="263" t="str">
        <f t="shared" si="24"/>
        <v/>
      </c>
    </row>
    <row r="804" spans="3:9" ht="14.55" hidden="1" x14ac:dyDescent="0.3">
      <c r="C804" s="208"/>
      <c r="D804" s="208"/>
      <c r="E804" s="208"/>
      <c r="F804" s="208"/>
      <c r="G804" s="208"/>
      <c r="H804" s="208"/>
      <c r="I804" s="263" t="str">
        <f t="shared" si="24"/>
        <v/>
      </c>
    </row>
    <row r="805" spans="3:9" ht="14.55" hidden="1" x14ac:dyDescent="0.3">
      <c r="C805" s="208"/>
      <c r="D805" s="208"/>
      <c r="E805" s="208"/>
      <c r="F805" s="208"/>
      <c r="G805" s="208"/>
      <c r="H805" s="208"/>
      <c r="I805" s="263" t="str">
        <f t="shared" si="24"/>
        <v/>
      </c>
    </row>
    <row r="806" spans="3:9" ht="14.55" hidden="1" x14ac:dyDescent="0.3">
      <c r="C806" s="208"/>
      <c r="D806" s="208"/>
      <c r="E806" s="208"/>
      <c r="F806" s="208"/>
      <c r="G806" s="208"/>
      <c r="H806" s="208"/>
      <c r="I806" s="263" t="str">
        <f t="shared" si="24"/>
        <v/>
      </c>
    </row>
    <row r="807" spans="3:9" ht="14.55" hidden="1" x14ac:dyDescent="0.3">
      <c r="C807" s="208"/>
      <c r="D807" s="208"/>
      <c r="E807" s="208"/>
      <c r="F807" s="208"/>
      <c r="G807" s="208"/>
      <c r="H807" s="208"/>
      <c r="I807" s="263" t="str">
        <f t="shared" si="24"/>
        <v/>
      </c>
    </row>
    <row r="808" spans="3:9" ht="14.55" hidden="1" x14ac:dyDescent="0.3">
      <c r="C808" s="208"/>
      <c r="D808" s="208"/>
      <c r="E808" s="208"/>
      <c r="F808" s="208"/>
      <c r="G808" s="208"/>
      <c r="H808" s="208"/>
      <c r="I808" s="263" t="str">
        <f t="shared" si="24"/>
        <v/>
      </c>
    </row>
    <row r="809" spans="3:9" ht="14.55" hidden="1" x14ac:dyDescent="0.3">
      <c r="C809" s="208"/>
      <c r="D809" s="208"/>
      <c r="E809" s="208"/>
      <c r="F809" s="208"/>
      <c r="G809" s="208"/>
      <c r="H809" s="208"/>
      <c r="I809" s="263" t="str">
        <f t="shared" si="24"/>
        <v/>
      </c>
    </row>
    <row r="810" spans="3:9" ht="14.55" hidden="1" x14ac:dyDescent="0.3">
      <c r="C810" s="208"/>
      <c r="D810" s="208"/>
      <c r="E810" s="208"/>
      <c r="F810" s="208"/>
      <c r="G810" s="208"/>
      <c r="H810" s="208"/>
      <c r="I810" s="263" t="str">
        <f t="shared" si="24"/>
        <v/>
      </c>
    </row>
    <row r="811" spans="3:9" ht="14.55" hidden="1" x14ac:dyDescent="0.3">
      <c r="C811" s="208"/>
      <c r="D811" s="208"/>
      <c r="E811" s="208"/>
      <c r="F811" s="208"/>
      <c r="G811" s="208"/>
      <c r="H811" s="208"/>
      <c r="I811" s="263" t="str">
        <f t="shared" si="24"/>
        <v/>
      </c>
    </row>
    <row r="812" spans="3:9" ht="14.55" hidden="1" x14ac:dyDescent="0.3">
      <c r="C812" s="208"/>
      <c r="D812" s="208"/>
      <c r="E812" s="208"/>
      <c r="F812" s="208"/>
      <c r="G812" s="208"/>
      <c r="H812" s="208"/>
      <c r="I812" s="263" t="str">
        <f t="shared" si="24"/>
        <v/>
      </c>
    </row>
    <row r="813" spans="3:9" ht="14.55" hidden="1" x14ac:dyDescent="0.3">
      <c r="C813" s="208"/>
      <c r="D813" s="208"/>
      <c r="E813" s="208"/>
      <c r="F813" s="208"/>
      <c r="G813" s="208"/>
      <c r="H813" s="208"/>
      <c r="I813" s="263" t="str">
        <f t="shared" si="24"/>
        <v/>
      </c>
    </row>
    <row r="814" spans="3:9" ht="14.55" hidden="1" x14ac:dyDescent="0.3">
      <c r="C814" s="208"/>
      <c r="D814" s="208"/>
      <c r="E814" s="208"/>
      <c r="F814" s="208"/>
      <c r="G814" s="208"/>
      <c r="H814" s="208"/>
      <c r="I814" s="263" t="str">
        <f t="shared" si="24"/>
        <v/>
      </c>
    </row>
    <row r="815" spans="3:9" ht="14.55" hidden="1" x14ac:dyDescent="0.3">
      <c r="C815" s="208"/>
      <c r="D815" s="208"/>
      <c r="E815" s="208"/>
      <c r="F815" s="208"/>
      <c r="G815" s="208"/>
      <c r="H815" s="208"/>
      <c r="I815" s="263" t="str">
        <f t="shared" si="24"/>
        <v/>
      </c>
    </row>
    <row r="816" spans="3:9" ht="14.55" hidden="1" x14ac:dyDescent="0.3">
      <c r="C816" s="208"/>
      <c r="D816" s="208"/>
      <c r="E816" s="208"/>
      <c r="F816" s="208"/>
      <c r="G816" s="208"/>
      <c r="H816" s="208"/>
      <c r="I816" s="263" t="str">
        <f t="shared" si="24"/>
        <v/>
      </c>
    </row>
    <row r="817" spans="3:9" ht="14.55" hidden="1" x14ac:dyDescent="0.3">
      <c r="C817" s="208"/>
      <c r="D817" s="208"/>
      <c r="E817" s="208"/>
      <c r="F817" s="208"/>
      <c r="G817" s="208"/>
      <c r="H817" s="208"/>
      <c r="I817" s="263" t="str">
        <f t="shared" si="24"/>
        <v/>
      </c>
    </row>
    <row r="818" spans="3:9" ht="14.55" hidden="1" x14ac:dyDescent="0.3">
      <c r="C818" s="208"/>
      <c r="D818" s="208"/>
      <c r="E818" s="208"/>
      <c r="F818" s="208"/>
      <c r="G818" s="208"/>
      <c r="H818" s="208"/>
      <c r="I818" s="263" t="str">
        <f t="shared" si="24"/>
        <v/>
      </c>
    </row>
    <row r="819" spans="3:9" ht="14.55" hidden="1" x14ac:dyDescent="0.3">
      <c r="C819" s="208"/>
      <c r="D819" s="208"/>
      <c r="E819" s="208"/>
      <c r="F819" s="208"/>
      <c r="G819" s="208"/>
      <c r="H819" s="208"/>
      <c r="I819" s="263" t="str">
        <f t="shared" si="24"/>
        <v/>
      </c>
    </row>
    <row r="820" spans="3:9" ht="14.55" hidden="1" x14ac:dyDescent="0.3">
      <c r="C820" s="208"/>
      <c r="D820" s="208"/>
      <c r="E820" s="208"/>
      <c r="F820" s="208"/>
      <c r="G820" s="208"/>
      <c r="H820" s="208"/>
      <c r="I820" s="263" t="str">
        <f t="shared" si="24"/>
        <v/>
      </c>
    </row>
    <row r="821" spans="3:9" ht="14.55" hidden="1" x14ac:dyDescent="0.3">
      <c r="C821" s="208"/>
      <c r="D821" s="208"/>
      <c r="E821" s="208"/>
      <c r="F821" s="208"/>
      <c r="G821" s="208"/>
      <c r="H821" s="208"/>
      <c r="I821" s="263" t="str">
        <f t="shared" si="24"/>
        <v/>
      </c>
    </row>
    <row r="822" spans="3:9" ht="14.55" hidden="1" x14ac:dyDescent="0.3">
      <c r="C822" s="208"/>
      <c r="D822" s="208"/>
      <c r="E822" s="208"/>
      <c r="F822" s="208"/>
      <c r="G822" s="208"/>
      <c r="H822" s="208"/>
      <c r="I822" s="263" t="str">
        <f t="shared" si="24"/>
        <v/>
      </c>
    </row>
    <row r="823" spans="3:9" ht="14.55" hidden="1" x14ac:dyDescent="0.3">
      <c r="C823" s="208"/>
      <c r="D823" s="208"/>
      <c r="E823" s="208"/>
      <c r="F823" s="208"/>
      <c r="G823" s="208"/>
      <c r="H823" s="208"/>
      <c r="I823" s="263" t="str">
        <f t="shared" si="24"/>
        <v/>
      </c>
    </row>
    <row r="824" spans="3:9" ht="14.55" hidden="1" x14ac:dyDescent="0.3">
      <c r="C824" s="208"/>
      <c r="D824" s="208"/>
      <c r="E824" s="208"/>
      <c r="F824" s="208"/>
      <c r="G824" s="208"/>
      <c r="H824" s="208"/>
      <c r="I824" s="263" t="str">
        <f t="shared" si="24"/>
        <v/>
      </c>
    </row>
    <row r="825" spans="3:9" ht="14.55" hidden="1" x14ac:dyDescent="0.3">
      <c r="C825" s="208"/>
      <c r="D825" s="208"/>
      <c r="E825" s="208"/>
      <c r="F825" s="208"/>
      <c r="G825" s="208"/>
      <c r="H825" s="208"/>
      <c r="I825" s="263" t="str">
        <f t="shared" si="24"/>
        <v/>
      </c>
    </row>
    <row r="826" spans="3:9" ht="14.55" hidden="1" x14ac:dyDescent="0.3">
      <c r="C826" s="208"/>
      <c r="D826" s="208"/>
      <c r="E826" s="208"/>
      <c r="F826" s="208"/>
      <c r="G826" s="208"/>
      <c r="H826" s="208"/>
      <c r="I826" s="263" t="str">
        <f t="shared" si="24"/>
        <v/>
      </c>
    </row>
    <row r="827" spans="3:9" ht="14.55" hidden="1" x14ac:dyDescent="0.3">
      <c r="C827" s="208"/>
      <c r="D827" s="208"/>
      <c r="E827" s="208"/>
      <c r="F827" s="208"/>
      <c r="G827" s="208"/>
      <c r="H827" s="208"/>
      <c r="I827" s="263" t="str">
        <f t="shared" si="24"/>
        <v/>
      </c>
    </row>
    <row r="828" spans="3:9" ht="14.55" hidden="1" x14ac:dyDescent="0.3">
      <c r="C828" s="208"/>
      <c r="D828" s="208"/>
      <c r="E828" s="208"/>
      <c r="F828" s="208"/>
      <c r="G828" s="208"/>
      <c r="H828" s="208"/>
      <c r="I828" s="263" t="str">
        <f t="shared" si="24"/>
        <v/>
      </c>
    </row>
    <row r="829" spans="3:9" ht="14.55" hidden="1" x14ac:dyDescent="0.3">
      <c r="C829" s="208"/>
      <c r="D829" s="208"/>
      <c r="E829" s="208"/>
      <c r="F829" s="208"/>
      <c r="G829" s="208"/>
      <c r="H829" s="208"/>
      <c r="I829" s="263" t="str">
        <f t="shared" si="24"/>
        <v/>
      </c>
    </row>
    <row r="830" spans="3:9" ht="14.55" hidden="1" x14ac:dyDescent="0.3">
      <c r="C830" s="208"/>
      <c r="D830" s="208"/>
      <c r="E830" s="208"/>
      <c r="F830" s="208"/>
      <c r="G830" s="208"/>
      <c r="H830" s="208"/>
      <c r="I830" s="263" t="str">
        <f t="shared" ref="I830:I893" si="25">IF(H830=0,"",D830)</f>
        <v/>
      </c>
    </row>
    <row r="831" spans="3:9" ht="14.55" hidden="1" x14ac:dyDescent="0.3">
      <c r="C831" s="208"/>
      <c r="D831" s="208"/>
      <c r="E831" s="208"/>
      <c r="F831" s="208"/>
      <c r="G831" s="208"/>
      <c r="H831" s="208"/>
      <c r="I831" s="263" t="str">
        <f t="shared" si="25"/>
        <v/>
      </c>
    </row>
    <row r="832" spans="3:9" ht="14.55" hidden="1" x14ac:dyDescent="0.3">
      <c r="C832" s="208"/>
      <c r="D832" s="208"/>
      <c r="E832" s="208"/>
      <c r="F832" s="208"/>
      <c r="G832" s="208"/>
      <c r="H832" s="208"/>
      <c r="I832" s="263" t="str">
        <f t="shared" si="25"/>
        <v/>
      </c>
    </row>
    <row r="833" spans="3:9" ht="14.55" hidden="1" x14ac:dyDescent="0.3">
      <c r="C833" s="208"/>
      <c r="D833" s="208"/>
      <c r="E833" s="208"/>
      <c r="F833" s="208"/>
      <c r="G833" s="208"/>
      <c r="H833" s="208"/>
      <c r="I833" s="263" t="str">
        <f t="shared" si="25"/>
        <v/>
      </c>
    </row>
    <row r="834" spans="3:9" ht="14.55" hidden="1" x14ac:dyDescent="0.3">
      <c r="C834" s="208"/>
      <c r="D834" s="208"/>
      <c r="E834" s="208"/>
      <c r="F834" s="208"/>
      <c r="G834" s="208"/>
      <c r="H834" s="208"/>
      <c r="I834" s="263" t="str">
        <f t="shared" si="25"/>
        <v/>
      </c>
    </row>
    <row r="835" spans="3:9" ht="14.55" hidden="1" x14ac:dyDescent="0.3">
      <c r="C835" s="208"/>
      <c r="D835" s="208"/>
      <c r="E835" s="208"/>
      <c r="F835" s="208"/>
      <c r="G835" s="208"/>
      <c r="H835" s="208"/>
      <c r="I835" s="263" t="str">
        <f t="shared" si="25"/>
        <v/>
      </c>
    </row>
    <row r="836" spans="3:9" ht="14.55" hidden="1" x14ac:dyDescent="0.3">
      <c r="C836" s="208"/>
      <c r="D836" s="208"/>
      <c r="E836" s="208"/>
      <c r="F836" s="208"/>
      <c r="G836" s="208"/>
      <c r="H836" s="208"/>
      <c r="I836" s="263" t="str">
        <f t="shared" si="25"/>
        <v/>
      </c>
    </row>
    <row r="837" spans="3:9" ht="14.55" hidden="1" x14ac:dyDescent="0.3">
      <c r="C837" s="208"/>
      <c r="D837" s="208"/>
      <c r="E837" s="208"/>
      <c r="F837" s="208"/>
      <c r="G837" s="208"/>
      <c r="H837" s="208"/>
      <c r="I837" s="263" t="str">
        <f t="shared" si="25"/>
        <v/>
      </c>
    </row>
    <row r="838" spans="3:9" ht="14.55" hidden="1" x14ac:dyDescent="0.3">
      <c r="C838" s="208"/>
      <c r="D838" s="208"/>
      <c r="E838" s="208"/>
      <c r="F838" s="208"/>
      <c r="G838" s="208"/>
      <c r="H838" s="208"/>
      <c r="I838" s="263" t="str">
        <f t="shared" si="25"/>
        <v/>
      </c>
    </row>
    <row r="839" spans="3:9" ht="14.55" hidden="1" x14ac:dyDescent="0.3">
      <c r="C839" s="208"/>
      <c r="D839" s="208"/>
      <c r="E839" s="208"/>
      <c r="F839" s="208"/>
      <c r="G839" s="208"/>
      <c r="H839" s="208"/>
      <c r="I839" s="263" t="str">
        <f t="shared" si="25"/>
        <v/>
      </c>
    </row>
    <row r="840" spans="3:9" ht="14.55" hidden="1" x14ac:dyDescent="0.3">
      <c r="C840" s="208"/>
      <c r="D840" s="208"/>
      <c r="E840" s="208"/>
      <c r="F840" s="208"/>
      <c r="G840" s="208"/>
      <c r="H840" s="208"/>
      <c r="I840" s="263" t="str">
        <f t="shared" si="25"/>
        <v/>
      </c>
    </row>
    <row r="841" spans="3:9" ht="14.55" hidden="1" x14ac:dyDescent="0.3">
      <c r="C841" s="208"/>
      <c r="D841" s="208"/>
      <c r="E841" s="208"/>
      <c r="F841" s="208"/>
      <c r="G841" s="208"/>
      <c r="H841" s="208"/>
      <c r="I841" s="263" t="str">
        <f t="shared" si="25"/>
        <v/>
      </c>
    </row>
    <row r="842" spans="3:9" ht="14.55" hidden="1" x14ac:dyDescent="0.3">
      <c r="C842" s="208"/>
      <c r="D842" s="208"/>
      <c r="E842" s="208"/>
      <c r="F842" s="208"/>
      <c r="G842" s="208"/>
      <c r="H842" s="208"/>
      <c r="I842" s="263" t="str">
        <f t="shared" si="25"/>
        <v/>
      </c>
    </row>
    <row r="843" spans="3:9" ht="14.55" hidden="1" x14ac:dyDescent="0.3">
      <c r="C843" s="208"/>
      <c r="D843" s="208"/>
      <c r="E843" s="208"/>
      <c r="F843" s="208"/>
      <c r="G843" s="208"/>
      <c r="H843" s="208"/>
      <c r="I843" s="263" t="str">
        <f t="shared" si="25"/>
        <v/>
      </c>
    </row>
    <row r="844" spans="3:9" ht="14.55" hidden="1" x14ac:dyDescent="0.3">
      <c r="C844" s="208"/>
      <c r="D844" s="208"/>
      <c r="E844" s="208"/>
      <c r="F844" s="208"/>
      <c r="G844" s="208"/>
      <c r="H844" s="208"/>
      <c r="I844" s="263" t="str">
        <f t="shared" si="25"/>
        <v/>
      </c>
    </row>
    <row r="845" spans="3:9" ht="14.55" hidden="1" x14ac:dyDescent="0.3">
      <c r="C845" s="208"/>
      <c r="D845" s="208"/>
      <c r="E845" s="208"/>
      <c r="F845" s="208"/>
      <c r="G845" s="208"/>
      <c r="H845" s="208"/>
      <c r="I845" s="263" t="str">
        <f t="shared" si="25"/>
        <v/>
      </c>
    </row>
    <row r="846" spans="3:9" ht="14.55" hidden="1" x14ac:dyDescent="0.3">
      <c r="C846" s="208"/>
      <c r="D846" s="208"/>
      <c r="E846" s="208"/>
      <c r="F846" s="208"/>
      <c r="G846" s="208"/>
      <c r="H846" s="208"/>
      <c r="I846" s="263" t="str">
        <f t="shared" si="25"/>
        <v/>
      </c>
    </row>
    <row r="847" spans="3:9" ht="14.55" hidden="1" x14ac:dyDescent="0.3">
      <c r="C847" s="208"/>
      <c r="D847" s="208"/>
      <c r="E847" s="208"/>
      <c r="F847" s="208"/>
      <c r="G847" s="208"/>
      <c r="H847" s="208"/>
      <c r="I847" s="263" t="str">
        <f t="shared" si="25"/>
        <v/>
      </c>
    </row>
    <row r="848" spans="3:9" ht="14.55" hidden="1" x14ac:dyDescent="0.3">
      <c r="C848" s="208"/>
      <c r="D848" s="208"/>
      <c r="E848" s="208"/>
      <c r="F848" s="208"/>
      <c r="G848" s="208"/>
      <c r="H848" s="208"/>
      <c r="I848" s="263" t="str">
        <f t="shared" si="25"/>
        <v/>
      </c>
    </row>
    <row r="849" spans="3:9" ht="14.55" hidden="1" x14ac:dyDescent="0.3">
      <c r="C849" s="208"/>
      <c r="D849" s="208"/>
      <c r="E849" s="208"/>
      <c r="F849" s="208"/>
      <c r="G849" s="208"/>
      <c r="H849" s="208"/>
      <c r="I849" s="263" t="str">
        <f t="shared" si="25"/>
        <v/>
      </c>
    </row>
    <row r="850" spans="3:9" ht="14.55" hidden="1" x14ac:dyDescent="0.3">
      <c r="C850" s="208"/>
      <c r="D850" s="208"/>
      <c r="E850" s="208"/>
      <c r="F850" s="208"/>
      <c r="G850" s="208"/>
      <c r="H850" s="208"/>
      <c r="I850" s="263" t="str">
        <f t="shared" si="25"/>
        <v/>
      </c>
    </row>
    <row r="851" spans="3:9" ht="14.55" hidden="1" x14ac:dyDescent="0.3">
      <c r="C851" s="208"/>
      <c r="D851" s="208"/>
      <c r="E851" s="208"/>
      <c r="F851" s="208"/>
      <c r="G851" s="208"/>
      <c r="H851" s="208"/>
      <c r="I851" s="263" t="str">
        <f t="shared" si="25"/>
        <v/>
      </c>
    </row>
    <row r="852" spans="3:9" ht="14.55" hidden="1" x14ac:dyDescent="0.3">
      <c r="C852" s="208"/>
      <c r="D852" s="208"/>
      <c r="E852" s="208"/>
      <c r="F852" s="208"/>
      <c r="G852" s="208"/>
      <c r="H852" s="208"/>
      <c r="I852" s="263" t="str">
        <f t="shared" si="25"/>
        <v/>
      </c>
    </row>
    <row r="853" spans="3:9" ht="14.55" hidden="1" x14ac:dyDescent="0.3">
      <c r="C853" s="209"/>
      <c r="D853" s="209"/>
      <c r="E853" s="209"/>
      <c r="F853" s="209"/>
      <c r="G853" s="209"/>
      <c r="H853" s="209"/>
      <c r="I853" s="263" t="str">
        <f t="shared" si="25"/>
        <v/>
      </c>
    </row>
    <row r="854" spans="3:9" ht="14.55" hidden="1" x14ac:dyDescent="0.3">
      <c r="C854" s="209"/>
      <c r="D854" s="209"/>
      <c r="E854" s="209"/>
      <c r="F854" s="209"/>
      <c r="G854" s="209"/>
      <c r="H854" s="209"/>
      <c r="I854" s="263" t="str">
        <f t="shared" si="25"/>
        <v/>
      </c>
    </row>
    <row r="855" spans="3:9" ht="14.55" hidden="1" x14ac:dyDescent="0.3">
      <c r="C855" s="209"/>
      <c r="D855" s="209"/>
      <c r="E855" s="209"/>
      <c r="F855" s="209"/>
      <c r="G855" s="209"/>
      <c r="H855" s="209"/>
      <c r="I855" s="263" t="str">
        <f t="shared" si="25"/>
        <v/>
      </c>
    </row>
    <row r="856" spans="3:9" ht="14.55" hidden="1" x14ac:dyDescent="0.3">
      <c r="C856" s="209"/>
      <c r="D856" s="209"/>
      <c r="E856" s="209"/>
      <c r="F856" s="209"/>
      <c r="G856" s="209"/>
      <c r="H856" s="209"/>
      <c r="I856" s="263" t="str">
        <f t="shared" si="25"/>
        <v/>
      </c>
    </row>
    <row r="857" spans="3:9" ht="14.55" hidden="1" x14ac:dyDescent="0.3">
      <c r="C857" s="209"/>
      <c r="D857" s="209"/>
      <c r="E857" s="209"/>
      <c r="F857" s="209"/>
      <c r="G857" s="209"/>
      <c r="H857" s="209"/>
      <c r="I857" s="263" t="str">
        <f t="shared" si="25"/>
        <v/>
      </c>
    </row>
    <row r="858" spans="3:9" ht="14.55" hidden="1" x14ac:dyDescent="0.3">
      <c r="C858" s="209"/>
      <c r="D858" s="209"/>
      <c r="E858" s="209"/>
      <c r="F858" s="209"/>
      <c r="G858" s="209"/>
      <c r="H858" s="209"/>
      <c r="I858" s="263" t="str">
        <f t="shared" si="25"/>
        <v/>
      </c>
    </row>
    <row r="859" spans="3:9" ht="14.55" hidden="1" x14ac:dyDescent="0.3">
      <c r="C859" s="209"/>
      <c r="D859" s="209"/>
      <c r="E859" s="209"/>
      <c r="F859" s="209"/>
      <c r="G859" s="209"/>
      <c r="H859" s="209"/>
      <c r="I859" s="263" t="str">
        <f t="shared" si="25"/>
        <v/>
      </c>
    </row>
    <row r="860" spans="3:9" ht="14.55" hidden="1" x14ac:dyDescent="0.3">
      <c r="C860" s="209"/>
      <c r="D860" s="209"/>
      <c r="E860" s="209"/>
      <c r="F860" s="209"/>
      <c r="G860" s="209"/>
      <c r="H860" s="209"/>
      <c r="I860" s="263" t="str">
        <f t="shared" si="25"/>
        <v/>
      </c>
    </row>
    <row r="861" spans="3:9" ht="14.55" hidden="1" x14ac:dyDescent="0.3">
      <c r="C861" s="209"/>
      <c r="D861" s="209"/>
      <c r="E861" s="209"/>
      <c r="F861" s="209"/>
      <c r="G861" s="209"/>
      <c r="H861" s="209"/>
      <c r="I861" s="263" t="str">
        <f t="shared" si="25"/>
        <v/>
      </c>
    </row>
    <row r="862" spans="3:9" ht="14.55" hidden="1" x14ac:dyDescent="0.3">
      <c r="C862" s="209"/>
      <c r="D862" s="209"/>
      <c r="E862" s="209"/>
      <c r="F862" s="209"/>
      <c r="G862" s="209"/>
      <c r="H862" s="209"/>
      <c r="I862" s="263" t="str">
        <f t="shared" si="25"/>
        <v/>
      </c>
    </row>
    <row r="863" spans="3:9" ht="14.55" hidden="1" x14ac:dyDescent="0.3">
      <c r="C863" s="209"/>
      <c r="D863" s="209"/>
      <c r="E863" s="209"/>
      <c r="F863" s="209"/>
      <c r="G863" s="209"/>
      <c r="H863" s="209"/>
      <c r="I863" s="263" t="str">
        <f t="shared" si="25"/>
        <v/>
      </c>
    </row>
    <row r="864" spans="3:9" ht="14.55" hidden="1" x14ac:dyDescent="0.3">
      <c r="C864" s="209"/>
      <c r="D864" s="209"/>
      <c r="E864" s="209"/>
      <c r="F864" s="209"/>
      <c r="G864" s="209"/>
      <c r="H864" s="209"/>
      <c r="I864" s="263" t="str">
        <f t="shared" si="25"/>
        <v/>
      </c>
    </row>
    <row r="865" spans="3:9" ht="14.55" hidden="1" x14ac:dyDescent="0.3">
      <c r="C865" s="209"/>
      <c r="D865" s="209"/>
      <c r="E865" s="209"/>
      <c r="F865" s="209"/>
      <c r="G865" s="209"/>
      <c r="H865" s="209"/>
      <c r="I865" s="263" t="str">
        <f t="shared" si="25"/>
        <v/>
      </c>
    </row>
    <row r="866" spans="3:9" ht="14.55" hidden="1" x14ac:dyDescent="0.3">
      <c r="C866" s="209"/>
      <c r="D866" s="209"/>
      <c r="E866" s="209"/>
      <c r="F866" s="209"/>
      <c r="G866" s="209"/>
      <c r="H866" s="209"/>
      <c r="I866" s="263" t="str">
        <f t="shared" si="25"/>
        <v/>
      </c>
    </row>
    <row r="867" spans="3:9" ht="14.55" hidden="1" x14ac:dyDescent="0.3">
      <c r="C867" s="209"/>
      <c r="D867" s="209"/>
      <c r="E867" s="209"/>
      <c r="F867" s="209"/>
      <c r="G867" s="209"/>
      <c r="H867" s="209"/>
      <c r="I867" s="263" t="str">
        <f t="shared" si="25"/>
        <v/>
      </c>
    </row>
    <row r="868" spans="3:9" ht="14.55" hidden="1" x14ac:dyDescent="0.3">
      <c r="C868" s="209"/>
      <c r="D868" s="209"/>
      <c r="E868" s="209"/>
      <c r="F868" s="209"/>
      <c r="G868" s="209"/>
      <c r="H868" s="209"/>
      <c r="I868" s="263" t="str">
        <f t="shared" si="25"/>
        <v/>
      </c>
    </row>
    <row r="869" spans="3:9" ht="14.55" hidden="1" x14ac:dyDescent="0.3">
      <c r="C869" s="209"/>
      <c r="D869" s="209"/>
      <c r="E869" s="209"/>
      <c r="F869" s="209"/>
      <c r="G869" s="209"/>
      <c r="H869" s="209"/>
      <c r="I869" s="263" t="str">
        <f t="shared" si="25"/>
        <v/>
      </c>
    </row>
    <row r="870" spans="3:9" ht="14.55" hidden="1" x14ac:dyDescent="0.3">
      <c r="C870" s="209"/>
      <c r="D870" s="209"/>
      <c r="E870" s="209"/>
      <c r="F870" s="209"/>
      <c r="G870" s="209"/>
      <c r="H870" s="209"/>
      <c r="I870" s="263" t="str">
        <f t="shared" si="25"/>
        <v/>
      </c>
    </row>
    <row r="871" spans="3:9" ht="14.55" hidden="1" x14ac:dyDescent="0.3">
      <c r="C871" s="209"/>
      <c r="D871" s="209"/>
      <c r="E871" s="209"/>
      <c r="F871" s="209"/>
      <c r="G871" s="209"/>
      <c r="H871" s="209"/>
      <c r="I871" s="263" t="str">
        <f t="shared" si="25"/>
        <v/>
      </c>
    </row>
    <row r="872" spans="3:9" ht="14.55" hidden="1" x14ac:dyDescent="0.3">
      <c r="C872" s="209"/>
      <c r="D872" s="209"/>
      <c r="E872" s="209"/>
      <c r="F872" s="209"/>
      <c r="G872" s="209"/>
      <c r="H872" s="209"/>
      <c r="I872" s="263" t="str">
        <f t="shared" si="25"/>
        <v/>
      </c>
    </row>
    <row r="873" spans="3:9" ht="14.55" hidden="1" x14ac:dyDescent="0.3">
      <c r="C873" s="209"/>
      <c r="D873" s="209"/>
      <c r="E873" s="209"/>
      <c r="F873" s="209"/>
      <c r="G873" s="209"/>
      <c r="H873" s="209"/>
      <c r="I873" s="263" t="str">
        <f t="shared" si="25"/>
        <v/>
      </c>
    </row>
    <row r="874" spans="3:9" ht="14.55" hidden="1" x14ac:dyDescent="0.3">
      <c r="C874" s="209"/>
      <c r="D874" s="209"/>
      <c r="E874" s="209"/>
      <c r="F874" s="209"/>
      <c r="G874" s="209"/>
      <c r="H874" s="209"/>
      <c r="I874" s="263" t="str">
        <f t="shared" si="25"/>
        <v/>
      </c>
    </row>
    <row r="875" spans="3:9" ht="14.55" hidden="1" x14ac:dyDescent="0.3">
      <c r="C875" s="209"/>
      <c r="D875" s="209"/>
      <c r="E875" s="209"/>
      <c r="F875" s="209"/>
      <c r="G875" s="209"/>
      <c r="H875" s="209"/>
      <c r="I875" s="263" t="str">
        <f t="shared" si="25"/>
        <v/>
      </c>
    </row>
    <row r="876" spans="3:9" ht="14.55" hidden="1" x14ac:dyDescent="0.3">
      <c r="C876" s="209"/>
      <c r="D876" s="209"/>
      <c r="E876" s="209"/>
      <c r="F876" s="209"/>
      <c r="G876" s="209"/>
      <c r="H876" s="209"/>
      <c r="I876" s="263" t="str">
        <f t="shared" si="25"/>
        <v/>
      </c>
    </row>
    <row r="877" spans="3:9" ht="14.55" hidden="1" x14ac:dyDescent="0.3">
      <c r="C877" s="209"/>
      <c r="D877" s="209"/>
      <c r="E877" s="209"/>
      <c r="F877" s="209"/>
      <c r="G877" s="209"/>
      <c r="H877" s="209"/>
      <c r="I877" s="263" t="str">
        <f t="shared" si="25"/>
        <v/>
      </c>
    </row>
    <row r="878" spans="3:9" ht="14.55" hidden="1" x14ac:dyDescent="0.3">
      <c r="C878" s="209"/>
      <c r="D878" s="209"/>
      <c r="E878" s="209"/>
      <c r="F878" s="209"/>
      <c r="G878" s="209"/>
      <c r="H878" s="209"/>
      <c r="I878" s="263" t="str">
        <f t="shared" si="25"/>
        <v/>
      </c>
    </row>
    <row r="879" spans="3:9" ht="14.55" hidden="1" x14ac:dyDescent="0.3">
      <c r="C879" s="209"/>
      <c r="D879" s="209"/>
      <c r="E879" s="209"/>
      <c r="F879" s="209"/>
      <c r="G879" s="209"/>
      <c r="H879" s="209"/>
      <c r="I879" s="263" t="str">
        <f t="shared" si="25"/>
        <v/>
      </c>
    </row>
    <row r="880" spans="3:9" ht="14.55" hidden="1" x14ac:dyDescent="0.3">
      <c r="C880" s="209"/>
      <c r="D880" s="209"/>
      <c r="E880" s="209"/>
      <c r="F880" s="209"/>
      <c r="G880" s="209"/>
      <c r="H880" s="209"/>
      <c r="I880" s="263" t="str">
        <f t="shared" si="25"/>
        <v/>
      </c>
    </row>
    <row r="881" spans="3:9" ht="14.55" hidden="1" x14ac:dyDescent="0.3">
      <c r="C881" s="209"/>
      <c r="D881" s="209"/>
      <c r="E881" s="209"/>
      <c r="F881" s="209"/>
      <c r="G881" s="209"/>
      <c r="H881" s="209"/>
      <c r="I881" s="263" t="str">
        <f t="shared" si="25"/>
        <v/>
      </c>
    </row>
    <row r="882" spans="3:9" ht="14.55" hidden="1" x14ac:dyDescent="0.3">
      <c r="C882" s="209"/>
      <c r="D882" s="209"/>
      <c r="E882" s="209"/>
      <c r="F882" s="209"/>
      <c r="G882" s="209"/>
      <c r="H882" s="209"/>
      <c r="I882" s="263" t="str">
        <f t="shared" si="25"/>
        <v/>
      </c>
    </row>
    <row r="883" spans="3:9" ht="14.55" hidden="1" x14ac:dyDescent="0.3">
      <c r="C883" s="209"/>
      <c r="D883" s="209"/>
      <c r="E883" s="209"/>
      <c r="F883" s="209"/>
      <c r="G883" s="209"/>
      <c r="H883" s="209"/>
      <c r="I883" s="263" t="str">
        <f t="shared" si="25"/>
        <v/>
      </c>
    </row>
    <row r="884" spans="3:9" ht="14.55" hidden="1" x14ac:dyDescent="0.3">
      <c r="C884" s="209"/>
      <c r="D884" s="209"/>
      <c r="E884" s="209"/>
      <c r="F884" s="209"/>
      <c r="G884" s="209"/>
      <c r="H884" s="209"/>
      <c r="I884" s="263" t="str">
        <f t="shared" si="25"/>
        <v/>
      </c>
    </row>
    <row r="885" spans="3:9" ht="14.55" hidden="1" x14ac:dyDescent="0.3">
      <c r="C885" s="209"/>
      <c r="D885" s="209"/>
      <c r="E885" s="209"/>
      <c r="F885" s="209"/>
      <c r="G885" s="209"/>
      <c r="H885" s="209"/>
      <c r="I885" s="263" t="str">
        <f t="shared" si="25"/>
        <v/>
      </c>
    </row>
    <row r="886" spans="3:9" ht="14.55" hidden="1" x14ac:dyDescent="0.3">
      <c r="C886" s="209"/>
      <c r="D886" s="209"/>
      <c r="E886" s="209"/>
      <c r="F886" s="209"/>
      <c r="G886" s="209"/>
      <c r="H886" s="209"/>
      <c r="I886" s="263" t="str">
        <f t="shared" si="25"/>
        <v/>
      </c>
    </row>
    <row r="887" spans="3:9" ht="14.55" hidden="1" x14ac:dyDescent="0.3">
      <c r="C887" s="209"/>
      <c r="D887" s="209"/>
      <c r="E887" s="209"/>
      <c r="F887" s="209"/>
      <c r="G887" s="209"/>
      <c r="H887" s="209"/>
      <c r="I887" s="263" t="str">
        <f t="shared" si="25"/>
        <v/>
      </c>
    </row>
    <row r="888" spans="3:9" ht="14.55" hidden="1" x14ac:dyDescent="0.3">
      <c r="C888" s="209"/>
      <c r="D888" s="209"/>
      <c r="E888" s="209"/>
      <c r="F888" s="209"/>
      <c r="G888" s="209"/>
      <c r="H888" s="209"/>
      <c r="I888" s="263" t="str">
        <f t="shared" si="25"/>
        <v/>
      </c>
    </row>
    <row r="889" spans="3:9" ht="14.55" hidden="1" x14ac:dyDescent="0.3">
      <c r="C889" s="209"/>
      <c r="D889" s="209"/>
      <c r="E889" s="209"/>
      <c r="F889" s="209"/>
      <c r="G889" s="209"/>
      <c r="H889" s="209"/>
      <c r="I889" s="263" t="str">
        <f t="shared" si="25"/>
        <v/>
      </c>
    </row>
    <row r="890" spans="3:9" ht="14.55" hidden="1" x14ac:dyDescent="0.3">
      <c r="C890" s="209"/>
      <c r="D890" s="209"/>
      <c r="E890" s="209"/>
      <c r="F890" s="209"/>
      <c r="G890" s="209"/>
      <c r="H890" s="209"/>
      <c r="I890" s="263" t="str">
        <f t="shared" si="25"/>
        <v/>
      </c>
    </row>
    <row r="891" spans="3:9" ht="14.55" hidden="1" x14ac:dyDescent="0.3">
      <c r="C891" s="209"/>
      <c r="D891" s="209"/>
      <c r="E891" s="209"/>
      <c r="F891" s="209"/>
      <c r="G891" s="209"/>
      <c r="H891" s="209"/>
      <c r="I891" s="263" t="str">
        <f t="shared" si="25"/>
        <v/>
      </c>
    </row>
    <row r="892" spans="3:9" ht="14.55" hidden="1" x14ac:dyDescent="0.3">
      <c r="C892" s="209"/>
      <c r="D892" s="209"/>
      <c r="E892" s="209"/>
      <c r="F892" s="209"/>
      <c r="G892" s="209"/>
      <c r="H892" s="209"/>
      <c r="I892" s="263" t="str">
        <f t="shared" si="25"/>
        <v/>
      </c>
    </row>
    <row r="893" spans="3:9" ht="14.55" hidden="1" x14ac:dyDescent="0.3">
      <c r="C893" s="209"/>
      <c r="D893" s="209"/>
      <c r="E893" s="209"/>
      <c r="F893" s="209"/>
      <c r="G893" s="209"/>
      <c r="H893" s="209"/>
      <c r="I893" s="263" t="str">
        <f t="shared" si="25"/>
        <v/>
      </c>
    </row>
    <row r="894" spans="3:9" ht="14.55" hidden="1" x14ac:dyDescent="0.3">
      <c r="C894" s="209"/>
      <c r="D894" s="209"/>
      <c r="E894" s="209"/>
      <c r="F894" s="209"/>
      <c r="G894" s="209"/>
      <c r="H894" s="209"/>
      <c r="I894" s="263" t="str">
        <f t="shared" ref="I894:I957" si="26">IF(H894=0,"",D894)</f>
        <v/>
      </c>
    </row>
    <row r="895" spans="3:9" ht="14.55" hidden="1" x14ac:dyDescent="0.3">
      <c r="C895" s="209"/>
      <c r="D895" s="209"/>
      <c r="E895" s="209"/>
      <c r="F895" s="209"/>
      <c r="G895" s="209"/>
      <c r="H895" s="209"/>
      <c r="I895" s="263" t="str">
        <f t="shared" si="26"/>
        <v/>
      </c>
    </row>
    <row r="896" spans="3:9" ht="14.55" hidden="1" x14ac:dyDescent="0.3">
      <c r="C896" s="209"/>
      <c r="D896" s="209"/>
      <c r="E896" s="209"/>
      <c r="F896" s="209"/>
      <c r="G896" s="209"/>
      <c r="H896" s="209"/>
      <c r="I896" s="263" t="str">
        <f t="shared" si="26"/>
        <v/>
      </c>
    </row>
    <row r="897" spans="3:9" ht="14.55" hidden="1" x14ac:dyDescent="0.3">
      <c r="C897" s="209"/>
      <c r="D897" s="209"/>
      <c r="E897" s="209"/>
      <c r="F897" s="209"/>
      <c r="G897" s="209"/>
      <c r="H897" s="209"/>
      <c r="I897" s="263" t="str">
        <f t="shared" si="26"/>
        <v/>
      </c>
    </row>
    <row r="898" spans="3:9" ht="14.55" hidden="1" x14ac:dyDescent="0.3">
      <c r="C898" s="209"/>
      <c r="D898" s="209"/>
      <c r="E898" s="209"/>
      <c r="F898" s="209"/>
      <c r="G898" s="209"/>
      <c r="H898" s="209"/>
      <c r="I898" s="263" t="str">
        <f t="shared" si="26"/>
        <v/>
      </c>
    </row>
    <row r="899" spans="3:9" ht="14.55" hidden="1" x14ac:dyDescent="0.3">
      <c r="C899" s="209"/>
      <c r="D899" s="209"/>
      <c r="E899" s="209"/>
      <c r="F899" s="209"/>
      <c r="G899" s="209"/>
      <c r="H899" s="209"/>
      <c r="I899" s="263" t="str">
        <f t="shared" si="26"/>
        <v/>
      </c>
    </row>
    <row r="900" spans="3:9" ht="14.55" hidden="1" x14ac:dyDescent="0.3">
      <c r="C900" s="209"/>
      <c r="D900" s="209"/>
      <c r="E900" s="209"/>
      <c r="F900" s="209"/>
      <c r="G900" s="209"/>
      <c r="H900" s="209"/>
      <c r="I900" s="263" t="str">
        <f t="shared" si="26"/>
        <v/>
      </c>
    </row>
    <row r="901" spans="3:9" ht="14.55" hidden="1" x14ac:dyDescent="0.3">
      <c r="C901" s="209"/>
      <c r="D901" s="209"/>
      <c r="E901" s="209"/>
      <c r="F901" s="209"/>
      <c r="G901" s="209"/>
      <c r="H901" s="209"/>
      <c r="I901" s="263" t="str">
        <f t="shared" si="26"/>
        <v/>
      </c>
    </row>
    <row r="902" spans="3:9" ht="14.55" hidden="1" x14ac:dyDescent="0.3">
      <c r="C902" s="209"/>
      <c r="D902" s="209"/>
      <c r="E902" s="209"/>
      <c r="F902" s="209"/>
      <c r="G902" s="209"/>
      <c r="H902" s="209"/>
      <c r="I902" s="263" t="str">
        <f t="shared" si="26"/>
        <v/>
      </c>
    </row>
    <row r="903" spans="3:9" ht="14.55" hidden="1" x14ac:dyDescent="0.3">
      <c r="C903" s="209"/>
      <c r="D903" s="209"/>
      <c r="E903" s="209"/>
      <c r="F903" s="209"/>
      <c r="G903" s="209"/>
      <c r="H903" s="209"/>
      <c r="I903" s="263" t="str">
        <f t="shared" si="26"/>
        <v/>
      </c>
    </row>
    <row r="904" spans="3:9" ht="14.55" hidden="1" x14ac:dyDescent="0.3">
      <c r="C904" s="209"/>
      <c r="D904" s="209"/>
      <c r="E904" s="209"/>
      <c r="F904" s="209"/>
      <c r="G904" s="209"/>
      <c r="H904" s="209"/>
      <c r="I904" s="263" t="str">
        <f t="shared" si="26"/>
        <v/>
      </c>
    </row>
    <row r="905" spans="3:9" ht="14.55" hidden="1" x14ac:dyDescent="0.3">
      <c r="C905" s="209"/>
      <c r="D905" s="209"/>
      <c r="E905" s="209"/>
      <c r="F905" s="209"/>
      <c r="G905" s="209"/>
      <c r="H905" s="209"/>
      <c r="I905" s="263" t="str">
        <f t="shared" si="26"/>
        <v/>
      </c>
    </row>
    <row r="906" spans="3:9" ht="14.55" hidden="1" x14ac:dyDescent="0.3">
      <c r="C906" s="209"/>
      <c r="D906" s="209"/>
      <c r="E906" s="209"/>
      <c r="F906" s="209"/>
      <c r="G906" s="209"/>
      <c r="H906" s="209"/>
      <c r="I906" s="263" t="str">
        <f t="shared" si="26"/>
        <v/>
      </c>
    </row>
    <row r="907" spans="3:9" ht="14.55" hidden="1" x14ac:dyDescent="0.3">
      <c r="C907" s="209"/>
      <c r="D907" s="209"/>
      <c r="E907" s="209"/>
      <c r="F907" s="209"/>
      <c r="G907" s="209"/>
      <c r="H907" s="209"/>
      <c r="I907" s="263" t="str">
        <f t="shared" si="26"/>
        <v/>
      </c>
    </row>
    <row r="908" spans="3:9" ht="14.55" hidden="1" x14ac:dyDescent="0.3">
      <c r="C908" s="209"/>
      <c r="D908" s="209"/>
      <c r="E908" s="209"/>
      <c r="F908" s="209"/>
      <c r="G908" s="209"/>
      <c r="H908" s="209"/>
      <c r="I908" s="263" t="str">
        <f t="shared" si="26"/>
        <v/>
      </c>
    </row>
    <row r="909" spans="3:9" ht="14.55" hidden="1" x14ac:dyDescent="0.3">
      <c r="C909" s="209"/>
      <c r="D909" s="209"/>
      <c r="E909" s="209"/>
      <c r="F909" s="209"/>
      <c r="G909" s="209"/>
      <c r="H909" s="209"/>
      <c r="I909" s="263" t="str">
        <f t="shared" si="26"/>
        <v/>
      </c>
    </row>
    <row r="910" spans="3:9" ht="14.55" hidden="1" x14ac:dyDescent="0.3">
      <c r="C910" s="209"/>
      <c r="D910" s="209"/>
      <c r="E910" s="209"/>
      <c r="F910" s="209"/>
      <c r="G910" s="209"/>
      <c r="H910" s="209"/>
      <c r="I910" s="263" t="str">
        <f t="shared" si="26"/>
        <v/>
      </c>
    </row>
    <row r="911" spans="3:9" ht="14.55" hidden="1" x14ac:dyDescent="0.3">
      <c r="C911" s="209"/>
      <c r="D911" s="209"/>
      <c r="E911" s="209"/>
      <c r="F911" s="209"/>
      <c r="G911" s="209"/>
      <c r="H911" s="209"/>
      <c r="I911" s="263" t="str">
        <f t="shared" si="26"/>
        <v/>
      </c>
    </row>
    <row r="912" spans="3:9" ht="14.55" hidden="1" x14ac:dyDescent="0.3">
      <c r="C912" s="209"/>
      <c r="D912" s="209"/>
      <c r="E912" s="209"/>
      <c r="F912" s="209"/>
      <c r="G912" s="209"/>
      <c r="H912" s="209"/>
      <c r="I912" s="263" t="str">
        <f t="shared" si="26"/>
        <v/>
      </c>
    </row>
    <row r="913" spans="3:9" ht="14.55" hidden="1" x14ac:dyDescent="0.3">
      <c r="C913" s="209"/>
      <c r="D913" s="209"/>
      <c r="E913" s="209"/>
      <c r="F913" s="209"/>
      <c r="G913" s="209"/>
      <c r="H913" s="209"/>
      <c r="I913" s="263" t="str">
        <f t="shared" si="26"/>
        <v/>
      </c>
    </row>
    <row r="914" spans="3:9" ht="14.55" hidden="1" x14ac:dyDescent="0.3">
      <c r="C914" s="209"/>
      <c r="D914" s="209"/>
      <c r="E914" s="209"/>
      <c r="F914" s="209"/>
      <c r="G914" s="209"/>
      <c r="H914" s="209"/>
      <c r="I914" s="263" t="str">
        <f t="shared" si="26"/>
        <v/>
      </c>
    </row>
    <row r="915" spans="3:9" ht="14.55" hidden="1" x14ac:dyDescent="0.3">
      <c r="C915" s="209"/>
      <c r="D915" s="209"/>
      <c r="E915" s="209"/>
      <c r="F915" s="209"/>
      <c r="G915" s="209"/>
      <c r="H915" s="209"/>
      <c r="I915" s="263" t="str">
        <f t="shared" si="26"/>
        <v/>
      </c>
    </row>
    <row r="916" spans="3:9" ht="14.55" hidden="1" x14ac:dyDescent="0.3">
      <c r="C916" s="209"/>
      <c r="D916" s="209"/>
      <c r="E916" s="209"/>
      <c r="F916" s="209"/>
      <c r="G916" s="209"/>
      <c r="H916" s="209"/>
      <c r="I916" s="263" t="str">
        <f t="shared" si="26"/>
        <v/>
      </c>
    </row>
    <row r="917" spans="3:9" ht="14.55" hidden="1" x14ac:dyDescent="0.3">
      <c r="C917" s="209"/>
      <c r="D917" s="209"/>
      <c r="E917" s="209"/>
      <c r="F917" s="209"/>
      <c r="G917" s="209"/>
      <c r="H917" s="209"/>
      <c r="I917" s="263" t="str">
        <f t="shared" si="26"/>
        <v/>
      </c>
    </row>
    <row r="918" spans="3:9" ht="14.55" hidden="1" x14ac:dyDescent="0.3">
      <c r="C918" s="209"/>
      <c r="D918" s="209"/>
      <c r="E918" s="209"/>
      <c r="F918" s="209"/>
      <c r="G918" s="209"/>
      <c r="H918" s="209"/>
      <c r="I918" s="263" t="str">
        <f t="shared" si="26"/>
        <v/>
      </c>
    </row>
    <row r="919" spans="3:9" ht="14.55" hidden="1" x14ac:dyDescent="0.3">
      <c r="C919" s="209"/>
      <c r="D919" s="209"/>
      <c r="E919" s="209"/>
      <c r="F919" s="209"/>
      <c r="G919" s="209"/>
      <c r="H919" s="209"/>
      <c r="I919" s="263" t="str">
        <f t="shared" si="26"/>
        <v/>
      </c>
    </row>
    <row r="920" spans="3:9" ht="14.55" hidden="1" x14ac:dyDescent="0.3">
      <c r="C920" s="209"/>
      <c r="D920" s="209"/>
      <c r="E920" s="209"/>
      <c r="F920" s="209"/>
      <c r="G920" s="209"/>
      <c r="H920" s="209"/>
      <c r="I920" s="263" t="str">
        <f t="shared" si="26"/>
        <v/>
      </c>
    </row>
    <row r="921" spans="3:9" ht="14.55" hidden="1" x14ac:dyDescent="0.3">
      <c r="C921" s="209"/>
      <c r="D921" s="209"/>
      <c r="E921" s="209"/>
      <c r="F921" s="209"/>
      <c r="G921" s="209"/>
      <c r="H921" s="209"/>
      <c r="I921" s="263" t="str">
        <f t="shared" si="26"/>
        <v/>
      </c>
    </row>
    <row r="922" spans="3:9" ht="14.55" hidden="1" x14ac:dyDescent="0.3">
      <c r="C922" s="209"/>
      <c r="D922" s="209"/>
      <c r="E922" s="209"/>
      <c r="F922" s="209"/>
      <c r="G922" s="209"/>
      <c r="H922" s="209"/>
      <c r="I922" s="263" t="str">
        <f t="shared" si="26"/>
        <v/>
      </c>
    </row>
    <row r="923" spans="3:9" ht="14.55" hidden="1" x14ac:dyDescent="0.3">
      <c r="C923" s="209"/>
      <c r="D923" s="209"/>
      <c r="E923" s="209"/>
      <c r="F923" s="209"/>
      <c r="G923" s="209"/>
      <c r="H923" s="209"/>
      <c r="I923" s="263" t="str">
        <f t="shared" si="26"/>
        <v/>
      </c>
    </row>
    <row r="924" spans="3:9" ht="14.55" hidden="1" x14ac:dyDescent="0.3">
      <c r="C924" s="209"/>
      <c r="D924" s="209"/>
      <c r="E924" s="209"/>
      <c r="F924" s="209"/>
      <c r="G924" s="209"/>
      <c r="H924" s="209"/>
      <c r="I924" s="263" t="str">
        <f t="shared" si="26"/>
        <v/>
      </c>
    </row>
    <row r="925" spans="3:9" ht="14.55" hidden="1" x14ac:dyDescent="0.3">
      <c r="C925" s="209"/>
      <c r="D925" s="209"/>
      <c r="E925" s="209"/>
      <c r="F925" s="209"/>
      <c r="G925" s="209"/>
      <c r="H925" s="209"/>
      <c r="I925" s="263" t="str">
        <f t="shared" si="26"/>
        <v/>
      </c>
    </row>
    <row r="926" spans="3:9" ht="14.55" hidden="1" x14ac:dyDescent="0.3">
      <c r="C926" s="209"/>
      <c r="D926" s="209"/>
      <c r="E926" s="209"/>
      <c r="F926" s="209"/>
      <c r="G926" s="209"/>
      <c r="H926" s="209"/>
      <c r="I926" s="263" t="str">
        <f t="shared" si="26"/>
        <v/>
      </c>
    </row>
    <row r="927" spans="3:9" ht="14.55" hidden="1" x14ac:dyDescent="0.3">
      <c r="C927" s="209"/>
      <c r="D927" s="209"/>
      <c r="E927" s="209"/>
      <c r="F927" s="209"/>
      <c r="G927" s="209"/>
      <c r="H927" s="209"/>
      <c r="I927" s="263" t="str">
        <f t="shared" si="26"/>
        <v/>
      </c>
    </row>
    <row r="928" spans="3:9" ht="14.55" hidden="1" x14ac:dyDescent="0.3">
      <c r="C928" s="209"/>
      <c r="D928" s="209"/>
      <c r="E928" s="209"/>
      <c r="F928" s="209"/>
      <c r="G928" s="209"/>
      <c r="H928" s="209"/>
      <c r="I928" s="263" t="str">
        <f t="shared" si="26"/>
        <v/>
      </c>
    </row>
    <row r="929" spans="3:9" ht="14.55" hidden="1" x14ac:dyDescent="0.3">
      <c r="C929" s="209"/>
      <c r="D929" s="209"/>
      <c r="E929" s="209"/>
      <c r="F929" s="209"/>
      <c r="G929" s="209"/>
      <c r="H929" s="209"/>
      <c r="I929" s="263" t="str">
        <f t="shared" si="26"/>
        <v/>
      </c>
    </row>
    <row r="930" spans="3:9" ht="14.55" hidden="1" x14ac:dyDescent="0.3">
      <c r="C930" s="209"/>
      <c r="D930" s="209"/>
      <c r="E930" s="209"/>
      <c r="F930" s="209"/>
      <c r="G930" s="209"/>
      <c r="H930" s="209"/>
      <c r="I930" s="263" t="str">
        <f t="shared" si="26"/>
        <v/>
      </c>
    </row>
    <row r="931" spans="3:9" ht="14.55" hidden="1" x14ac:dyDescent="0.3">
      <c r="C931" s="209"/>
      <c r="D931" s="209"/>
      <c r="E931" s="209"/>
      <c r="F931" s="209"/>
      <c r="G931" s="209"/>
      <c r="H931" s="209"/>
      <c r="I931" s="263" t="str">
        <f t="shared" si="26"/>
        <v/>
      </c>
    </row>
    <row r="932" spans="3:9" ht="14.55" hidden="1" x14ac:dyDescent="0.3">
      <c r="C932" s="209"/>
      <c r="D932" s="209"/>
      <c r="E932" s="209"/>
      <c r="F932" s="209"/>
      <c r="G932" s="209"/>
      <c r="H932" s="209"/>
      <c r="I932" s="263" t="str">
        <f t="shared" si="26"/>
        <v/>
      </c>
    </row>
    <row r="933" spans="3:9" ht="14.55" hidden="1" x14ac:dyDescent="0.3">
      <c r="C933" s="209"/>
      <c r="D933" s="209"/>
      <c r="E933" s="209"/>
      <c r="F933" s="209"/>
      <c r="G933" s="209"/>
      <c r="H933" s="209"/>
      <c r="I933" s="263" t="str">
        <f t="shared" si="26"/>
        <v/>
      </c>
    </row>
    <row r="934" spans="3:9" ht="14.55" hidden="1" x14ac:dyDescent="0.3">
      <c r="C934" s="209"/>
      <c r="D934" s="209"/>
      <c r="E934" s="209"/>
      <c r="F934" s="209"/>
      <c r="G934" s="209"/>
      <c r="H934" s="209"/>
      <c r="I934" s="263" t="str">
        <f t="shared" si="26"/>
        <v/>
      </c>
    </row>
    <row r="935" spans="3:9" ht="14.55" hidden="1" x14ac:dyDescent="0.3">
      <c r="C935" s="209"/>
      <c r="D935" s="209"/>
      <c r="E935" s="209"/>
      <c r="F935" s="209"/>
      <c r="G935" s="209"/>
      <c r="H935" s="209"/>
      <c r="I935" s="263" t="str">
        <f t="shared" si="26"/>
        <v/>
      </c>
    </row>
    <row r="936" spans="3:9" ht="14.55" hidden="1" x14ac:dyDescent="0.3">
      <c r="C936" s="209"/>
      <c r="D936" s="209"/>
      <c r="E936" s="209"/>
      <c r="F936" s="209"/>
      <c r="G936" s="209"/>
      <c r="H936" s="209"/>
      <c r="I936" s="263" t="str">
        <f t="shared" si="26"/>
        <v/>
      </c>
    </row>
    <row r="937" spans="3:9" ht="14.55" hidden="1" x14ac:dyDescent="0.3">
      <c r="C937" s="209"/>
      <c r="D937" s="209"/>
      <c r="E937" s="209"/>
      <c r="F937" s="209"/>
      <c r="G937" s="209"/>
      <c r="H937" s="209"/>
      <c r="I937" s="263" t="str">
        <f t="shared" si="26"/>
        <v/>
      </c>
    </row>
    <row r="938" spans="3:9" ht="14.55" hidden="1" x14ac:dyDescent="0.3">
      <c r="C938" s="209"/>
      <c r="D938" s="209"/>
      <c r="E938" s="209"/>
      <c r="F938" s="209"/>
      <c r="G938" s="209"/>
      <c r="H938" s="209"/>
      <c r="I938" s="263" t="str">
        <f t="shared" si="26"/>
        <v/>
      </c>
    </row>
    <row r="939" spans="3:9" ht="14.55" hidden="1" x14ac:dyDescent="0.3">
      <c r="C939" s="209"/>
      <c r="D939" s="209"/>
      <c r="E939" s="209"/>
      <c r="F939" s="209"/>
      <c r="G939" s="209"/>
      <c r="H939" s="209"/>
      <c r="I939" s="263" t="str">
        <f t="shared" si="26"/>
        <v/>
      </c>
    </row>
    <row r="940" spans="3:9" ht="14.55" hidden="1" x14ac:dyDescent="0.3">
      <c r="C940" s="209"/>
      <c r="D940" s="209"/>
      <c r="E940" s="209"/>
      <c r="F940" s="209"/>
      <c r="G940" s="209"/>
      <c r="H940" s="209"/>
      <c r="I940" s="263" t="str">
        <f t="shared" si="26"/>
        <v/>
      </c>
    </row>
    <row r="941" spans="3:9" ht="14.55" hidden="1" x14ac:dyDescent="0.3">
      <c r="C941" s="209"/>
      <c r="D941" s="209"/>
      <c r="E941" s="209"/>
      <c r="F941" s="209"/>
      <c r="G941" s="209"/>
      <c r="H941" s="209"/>
      <c r="I941" s="263" t="str">
        <f t="shared" si="26"/>
        <v/>
      </c>
    </row>
    <row r="942" spans="3:9" ht="14.55" hidden="1" x14ac:dyDescent="0.3">
      <c r="C942" s="209"/>
      <c r="D942" s="209"/>
      <c r="E942" s="209"/>
      <c r="F942" s="209"/>
      <c r="G942" s="209"/>
      <c r="H942" s="209"/>
      <c r="I942" s="263" t="str">
        <f t="shared" si="26"/>
        <v/>
      </c>
    </row>
    <row r="943" spans="3:9" ht="14.55" hidden="1" x14ac:dyDescent="0.3">
      <c r="C943" s="209"/>
      <c r="D943" s="209"/>
      <c r="E943" s="209"/>
      <c r="F943" s="209"/>
      <c r="G943" s="209"/>
      <c r="H943" s="209"/>
      <c r="I943" s="263" t="str">
        <f t="shared" si="26"/>
        <v/>
      </c>
    </row>
    <row r="944" spans="3:9" ht="14.55" hidden="1" x14ac:dyDescent="0.3">
      <c r="C944" s="209"/>
      <c r="D944" s="209"/>
      <c r="E944" s="209"/>
      <c r="F944" s="209"/>
      <c r="G944" s="209"/>
      <c r="H944" s="209"/>
      <c r="I944" s="263" t="str">
        <f t="shared" si="26"/>
        <v/>
      </c>
    </row>
    <row r="945" spans="3:9" ht="14.55" hidden="1" x14ac:dyDescent="0.3">
      <c r="C945" s="209"/>
      <c r="D945" s="209"/>
      <c r="E945" s="209"/>
      <c r="F945" s="209"/>
      <c r="G945" s="209"/>
      <c r="H945" s="209"/>
      <c r="I945" s="263" t="str">
        <f t="shared" si="26"/>
        <v/>
      </c>
    </row>
    <row r="946" spans="3:9" ht="14.55" hidden="1" x14ac:dyDescent="0.3">
      <c r="C946" s="209"/>
      <c r="D946" s="209"/>
      <c r="E946" s="209"/>
      <c r="F946" s="209"/>
      <c r="G946" s="209"/>
      <c r="H946" s="209"/>
      <c r="I946" s="263" t="str">
        <f t="shared" si="26"/>
        <v/>
      </c>
    </row>
    <row r="947" spans="3:9" ht="14.55" hidden="1" x14ac:dyDescent="0.3">
      <c r="C947" s="209"/>
      <c r="D947" s="209"/>
      <c r="E947" s="209"/>
      <c r="F947" s="209"/>
      <c r="G947" s="209"/>
      <c r="H947" s="209"/>
      <c r="I947" s="263" t="str">
        <f t="shared" si="26"/>
        <v/>
      </c>
    </row>
    <row r="948" spans="3:9" ht="14.55" hidden="1" x14ac:dyDescent="0.3">
      <c r="C948" s="209"/>
      <c r="D948" s="209"/>
      <c r="E948" s="209"/>
      <c r="F948" s="209"/>
      <c r="G948" s="209"/>
      <c r="H948" s="209"/>
      <c r="I948" s="263" t="str">
        <f t="shared" si="26"/>
        <v/>
      </c>
    </row>
    <row r="949" spans="3:9" ht="14.55" hidden="1" x14ac:dyDescent="0.3">
      <c r="C949" s="209"/>
      <c r="D949" s="209"/>
      <c r="E949" s="209"/>
      <c r="F949" s="209"/>
      <c r="G949" s="209"/>
      <c r="H949" s="209"/>
      <c r="I949" s="263" t="str">
        <f t="shared" si="26"/>
        <v/>
      </c>
    </row>
    <row r="950" spans="3:9" ht="14.55" hidden="1" x14ac:dyDescent="0.3">
      <c r="C950" s="209"/>
      <c r="D950" s="209"/>
      <c r="E950" s="209"/>
      <c r="F950" s="209"/>
      <c r="G950" s="209"/>
      <c r="H950" s="209"/>
      <c r="I950" s="263" t="str">
        <f t="shared" si="26"/>
        <v/>
      </c>
    </row>
    <row r="951" spans="3:9" ht="14.55" hidden="1" x14ac:dyDescent="0.3">
      <c r="C951" s="209"/>
      <c r="D951" s="209"/>
      <c r="E951" s="209"/>
      <c r="F951" s="209"/>
      <c r="G951" s="209"/>
      <c r="H951" s="209"/>
      <c r="I951" s="263" t="str">
        <f t="shared" si="26"/>
        <v/>
      </c>
    </row>
    <row r="952" spans="3:9" ht="14.55" hidden="1" x14ac:dyDescent="0.3">
      <c r="C952" s="209"/>
      <c r="D952" s="209"/>
      <c r="E952" s="209"/>
      <c r="F952" s="209"/>
      <c r="G952" s="209"/>
      <c r="H952" s="209"/>
      <c r="I952" s="263" t="str">
        <f t="shared" si="26"/>
        <v/>
      </c>
    </row>
    <row r="953" spans="3:9" ht="14.55" hidden="1" x14ac:dyDescent="0.3">
      <c r="C953" s="209"/>
      <c r="D953" s="209"/>
      <c r="E953" s="209"/>
      <c r="F953" s="209"/>
      <c r="G953" s="209"/>
      <c r="H953" s="209"/>
      <c r="I953" s="263" t="str">
        <f t="shared" si="26"/>
        <v/>
      </c>
    </row>
    <row r="954" spans="3:9" ht="14.55" hidden="1" x14ac:dyDescent="0.3">
      <c r="C954" s="209"/>
      <c r="D954" s="209"/>
      <c r="E954" s="209"/>
      <c r="F954" s="209"/>
      <c r="G954" s="209"/>
      <c r="H954" s="209"/>
      <c r="I954" s="263" t="str">
        <f t="shared" si="26"/>
        <v/>
      </c>
    </row>
    <row r="955" spans="3:9" ht="14.55" hidden="1" x14ac:dyDescent="0.3">
      <c r="C955" s="209"/>
      <c r="D955" s="209"/>
      <c r="E955" s="209"/>
      <c r="F955" s="209"/>
      <c r="G955" s="209"/>
      <c r="H955" s="209"/>
      <c r="I955" s="263" t="str">
        <f t="shared" si="26"/>
        <v/>
      </c>
    </row>
    <row r="956" spans="3:9" ht="14.55" hidden="1" x14ac:dyDescent="0.3">
      <c r="C956" s="209"/>
      <c r="D956" s="209"/>
      <c r="E956" s="209"/>
      <c r="F956" s="209"/>
      <c r="G956" s="209"/>
      <c r="H956" s="209"/>
      <c r="I956" s="263" t="str">
        <f t="shared" si="26"/>
        <v/>
      </c>
    </row>
    <row r="957" spans="3:9" ht="14.55" hidden="1" x14ac:dyDescent="0.3">
      <c r="C957" s="209"/>
      <c r="D957" s="209"/>
      <c r="E957" s="209"/>
      <c r="F957" s="209"/>
      <c r="G957" s="209"/>
      <c r="H957" s="209"/>
      <c r="I957" s="263" t="str">
        <f t="shared" si="26"/>
        <v/>
      </c>
    </row>
    <row r="958" spans="3:9" ht="14.55" hidden="1" x14ac:dyDescent="0.3">
      <c r="C958" s="209"/>
      <c r="D958" s="209"/>
      <c r="E958" s="209"/>
      <c r="F958" s="209"/>
      <c r="G958" s="209"/>
      <c r="H958" s="209"/>
      <c r="I958" s="263" t="str">
        <f t="shared" ref="I958:I1021" si="27">IF(H958=0,"",D958)</f>
        <v/>
      </c>
    </row>
    <row r="959" spans="3:9" ht="14.55" hidden="1" x14ac:dyDescent="0.3">
      <c r="C959" s="209"/>
      <c r="D959" s="209"/>
      <c r="E959" s="209"/>
      <c r="F959" s="209"/>
      <c r="G959" s="209"/>
      <c r="H959" s="209"/>
      <c r="I959" s="263" t="str">
        <f t="shared" si="27"/>
        <v/>
      </c>
    </row>
    <row r="960" spans="3:9" ht="14.55" hidden="1" x14ac:dyDescent="0.3">
      <c r="C960" s="209"/>
      <c r="D960" s="209"/>
      <c r="E960" s="209"/>
      <c r="F960" s="209"/>
      <c r="G960" s="209"/>
      <c r="H960" s="209"/>
      <c r="I960" s="263" t="str">
        <f t="shared" si="27"/>
        <v/>
      </c>
    </row>
    <row r="961" spans="3:9" ht="14.55" hidden="1" x14ac:dyDescent="0.3">
      <c r="C961" s="209"/>
      <c r="D961" s="209"/>
      <c r="E961" s="209"/>
      <c r="F961" s="209"/>
      <c r="G961" s="209"/>
      <c r="H961" s="209"/>
      <c r="I961" s="263" t="str">
        <f t="shared" si="27"/>
        <v/>
      </c>
    </row>
    <row r="962" spans="3:9" ht="14.55" hidden="1" x14ac:dyDescent="0.3">
      <c r="C962" s="209"/>
      <c r="D962" s="209"/>
      <c r="E962" s="209"/>
      <c r="F962" s="209"/>
      <c r="G962" s="209"/>
      <c r="H962" s="209"/>
      <c r="I962" s="263" t="str">
        <f t="shared" si="27"/>
        <v/>
      </c>
    </row>
    <row r="963" spans="3:9" ht="14.55" hidden="1" x14ac:dyDescent="0.3">
      <c r="C963" s="209"/>
      <c r="D963" s="209"/>
      <c r="E963" s="209"/>
      <c r="F963" s="209"/>
      <c r="G963" s="209"/>
      <c r="H963" s="209"/>
      <c r="I963" s="263" t="str">
        <f t="shared" si="27"/>
        <v/>
      </c>
    </row>
    <row r="964" spans="3:9" ht="14.55" hidden="1" x14ac:dyDescent="0.3">
      <c r="C964" s="209"/>
      <c r="D964" s="209"/>
      <c r="E964" s="209"/>
      <c r="F964" s="209"/>
      <c r="G964" s="209"/>
      <c r="H964" s="209"/>
      <c r="I964" s="263" t="str">
        <f t="shared" si="27"/>
        <v/>
      </c>
    </row>
    <row r="965" spans="3:9" ht="14.55" hidden="1" x14ac:dyDescent="0.3">
      <c r="C965" s="209"/>
      <c r="D965" s="209"/>
      <c r="E965" s="209"/>
      <c r="F965" s="209"/>
      <c r="G965" s="209"/>
      <c r="H965" s="209"/>
      <c r="I965" s="263" t="str">
        <f t="shared" si="27"/>
        <v/>
      </c>
    </row>
    <row r="966" spans="3:9" ht="14.55" hidden="1" x14ac:dyDescent="0.3">
      <c r="C966" s="209"/>
      <c r="D966" s="209"/>
      <c r="E966" s="209"/>
      <c r="F966" s="209"/>
      <c r="G966" s="209"/>
      <c r="H966" s="209"/>
      <c r="I966" s="263" t="str">
        <f t="shared" si="27"/>
        <v/>
      </c>
    </row>
    <row r="967" spans="3:9" ht="14.55" hidden="1" x14ac:dyDescent="0.3">
      <c r="C967" s="209"/>
      <c r="D967" s="209"/>
      <c r="E967" s="209"/>
      <c r="F967" s="209"/>
      <c r="G967" s="209"/>
      <c r="H967" s="209"/>
      <c r="I967" s="263" t="str">
        <f t="shared" si="27"/>
        <v/>
      </c>
    </row>
    <row r="968" spans="3:9" ht="14.55" hidden="1" x14ac:dyDescent="0.3">
      <c r="C968" s="209"/>
      <c r="D968" s="209"/>
      <c r="E968" s="209"/>
      <c r="F968" s="209"/>
      <c r="G968" s="209"/>
      <c r="H968" s="209"/>
      <c r="I968" s="263" t="str">
        <f t="shared" si="27"/>
        <v/>
      </c>
    </row>
    <row r="969" spans="3:9" ht="14.55" hidden="1" x14ac:dyDescent="0.3">
      <c r="C969" s="209"/>
      <c r="D969" s="209"/>
      <c r="E969" s="209"/>
      <c r="F969" s="209"/>
      <c r="G969" s="209"/>
      <c r="H969" s="209"/>
      <c r="I969" s="263" t="str">
        <f t="shared" si="27"/>
        <v/>
      </c>
    </row>
    <row r="970" spans="3:9" ht="14.55" hidden="1" x14ac:dyDescent="0.3">
      <c r="C970" s="209"/>
      <c r="D970" s="209"/>
      <c r="E970" s="209"/>
      <c r="F970" s="209"/>
      <c r="G970" s="209"/>
      <c r="H970" s="209"/>
      <c r="I970" s="263" t="str">
        <f t="shared" si="27"/>
        <v/>
      </c>
    </row>
    <row r="971" spans="3:9" ht="14.55" hidden="1" x14ac:dyDescent="0.3">
      <c r="C971" s="209"/>
      <c r="D971" s="209"/>
      <c r="E971" s="209"/>
      <c r="F971" s="209"/>
      <c r="G971" s="209"/>
      <c r="H971" s="209"/>
      <c r="I971" s="263" t="str">
        <f t="shared" si="27"/>
        <v/>
      </c>
    </row>
    <row r="972" spans="3:9" ht="14.55" hidden="1" x14ac:dyDescent="0.3">
      <c r="C972" s="209"/>
      <c r="D972" s="209"/>
      <c r="E972" s="209"/>
      <c r="F972" s="209"/>
      <c r="G972" s="209"/>
      <c r="H972" s="209"/>
      <c r="I972" s="263" t="str">
        <f t="shared" si="27"/>
        <v/>
      </c>
    </row>
    <row r="973" spans="3:9" ht="14.55" hidden="1" x14ac:dyDescent="0.3">
      <c r="C973" s="209"/>
      <c r="D973" s="209"/>
      <c r="E973" s="209"/>
      <c r="F973" s="209"/>
      <c r="G973" s="209"/>
      <c r="H973" s="209"/>
      <c r="I973" s="263" t="str">
        <f t="shared" si="27"/>
        <v/>
      </c>
    </row>
    <row r="974" spans="3:9" ht="14.55" hidden="1" x14ac:dyDescent="0.3">
      <c r="C974" s="209"/>
      <c r="D974" s="209"/>
      <c r="E974" s="209"/>
      <c r="F974" s="209"/>
      <c r="G974" s="209"/>
      <c r="H974" s="209"/>
      <c r="I974" s="263" t="str">
        <f t="shared" si="27"/>
        <v/>
      </c>
    </row>
    <row r="975" spans="3:9" ht="14.55" hidden="1" x14ac:dyDescent="0.3">
      <c r="C975" s="209"/>
      <c r="D975" s="209"/>
      <c r="E975" s="209"/>
      <c r="F975" s="209"/>
      <c r="G975" s="209"/>
      <c r="H975" s="209"/>
      <c r="I975" s="263" t="str">
        <f t="shared" si="27"/>
        <v/>
      </c>
    </row>
    <row r="976" spans="3:9" ht="14.55" hidden="1" x14ac:dyDescent="0.3">
      <c r="C976" s="209"/>
      <c r="D976" s="209"/>
      <c r="E976" s="209"/>
      <c r="F976" s="209"/>
      <c r="G976" s="209"/>
      <c r="H976" s="209"/>
      <c r="I976" s="263" t="str">
        <f t="shared" si="27"/>
        <v/>
      </c>
    </row>
    <row r="977" spans="3:9" ht="14.55" hidden="1" x14ac:dyDescent="0.3">
      <c r="C977" s="209"/>
      <c r="D977" s="209"/>
      <c r="E977" s="209"/>
      <c r="F977" s="209"/>
      <c r="G977" s="209"/>
      <c r="H977" s="209"/>
      <c r="I977" s="263" t="str">
        <f t="shared" si="27"/>
        <v/>
      </c>
    </row>
    <row r="978" spans="3:9" ht="14.55" hidden="1" x14ac:dyDescent="0.3">
      <c r="C978" s="209"/>
      <c r="D978" s="209"/>
      <c r="E978" s="209"/>
      <c r="F978" s="209"/>
      <c r="G978" s="209"/>
      <c r="H978" s="209"/>
      <c r="I978" s="263" t="str">
        <f t="shared" si="27"/>
        <v/>
      </c>
    </row>
    <row r="979" spans="3:9" ht="14.55" hidden="1" x14ac:dyDescent="0.3">
      <c r="C979" s="209"/>
      <c r="D979" s="209"/>
      <c r="E979" s="209"/>
      <c r="F979" s="209"/>
      <c r="G979" s="209"/>
      <c r="H979" s="209"/>
      <c r="I979" s="263" t="str">
        <f t="shared" si="27"/>
        <v/>
      </c>
    </row>
    <row r="980" spans="3:9" ht="14.55" hidden="1" x14ac:dyDescent="0.3">
      <c r="C980" s="209"/>
      <c r="D980" s="209"/>
      <c r="E980" s="209"/>
      <c r="F980" s="209"/>
      <c r="G980" s="209"/>
      <c r="H980" s="209"/>
      <c r="I980" s="263" t="str">
        <f t="shared" si="27"/>
        <v/>
      </c>
    </row>
    <row r="981" spans="3:9" ht="14.55" hidden="1" x14ac:dyDescent="0.3">
      <c r="C981" s="209"/>
      <c r="D981" s="209"/>
      <c r="E981" s="209"/>
      <c r="F981" s="209"/>
      <c r="G981" s="209"/>
      <c r="H981" s="209"/>
      <c r="I981" s="263" t="str">
        <f t="shared" si="27"/>
        <v/>
      </c>
    </row>
    <row r="982" spans="3:9" ht="14.55" hidden="1" x14ac:dyDescent="0.3">
      <c r="C982" s="209"/>
      <c r="D982" s="209"/>
      <c r="E982" s="209"/>
      <c r="F982" s="209"/>
      <c r="G982" s="209"/>
      <c r="H982" s="209"/>
      <c r="I982" s="263" t="str">
        <f t="shared" si="27"/>
        <v/>
      </c>
    </row>
    <row r="983" spans="3:9" ht="14.55" hidden="1" x14ac:dyDescent="0.3">
      <c r="C983" s="209"/>
      <c r="D983" s="209"/>
      <c r="E983" s="209"/>
      <c r="F983" s="209"/>
      <c r="G983" s="209"/>
      <c r="H983" s="209"/>
      <c r="I983" s="263" t="str">
        <f t="shared" si="27"/>
        <v/>
      </c>
    </row>
    <row r="984" spans="3:9" ht="14.55" hidden="1" x14ac:dyDescent="0.3">
      <c r="C984" s="209"/>
      <c r="D984" s="209"/>
      <c r="E984" s="209"/>
      <c r="F984" s="209"/>
      <c r="G984" s="209"/>
      <c r="H984" s="209"/>
      <c r="I984" s="263" t="str">
        <f t="shared" si="27"/>
        <v/>
      </c>
    </row>
    <row r="985" spans="3:9" ht="14.55" hidden="1" x14ac:dyDescent="0.3">
      <c r="C985" s="209"/>
      <c r="D985" s="209"/>
      <c r="E985" s="209"/>
      <c r="F985" s="209"/>
      <c r="G985" s="209"/>
      <c r="H985" s="209"/>
      <c r="I985" s="263" t="str">
        <f t="shared" si="27"/>
        <v/>
      </c>
    </row>
    <row r="986" spans="3:9" ht="14.55" hidden="1" x14ac:dyDescent="0.3">
      <c r="C986" s="209"/>
      <c r="D986" s="209"/>
      <c r="E986" s="209"/>
      <c r="F986" s="209"/>
      <c r="G986" s="209"/>
      <c r="H986" s="209"/>
      <c r="I986" s="263" t="str">
        <f t="shared" si="27"/>
        <v/>
      </c>
    </row>
    <row r="987" spans="3:9" ht="14.55" hidden="1" x14ac:dyDescent="0.3">
      <c r="C987" s="209"/>
      <c r="D987" s="209"/>
      <c r="E987" s="209"/>
      <c r="F987" s="209"/>
      <c r="G987" s="209"/>
      <c r="H987" s="209"/>
      <c r="I987" s="263" t="str">
        <f t="shared" si="27"/>
        <v/>
      </c>
    </row>
    <row r="988" spans="3:9" ht="14.55" hidden="1" x14ac:dyDescent="0.3">
      <c r="C988" s="209"/>
      <c r="D988" s="209"/>
      <c r="E988" s="209"/>
      <c r="F988" s="209"/>
      <c r="G988" s="209"/>
      <c r="H988" s="209"/>
      <c r="I988" s="263" t="str">
        <f t="shared" si="27"/>
        <v/>
      </c>
    </row>
    <row r="989" spans="3:9" ht="14.55" hidden="1" x14ac:dyDescent="0.3">
      <c r="C989" s="209"/>
      <c r="D989" s="209"/>
      <c r="E989" s="209"/>
      <c r="F989" s="209"/>
      <c r="G989" s="209"/>
      <c r="H989" s="209"/>
      <c r="I989" s="263" t="str">
        <f t="shared" si="27"/>
        <v/>
      </c>
    </row>
    <row r="990" spans="3:9" ht="14.55" hidden="1" x14ac:dyDescent="0.3">
      <c r="C990" s="209"/>
      <c r="D990" s="209"/>
      <c r="E990" s="209"/>
      <c r="F990" s="209"/>
      <c r="G990" s="209"/>
      <c r="H990" s="209"/>
      <c r="I990" s="263" t="str">
        <f t="shared" si="27"/>
        <v/>
      </c>
    </row>
    <row r="991" spans="3:9" ht="14.55" hidden="1" x14ac:dyDescent="0.3">
      <c r="C991" s="209"/>
      <c r="D991" s="209"/>
      <c r="E991" s="209"/>
      <c r="F991" s="209"/>
      <c r="G991" s="209"/>
      <c r="H991" s="209"/>
      <c r="I991" s="263" t="str">
        <f t="shared" si="27"/>
        <v/>
      </c>
    </row>
    <row r="992" spans="3:9" ht="14.55" hidden="1" x14ac:dyDescent="0.3">
      <c r="C992" s="209"/>
      <c r="D992" s="209"/>
      <c r="E992" s="209"/>
      <c r="F992" s="209"/>
      <c r="G992" s="209"/>
      <c r="H992" s="209"/>
      <c r="I992" s="263" t="str">
        <f t="shared" si="27"/>
        <v/>
      </c>
    </row>
    <row r="993" spans="3:9" ht="14.55" hidden="1" x14ac:dyDescent="0.3">
      <c r="C993" s="209"/>
      <c r="D993" s="209"/>
      <c r="E993" s="209"/>
      <c r="F993" s="209"/>
      <c r="G993" s="209"/>
      <c r="H993" s="209"/>
      <c r="I993" s="263" t="str">
        <f t="shared" si="27"/>
        <v/>
      </c>
    </row>
    <row r="994" spans="3:9" ht="14.55" hidden="1" x14ac:dyDescent="0.3">
      <c r="C994" s="209"/>
      <c r="D994" s="209"/>
      <c r="E994" s="209"/>
      <c r="F994" s="209"/>
      <c r="G994" s="209"/>
      <c r="H994" s="209"/>
      <c r="I994" s="263" t="str">
        <f t="shared" si="27"/>
        <v/>
      </c>
    </row>
    <row r="995" spans="3:9" ht="14.55" hidden="1" x14ac:dyDescent="0.3">
      <c r="C995" s="209"/>
      <c r="D995" s="209"/>
      <c r="E995" s="209"/>
      <c r="F995" s="209"/>
      <c r="G995" s="209"/>
      <c r="H995" s="209"/>
      <c r="I995" s="263" t="str">
        <f t="shared" si="27"/>
        <v/>
      </c>
    </row>
    <row r="996" spans="3:9" ht="14.55" hidden="1" x14ac:dyDescent="0.3">
      <c r="C996" s="209"/>
      <c r="D996" s="209"/>
      <c r="E996" s="209"/>
      <c r="F996" s="209"/>
      <c r="G996" s="209"/>
      <c r="H996" s="209"/>
      <c r="I996" s="263" t="str">
        <f t="shared" si="27"/>
        <v/>
      </c>
    </row>
    <row r="997" spans="3:9" ht="14.55" hidden="1" x14ac:dyDescent="0.3">
      <c r="C997" s="209"/>
      <c r="D997" s="209"/>
      <c r="E997" s="209"/>
      <c r="F997" s="209"/>
      <c r="G997" s="209"/>
      <c r="H997" s="209"/>
      <c r="I997" s="263" t="str">
        <f t="shared" si="27"/>
        <v/>
      </c>
    </row>
    <row r="998" spans="3:9" ht="14.55" hidden="1" x14ac:dyDescent="0.3">
      <c r="C998" s="209"/>
      <c r="D998" s="209"/>
      <c r="E998" s="209"/>
      <c r="F998" s="209"/>
      <c r="G998" s="209"/>
      <c r="H998" s="209"/>
      <c r="I998" s="263" t="str">
        <f t="shared" si="27"/>
        <v/>
      </c>
    </row>
    <row r="999" spans="3:9" ht="14.55" hidden="1" x14ac:dyDescent="0.3">
      <c r="C999" s="209"/>
      <c r="D999" s="209"/>
      <c r="E999" s="209"/>
      <c r="F999" s="209"/>
      <c r="G999" s="209"/>
      <c r="H999" s="209"/>
      <c r="I999" s="263" t="str">
        <f t="shared" si="27"/>
        <v/>
      </c>
    </row>
    <row r="1000" spans="3:9" ht="14.55" hidden="1" x14ac:dyDescent="0.3">
      <c r="C1000" s="209"/>
      <c r="D1000" s="209"/>
      <c r="E1000" s="209"/>
      <c r="F1000" s="209"/>
      <c r="G1000" s="209"/>
      <c r="H1000" s="209"/>
      <c r="I1000" s="263" t="str">
        <f t="shared" si="27"/>
        <v/>
      </c>
    </row>
    <row r="1001" spans="3:9" ht="14.55" hidden="1" x14ac:dyDescent="0.3">
      <c r="C1001" s="209"/>
      <c r="D1001" s="209"/>
      <c r="E1001" s="209"/>
      <c r="F1001" s="209"/>
      <c r="G1001" s="209"/>
      <c r="H1001" s="209"/>
      <c r="I1001" s="263" t="str">
        <f t="shared" si="27"/>
        <v/>
      </c>
    </row>
    <row r="1002" spans="3:9" ht="14.55" hidden="1" x14ac:dyDescent="0.3">
      <c r="C1002" s="209"/>
      <c r="D1002" s="209"/>
      <c r="E1002" s="209"/>
      <c r="F1002" s="209"/>
      <c r="G1002" s="209"/>
      <c r="H1002" s="209"/>
      <c r="I1002" s="263" t="str">
        <f t="shared" si="27"/>
        <v/>
      </c>
    </row>
    <row r="1003" spans="3:9" ht="14.55" hidden="1" x14ac:dyDescent="0.3">
      <c r="C1003" s="209"/>
      <c r="D1003" s="209"/>
      <c r="E1003" s="209"/>
      <c r="F1003" s="209"/>
      <c r="G1003" s="209"/>
      <c r="H1003" s="209"/>
      <c r="I1003" s="263" t="str">
        <f t="shared" si="27"/>
        <v/>
      </c>
    </row>
    <row r="1004" spans="3:9" ht="14.55" hidden="1" x14ac:dyDescent="0.3">
      <c r="C1004" s="209"/>
      <c r="D1004" s="209"/>
      <c r="E1004" s="209"/>
      <c r="F1004" s="209"/>
      <c r="G1004" s="209"/>
      <c r="H1004" s="209"/>
      <c r="I1004" s="263" t="str">
        <f t="shared" si="27"/>
        <v/>
      </c>
    </row>
    <row r="1005" spans="3:9" ht="14.55" hidden="1" x14ac:dyDescent="0.3">
      <c r="C1005" s="209"/>
      <c r="D1005" s="209"/>
      <c r="E1005" s="209"/>
      <c r="F1005" s="209"/>
      <c r="G1005" s="209"/>
      <c r="H1005" s="209"/>
      <c r="I1005" s="263" t="str">
        <f t="shared" si="27"/>
        <v/>
      </c>
    </row>
    <row r="1006" spans="3:9" ht="14.55" hidden="1" x14ac:dyDescent="0.3">
      <c r="C1006" s="209"/>
      <c r="D1006" s="209"/>
      <c r="E1006" s="209"/>
      <c r="F1006" s="209"/>
      <c r="G1006" s="209"/>
      <c r="H1006" s="209"/>
      <c r="I1006" s="263" t="str">
        <f t="shared" si="27"/>
        <v/>
      </c>
    </row>
    <row r="1007" spans="3:9" ht="14.55" hidden="1" x14ac:dyDescent="0.3">
      <c r="C1007" s="209"/>
      <c r="D1007" s="209"/>
      <c r="E1007" s="209"/>
      <c r="F1007" s="209"/>
      <c r="G1007" s="209"/>
      <c r="H1007" s="209"/>
      <c r="I1007" s="263" t="str">
        <f t="shared" si="27"/>
        <v/>
      </c>
    </row>
    <row r="1008" spans="3:9" ht="14.55" hidden="1" x14ac:dyDescent="0.3">
      <c r="C1008" s="209"/>
      <c r="D1008" s="209"/>
      <c r="E1008" s="209"/>
      <c r="F1008" s="209"/>
      <c r="G1008" s="209"/>
      <c r="H1008" s="209"/>
      <c r="I1008" s="263" t="str">
        <f t="shared" si="27"/>
        <v/>
      </c>
    </row>
    <row r="1009" spans="3:9" ht="14.55" hidden="1" x14ac:dyDescent="0.3">
      <c r="C1009" s="209"/>
      <c r="D1009" s="209"/>
      <c r="E1009" s="209"/>
      <c r="F1009" s="209"/>
      <c r="G1009" s="209"/>
      <c r="H1009" s="209"/>
      <c r="I1009" s="263" t="str">
        <f t="shared" si="27"/>
        <v/>
      </c>
    </row>
    <row r="1010" spans="3:9" ht="14.55" hidden="1" x14ac:dyDescent="0.3">
      <c r="C1010" s="209"/>
      <c r="D1010" s="209"/>
      <c r="E1010" s="209"/>
      <c r="F1010" s="209"/>
      <c r="G1010" s="209"/>
      <c r="H1010" s="209"/>
      <c r="I1010" s="263" t="str">
        <f t="shared" si="27"/>
        <v/>
      </c>
    </row>
    <row r="1011" spans="3:9" ht="14.55" hidden="1" x14ac:dyDescent="0.3">
      <c r="C1011" s="209"/>
      <c r="D1011" s="209"/>
      <c r="E1011" s="209"/>
      <c r="F1011" s="209"/>
      <c r="G1011" s="209"/>
      <c r="H1011" s="209"/>
      <c r="I1011" s="263" t="str">
        <f t="shared" si="27"/>
        <v/>
      </c>
    </row>
    <row r="1012" spans="3:9" ht="14.55" hidden="1" x14ac:dyDescent="0.3">
      <c r="C1012" s="209"/>
      <c r="D1012" s="209"/>
      <c r="E1012" s="209"/>
      <c r="F1012" s="209"/>
      <c r="G1012" s="209"/>
      <c r="H1012" s="209"/>
      <c r="I1012" s="263" t="str">
        <f t="shared" si="27"/>
        <v/>
      </c>
    </row>
    <row r="1013" spans="3:9" ht="14.55" hidden="1" x14ac:dyDescent="0.3">
      <c r="C1013" s="209"/>
      <c r="D1013" s="209"/>
      <c r="E1013" s="209"/>
      <c r="F1013" s="209"/>
      <c r="G1013" s="209"/>
      <c r="H1013" s="209"/>
      <c r="I1013" s="263" t="str">
        <f t="shared" si="27"/>
        <v/>
      </c>
    </row>
    <row r="1014" spans="3:9" ht="14.55" hidden="1" x14ac:dyDescent="0.3">
      <c r="C1014" s="209"/>
      <c r="D1014" s="209"/>
      <c r="E1014" s="209"/>
      <c r="F1014" s="209"/>
      <c r="G1014" s="209"/>
      <c r="H1014" s="209"/>
      <c r="I1014" s="263" t="str">
        <f t="shared" si="27"/>
        <v/>
      </c>
    </row>
    <row r="1015" spans="3:9" ht="14.55" hidden="1" x14ac:dyDescent="0.3">
      <c r="C1015" s="209"/>
      <c r="D1015" s="209"/>
      <c r="E1015" s="209"/>
      <c r="F1015" s="209"/>
      <c r="G1015" s="209"/>
      <c r="H1015" s="209"/>
      <c r="I1015" s="263" t="str">
        <f t="shared" si="27"/>
        <v/>
      </c>
    </row>
    <row r="1016" spans="3:9" ht="14.55" hidden="1" x14ac:dyDescent="0.3">
      <c r="C1016" s="209"/>
      <c r="D1016" s="209"/>
      <c r="E1016" s="209"/>
      <c r="F1016" s="209"/>
      <c r="G1016" s="209"/>
      <c r="H1016" s="209"/>
      <c r="I1016" s="263" t="str">
        <f t="shared" si="27"/>
        <v/>
      </c>
    </row>
    <row r="1017" spans="3:9" ht="14.55" hidden="1" x14ac:dyDescent="0.3">
      <c r="C1017" s="209"/>
      <c r="D1017" s="209"/>
      <c r="E1017" s="209"/>
      <c r="F1017" s="209"/>
      <c r="G1017" s="209"/>
      <c r="H1017" s="209"/>
      <c r="I1017" s="263" t="str">
        <f t="shared" si="27"/>
        <v/>
      </c>
    </row>
    <row r="1018" spans="3:9" ht="14.55" hidden="1" x14ac:dyDescent="0.3">
      <c r="C1018" s="209"/>
      <c r="D1018" s="209"/>
      <c r="E1018" s="209"/>
      <c r="F1018" s="209"/>
      <c r="G1018" s="209"/>
      <c r="H1018" s="209"/>
      <c r="I1018" s="263" t="str">
        <f t="shared" si="27"/>
        <v/>
      </c>
    </row>
    <row r="1019" spans="3:9" ht="14.55" hidden="1" x14ac:dyDescent="0.3">
      <c r="C1019" s="209"/>
      <c r="D1019" s="209"/>
      <c r="E1019" s="209"/>
      <c r="F1019" s="209"/>
      <c r="G1019" s="209"/>
      <c r="H1019" s="209"/>
      <c r="I1019" s="263" t="str">
        <f t="shared" si="27"/>
        <v/>
      </c>
    </row>
    <row r="1020" spans="3:9" ht="14.55" hidden="1" x14ac:dyDescent="0.3">
      <c r="C1020" s="209"/>
      <c r="D1020" s="209"/>
      <c r="E1020" s="209"/>
      <c r="F1020" s="209"/>
      <c r="G1020" s="209"/>
      <c r="H1020" s="209"/>
      <c r="I1020" s="263" t="str">
        <f t="shared" si="27"/>
        <v/>
      </c>
    </row>
    <row r="1021" spans="3:9" ht="14.55" hidden="1" x14ac:dyDescent="0.3">
      <c r="C1021" s="209"/>
      <c r="D1021" s="209"/>
      <c r="E1021" s="209"/>
      <c r="F1021" s="209"/>
      <c r="G1021" s="209"/>
      <c r="H1021" s="209"/>
      <c r="I1021" s="263" t="str">
        <f t="shared" si="27"/>
        <v/>
      </c>
    </row>
    <row r="1022" spans="3:9" ht="14.55" hidden="1" x14ac:dyDescent="0.3">
      <c r="C1022" s="209"/>
      <c r="D1022" s="209"/>
      <c r="E1022" s="209"/>
      <c r="F1022" s="209"/>
      <c r="G1022" s="209"/>
      <c r="H1022" s="209"/>
      <c r="I1022" s="263" t="str">
        <f t="shared" ref="I1022:I1061" si="28">IF(H1022=0,"",D1022)</f>
        <v/>
      </c>
    </row>
    <row r="1023" spans="3:9" ht="14.55" hidden="1" x14ac:dyDescent="0.3">
      <c r="C1023" s="209"/>
      <c r="D1023" s="209"/>
      <c r="E1023" s="209"/>
      <c r="F1023" s="209"/>
      <c r="G1023" s="209"/>
      <c r="H1023" s="209"/>
      <c r="I1023" s="263" t="str">
        <f t="shared" si="28"/>
        <v/>
      </c>
    </row>
    <row r="1024" spans="3:9" ht="14.55" hidden="1" x14ac:dyDescent="0.3">
      <c r="C1024" s="209"/>
      <c r="D1024" s="209"/>
      <c r="E1024" s="209"/>
      <c r="F1024" s="209"/>
      <c r="G1024" s="209"/>
      <c r="H1024" s="209"/>
      <c r="I1024" s="263" t="str">
        <f t="shared" si="28"/>
        <v/>
      </c>
    </row>
    <row r="1025" spans="3:9" ht="14.55" hidden="1" x14ac:dyDescent="0.3">
      <c r="C1025" s="209"/>
      <c r="D1025" s="209"/>
      <c r="E1025" s="209"/>
      <c r="F1025" s="209"/>
      <c r="G1025" s="209"/>
      <c r="H1025" s="209"/>
      <c r="I1025" s="263" t="str">
        <f t="shared" si="28"/>
        <v/>
      </c>
    </row>
    <row r="1026" spans="3:9" ht="14.55" hidden="1" x14ac:dyDescent="0.3">
      <c r="C1026" s="209"/>
      <c r="D1026" s="209"/>
      <c r="E1026" s="209"/>
      <c r="F1026" s="209"/>
      <c r="G1026" s="209"/>
      <c r="H1026" s="209"/>
      <c r="I1026" s="263" t="str">
        <f t="shared" si="28"/>
        <v/>
      </c>
    </row>
    <row r="1027" spans="3:9" ht="14.55" hidden="1" x14ac:dyDescent="0.3">
      <c r="C1027" s="209"/>
      <c r="D1027" s="209"/>
      <c r="E1027" s="209"/>
      <c r="F1027" s="209"/>
      <c r="G1027" s="209"/>
      <c r="H1027" s="209"/>
      <c r="I1027" s="263" t="str">
        <f t="shared" si="28"/>
        <v/>
      </c>
    </row>
    <row r="1028" spans="3:9" ht="14.55" hidden="1" x14ac:dyDescent="0.3">
      <c r="C1028" s="209"/>
      <c r="D1028" s="209"/>
      <c r="E1028" s="209"/>
      <c r="F1028" s="209"/>
      <c r="G1028" s="209"/>
      <c r="H1028" s="209"/>
      <c r="I1028" s="263" t="str">
        <f t="shared" si="28"/>
        <v/>
      </c>
    </row>
    <row r="1029" spans="3:9" ht="14.55" hidden="1" x14ac:dyDescent="0.3">
      <c r="C1029" s="209"/>
      <c r="D1029" s="209"/>
      <c r="E1029" s="209"/>
      <c r="F1029" s="209"/>
      <c r="G1029" s="209"/>
      <c r="H1029" s="209"/>
      <c r="I1029" s="263" t="str">
        <f t="shared" si="28"/>
        <v/>
      </c>
    </row>
    <row r="1030" spans="3:9" ht="14.55" hidden="1" x14ac:dyDescent="0.3">
      <c r="C1030" s="209"/>
      <c r="D1030" s="209"/>
      <c r="E1030" s="209"/>
      <c r="F1030" s="209"/>
      <c r="G1030" s="209"/>
      <c r="H1030" s="209"/>
      <c r="I1030" s="263" t="str">
        <f t="shared" si="28"/>
        <v/>
      </c>
    </row>
    <row r="1031" spans="3:9" ht="14.55" hidden="1" x14ac:dyDescent="0.3">
      <c r="C1031" s="209"/>
      <c r="D1031" s="209"/>
      <c r="E1031" s="209"/>
      <c r="F1031" s="209"/>
      <c r="G1031" s="209"/>
      <c r="H1031" s="209"/>
      <c r="I1031" s="263" t="str">
        <f t="shared" si="28"/>
        <v/>
      </c>
    </row>
    <row r="1032" spans="3:9" ht="14.55" hidden="1" x14ac:dyDescent="0.3">
      <c r="C1032" s="209"/>
      <c r="D1032" s="209"/>
      <c r="E1032" s="209"/>
      <c r="F1032" s="209"/>
      <c r="G1032" s="209"/>
      <c r="H1032" s="209"/>
      <c r="I1032" s="263" t="str">
        <f t="shared" si="28"/>
        <v/>
      </c>
    </row>
    <row r="1033" spans="3:9" ht="14.55" hidden="1" x14ac:dyDescent="0.3">
      <c r="C1033" s="209"/>
      <c r="D1033" s="209"/>
      <c r="E1033" s="209"/>
      <c r="F1033" s="209"/>
      <c r="G1033" s="209"/>
      <c r="H1033" s="209"/>
      <c r="I1033" s="263" t="str">
        <f t="shared" si="28"/>
        <v/>
      </c>
    </row>
    <row r="1034" spans="3:9" ht="14.55" hidden="1" x14ac:dyDescent="0.3">
      <c r="C1034" s="209"/>
      <c r="D1034" s="209"/>
      <c r="E1034" s="209"/>
      <c r="F1034" s="209"/>
      <c r="G1034" s="209"/>
      <c r="H1034" s="209"/>
      <c r="I1034" s="263" t="str">
        <f t="shared" si="28"/>
        <v/>
      </c>
    </row>
    <row r="1035" spans="3:9" ht="14.55" hidden="1" x14ac:dyDescent="0.3">
      <c r="C1035" s="209"/>
      <c r="D1035" s="209"/>
      <c r="E1035" s="209"/>
      <c r="F1035" s="209"/>
      <c r="G1035" s="209"/>
      <c r="H1035" s="209"/>
      <c r="I1035" s="263" t="str">
        <f t="shared" si="28"/>
        <v/>
      </c>
    </row>
    <row r="1036" spans="3:9" ht="14.55" hidden="1" x14ac:dyDescent="0.3">
      <c r="C1036" s="209"/>
      <c r="D1036" s="209"/>
      <c r="E1036" s="209"/>
      <c r="F1036" s="209"/>
      <c r="G1036" s="209"/>
      <c r="H1036" s="209"/>
      <c r="I1036" s="263" t="str">
        <f t="shared" si="28"/>
        <v/>
      </c>
    </row>
    <row r="1037" spans="3:9" ht="14.55" hidden="1" x14ac:dyDescent="0.3">
      <c r="C1037" s="209"/>
      <c r="D1037" s="209"/>
      <c r="E1037" s="209"/>
      <c r="F1037" s="209"/>
      <c r="G1037" s="209"/>
      <c r="H1037" s="209"/>
      <c r="I1037" s="263" t="str">
        <f t="shared" si="28"/>
        <v/>
      </c>
    </row>
    <row r="1038" spans="3:9" ht="14.55" hidden="1" x14ac:dyDescent="0.3">
      <c r="C1038" s="209"/>
      <c r="D1038" s="209"/>
      <c r="E1038" s="209"/>
      <c r="F1038" s="209"/>
      <c r="G1038" s="209"/>
      <c r="H1038" s="209"/>
      <c r="I1038" s="263" t="str">
        <f t="shared" si="28"/>
        <v/>
      </c>
    </row>
    <row r="1039" spans="3:9" ht="14.55" hidden="1" x14ac:dyDescent="0.3">
      <c r="C1039" s="209"/>
      <c r="D1039" s="209"/>
      <c r="E1039" s="209"/>
      <c r="F1039" s="209"/>
      <c r="G1039" s="209"/>
      <c r="H1039" s="209"/>
      <c r="I1039" s="263" t="str">
        <f t="shared" si="28"/>
        <v/>
      </c>
    </row>
    <row r="1040" spans="3:9" ht="14.55" hidden="1" x14ac:dyDescent="0.3">
      <c r="C1040" s="209"/>
      <c r="D1040" s="209"/>
      <c r="E1040" s="209"/>
      <c r="F1040" s="209"/>
      <c r="G1040" s="209"/>
      <c r="H1040" s="209"/>
      <c r="I1040" s="263" t="str">
        <f t="shared" si="28"/>
        <v/>
      </c>
    </row>
    <row r="1041" spans="3:9" ht="14.55" hidden="1" x14ac:dyDescent="0.3">
      <c r="C1041" s="209"/>
      <c r="D1041" s="209"/>
      <c r="E1041" s="209"/>
      <c r="F1041" s="209"/>
      <c r="G1041" s="209"/>
      <c r="H1041" s="209"/>
      <c r="I1041" s="263" t="str">
        <f t="shared" si="28"/>
        <v/>
      </c>
    </row>
    <row r="1042" spans="3:9" ht="14.55" hidden="1" x14ac:dyDescent="0.3">
      <c r="C1042" s="209"/>
      <c r="D1042" s="209"/>
      <c r="E1042" s="209"/>
      <c r="F1042" s="209"/>
      <c r="G1042" s="209"/>
      <c r="H1042" s="209"/>
      <c r="I1042" s="263" t="str">
        <f t="shared" si="28"/>
        <v/>
      </c>
    </row>
    <row r="1043" spans="3:9" ht="14.55" hidden="1" x14ac:dyDescent="0.3">
      <c r="C1043" s="209"/>
      <c r="D1043" s="209"/>
      <c r="E1043" s="209"/>
      <c r="F1043" s="209"/>
      <c r="G1043" s="209"/>
      <c r="H1043" s="209"/>
      <c r="I1043" s="263" t="str">
        <f t="shared" si="28"/>
        <v/>
      </c>
    </row>
    <row r="1044" spans="3:9" ht="14.55" hidden="1" x14ac:dyDescent="0.3">
      <c r="C1044" s="209"/>
      <c r="D1044" s="209"/>
      <c r="E1044" s="209"/>
      <c r="F1044" s="209"/>
      <c r="G1044" s="209"/>
      <c r="H1044" s="209"/>
      <c r="I1044" s="263" t="str">
        <f t="shared" si="28"/>
        <v/>
      </c>
    </row>
    <row r="1045" spans="3:9" ht="14.55" hidden="1" x14ac:dyDescent="0.3">
      <c r="C1045" s="209"/>
      <c r="D1045" s="209"/>
      <c r="E1045" s="209"/>
      <c r="F1045" s="209"/>
      <c r="G1045" s="209"/>
      <c r="H1045" s="209"/>
      <c r="I1045" s="263" t="str">
        <f t="shared" si="28"/>
        <v/>
      </c>
    </row>
    <row r="1046" spans="3:9" ht="14.55" hidden="1" x14ac:dyDescent="0.3">
      <c r="C1046" s="209"/>
      <c r="D1046" s="209"/>
      <c r="E1046" s="209"/>
      <c r="F1046" s="209"/>
      <c r="G1046" s="209"/>
      <c r="H1046" s="209"/>
      <c r="I1046" s="263" t="str">
        <f t="shared" si="28"/>
        <v/>
      </c>
    </row>
    <row r="1047" spans="3:9" ht="14.55" hidden="1" x14ac:dyDescent="0.3">
      <c r="C1047" s="209"/>
      <c r="D1047" s="209"/>
      <c r="E1047" s="209"/>
      <c r="F1047" s="209"/>
      <c r="G1047" s="209"/>
      <c r="H1047" s="209"/>
      <c r="I1047" s="263" t="str">
        <f t="shared" si="28"/>
        <v/>
      </c>
    </row>
    <row r="1048" spans="3:9" ht="14.55" hidden="1" x14ac:dyDescent="0.3">
      <c r="C1048" s="209"/>
      <c r="D1048" s="209"/>
      <c r="E1048" s="209"/>
      <c r="F1048" s="209"/>
      <c r="G1048" s="209"/>
      <c r="H1048" s="209"/>
      <c r="I1048" s="263" t="str">
        <f t="shared" si="28"/>
        <v/>
      </c>
    </row>
    <row r="1049" spans="3:9" ht="14.55" hidden="1" x14ac:dyDescent="0.3">
      <c r="C1049" s="209"/>
      <c r="D1049" s="209"/>
      <c r="E1049" s="209"/>
      <c r="F1049" s="209"/>
      <c r="G1049" s="209"/>
      <c r="H1049" s="209"/>
      <c r="I1049" s="263" t="str">
        <f t="shared" si="28"/>
        <v/>
      </c>
    </row>
    <row r="1050" spans="3:9" ht="14.55" hidden="1" x14ac:dyDescent="0.3">
      <c r="C1050" s="209"/>
      <c r="D1050" s="209"/>
      <c r="E1050" s="209"/>
      <c r="F1050" s="209"/>
      <c r="G1050" s="209"/>
      <c r="H1050" s="209"/>
      <c r="I1050" s="263" t="str">
        <f t="shared" si="28"/>
        <v/>
      </c>
    </row>
    <row r="1051" spans="3:9" ht="14.55" hidden="1" x14ac:dyDescent="0.3">
      <c r="C1051" s="209"/>
      <c r="D1051" s="209"/>
      <c r="E1051" s="209"/>
      <c r="F1051" s="209"/>
      <c r="G1051" s="209"/>
      <c r="H1051" s="209"/>
      <c r="I1051" s="263" t="str">
        <f t="shared" si="28"/>
        <v/>
      </c>
    </row>
    <row r="1052" spans="3:9" ht="14.55" hidden="1" x14ac:dyDescent="0.3">
      <c r="C1052" s="209"/>
      <c r="D1052" s="209"/>
      <c r="E1052" s="209"/>
      <c r="F1052" s="209"/>
      <c r="G1052" s="209"/>
      <c r="H1052" s="209"/>
      <c r="I1052" s="263" t="str">
        <f t="shared" si="28"/>
        <v/>
      </c>
    </row>
    <row r="1053" spans="3:9" ht="14.55" hidden="1" x14ac:dyDescent="0.3">
      <c r="C1053" s="209"/>
      <c r="D1053" s="209"/>
      <c r="E1053" s="209"/>
      <c r="F1053" s="209"/>
      <c r="G1053" s="209"/>
      <c r="H1053" s="209"/>
      <c r="I1053" s="263" t="str">
        <f t="shared" si="28"/>
        <v/>
      </c>
    </row>
    <row r="1054" spans="3:9" ht="14.55" hidden="1" x14ac:dyDescent="0.3">
      <c r="C1054" s="209"/>
      <c r="D1054" s="209"/>
      <c r="E1054" s="209"/>
      <c r="F1054" s="209"/>
      <c r="G1054" s="209"/>
      <c r="H1054" s="209"/>
      <c r="I1054" s="263" t="str">
        <f t="shared" si="28"/>
        <v/>
      </c>
    </row>
    <row r="1055" spans="3:9" ht="14.55" hidden="1" x14ac:dyDescent="0.3">
      <c r="C1055" s="209"/>
      <c r="D1055" s="209"/>
      <c r="E1055" s="209"/>
      <c r="F1055" s="209"/>
      <c r="G1055" s="209"/>
      <c r="H1055" s="209"/>
      <c r="I1055" s="263" t="str">
        <f t="shared" si="28"/>
        <v/>
      </c>
    </row>
    <row r="1056" spans="3:9" ht="14.55" hidden="1" x14ac:dyDescent="0.3">
      <c r="C1056" s="209"/>
      <c r="D1056" s="209"/>
      <c r="E1056" s="209"/>
      <c r="F1056" s="209"/>
      <c r="G1056" s="209"/>
      <c r="H1056" s="209"/>
      <c r="I1056" s="263" t="str">
        <f t="shared" si="28"/>
        <v/>
      </c>
    </row>
    <row r="1057" spans="3:9" ht="14.55" hidden="1" x14ac:dyDescent="0.3">
      <c r="C1057" s="209"/>
      <c r="D1057" s="209"/>
      <c r="E1057" s="209"/>
      <c r="F1057" s="209"/>
      <c r="G1057" s="209"/>
      <c r="H1057" s="209"/>
      <c r="I1057" s="263" t="str">
        <f t="shared" si="28"/>
        <v/>
      </c>
    </row>
    <row r="1058" spans="3:9" ht="14.55" hidden="1" x14ac:dyDescent="0.3">
      <c r="C1058" s="209"/>
      <c r="D1058" s="209"/>
      <c r="E1058" s="209"/>
      <c r="F1058" s="209"/>
      <c r="G1058" s="209"/>
      <c r="H1058" s="209"/>
      <c r="I1058" s="263" t="str">
        <f t="shared" si="28"/>
        <v/>
      </c>
    </row>
    <row r="1059" spans="3:9" ht="14.55" hidden="1" x14ac:dyDescent="0.3">
      <c r="C1059" s="209"/>
      <c r="D1059" s="209"/>
      <c r="E1059" s="209"/>
      <c r="F1059" s="209"/>
      <c r="G1059" s="209"/>
      <c r="H1059" s="209"/>
      <c r="I1059" s="263" t="str">
        <f t="shared" si="28"/>
        <v/>
      </c>
    </row>
    <row r="1060" spans="3:9" ht="14.55" hidden="1" x14ac:dyDescent="0.3">
      <c r="C1060" s="209"/>
      <c r="D1060" s="209"/>
      <c r="E1060" s="209"/>
      <c r="F1060" s="209"/>
      <c r="G1060" s="209"/>
      <c r="H1060" s="209"/>
      <c r="I1060" s="263" t="str">
        <f t="shared" si="28"/>
        <v/>
      </c>
    </row>
    <row r="1061" spans="3:9" ht="14.55" hidden="1" x14ac:dyDescent="0.3">
      <c r="C1061" s="209"/>
      <c r="D1061" s="209"/>
      <c r="E1061" s="209"/>
      <c r="F1061" s="209"/>
      <c r="G1061" s="209"/>
      <c r="H1061" s="209"/>
      <c r="I1061" s="263" t="str">
        <f t="shared" si="28"/>
        <v/>
      </c>
    </row>
  </sheetData>
  <dataValidations count="1">
    <dataValidation type="list" allowBlank="1" showInputMessage="1" showErrorMessage="1" sqref="L9:L28" xr:uid="{409050A5-1550-416C-9B58-DB4D690AC594}">
      <formula1>$J$8:$K$8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294-2002-4966-8DA1-07FB220C9F85}">
  <dimension ref="A1:N23"/>
  <sheetViews>
    <sheetView showGridLines="0" zoomScale="90" zoomScaleNormal="90" workbookViewId="0">
      <selection activeCell="B5" sqref="B5"/>
    </sheetView>
  </sheetViews>
  <sheetFormatPr defaultRowHeight="14.4" x14ac:dyDescent="0.3"/>
  <cols>
    <col min="1" max="1" width="1.33203125" customWidth="1"/>
    <col min="2" max="2" width="30.33203125" customWidth="1"/>
    <col min="3" max="3" width="17.6640625" customWidth="1"/>
    <col min="4" max="4" width="11.6640625" customWidth="1"/>
    <col min="5" max="5" width="11.5546875" customWidth="1"/>
    <col min="6" max="6" width="10.6640625" customWidth="1"/>
    <col min="7" max="7" width="34.6640625" customWidth="1"/>
    <col min="8" max="8" width="11.6640625" customWidth="1"/>
    <col min="12" max="12" width="25.33203125" bestFit="1" customWidth="1"/>
    <col min="13" max="13" width="10.5546875" customWidth="1"/>
    <col min="14" max="14" width="10.33203125" bestFit="1" customWidth="1"/>
    <col min="15" max="15" width="12" bestFit="1" customWidth="1"/>
  </cols>
  <sheetData>
    <row r="1" spans="1:14" s="112" customFormat="1" ht="5.25" customHeight="1" x14ac:dyDescent="0.3">
      <c r="A1" s="11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</row>
    <row r="2" spans="1:14" s="112" customFormat="1" ht="15.6" x14ac:dyDescent="0.3">
      <c r="A2" s="176"/>
      <c r="B2" s="177" t="str">
        <f>Loan!B2</f>
        <v>Calabash Shores</v>
      </c>
      <c r="C2" s="158" t="str">
        <f>'CFS-Main Page'!C2</f>
        <v>Address:</v>
      </c>
      <c r="D2" s="158" t="str">
        <f>'CFS-Main Page'!D2</f>
        <v>660 Aubrey Ln Calabash, NC, 28467</v>
      </c>
      <c r="E2" s="179"/>
      <c r="F2" s="179"/>
      <c r="G2" s="179"/>
      <c r="H2" s="179"/>
      <c r="I2" s="179"/>
      <c r="J2" s="179"/>
      <c r="K2" s="179"/>
      <c r="L2" s="179"/>
      <c r="M2" s="179"/>
      <c r="N2" s="180"/>
    </row>
    <row r="3" spans="1:14" s="112" customFormat="1" x14ac:dyDescent="0.3">
      <c r="A3" s="176"/>
      <c r="B3" s="179" t="s">
        <v>168</v>
      </c>
      <c r="C3" s="158" t="str">
        <f>'CFS-Main Page'!C3</f>
        <v>Units</v>
      </c>
      <c r="D3" s="158">
        <f>'CFS-Main Page'!D3</f>
        <v>132</v>
      </c>
      <c r="E3" s="179"/>
      <c r="F3" s="179"/>
      <c r="G3" s="179"/>
      <c r="H3" s="179"/>
      <c r="I3" s="179"/>
      <c r="J3" s="179"/>
      <c r="K3" s="179"/>
      <c r="L3" s="179"/>
      <c r="M3" s="179"/>
      <c r="N3" s="180"/>
    </row>
    <row r="4" spans="1:14" s="112" customFormat="1" ht="15" thickBot="1" x14ac:dyDescent="0.35">
      <c r="A4" s="181"/>
      <c r="B4" s="182">
        <f>Loan!B4</f>
        <v>0</v>
      </c>
      <c r="C4" s="185" t="str">
        <f>'CFS-Main Page'!C4</f>
        <v>Year Built/Reno</v>
      </c>
      <c r="D4" s="185">
        <f>'CFS-Main Page'!D4</f>
        <v>2024</v>
      </c>
      <c r="E4" s="182"/>
      <c r="F4" s="182"/>
      <c r="G4" s="182"/>
      <c r="H4" s="182"/>
      <c r="I4" s="182"/>
      <c r="J4" s="182"/>
      <c r="K4" s="182"/>
      <c r="L4" s="182"/>
      <c r="M4" s="182"/>
      <c r="N4" s="184"/>
    </row>
    <row r="5" spans="1:14" ht="15" thickBot="1" x14ac:dyDescent="0.35"/>
    <row r="6" spans="1:14" x14ac:dyDescent="0.3">
      <c r="B6" s="87" t="s">
        <v>169</v>
      </c>
      <c r="C6" s="136" t="s">
        <v>170</v>
      </c>
      <c r="D6" s="136" t="s">
        <v>12</v>
      </c>
      <c r="E6" s="187"/>
    </row>
    <row r="7" spans="1:14" x14ac:dyDescent="0.3">
      <c r="B7" s="223" t="s">
        <v>171</v>
      </c>
      <c r="C7" s="308">
        <f>IF(Loan!C9=0,Loan!C30,Loan!$C$9)</f>
        <v>24500000</v>
      </c>
      <c r="D7" s="308">
        <f>C7/Units</f>
        <v>185606.06060606061</v>
      </c>
      <c r="E7" s="253">
        <f>C7/$C$9</f>
        <v>0.68829891838741397</v>
      </c>
    </row>
    <row r="8" spans="1:14" x14ac:dyDescent="0.3">
      <c r="B8" s="138" t="s">
        <v>172</v>
      </c>
      <c r="C8" s="309">
        <f>C23-C7</f>
        <v>11095000</v>
      </c>
      <c r="D8" s="309">
        <f>C8/Units</f>
        <v>84053.030303030304</v>
      </c>
      <c r="E8" s="253">
        <f>C8/$C$9</f>
        <v>0.31170108161258603</v>
      </c>
    </row>
    <row r="9" spans="1:14" ht="15" thickBot="1" x14ac:dyDescent="0.35">
      <c r="B9" s="189" t="s">
        <v>112</v>
      </c>
      <c r="C9" s="190">
        <f>SUM(C7:C8)</f>
        <v>35595000</v>
      </c>
      <c r="D9" s="190">
        <f>SUM(D7:D8)</f>
        <v>269659.09090909094</v>
      </c>
      <c r="E9" s="193">
        <f>SUM(E7:E8)</f>
        <v>1</v>
      </c>
    </row>
    <row r="10" spans="1:14" ht="15" thickBot="1" x14ac:dyDescent="0.35"/>
    <row r="11" spans="1:14" x14ac:dyDescent="0.3">
      <c r="B11" s="87" t="s">
        <v>173</v>
      </c>
      <c r="C11" s="186" t="s">
        <v>170</v>
      </c>
      <c r="D11" s="136" t="s">
        <v>12</v>
      </c>
      <c r="E11" s="136"/>
      <c r="F11" s="187"/>
    </row>
    <row r="12" spans="1:14" x14ac:dyDescent="0.3">
      <c r="B12" s="223" t="s">
        <v>15</v>
      </c>
      <c r="C12" s="308">
        <f>'CFS-Main Page'!C7</f>
        <v>35000000</v>
      </c>
      <c r="D12" s="310">
        <f t="shared" ref="D12:D22" si="0">C12/Units</f>
        <v>265151.51515151514</v>
      </c>
      <c r="E12" s="188">
        <f>C12/$C$23</f>
        <v>0.98328416912487704</v>
      </c>
      <c r="F12" s="245"/>
    </row>
    <row r="13" spans="1:14" x14ac:dyDescent="0.3">
      <c r="B13" s="138" t="s">
        <v>174</v>
      </c>
      <c r="C13" s="309">
        <f>C7*F13</f>
        <v>245000</v>
      </c>
      <c r="D13" s="311">
        <f t="shared" si="0"/>
        <v>1856.060606060606</v>
      </c>
      <c r="E13" s="188">
        <f t="shared" ref="E13:E14" si="1">C13/$C$23</f>
        <v>6.8829891838741398E-3</v>
      </c>
      <c r="F13" s="216">
        <v>0.01</v>
      </c>
    </row>
    <row r="14" spans="1:14" x14ac:dyDescent="0.3">
      <c r="B14" s="138" t="s">
        <v>175</v>
      </c>
      <c r="C14" s="309">
        <f>F14*C12</f>
        <v>350000</v>
      </c>
      <c r="D14" s="311">
        <f>C14/Units</f>
        <v>2651.5151515151515</v>
      </c>
      <c r="E14" s="188">
        <f t="shared" si="1"/>
        <v>9.8328416912487702E-3</v>
      </c>
      <c r="F14" s="216">
        <v>0.01</v>
      </c>
    </row>
    <row r="15" spans="1:14" x14ac:dyDescent="0.3">
      <c r="B15" s="138" t="s">
        <v>176</v>
      </c>
      <c r="C15" s="309">
        <f>Rent!H57</f>
        <v>0</v>
      </c>
      <c r="D15" s="311">
        <f>C15/Units</f>
        <v>0</v>
      </c>
      <c r="E15" s="188">
        <f t="shared" ref="E15:E22" si="2">C15/$C$23</f>
        <v>0</v>
      </c>
      <c r="F15" s="245"/>
    </row>
    <row r="16" spans="1:14" x14ac:dyDescent="0.3">
      <c r="B16" s="138" t="s">
        <v>177</v>
      </c>
      <c r="C16" s="217">
        <v>0</v>
      </c>
      <c r="D16" s="311">
        <f t="shared" si="0"/>
        <v>0</v>
      </c>
      <c r="E16" s="188">
        <f t="shared" si="2"/>
        <v>0</v>
      </c>
      <c r="F16" s="245"/>
    </row>
    <row r="17" spans="2:6" x14ac:dyDescent="0.3">
      <c r="B17" s="138" t="s">
        <v>178</v>
      </c>
      <c r="C17" s="217">
        <v>0</v>
      </c>
      <c r="D17" s="311">
        <f t="shared" si="0"/>
        <v>0</v>
      </c>
      <c r="E17" s="188">
        <f t="shared" si="2"/>
        <v>0</v>
      </c>
      <c r="F17" s="245"/>
    </row>
    <row r="18" spans="2:6" x14ac:dyDescent="0.3">
      <c r="B18" s="138" t="s">
        <v>179</v>
      </c>
      <c r="C18" s="217">
        <v>0</v>
      </c>
      <c r="D18" s="311">
        <f t="shared" si="0"/>
        <v>0</v>
      </c>
      <c r="E18" s="188">
        <f t="shared" si="2"/>
        <v>0</v>
      </c>
      <c r="F18" s="245"/>
    </row>
    <row r="19" spans="2:6" x14ac:dyDescent="0.3">
      <c r="B19" s="138" t="s">
        <v>180</v>
      </c>
      <c r="C19" s="217">
        <v>0</v>
      </c>
      <c r="D19" s="311">
        <f t="shared" si="0"/>
        <v>0</v>
      </c>
      <c r="E19" s="188">
        <f t="shared" si="2"/>
        <v>0</v>
      </c>
      <c r="F19" s="245"/>
    </row>
    <row r="20" spans="2:6" x14ac:dyDescent="0.3">
      <c r="B20" s="138" t="s">
        <v>180</v>
      </c>
      <c r="C20" s="217">
        <v>0</v>
      </c>
      <c r="D20" s="311">
        <f t="shared" ref="D20:D21" si="3">C20/Units</f>
        <v>0</v>
      </c>
      <c r="E20" s="188">
        <f t="shared" ref="E20:E21" si="4">C20/$C$23</f>
        <v>0</v>
      </c>
      <c r="F20" s="245"/>
    </row>
    <row r="21" spans="2:6" x14ac:dyDescent="0.3">
      <c r="B21" s="138" t="s">
        <v>180</v>
      </c>
      <c r="C21" s="217">
        <v>0</v>
      </c>
      <c r="D21" s="311">
        <f t="shared" si="3"/>
        <v>0</v>
      </c>
      <c r="E21" s="188">
        <f t="shared" si="4"/>
        <v>0</v>
      </c>
      <c r="F21" s="245"/>
    </row>
    <row r="22" spans="2:6" x14ac:dyDescent="0.3">
      <c r="B22" s="225" t="s">
        <v>180</v>
      </c>
      <c r="C22" s="309">
        <f>C12*F22</f>
        <v>0</v>
      </c>
      <c r="D22" s="312">
        <f t="shared" si="0"/>
        <v>0</v>
      </c>
      <c r="E22" s="188">
        <f t="shared" si="2"/>
        <v>0</v>
      </c>
      <c r="F22" s="216">
        <v>0</v>
      </c>
    </row>
    <row r="23" spans="2:6" ht="15" thickBot="1" x14ac:dyDescent="0.35">
      <c r="B23" s="189" t="s">
        <v>112</v>
      </c>
      <c r="C23" s="190">
        <f>SUM(C12:C22)</f>
        <v>35595000</v>
      </c>
      <c r="D23" s="191">
        <f>SUM(D12:D22)</f>
        <v>269659.09090909088</v>
      </c>
      <c r="E23" s="192">
        <v>1</v>
      </c>
      <c r="F23" s="257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A35C-A89F-43FD-86AB-4D892414AB43}">
  <dimension ref="A1:N47"/>
  <sheetViews>
    <sheetView showGridLines="0" zoomScale="90" zoomScaleNormal="90" workbookViewId="0">
      <pane ySplit="4" topLeftCell="A5" activePane="bottomLeft" state="frozen"/>
      <selection activeCell="B5" sqref="B5"/>
      <selection pane="bottomLeft" activeCell="B5" sqref="B5"/>
    </sheetView>
  </sheetViews>
  <sheetFormatPr defaultColWidth="8.6640625" defaultRowHeight="14.4" x14ac:dyDescent="0.3"/>
  <cols>
    <col min="1" max="1" width="1.33203125" customWidth="1"/>
    <col min="2" max="2" width="30.33203125" customWidth="1"/>
    <col min="3" max="3" width="13.33203125" customWidth="1"/>
    <col min="4" max="4" width="11.6640625" customWidth="1"/>
    <col min="5" max="5" width="11.77734375" bestFit="1" customWidth="1"/>
    <col min="6" max="6" width="20" customWidth="1"/>
    <col min="7" max="7" width="16.44140625" customWidth="1"/>
    <col min="8" max="8" width="14.33203125" bestFit="1" customWidth="1"/>
    <col min="9" max="9" width="12.33203125" customWidth="1"/>
    <col min="10" max="10" width="12" customWidth="1"/>
    <col min="11" max="11" width="12.44140625" customWidth="1"/>
    <col min="12" max="12" width="12.6640625" customWidth="1"/>
    <col min="13" max="13" width="11.6640625" customWidth="1"/>
    <col min="14" max="14" width="13.6640625" bestFit="1" customWidth="1"/>
    <col min="15" max="15" width="8.6640625" customWidth="1"/>
  </cols>
  <sheetData>
    <row r="1" spans="1:14" s="112" customFormat="1" ht="5.25" customHeight="1" x14ac:dyDescent="0.3">
      <c r="A1" s="11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</row>
    <row r="2" spans="1:14" s="112" customFormat="1" ht="15.6" x14ac:dyDescent="0.3">
      <c r="A2" s="176"/>
      <c r="B2" s="177" t="str">
        <f>Rent!B2</f>
        <v>Calabash Shores</v>
      </c>
      <c r="C2" s="158" t="str">
        <f>'CFS-Main Page'!C2</f>
        <v>Address:</v>
      </c>
      <c r="D2" s="158" t="str">
        <f>'CFS-Main Page'!D2</f>
        <v>660 Aubrey Ln Calabash, NC, 28467</v>
      </c>
      <c r="E2" s="179"/>
      <c r="F2" s="179"/>
      <c r="G2" s="179"/>
      <c r="H2" s="179"/>
      <c r="I2" s="179"/>
      <c r="J2" s="179"/>
      <c r="K2" s="179"/>
      <c r="L2" s="179"/>
      <c r="M2" s="179"/>
      <c r="N2" s="180"/>
    </row>
    <row r="3" spans="1:14" s="112" customFormat="1" x14ac:dyDescent="0.3">
      <c r="A3" s="176"/>
      <c r="B3" s="179" t="s">
        <v>132</v>
      </c>
      <c r="C3" s="158" t="str">
        <f>'CFS-Main Page'!C3</f>
        <v>Units</v>
      </c>
      <c r="D3" s="158">
        <f>'CFS-Main Page'!D3</f>
        <v>132</v>
      </c>
      <c r="E3" s="179"/>
      <c r="F3" s="179"/>
      <c r="G3" s="179"/>
      <c r="H3" s="179"/>
      <c r="I3" s="179"/>
      <c r="J3" s="179"/>
      <c r="K3" s="179"/>
      <c r="L3" s="179"/>
      <c r="M3" s="179"/>
      <c r="N3" s="180"/>
    </row>
    <row r="4" spans="1:14" s="112" customFormat="1" ht="15" thickBot="1" x14ac:dyDescent="0.35">
      <c r="A4" s="181"/>
      <c r="B4" s="182">
        <f>Rent!B4</f>
        <v>0</v>
      </c>
      <c r="C4" s="185" t="str">
        <f>'CFS-Main Page'!C4</f>
        <v>Year Built/Reno</v>
      </c>
      <c r="D4" s="185">
        <f>'CFS-Main Page'!D4</f>
        <v>2024</v>
      </c>
      <c r="E4" s="182"/>
      <c r="F4" s="182"/>
      <c r="G4" s="182"/>
      <c r="H4" s="182"/>
      <c r="I4" s="182"/>
      <c r="J4" s="182"/>
      <c r="K4" s="182"/>
      <c r="L4" s="182"/>
      <c r="M4" s="182"/>
      <c r="N4" s="184"/>
    </row>
    <row r="5" spans="1:14" ht="15" thickBot="1" x14ac:dyDescent="0.35"/>
    <row r="6" spans="1:14" x14ac:dyDescent="0.3">
      <c r="B6" s="87" t="s">
        <v>133</v>
      </c>
      <c r="C6" s="280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2"/>
    </row>
    <row r="7" spans="1:14" x14ac:dyDescent="0.3">
      <c r="B7" s="283" t="s">
        <v>134</v>
      </c>
      <c r="C7" s="84">
        <f>'Sources &amp; Usage'!C23</f>
        <v>35595000</v>
      </c>
      <c r="F7" s="284"/>
      <c r="H7" s="239"/>
      <c r="N7" s="245"/>
    </row>
    <row r="8" spans="1:14" x14ac:dyDescent="0.3">
      <c r="B8" s="137" t="s">
        <v>135</v>
      </c>
      <c r="C8" s="210">
        <v>0.7</v>
      </c>
      <c r="D8" s="375">
        <f>C9/C7</f>
        <v>0.68829891838741397</v>
      </c>
      <c r="F8" s="141"/>
      <c r="H8" s="285"/>
      <c r="I8" s="285"/>
      <c r="N8" s="245"/>
    </row>
    <row r="9" spans="1:14" x14ac:dyDescent="0.3">
      <c r="B9" s="137" t="s">
        <v>136</v>
      </c>
      <c r="C9" s="84">
        <f>IF(C12&gt;0,ROUND('CFS-Main Page'!C7*C8,-4),0)</f>
        <v>24500000</v>
      </c>
      <c r="F9" s="286"/>
      <c r="H9" s="287"/>
      <c r="I9" s="288"/>
      <c r="N9" s="245"/>
    </row>
    <row r="10" spans="1:14" x14ac:dyDescent="0.3">
      <c r="B10" s="137" t="s">
        <v>137</v>
      </c>
      <c r="C10" s="84">
        <f>C9*D10</f>
        <v>245000</v>
      </c>
      <c r="D10" s="354">
        <f>'Sources &amp; Usage'!F13</f>
        <v>0.01</v>
      </c>
      <c r="F10" s="286"/>
      <c r="H10" s="287"/>
      <c r="I10" s="288"/>
      <c r="N10" s="245"/>
    </row>
    <row r="11" spans="1:14" x14ac:dyDescent="0.3">
      <c r="B11" s="137" t="s">
        <v>138</v>
      </c>
      <c r="C11" s="212">
        <v>30</v>
      </c>
      <c r="H11" s="285"/>
      <c r="N11" s="245"/>
    </row>
    <row r="12" spans="1:14" x14ac:dyDescent="0.3">
      <c r="B12" s="137" t="s">
        <v>139</v>
      </c>
      <c r="C12" s="101">
        <f>'CFS-Main Page'!C13</f>
        <v>5</v>
      </c>
      <c r="D12" s="142" t="s">
        <v>140</v>
      </c>
      <c r="N12" s="245"/>
    </row>
    <row r="13" spans="1:14" x14ac:dyDescent="0.3">
      <c r="B13" s="137" t="s">
        <v>141</v>
      </c>
      <c r="C13" s="524">
        <f>3.912%+1.4%</f>
        <v>5.3120000000000001E-2</v>
      </c>
      <c r="N13" s="245"/>
    </row>
    <row r="14" spans="1:14" x14ac:dyDescent="0.3">
      <c r="B14" s="137" t="s">
        <v>142</v>
      </c>
      <c r="C14" s="525">
        <v>3</v>
      </c>
      <c r="N14" s="245"/>
    </row>
    <row r="15" spans="1:14" x14ac:dyDescent="0.3">
      <c r="B15" s="137" t="s">
        <v>143</v>
      </c>
      <c r="C15" s="289">
        <f>-PMT(C13/12,C11*12,1)*12</f>
        <v>6.6726010314652265E-2</v>
      </c>
      <c r="G15" s="290"/>
      <c r="N15" s="245"/>
    </row>
    <row r="16" spans="1:14" ht="15" thickBot="1" x14ac:dyDescent="0.35">
      <c r="B16" s="291" t="s">
        <v>144</v>
      </c>
      <c r="C16" s="140">
        <f>C15*C9</f>
        <v>1634787.2527089806</v>
      </c>
      <c r="N16" s="245"/>
    </row>
    <row r="17" spans="2:14" x14ac:dyDescent="0.3">
      <c r="B17" s="87" t="s">
        <v>145</v>
      </c>
      <c r="C17" s="280"/>
      <c r="D17" s="88">
        <v>0</v>
      </c>
      <c r="E17" s="89">
        <v>1</v>
      </c>
      <c r="F17" s="89">
        <v>2</v>
      </c>
      <c r="G17" s="89">
        <v>3</v>
      </c>
      <c r="H17" s="89">
        <v>4</v>
      </c>
      <c r="I17" s="89">
        <v>5</v>
      </c>
      <c r="J17" s="89">
        <v>6</v>
      </c>
      <c r="K17" s="89">
        <v>7</v>
      </c>
      <c r="L17" s="89">
        <v>8</v>
      </c>
      <c r="M17" s="89">
        <v>9</v>
      </c>
      <c r="N17" s="90">
        <v>10</v>
      </c>
    </row>
    <row r="18" spans="2:14" x14ac:dyDescent="0.3">
      <c r="B18" s="273" t="s">
        <v>146</v>
      </c>
      <c r="C18" s="230"/>
      <c r="D18" s="230"/>
      <c r="E18" s="91">
        <f>D23</f>
        <v>24500000</v>
      </c>
      <c r="F18" s="91">
        <f t="shared" ref="F18:N18" si="0">E23</f>
        <v>24500000</v>
      </c>
      <c r="G18" s="91">
        <f t="shared" si="0"/>
        <v>24500000</v>
      </c>
      <c r="H18" s="91">
        <f t="shared" si="0"/>
        <v>24500000</v>
      </c>
      <c r="I18" s="91">
        <f t="shared" si="0"/>
        <v>24166652.747291021</v>
      </c>
      <c r="J18" s="91">
        <f t="shared" si="0"/>
        <v>0</v>
      </c>
      <c r="K18" s="91">
        <f t="shared" si="0"/>
        <v>0</v>
      </c>
      <c r="L18" s="91">
        <f t="shared" si="0"/>
        <v>0</v>
      </c>
      <c r="M18" s="91">
        <f t="shared" si="0"/>
        <v>0</v>
      </c>
      <c r="N18" s="92">
        <f t="shared" si="0"/>
        <v>0</v>
      </c>
    </row>
    <row r="19" spans="2:14" x14ac:dyDescent="0.3">
      <c r="B19" s="273" t="s">
        <v>147</v>
      </c>
      <c r="C19" s="230"/>
      <c r="D19" s="230"/>
      <c r="E19" s="91">
        <f>IF(E17&gt;$C$12,0,E18*$C$13)</f>
        <v>1301440</v>
      </c>
      <c r="F19" s="91">
        <f t="shared" ref="F19:N19" si="1">IF(F17&gt;$C$12,0,F18*$C$13)</f>
        <v>1301440</v>
      </c>
      <c r="G19" s="91">
        <f t="shared" si="1"/>
        <v>1301440</v>
      </c>
      <c r="H19" s="91">
        <f t="shared" si="1"/>
        <v>1301440</v>
      </c>
      <c r="I19" s="91">
        <f t="shared" si="1"/>
        <v>1283732.593936099</v>
      </c>
      <c r="J19" s="91">
        <f t="shared" si="1"/>
        <v>0</v>
      </c>
      <c r="K19" s="91">
        <f t="shared" si="1"/>
        <v>0</v>
      </c>
      <c r="L19" s="91">
        <f t="shared" si="1"/>
        <v>0</v>
      </c>
      <c r="M19" s="91">
        <f t="shared" si="1"/>
        <v>0</v>
      </c>
      <c r="N19" s="92">
        <f t="shared" si="1"/>
        <v>0</v>
      </c>
    </row>
    <row r="20" spans="2:14" x14ac:dyDescent="0.3">
      <c r="B20" s="273" t="s">
        <v>148</v>
      </c>
      <c r="C20" s="230"/>
      <c r="D20" s="230"/>
      <c r="E20" s="91">
        <f t="shared" ref="E20:N20" si="2">IF(OR(E17&lt;=$C$14,E17&gt;$C$12),0,$C$16-E19)</f>
        <v>0</v>
      </c>
      <c r="F20" s="91">
        <f t="shared" si="2"/>
        <v>0</v>
      </c>
      <c r="G20" s="91">
        <f t="shared" si="2"/>
        <v>0</v>
      </c>
      <c r="H20" s="91">
        <f t="shared" si="2"/>
        <v>333347.25270898058</v>
      </c>
      <c r="I20" s="91">
        <f t="shared" si="2"/>
        <v>351054.65877288161</v>
      </c>
      <c r="J20" s="91">
        <f t="shared" si="2"/>
        <v>0</v>
      </c>
      <c r="K20" s="91">
        <f t="shared" si="2"/>
        <v>0</v>
      </c>
      <c r="L20" s="91">
        <f t="shared" si="2"/>
        <v>0</v>
      </c>
      <c r="M20" s="91">
        <f t="shared" si="2"/>
        <v>0</v>
      </c>
      <c r="N20" s="92">
        <f t="shared" si="2"/>
        <v>0</v>
      </c>
    </row>
    <row r="21" spans="2:14" x14ac:dyDescent="0.3">
      <c r="B21" s="273" t="s">
        <v>84</v>
      </c>
      <c r="C21" s="230"/>
      <c r="D21" s="230"/>
      <c r="E21" s="91">
        <f>IF(E17=$C$12,E18-E20,0)</f>
        <v>0</v>
      </c>
      <c r="F21" s="91">
        <f t="shared" ref="F21:N21" si="3">IF(F17=$C$12,F18-F20,0)</f>
        <v>0</v>
      </c>
      <c r="G21" s="91">
        <f t="shared" si="3"/>
        <v>0</v>
      </c>
      <c r="H21" s="91">
        <f t="shared" si="3"/>
        <v>0</v>
      </c>
      <c r="I21" s="91">
        <f t="shared" si="3"/>
        <v>23815598.088518139</v>
      </c>
      <c r="J21" s="91">
        <f t="shared" si="3"/>
        <v>0</v>
      </c>
      <c r="K21" s="91">
        <f t="shared" si="3"/>
        <v>0</v>
      </c>
      <c r="L21" s="91">
        <f t="shared" si="3"/>
        <v>0</v>
      </c>
      <c r="M21" s="91">
        <f t="shared" si="3"/>
        <v>0</v>
      </c>
      <c r="N21" s="92">
        <f t="shared" si="3"/>
        <v>0</v>
      </c>
    </row>
    <row r="22" spans="2:14" x14ac:dyDescent="0.3">
      <c r="B22" s="292" t="s">
        <v>149</v>
      </c>
      <c r="C22" s="293"/>
      <c r="D22" s="293"/>
      <c r="E22" s="294">
        <f>SUM(E19:E20)</f>
        <v>1301440</v>
      </c>
      <c r="F22" s="294">
        <f t="shared" ref="F22:N22" si="4">SUM(F19:F20)</f>
        <v>1301440</v>
      </c>
      <c r="G22" s="294">
        <f t="shared" si="4"/>
        <v>1301440</v>
      </c>
      <c r="H22" s="294">
        <f t="shared" si="4"/>
        <v>1634787.2527089806</v>
      </c>
      <c r="I22" s="294">
        <f t="shared" si="4"/>
        <v>1634787.2527089806</v>
      </c>
      <c r="J22" s="294">
        <f t="shared" si="4"/>
        <v>0</v>
      </c>
      <c r="K22" s="294">
        <f t="shared" si="4"/>
        <v>0</v>
      </c>
      <c r="L22" s="294">
        <f t="shared" si="4"/>
        <v>0</v>
      </c>
      <c r="M22" s="294">
        <f t="shared" si="4"/>
        <v>0</v>
      </c>
      <c r="N22" s="295">
        <f t="shared" si="4"/>
        <v>0</v>
      </c>
    </row>
    <row r="23" spans="2:14" ht="15" thickBot="1" x14ac:dyDescent="0.35">
      <c r="B23" s="296" t="s">
        <v>150</v>
      </c>
      <c r="C23" s="297"/>
      <c r="D23" s="143">
        <f>C9</f>
        <v>24500000</v>
      </c>
      <c r="E23" s="143">
        <f t="shared" ref="E23:N23" si="5">E18-E20-E21</f>
        <v>24500000</v>
      </c>
      <c r="F23" s="143">
        <f t="shared" si="5"/>
        <v>24500000</v>
      </c>
      <c r="G23" s="143">
        <f t="shared" si="5"/>
        <v>24500000</v>
      </c>
      <c r="H23" s="143">
        <f t="shared" si="5"/>
        <v>24166652.747291021</v>
      </c>
      <c r="I23" s="143">
        <f t="shared" si="5"/>
        <v>0</v>
      </c>
      <c r="J23" s="143">
        <f t="shared" si="5"/>
        <v>0</v>
      </c>
      <c r="K23" s="143">
        <f t="shared" si="5"/>
        <v>0</v>
      </c>
      <c r="L23" s="143">
        <f t="shared" si="5"/>
        <v>0</v>
      </c>
      <c r="M23" s="143">
        <f t="shared" si="5"/>
        <v>0</v>
      </c>
      <c r="N23" s="144">
        <f t="shared" si="5"/>
        <v>0</v>
      </c>
    </row>
    <row r="24" spans="2:14" ht="15" thickBot="1" x14ac:dyDescent="0.35"/>
    <row r="25" spans="2:14" x14ac:dyDescent="0.3">
      <c r="B25" s="87" t="s">
        <v>151</v>
      </c>
      <c r="C25" s="280"/>
      <c r="D25" s="281"/>
      <c r="E25" s="281"/>
      <c r="F25" s="281"/>
      <c r="G25" s="215" t="s">
        <v>152</v>
      </c>
      <c r="H25" s="298"/>
      <c r="I25" s="281"/>
      <c r="J25" s="281"/>
      <c r="K25" s="281"/>
      <c r="L25" s="281"/>
      <c r="M25" s="281"/>
      <c r="N25" s="282"/>
    </row>
    <row r="26" spans="2:14" x14ac:dyDescent="0.3">
      <c r="B26" s="283" t="s">
        <v>153</v>
      </c>
      <c r="C26" s="84">
        <f>'Sources &amp; Usage'!C23</f>
        <v>35595000</v>
      </c>
      <c r="G26" s="83" t="s">
        <v>154</v>
      </c>
      <c r="H26" s="214">
        <f>C12</f>
        <v>5</v>
      </c>
      <c r="N26" s="245"/>
    </row>
    <row r="27" spans="2:14" x14ac:dyDescent="0.3">
      <c r="B27" s="299"/>
      <c r="C27" s="108"/>
      <c r="G27" s="83" t="str">
        <f>CONCATENATE("Year ", H26," NOI")</f>
        <v>Year 5 NOI</v>
      </c>
      <c r="H27" s="84" cm="1">
        <f t="array" ref="H27">IF(H26&lt;1,0,INDEX('CFS-Main Page'!I63:S63,Loan!$H$26))</f>
        <v>2030409.2049148772</v>
      </c>
      <c r="N27" s="245"/>
    </row>
    <row r="28" spans="2:14" x14ac:dyDescent="0.3">
      <c r="B28" s="299" t="s">
        <v>135</v>
      </c>
      <c r="C28" s="210">
        <v>0.8</v>
      </c>
      <c r="G28" s="83" t="s">
        <v>155</v>
      </c>
      <c r="H28" s="213">
        <v>1.25</v>
      </c>
      <c r="N28" s="245"/>
    </row>
    <row r="29" spans="2:14" x14ac:dyDescent="0.3">
      <c r="B29" s="137" t="s">
        <v>156</v>
      </c>
      <c r="C29" s="86">
        <f>C30/C26</f>
        <v>0</v>
      </c>
      <c r="G29" s="83"/>
      <c r="H29" s="85"/>
      <c r="N29" s="245"/>
    </row>
    <row r="30" spans="2:14" x14ac:dyDescent="0.3">
      <c r="B30" s="137" t="s">
        <v>136</v>
      </c>
      <c r="C30" s="376">
        <v>0</v>
      </c>
      <c r="D30" s="663" t="s">
        <v>157</v>
      </c>
      <c r="E30" s="664"/>
      <c r="F30" s="665"/>
      <c r="G30" s="83" t="s">
        <v>158</v>
      </c>
      <c r="H30" s="289">
        <f>-PMT(C33/12,C31*12,1)*12</f>
        <v>7.5848162819155657E-2</v>
      </c>
      <c r="N30" s="245"/>
    </row>
    <row r="31" spans="2:14" x14ac:dyDescent="0.3">
      <c r="B31" s="137" t="s">
        <v>138</v>
      </c>
      <c r="C31" s="212">
        <v>30</v>
      </c>
      <c r="D31" s="663"/>
      <c r="E31" s="664"/>
      <c r="F31" s="665"/>
      <c r="G31" s="83" t="s">
        <v>159</v>
      </c>
      <c r="H31" s="84">
        <f>IF(H26=0,C30*H30,H27/H28)</f>
        <v>1624327.3639319018</v>
      </c>
      <c r="N31" s="245"/>
    </row>
    <row r="32" spans="2:14" x14ac:dyDescent="0.3">
      <c r="B32" s="137" t="s">
        <v>160</v>
      </c>
      <c r="C32" s="101">
        <f>IF(H26&gt;0,MIN('CFS-Main Page'!C13+$H$26,N35),'CFS-Main Page'!C13)</f>
        <v>10</v>
      </c>
      <c r="G32" s="83" t="s">
        <v>161</v>
      </c>
      <c r="H32" s="84">
        <f>ROUND(H31/H30,-4)</f>
        <v>21420000</v>
      </c>
      <c r="N32" s="245"/>
    </row>
    <row r="33" spans="2:14" x14ac:dyDescent="0.3">
      <c r="B33" s="137" t="s">
        <v>141</v>
      </c>
      <c r="C33" s="210">
        <v>6.5000000000000002E-2</v>
      </c>
      <c r="G33" s="300" t="s">
        <v>162</v>
      </c>
      <c r="H33" s="84">
        <f>SUM(E21:N21)</f>
        <v>23815598.088518139</v>
      </c>
      <c r="N33" s="245"/>
    </row>
    <row r="34" spans="2:14" ht="15" thickBot="1" x14ac:dyDescent="0.35">
      <c r="B34" s="301" t="s">
        <v>142</v>
      </c>
      <c r="C34" s="211">
        <v>10</v>
      </c>
      <c r="G34" s="254"/>
      <c r="H34" s="302"/>
      <c r="N34" s="245"/>
    </row>
    <row r="35" spans="2:14" x14ac:dyDescent="0.3">
      <c r="B35" s="87" t="s">
        <v>163</v>
      </c>
      <c r="C35" s="280"/>
      <c r="D35" s="88">
        <v>0</v>
      </c>
      <c r="E35" s="89">
        <v>1</v>
      </c>
      <c r="F35" s="89">
        <v>2</v>
      </c>
      <c r="G35" s="89">
        <v>3</v>
      </c>
      <c r="H35" s="89">
        <v>4</v>
      </c>
      <c r="I35" s="89">
        <v>5</v>
      </c>
      <c r="J35" s="89">
        <v>6</v>
      </c>
      <c r="K35" s="89">
        <v>7</v>
      </c>
      <c r="L35" s="89">
        <v>8</v>
      </c>
      <c r="M35" s="89">
        <v>9</v>
      </c>
      <c r="N35" s="90">
        <v>10</v>
      </c>
    </row>
    <row r="36" spans="2:14" x14ac:dyDescent="0.3">
      <c r="B36" s="273" t="s">
        <v>146</v>
      </c>
      <c r="C36" s="230"/>
      <c r="D36" s="230"/>
      <c r="E36" s="91">
        <f t="shared" ref="E36:N36" si="6">IF($H$26&gt;0,IF(E$35=$H$26+1,$C$30,IF(E$35&gt;=$H$26,D$41,0)),IF(E$35=1,$C$30,D$41))</f>
        <v>0</v>
      </c>
      <c r="F36" s="91">
        <f t="shared" si="6"/>
        <v>0</v>
      </c>
      <c r="G36" s="91">
        <f t="shared" si="6"/>
        <v>0</v>
      </c>
      <c r="H36" s="91">
        <f t="shared" si="6"/>
        <v>0</v>
      </c>
      <c r="I36" s="91">
        <f t="shared" si="6"/>
        <v>0</v>
      </c>
      <c r="J36" s="91">
        <f t="shared" si="6"/>
        <v>0</v>
      </c>
      <c r="K36" s="91">
        <f t="shared" si="6"/>
        <v>0</v>
      </c>
      <c r="L36" s="91">
        <f t="shared" si="6"/>
        <v>0</v>
      </c>
      <c r="M36" s="91">
        <f t="shared" si="6"/>
        <v>0</v>
      </c>
      <c r="N36" s="92">
        <f t="shared" si="6"/>
        <v>0</v>
      </c>
    </row>
    <row r="37" spans="2:14" x14ac:dyDescent="0.3">
      <c r="B37" s="273" t="s">
        <v>147</v>
      </c>
      <c r="C37" s="230"/>
      <c r="D37" s="230"/>
      <c r="E37" s="91">
        <f>IF(E35&gt;$C$32,0,E36*$C$33)</f>
        <v>0</v>
      </c>
      <c r="F37" s="91">
        <f>IF(F35&gt;$C$32,0,F36*$C$33)</f>
        <v>0</v>
      </c>
      <c r="G37" s="91">
        <f>IF(G35&gt;$C$32,0,G36*$C$33)</f>
        <v>0</v>
      </c>
      <c r="H37" s="91">
        <f t="shared" ref="H37:N37" si="7">IF(H35&gt;$C$32,0,H36*$C$33)</f>
        <v>0</v>
      </c>
      <c r="I37" s="91">
        <f t="shared" si="7"/>
        <v>0</v>
      </c>
      <c r="J37" s="91">
        <f t="shared" si="7"/>
        <v>0</v>
      </c>
      <c r="K37" s="91">
        <f t="shared" si="7"/>
        <v>0</v>
      </c>
      <c r="L37" s="91">
        <f t="shared" si="7"/>
        <v>0</v>
      </c>
      <c r="M37" s="91">
        <f t="shared" si="7"/>
        <v>0</v>
      </c>
      <c r="N37" s="92">
        <f t="shared" si="7"/>
        <v>0</v>
      </c>
    </row>
    <row r="38" spans="2:14" x14ac:dyDescent="0.3">
      <c r="B38" s="273" t="s">
        <v>164</v>
      </c>
      <c r="C38" s="230"/>
      <c r="D38" s="230"/>
      <c r="E38" s="91">
        <f t="shared" ref="E38:N38" si="8">IF(E36&gt;0,IF(OR(E35&lt;=$C$34,E35&gt;$C$32),0,$H$31-E37),0)</f>
        <v>0</v>
      </c>
      <c r="F38" s="91">
        <f t="shared" si="8"/>
        <v>0</v>
      </c>
      <c r="G38" s="91">
        <f t="shared" si="8"/>
        <v>0</v>
      </c>
      <c r="H38" s="91">
        <f t="shared" si="8"/>
        <v>0</v>
      </c>
      <c r="I38" s="91">
        <f t="shared" si="8"/>
        <v>0</v>
      </c>
      <c r="J38" s="91">
        <f t="shared" si="8"/>
        <v>0</v>
      </c>
      <c r="K38" s="91">
        <f t="shared" si="8"/>
        <v>0</v>
      </c>
      <c r="L38" s="91">
        <f t="shared" si="8"/>
        <v>0</v>
      </c>
      <c r="M38" s="91">
        <f t="shared" si="8"/>
        <v>0</v>
      </c>
      <c r="N38" s="92">
        <f t="shared" si="8"/>
        <v>0</v>
      </c>
    </row>
    <row r="39" spans="2:14" x14ac:dyDescent="0.3">
      <c r="B39" s="273" t="s">
        <v>84</v>
      </c>
      <c r="C39" s="230"/>
      <c r="D39" s="230"/>
      <c r="E39" s="91">
        <f>IF(E35=$C$32,E36-E38,0)</f>
        <v>0</v>
      </c>
      <c r="F39" s="91">
        <f t="shared" ref="F39:N39" si="9">IF(F35=$C$32,F36-F38,0)</f>
        <v>0</v>
      </c>
      <c r="G39" s="91">
        <f t="shared" si="9"/>
        <v>0</v>
      </c>
      <c r="H39" s="91">
        <f t="shared" si="9"/>
        <v>0</v>
      </c>
      <c r="I39" s="91">
        <f t="shared" si="9"/>
        <v>0</v>
      </c>
      <c r="J39" s="91">
        <f t="shared" si="9"/>
        <v>0</v>
      </c>
      <c r="K39" s="91">
        <f t="shared" si="9"/>
        <v>0</v>
      </c>
      <c r="L39" s="91">
        <f t="shared" si="9"/>
        <v>0</v>
      </c>
      <c r="M39" s="91">
        <f t="shared" si="9"/>
        <v>0</v>
      </c>
      <c r="N39" s="92">
        <f t="shared" si="9"/>
        <v>0</v>
      </c>
    </row>
    <row r="40" spans="2:14" x14ac:dyDescent="0.3">
      <c r="B40" s="292" t="s">
        <v>149</v>
      </c>
      <c r="C40" s="293"/>
      <c r="D40" s="293"/>
      <c r="E40" s="294">
        <f>E37+E38</f>
        <v>0</v>
      </c>
      <c r="F40" s="294">
        <f t="shared" ref="F40:N40" si="10">F37+F38</f>
        <v>0</v>
      </c>
      <c r="G40" s="294">
        <f t="shared" si="10"/>
        <v>0</v>
      </c>
      <c r="H40" s="294">
        <f t="shared" si="10"/>
        <v>0</v>
      </c>
      <c r="I40" s="294">
        <f t="shared" si="10"/>
        <v>0</v>
      </c>
      <c r="J40" s="294">
        <f t="shared" si="10"/>
        <v>0</v>
      </c>
      <c r="K40" s="294">
        <f t="shared" si="10"/>
        <v>0</v>
      </c>
      <c r="L40" s="294">
        <f t="shared" si="10"/>
        <v>0</v>
      </c>
      <c r="M40" s="294">
        <f t="shared" si="10"/>
        <v>0</v>
      </c>
      <c r="N40" s="295">
        <f t="shared" si="10"/>
        <v>0</v>
      </c>
    </row>
    <row r="41" spans="2:14" ht="15" thickBot="1" x14ac:dyDescent="0.35">
      <c r="B41" s="303" t="s">
        <v>150</v>
      </c>
      <c r="C41" s="304"/>
      <c r="D41" s="120">
        <f>IF(H26&gt;0,0,C30)</f>
        <v>0</v>
      </c>
      <c r="E41" s="120">
        <f>E$36-E$38-E$39</f>
        <v>0</v>
      </c>
      <c r="F41" s="120">
        <f t="shared" ref="F41:N41" si="11">F$36-F$38-F$39</f>
        <v>0</v>
      </c>
      <c r="G41" s="120">
        <f t="shared" si="11"/>
        <v>0</v>
      </c>
      <c r="H41" s="120">
        <f t="shared" si="11"/>
        <v>0</v>
      </c>
      <c r="I41" s="120">
        <f t="shared" si="11"/>
        <v>0</v>
      </c>
      <c r="J41" s="120">
        <f t="shared" si="11"/>
        <v>0</v>
      </c>
      <c r="K41" s="120">
        <f t="shared" si="11"/>
        <v>0</v>
      </c>
      <c r="L41" s="120">
        <f t="shared" si="11"/>
        <v>0</v>
      </c>
      <c r="M41" s="120">
        <f t="shared" si="11"/>
        <v>0</v>
      </c>
      <c r="N41" s="121">
        <f t="shared" si="11"/>
        <v>0</v>
      </c>
    </row>
    <row r="42" spans="2:14" ht="15.6" thickTop="1" thickBot="1" x14ac:dyDescent="0.35"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</row>
    <row r="43" spans="2:14" x14ac:dyDescent="0.3">
      <c r="B43" s="305" t="s">
        <v>165</v>
      </c>
      <c r="C43" s="281"/>
      <c r="D43" s="114"/>
      <c r="E43" s="114">
        <f t="shared" ref="E43:N43" si="12">E20+E38</f>
        <v>0</v>
      </c>
      <c r="F43" s="114">
        <f t="shared" si="12"/>
        <v>0</v>
      </c>
      <c r="G43" s="114">
        <f t="shared" si="12"/>
        <v>0</v>
      </c>
      <c r="H43" s="114">
        <f t="shared" si="12"/>
        <v>333347.25270898058</v>
      </c>
      <c r="I43" s="114">
        <f t="shared" si="12"/>
        <v>351054.65877288161</v>
      </c>
      <c r="J43" s="114">
        <f t="shared" si="12"/>
        <v>0</v>
      </c>
      <c r="K43" s="114">
        <f t="shared" si="12"/>
        <v>0</v>
      </c>
      <c r="L43" s="114">
        <f t="shared" si="12"/>
        <v>0</v>
      </c>
      <c r="M43" s="114">
        <f t="shared" si="12"/>
        <v>0</v>
      </c>
      <c r="N43" s="115">
        <f t="shared" si="12"/>
        <v>0</v>
      </c>
    </row>
    <row r="44" spans="2:14" x14ac:dyDescent="0.3">
      <c r="B44" s="137" t="s">
        <v>166</v>
      </c>
      <c r="D44" s="116"/>
      <c r="E44" s="116">
        <f t="shared" ref="E44:N44" si="13">E21+E39-(IF(E21&gt;0,F36,0))</f>
        <v>0</v>
      </c>
      <c r="F44" s="116">
        <f t="shared" si="13"/>
        <v>0</v>
      </c>
      <c r="G44" s="116">
        <f t="shared" si="13"/>
        <v>0</v>
      </c>
      <c r="H44" s="116">
        <f t="shared" si="13"/>
        <v>0</v>
      </c>
      <c r="I44" s="116">
        <f t="shared" si="13"/>
        <v>23815598.088518139</v>
      </c>
      <c r="J44" s="116">
        <f t="shared" si="13"/>
        <v>0</v>
      </c>
      <c r="K44" s="116">
        <f t="shared" si="13"/>
        <v>0</v>
      </c>
      <c r="L44" s="116">
        <f t="shared" si="13"/>
        <v>0</v>
      </c>
      <c r="M44" s="116">
        <f t="shared" si="13"/>
        <v>0</v>
      </c>
      <c r="N44" s="117">
        <f t="shared" si="13"/>
        <v>0</v>
      </c>
    </row>
    <row r="45" spans="2:14" x14ac:dyDescent="0.3">
      <c r="B45" s="137" t="s">
        <v>167</v>
      </c>
      <c r="D45" s="116">
        <f t="shared" ref="D45:N45" si="14">D37+D19</f>
        <v>0</v>
      </c>
      <c r="E45" s="116">
        <f t="shared" si="14"/>
        <v>1301440</v>
      </c>
      <c r="F45" s="116">
        <f t="shared" si="14"/>
        <v>1301440</v>
      </c>
      <c r="G45" s="116">
        <f t="shared" si="14"/>
        <v>1301440</v>
      </c>
      <c r="H45" s="116">
        <f t="shared" si="14"/>
        <v>1301440</v>
      </c>
      <c r="I45" s="116">
        <f t="shared" si="14"/>
        <v>1283732.593936099</v>
      </c>
      <c r="J45" s="116">
        <f t="shared" si="14"/>
        <v>0</v>
      </c>
      <c r="K45" s="116">
        <f t="shared" si="14"/>
        <v>0</v>
      </c>
      <c r="L45" s="116">
        <f t="shared" si="14"/>
        <v>0</v>
      </c>
      <c r="M45" s="116">
        <f t="shared" si="14"/>
        <v>0</v>
      </c>
      <c r="N45" s="117">
        <f t="shared" si="14"/>
        <v>0</v>
      </c>
    </row>
    <row r="46" spans="2:14" ht="15" thickBot="1" x14ac:dyDescent="0.35">
      <c r="B46" s="306" t="s">
        <v>159</v>
      </c>
      <c r="C46" s="307"/>
      <c r="D46" s="118">
        <f>D45</f>
        <v>0</v>
      </c>
      <c r="E46" s="118">
        <f>E45+E43</f>
        <v>1301440</v>
      </c>
      <c r="F46" s="118">
        <f t="shared" ref="F46:N46" si="15">F45+F43</f>
        <v>1301440</v>
      </c>
      <c r="G46" s="118">
        <f t="shared" si="15"/>
        <v>1301440</v>
      </c>
      <c r="H46" s="118">
        <f t="shared" si="15"/>
        <v>1634787.2527089806</v>
      </c>
      <c r="I46" s="118">
        <f t="shared" si="15"/>
        <v>1634787.2527089806</v>
      </c>
      <c r="J46" s="118">
        <f t="shared" si="15"/>
        <v>0</v>
      </c>
      <c r="K46" s="118">
        <f t="shared" si="15"/>
        <v>0</v>
      </c>
      <c r="L46" s="118">
        <f t="shared" si="15"/>
        <v>0</v>
      </c>
      <c r="M46" s="118">
        <f t="shared" si="15"/>
        <v>0</v>
      </c>
      <c r="N46" s="119">
        <f t="shared" si="15"/>
        <v>0</v>
      </c>
    </row>
    <row r="47" spans="2:14" ht="15" thickTop="1" x14ac:dyDescent="0.3"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</row>
  </sheetData>
  <mergeCells count="1">
    <mergeCell ref="D30:F3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155E-ED8A-4611-86AF-F1C928E14EB7}">
  <dimension ref="A1:AA655"/>
  <sheetViews>
    <sheetView showGridLines="0" zoomScale="90" zoomScaleNormal="90" workbookViewId="0">
      <selection activeCell="AA14" sqref="AA14:AA16"/>
    </sheetView>
  </sheetViews>
  <sheetFormatPr defaultRowHeight="14.4" outlineLevelCol="1" x14ac:dyDescent="0.3"/>
  <cols>
    <col min="1" max="1" width="1.33203125" customWidth="1"/>
    <col min="2" max="2" width="5.33203125" style="263" customWidth="1"/>
    <col min="3" max="3" width="44" style="350" bestFit="1" customWidth="1"/>
    <col min="4" max="15" width="15.33203125" style="349" hidden="1" customWidth="1" outlineLevel="1"/>
    <col min="16" max="16" width="2.33203125" customWidth="1" collapsed="1"/>
    <col min="17" max="17" width="18.88671875" style="349" bestFit="1" customWidth="1"/>
    <col min="18" max="18" width="17.6640625" style="349" bestFit="1" customWidth="1"/>
    <col min="19" max="19" width="1.33203125" customWidth="1"/>
    <col min="20" max="20" width="38.44140625" bestFit="1" customWidth="1"/>
    <col min="21" max="21" width="5.109375" bestFit="1" customWidth="1"/>
    <col min="22" max="22" width="43.33203125" bestFit="1" customWidth="1"/>
    <col min="23" max="24" width="18.33203125" bestFit="1" customWidth="1"/>
    <col min="25" max="25" width="11.6640625" bestFit="1" customWidth="1"/>
    <col min="27" max="27" width="12.33203125" bestFit="1" customWidth="1"/>
  </cols>
  <sheetData>
    <row r="1" spans="1:26" s="112" customFormat="1" ht="5.25" customHeight="1" x14ac:dyDescent="0.3">
      <c r="A1" s="113"/>
      <c r="B1" s="172"/>
      <c r="C1" s="173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5"/>
    </row>
    <row r="2" spans="1:26" s="112" customFormat="1" ht="15.6" x14ac:dyDescent="0.3">
      <c r="A2" s="176"/>
      <c r="B2" s="177" t="str">
        <f>'Sources &amp; Usage'!B2</f>
        <v>Calabash Shores</v>
      </c>
      <c r="C2" s="17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79"/>
      <c r="T2" s="179"/>
      <c r="U2" s="179"/>
      <c r="V2" s="179"/>
      <c r="W2" s="179"/>
      <c r="X2" s="179"/>
      <c r="Y2" s="180"/>
    </row>
    <row r="3" spans="1:26" s="112" customFormat="1" x14ac:dyDescent="0.3">
      <c r="A3" s="176"/>
      <c r="B3" s="179" t="s">
        <v>181</v>
      </c>
      <c r="C3" s="178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80"/>
    </row>
    <row r="4" spans="1:26" s="112" customFormat="1" ht="15" thickBot="1" x14ac:dyDescent="0.35">
      <c r="A4" s="181"/>
      <c r="B4" s="182">
        <f>'Sources &amp; Usage'!B4</f>
        <v>0</v>
      </c>
      <c r="C4" s="183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4"/>
    </row>
    <row r="5" spans="1:26" x14ac:dyDescent="0.3">
      <c r="C5" s="313"/>
      <c r="D5" s="314">
        <f>1</f>
        <v>1</v>
      </c>
      <c r="E5" s="314">
        <f>D5+1</f>
        <v>2</v>
      </c>
      <c r="F5" s="314">
        <f t="shared" ref="F5:O5" si="0">E5+1</f>
        <v>3</v>
      </c>
      <c r="G5" s="314">
        <f t="shared" si="0"/>
        <v>4</v>
      </c>
      <c r="H5" s="314">
        <f t="shared" si="0"/>
        <v>5</v>
      </c>
      <c r="I5" s="314">
        <f t="shared" si="0"/>
        <v>6</v>
      </c>
      <c r="J5" s="314">
        <f t="shared" si="0"/>
        <v>7</v>
      </c>
      <c r="K5" s="314">
        <f t="shared" si="0"/>
        <v>8</v>
      </c>
      <c r="L5" s="314">
        <f t="shared" si="0"/>
        <v>9</v>
      </c>
      <c r="M5" s="314">
        <f t="shared" si="0"/>
        <v>10</v>
      </c>
      <c r="N5" s="314">
        <f t="shared" si="0"/>
        <v>11</v>
      </c>
      <c r="O5" s="314">
        <f t="shared" si="0"/>
        <v>12</v>
      </c>
      <c r="Q5"/>
      <c r="R5"/>
      <c r="U5" s="112"/>
      <c r="V5" s="112"/>
      <c r="W5" s="112"/>
      <c r="X5" s="112"/>
      <c r="Y5" s="112"/>
      <c r="Z5" s="112"/>
    </row>
    <row r="6" spans="1:26" x14ac:dyDescent="0.3">
      <c r="B6" s="329"/>
      <c r="C6" s="330" t="str">
        <f>"T12 ending "&amp;TEXT(O6,"mmm-yy")</f>
        <v>T12 ending Dec-25</v>
      </c>
      <c r="D6" s="331">
        <v>45658</v>
      </c>
      <c r="E6" s="331">
        <f>EOMONTH(D6,1)</f>
        <v>45716</v>
      </c>
      <c r="F6" s="331">
        <f t="shared" ref="F6:O6" si="1">EOMONTH(E6,1)</f>
        <v>45747</v>
      </c>
      <c r="G6" s="331">
        <f t="shared" si="1"/>
        <v>45777</v>
      </c>
      <c r="H6" s="331">
        <f t="shared" si="1"/>
        <v>45808</v>
      </c>
      <c r="I6" s="331">
        <f t="shared" si="1"/>
        <v>45838</v>
      </c>
      <c r="J6" s="331">
        <f t="shared" si="1"/>
        <v>45869</v>
      </c>
      <c r="K6" s="331">
        <f t="shared" si="1"/>
        <v>45900</v>
      </c>
      <c r="L6" s="331">
        <f t="shared" si="1"/>
        <v>45930</v>
      </c>
      <c r="M6" s="331">
        <f t="shared" si="1"/>
        <v>45961</v>
      </c>
      <c r="N6" s="331">
        <f t="shared" si="1"/>
        <v>45991</v>
      </c>
      <c r="O6" s="331">
        <f t="shared" si="1"/>
        <v>46022</v>
      </c>
      <c r="P6" s="332"/>
      <c r="Q6" s="333" t="s">
        <v>38</v>
      </c>
      <c r="R6" s="333" t="s">
        <v>37</v>
      </c>
      <c r="S6" s="334"/>
      <c r="T6" s="335" t="s">
        <v>182</v>
      </c>
      <c r="U6" s="329"/>
      <c r="V6" s="336" t="s">
        <v>183</v>
      </c>
      <c r="W6" s="337"/>
      <c r="X6" s="337"/>
      <c r="Y6" s="338"/>
      <c r="Z6" s="112"/>
    </row>
    <row r="7" spans="1:26" ht="15" thickBot="1" x14ac:dyDescent="0.35">
      <c r="C7" s="339"/>
      <c r="D7" s="340"/>
      <c r="E7"/>
      <c r="F7"/>
      <c r="G7"/>
      <c r="H7"/>
      <c r="I7"/>
      <c r="J7"/>
      <c r="K7"/>
      <c r="L7"/>
      <c r="M7"/>
      <c r="N7"/>
      <c r="O7"/>
      <c r="P7" s="341"/>
      <c r="Q7" s="342"/>
      <c r="R7" s="342"/>
      <c r="T7" s="329"/>
    </row>
    <row r="8" spans="1:26" ht="16.2" customHeight="1" thickBot="1" x14ac:dyDescent="0.35">
      <c r="C8" s="207"/>
      <c r="D8"/>
      <c r="E8"/>
      <c r="F8"/>
      <c r="G8"/>
      <c r="H8"/>
      <c r="I8"/>
      <c r="J8"/>
      <c r="K8"/>
      <c r="L8"/>
      <c r="M8"/>
      <c r="N8"/>
      <c r="O8"/>
      <c r="P8" s="341"/>
      <c r="Q8" s="343">
        <f t="shared" ref="Q8:Q14" si="2">SUM(D8:O8)</f>
        <v>0</v>
      </c>
      <c r="R8" s="344">
        <f t="shared" ref="R8:R15" si="3">SUM(M8:O8)*4</f>
        <v>0</v>
      </c>
      <c r="T8" s="315" t="s">
        <v>184</v>
      </c>
      <c r="V8" s="168" t="s">
        <v>185</v>
      </c>
      <c r="W8" s="409" t="s">
        <v>38</v>
      </c>
      <c r="X8" s="409" t="s">
        <v>37</v>
      </c>
      <c r="Y8" s="411"/>
    </row>
    <row r="9" spans="1:26" x14ac:dyDescent="0.3">
      <c r="C9" s="523" t="s">
        <v>500</v>
      </c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345"/>
      <c r="Q9" s="343">
        <f t="shared" si="2"/>
        <v>0</v>
      </c>
      <c r="R9" s="344">
        <f t="shared" si="3"/>
        <v>0</v>
      </c>
      <c r="T9" s="316" t="s">
        <v>186</v>
      </c>
      <c r="U9" s="107">
        <v>1</v>
      </c>
      <c r="V9" s="138" t="s">
        <v>50</v>
      </c>
      <c r="W9" s="317">
        <f>SUMIF($B$1:$B$495,U9,$Q$1:$Q$495)</f>
        <v>3865317</v>
      </c>
      <c r="X9" s="317">
        <f>SUMIF($B$1:$B$495,U9,$R$1:$R$495)</f>
        <v>3121240</v>
      </c>
      <c r="Y9" s="245"/>
    </row>
    <row r="10" spans="1:26" x14ac:dyDescent="0.3">
      <c r="B10" s="263">
        <v>1</v>
      </c>
      <c r="C10" s="650" t="s">
        <v>501</v>
      </c>
      <c r="D10" s="414">
        <v>342198</v>
      </c>
      <c r="E10" s="414">
        <v>347296</v>
      </c>
      <c r="F10" s="414">
        <v>346450</v>
      </c>
      <c r="G10" s="414">
        <v>344142</v>
      </c>
      <c r="H10" s="414">
        <v>337405</v>
      </c>
      <c r="I10" s="414">
        <v>341284</v>
      </c>
      <c r="J10" s="414">
        <v>342324</v>
      </c>
      <c r="K10" s="414">
        <v>341704</v>
      </c>
      <c r="L10" s="414">
        <v>342204</v>
      </c>
      <c r="M10" s="414">
        <v>260655</v>
      </c>
      <c r="N10" s="414">
        <v>260225</v>
      </c>
      <c r="O10" s="414">
        <v>259430</v>
      </c>
      <c r="P10" s="535"/>
      <c r="Q10" s="343">
        <f t="shared" si="2"/>
        <v>3865317</v>
      </c>
      <c r="R10" s="344">
        <f t="shared" si="3"/>
        <v>3121240</v>
      </c>
      <c r="T10" s="316" t="s">
        <v>187</v>
      </c>
      <c r="U10" s="107">
        <v>2</v>
      </c>
      <c r="V10" s="138" t="s">
        <v>188</v>
      </c>
      <c r="W10" s="317">
        <f>SUMIF($B$1:$B$495,U10,$Q$1:$Q$495)</f>
        <v>0</v>
      </c>
      <c r="X10" s="317">
        <f>SUMIF($B$1:$B$495,U10,$R$1:$R$495)</f>
        <v>0</v>
      </c>
      <c r="Y10" s="245"/>
    </row>
    <row r="11" spans="1:26" x14ac:dyDescent="0.3">
      <c r="C11" s="651" t="s">
        <v>502</v>
      </c>
      <c r="D11" s="419">
        <v>342198</v>
      </c>
      <c r="E11" s="419">
        <v>347296</v>
      </c>
      <c r="F11" s="419">
        <v>346450</v>
      </c>
      <c r="G11" s="419">
        <v>344142</v>
      </c>
      <c r="H11" s="419">
        <v>337405</v>
      </c>
      <c r="I11" s="419">
        <v>341284</v>
      </c>
      <c r="J11" s="419">
        <v>342324</v>
      </c>
      <c r="K11" s="419">
        <v>341704</v>
      </c>
      <c r="L11" s="419">
        <v>342204</v>
      </c>
      <c r="M11" s="419">
        <v>260655</v>
      </c>
      <c r="N11" s="419">
        <v>260225</v>
      </c>
      <c r="O11" s="419">
        <v>259430</v>
      </c>
      <c r="P11" s="414"/>
      <c r="Q11" s="343">
        <f t="shared" si="2"/>
        <v>3865317</v>
      </c>
      <c r="R11" s="344">
        <f t="shared" si="3"/>
        <v>3121240</v>
      </c>
      <c r="T11" s="316" t="s">
        <v>189</v>
      </c>
      <c r="U11" s="107"/>
      <c r="V11" s="97" t="s">
        <v>52</v>
      </c>
      <c r="W11" s="13">
        <f>SUM(W9:W10)</f>
        <v>3865317</v>
      </c>
      <c r="X11" s="13">
        <f>SUM(X9:X10)</f>
        <v>3121240</v>
      </c>
      <c r="Y11" s="98"/>
    </row>
    <row r="12" spans="1:26" x14ac:dyDescent="0.3">
      <c r="C12" s="588" t="s">
        <v>508</v>
      </c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343">
        <f t="shared" si="2"/>
        <v>0</v>
      </c>
      <c r="R12" s="344">
        <f t="shared" si="3"/>
        <v>0</v>
      </c>
      <c r="T12" s="316" t="s">
        <v>190</v>
      </c>
      <c r="U12" s="107">
        <v>3</v>
      </c>
      <c r="V12" s="138" t="s">
        <v>39</v>
      </c>
      <c r="W12" s="317">
        <f>SUMIF($B$1:$B$495,U12,$Q$1:$Q$495)</f>
        <v>0</v>
      </c>
      <c r="X12" s="317">
        <f>SUMIF($B$1:$B$495,U12,$R$1:$R$495)</f>
        <v>0</v>
      </c>
      <c r="Y12" s="253">
        <f>W12/W11</f>
        <v>0</v>
      </c>
    </row>
    <row r="13" spans="1:26" x14ac:dyDescent="0.3">
      <c r="B13" s="263">
        <v>4</v>
      </c>
      <c r="C13" s="533" t="s">
        <v>503</v>
      </c>
      <c r="D13" s="414">
        <v>-336374</v>
      </c>
      <c r="E13" s="414">
        <v>-319718</v>
      </c>
      <c r="F13" s="414">
        <v>-318688</v>
      </c>
      <c r="G13" s="414">
        <v>-311160</v>
      </c>
      <c r="H13" s="414">
        <v>-295563</v>
      </c>
      <c r="I13" s="414">
        <v>-288482</v>
      </c>
      <c r="J13" s="414">
        <v>-292912</v>
      </c>
      <c r="K13" s="414">
        <v>-284302</v>
      </c>
      <c r="L13" s="414">
        <v>-281071</v>
      </c>
      <c r="M13" s="414">
        <v>-187981</v>
      </c>
      <c r="N13" s="414">
        <v>-180049</v>
      </c>
      <c r="O13" s="414">
        <v>-176206</v>
      </c>
      <c r="P13" s="414"/>
      <c r="Q13" s="343">
        <f t="shared" si="2"/>
        <v>-3272506</v>
      </c>
      <c r="R13" s="344">
        <f t="shared" si="3"/>
        <v>-2176944</v>
      </c>
      <c r="T13" s="316" t="s">
        <v>191</v>
      </c>
      <c r="U13" s="107"/>
      <c r="V13" s="99" t="s">
        <v>192</v>
      </c>
      <c r="W13" s="82">
        <f>W11+W12</f>
        <v>3865317</v>
      </c>
      <c r="X13" s="82">
        <f>X11+X12</f>
        <v>3121240</v>
      </c>
      <c r="Y13" s="318"/>
    </row>
    <row r="14" spans="1:26" x14ac:dyDescent="0.3">
      <c r="B14" s="263">
        <v>7</v>
      </c>
      <c r="C14" s="652" t="s">
        <v>504</v>
      </c>
      <c r="D14" s="414">
        <v>-2870</v>
      </c>
      <c r="E14" s="414">
        <v>-2870</v>
      </c>
      <c r="F14" s="414">
        <v>-2870</v>
      </c>
      <c r="G14" s="414">
        <v>-2870</v>
      </c>
      <c r="H14" s="414">
        <v>0</v>
      </c>
      <c r="I14" s="414">
        <v>0</v>
      </c>
      <c r="J14" s="414">
        <v>0</v>
      </c>
      <c r="K14" s="414">
        <v>0</v>
      </c>
      <c r="L14" s="414">
        <v>0</v>
      </c>
      <c r="M14" s="414">
        <v>0</v>
      </c>
      <c r="N14" s="414">
        <v>0</v>
      </c>
      <c r="O14" s="414">
        <v>0</v>
      </c>
      <c r="P14" s="414"/>
      <c r="Q14" s="343">
        <f t="shared" si="2"/>
        <v>-11480</v>
      </c>
      <c r="R14" s="344">
        <f t="shared" si="3"/>
        <v>0</v>
      </c>
      <c r="T14" s="316" t="s">
        <v>193</v>
      </c>
      <c r="U14" s="107">
        <v>4</v>
      </c>
      <c r="V14" s="138" t="s">
        <v>40</v>
      </c>
      <c r="W14" s="317">
        <f>SUMIF($B$1:$B$495,U14,$Q$1:$Q$495)</f>
        <v>-3272506</v>
      </c>
      <c r="X14" s="317">
        <f>SUMIF($B$1:$B$495,U14,$R$1:$R$495)</f>
        <v>-2176944</v>
      </c>
      <c r="Y14" s="245"/>
    </row>
    <row r="15" spans="1:26" x14ac:dyDescent="0.3">
      <c r="B15" s="263">
        <v>5</v>
      </c>
      <c r="C15" s="536" t="s">
        <v>505</v>
      </c>
      <c r="D15" s="414">
        <v>0</v>
      </c>
      <c r="E15" s="414">
        <v>0</v>
      </c>
      <c r="F15" s="414">
        <v>0</v>
      </c>
      <c r="G15" s="414">
        <v>0</v>
      </c>
      <c r="H15" s="414">
        <v>-10440</v>
      </c>
      <c r="I15" s="414">
        <v>-17220</v>
      </c>
      <c r="J15" s="414">
        <v>-13310</v>
      </c>
      <c r="K15" s="414">
        <v>-16530</v>
      </c>
      <c r="L15" s="414">
        <v>-6090</v>
      </c>
      <c r="M15" s="414">
        <v>-17570</v>
      </c>
      <c r="N15" s="414">
        <v>-20440</v>
      </c>
      <c r="O15" s="414">
        <v>-23310</v>
      </c>
      <c r="P15" s="414"/>
      <c r="Q15" s="343">
        <f>SUM(D15:O15)</f>
        <v>-124910</v>
      </c>
      <c r="R15" s="344">
        <f t="shared" si="3"/>
        <v>-245280</v>
      </c>
      <c r="T15" s="316" t="s">
        <v>194</v>
      </c>
      <c r="U15" s="107">
        <v>5</v>
      </c>
      <c r="V15" s="138" t="s">
        <v>41</v>
      </c>
      <c r="W15" s="317">
        <f>SUMIF($B$1:$B$495,U15,$Q$1:$Q$495)</f>
        <v>-125930</v>
      </c>
      <c r="X15" s="317">
        <f>SUMIF($B$1:$B$495,U15,$R$1:$R$495)</f>
        <v>-247280</v>
      </c>
      <c r="Y15" s="245"/>
    </row>
    <row r="16" spans="1:26" x14ac:dyDescent="0.3">
      <c r="B16" s="263">
        <v>5</v>
      </c>
      <c r="C16" s="652" t="s">
        <v>506</v>
      </c>
      <c r="D16" s="414">
        <v>0</v>
      </c>
      <c r="E16" s="414">
        <v>0</v>
      </c>
      <c r="F16" s="414">
        <v>0</v>
      </c>
      <c r="G16" s="414">
        <v>0</v>
      </c>
      <c r="H16" s="414">
        <v>0</v>
      </c>
      <c r="I16" s="414">
        <v>0</v>
      </c>
      <c r="J16" s="414">
        <v>0</v>
      </c>
      <c r="K16" s="414">
        <v>0</v>
      </c>
      <c r="L16" s="414">
        <v>0</v>
      </c>
      <c r="M16" s="414">
        <v>0</v>
      </c>
      <c r="N16" s="414">
        <v>0</v>
      </c>
      <c r="O16" s="414">
        <v>-500</v>
      </c>
      <c r="P16" s="419"/>
      <c r="Q16" s="343">
        <f t="shared" ref="Q16:Q17" si="4">SUM(D16:O16)</f>
        <v>-500</v>
      </c>
      <c r="R16" s="344">
        <f t="shared" ref="R16:R17" si="5">SUM(M16:O16)*4</f>
        <v>-2000</v>
      </c>
      <c r="T16" s="316" t="s">
        <v>195</v>
      </c>
      <c r="U16" s="107">
        <v>6</v>
      </c>
      <c r="V16" s="138" t="s">
        <v>54</v>
      </c>
      <c r="W16" s="317">
        <f>SUMIF($B$1:$B$495,U16,$Q$1:$Q$495)</f>
        <v>0</v>
      </c>
      <c r="X16" s="317">
        <f>SUMIF($B$1:$B$495,U16,$R$1:$R$495)</f>
        <v>0</v>
      </c>
      <c r="Y16" s="245"/>
    </row>
    <row r="17" spans="2:27" x14ac:dyDescent="0.3">
      <c r="B17" s="263">
        <v>5</v>
      </c>
      <c r="C17" s="652" t="s">
        <v>507</v>
      </c>
      <c r="D17" s="414">
        <v>0</v>
      </c>
      <c r="E17" s="414">
        <v>0</v>
      </c>
      <c r="F17" s="414">
        <v>0</v>
      </c>
      <c r="G17" s="414">
        <v>0</v>
      </c>
      <c r="H17" s="414">
        <v>0</v>
      </c>
      <c r="I17" s="414">
        <v>0</v>
      </c>
      <c r="J17" s="414">
        <v>-520</v>
      </c>
      <c r="K17" s="414">
        <v>0</v>
      </c>
      <c r="L17" s="414">
        <v>0</v>
      </c>
      <c r="M17" s="414">
        <v>0</v>
      </c>
      <c r="N17" s="414">
        <v>0</v>
      </c>
      <c r="O17" s="414">
        <v>0</v>
      </c>
      <c r="P17" s="414"/>
      <c r="Q17" s="343">
        <f t="shared" si="4"/>
        <v>-520</v>
      </c>
      <c r="R17" s="344">
        <f t="shared" si="5"/>
        <v>0</v>
      </c>
      <c r="T17" s="316" t="s">
        <v>196</v>
      </c>
      <c r="U17" s="107">
        <v>7</v>
      </c>
      <c r="V17" s="138" t="s">
        <v>43</v>
      </c>
      <c r="W17" s="317">
        <f>SUMIF($B$1:$B$495,U17,$Q$1:$Q$495)</f>
        <v>-11480</v>
      </c>
      <c r="X17" s="317">
        <f>SUMIF($B$1:$B$495,U17,$R$1:$R$495)</f>
        <v>0</v>
      </c>
      <c r="Y17" s="245"/>
    </row>
    <row r="18" spans="2:27" x14ac:dyDescent="0.3">
      <c r="C18" s="588" t="s">
        <v>509</v>
      </c>
      <c r="D18" s="419">
        <v>-339244</v>
      </c>
      <c r="E18" s="419">
        <v>-322588</v>
      </c>
      <c r="F18" s="419">
        <v>-321558</v>
      </c>
      <c r="G18" s="419">
        <v>-314030</v>
      </c>
      <c r="H18" s="419">
        <v>-306003</v>
      </c>
      <c r="I18" s="419">
        <v>-305702</v>
      </c>
      <c r="J18" s="419">
        <v>-306742</v>
      </c>
      <c r="K18" s="419">
        <v>-300832</v>
      </c>
      <c r="L18" s="419">
        <v>-287161</v>
      </c>
      <c r="M18" s="419">
        <v>-205551</v>
      </c>
      <c r="N18" s="419">
        <v>-200489</v>
      </c>
      <c r="O18" s="419">
        <v>-200016</v>
      </c>
      <c r="P18" s="414"/>
      <c r="Q18" s="343">
        <f t="shared" ref="Q18" si="6">SUM(D18:O18)</f>
        <v>-3409916</v>
      </c>
      <c r="R18" s="344">
        <f t="shared" ref="R18" si="7">SUM(M18:O18)*4</f>
        <v>-2424224</v>
      </c>
      <c r="T18" s="319" t="s">
        <v>197</v>
      </c>
      <c r="U18" s="107"/>
      <c r="V18" s="99" t="s">
        <v>55</v>
      </c>
      <c r="W18" s="82">
        <f>SUM(W13:W17)</f>
        <v>455401</v>
      </c>
      <c r="X18" s="82">
        <f>SUM(X13:X17)</f>
        <v>697016</v>
      </c>
      <c r="Y18" s="318"/>
    </row>
    <row r="19" spans="2:27" x14ac:dyDescent="0.3">
      <c r="C19" s="653" t="s">
        <v>510</v>
      </c>
      <c r="D19" s="419">
        <v>2954</v>
      </c>
      <c r="E19" s="419">
        <v>24708</v>
      </c>
      <c r="F19" s="419">
        <v>24892</v>
      </c>
      <c r="G19" s="419">
        <v>30112</v>
      </c>
      <c r="H19" s="419">
        <v>31402</v>
      </c>
      <c r="I19" s="419">
        <v>35582</v>
      </c>
      <c r="J19" s="419">
        <v>35582</v>
      </c>
      <c r="K19" s="419">
        <v>40872</v>
      </c>
      <c r="L19" s="419">
        <v>55043</v>
      </c>
      <c r="M19" s="419">
        <v>55104</v>
      </c>
      <c r="N19" s="419">
        <v>59736</v>
      </c>
      <c r="O19" s="419">
        <v>59414</v>
      </c>
      <c r="P19" s="414"/>
      <c r="Q19" s="343">
        <f t="shared" ref="Q19:Q82" si="8">SUM(D19:O19)</f>
        <v>455401</v>
      </c>
      <c r="R19" s="344">
        <f t="shared" ref="R19:R82" si="9">SUM(M19:O19)*4</f>
        <v>697016</v>
      </c>
      <c r="T19" s="319" t="s">
        <v>198</v>
      </c>
      <c r="U19" s="107">
        <v>8</v>
      </c>
      <c r="V19" s="138" t="s">
        <v>56</v>
      </c>
      <c r="W19" s="317">
        <f>SUMIF($B$1:$B$495,U19,$Q$1:$Q$495)</f>
        <v>585</v>
      </c>
      <c r="X19" s="317">
        <f>SUMIF($B$1:$B$495,U19,$R$1:$R$495)</f>
        <v>2340</v>
      </c>
      <c r="Y19" s="245"/>
    </row>
    <row r="20" spans="2:27" ht="16.5" customHeight="1" x14ac:dyDescent="0.3">
      <c r="C20" s="575" t="s">
        <v>523</v>
      </c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343">
        <f t="shared" si="8"/>
        <v>0</v>
      </c>
      <c r="R20" s="344">
        <f t="shared" si="9"/>
        <v>0</v>
      </c>
      <c r="T20" s="319" t="s">
        <v>199</v>
      </c>
      <c r="U20" s="107">
        <v>9</v>
      </c>
      <c r="V20" s="138" t="s">
        <v>57</v>
      </c>
      <c r="W20" s="317">
        <f>SUMIF($B$1:$B$495,U20,$Q$1:$Q$495)</f>
        <v>124</v>
      </c>
      <c r="X20" s="317">
        <f>SUMIF($B$1:$B$495,U20,$R$1:$R$495)</f>
        <v>496</v>
      </c>
      <c r="Y20" s="245"/>
    </row>
    <row r="21" spans="2:27" x14ac:dyDescent="0.3">
      <c r="B21" s="263">
        <v>8</v>
      </c>
      <c r="C21" s="532" t="s">
        <v>511</v>
      </c>
      <c r="D21" s="414">
        <v>0</v>
      </c>
      <c r="E21" s="414">
        <v>0</v>
      </c>
      <c r="F21" s="414">
        <v>0</v>
      </c>
      <c r="G21" s="414">
        <v>0</v>
      </c>
      <c r="H21" s="414">
        <v>0</v>
      </c>
      <c r="I21" s="414">
        <v>0</v>
      </c>
      <c r="J21" s="414">
        <v>0</v>
      </c>
      <c r="K21" s="414">
        <v>0</v>
      </c>
      <c r="L21" s="414">
        <v>0</v>
      </c>
      <c r="M21" s="414">
        <v>0</v>
      </c>
      <c r="N21" s="414">
        <v>76</v>
      </c>
      <c r="O21" s="414">
        <v>282</v>
      </c>
      <c r="P21" s="414"/>
      <c r="Q21" s="343">
        <f t="shared" si="8"/>
        <v>358</v>
      </c>
      <c r="R21" s="344">
        <f t="shared" si="9"/>
        <v>1432</v>
      </c>
      <c r="T21" s="319" t="s">
        <v>200</v>
      </c>
      <c r="U21" s="107">
        <v>10</v>
      </c>
      <c r="V21" s="138" t="s">
        <v>58</v>
      </c>
      <c r="W21" s="317">
        <f>SUMIF($B$1:$B$495,U21,$Q$1:$Q$495)</f>
        <v>28407.75</v>
      </c>
      <c r="X21" s="317">
        <f>SUMIF($B$1:$B$495,U21,$R$1:$R$495)</f>
        <v>45501</v>
      </c>
      <c r="Y21" s="245"/>
      <c r="AA21" s="320"/>
    </row>
    <row r="22" spans="2:27" ht="15" thickBot="1" x14ac:dyDescent="0.35">
      <c r="B22" s="263">
        <v>8</v>
      </c>
      <c r="C22" s="652" t="s">
        <v>512</v>
      </c>
      <c r="D22" s="414">
        <v>0</v>
      </c>
      <c r="E22" s="414">
        <v>0</v>
      </c>
      <c r="F22" s="414">
        <v>0</v>
      </c>
      <c r="G22" s="414">
        <v>0</v>
      </c>
      <c r="H22" s="414">
        <v>0</v>
      </c>
      <c r="I22" s="414">
        <v>0</v>
      </c>
      <c r="J22" s="414">
        <v>0</v>
      </c>
      <c r="K22" s="414">
        <v>0</v>
      </c>
      <c r="L22" s="414">
        <v>0</v>
      </c>
      <c r="M22" s="414">
        <v>0</v>
      </c>
      <c r="N22" s="414">
        <v>32</v>
      </c>
      <c r="O22" s="414">
        <v>118</v>
      </c>
      <c r="P22" s="414"/>
      <c r="Q22" s="343">
        <f t="shared" si="8"/>
        <v>150</v>
      </c>
      <c r="R22" s="344">
        <f t="shared" si="9"/>
        <v>600</v>
      </c>
      <c r="T22" s="319" t="s">
        <v>201</v>
      </c>
      <c r="U22" s="107"/>
      <c r="V22" s="110" t="s">
        <v>59</v>
      </c>
      <c r="W22" s="111">
        <f>SUM(W18:W21)</f>
        <v>484517.75</v>
      </c>
      <c r="X22" s="111">
        <f>SUM(X18:X21)</f>
        <v>745353</v>
      </c>
      <c r="Y22" s="321"/>
    </row>
    <row r="23" spans="2:27" ht="15.6" thickTop="1" thickBot="1" x14ac:dyDescent="0.35">
      <c r="B23" s="263">
        <v>9</v>
      </c>
      <c r="C23" s="532" t="s">
        <v>513</v>
      </c>
      <c r="D23" s="414">
        <v>0</v>
      </c>
      <c r="E23" s="414">
        <v>0</v>
      </c>
      <c r="F23" s="414">
        <v>0</v>
      </c>
      <c r="G23" s="414">
        <v>0</v>
      </c>
      <c r="H23" s="414">
        <v>0</v>
      </c>
      <c r="I23" s="414">
        <v>0</v>
      </c>
      <c r="J23" s="414">
        <v>0</v>
      </c>
      <c r="K23" s="414">
        <v>0</v>
      </c>
      <c r="L23" s="414">
        <v>0</v>
      </c>
      <c r="M23" s="414">
        <v>0</v>
      </c>
      <c r="N23" s="414">
        <v>26</v>
      </c>
      <c r="O23" s="414">
        <v>98</v>
      </c>
      <c r="P23" s="414"/>
      <c r="Q23" s="343">
        <f t="shared" si="8"/>
        <v>124</v>
      </c>
      <c r="R23" s="344">
        <f t="shared" si="9"/>
        <v>496</v>
      </c>
      <c r="T23" s="319" t="s">
        <v>202</v>
      </c>
      <c r="U23" s="107"/>
      <c r="V23" s="137"/>
      <c r="W23" s="347"/>
      <c r="X23" s="347"/>
      <c r="Y23" s="322"/>
    </row>
    <row r="24" spans="2:27" ht="15" thickBot="1" x14ac:dyDescent="0.35">
      <c r="B24" s="263">
        <v>10</v>
      </c>
      <c r="C24" s="652" t="s">
        <v>514</v>
      </c>
      <c r="D24" s="414">
        <v>0</v>
      </c>
      <c r="E24" s="414">
        <v>0</v>
      </c>
      <c r="F24" s="414">
        <v>0</v>
      </c>
      <c r="G24" s="414">
        <v>40</v>
      </c>
      <c r="H24" s="414">
        <v>70</v>
      </c>
      <c r="I24" s="414">
        <v>-90</v>
      </c>
      <c r="J24" s="414">
        <v>-20</v>
      </c>
      <c r="K24" s="414">
        <v>0</v>
      </c>
      <c r="L24" s="414">
        <v>0</v>
      </c>
      <c r="M24" s="414">
        <v>0</v>
      </c>
      <c r="N24" s="414">
        <v>0</v>
      </c>
      <c r="O24" s="414">
        <v>0</v>
      </c>
      <c r="P24" s="414"/>
      <c r="Q24" s="343">
        <f t="shared" si="8"/>
        <v>0</v>
      </c>
      <c r="R24" s="344">
        <f t="shared" si="9"/>
        <v>0</v>
      </c>
      <c r="T24" s="319" t="s">
        <v>203</v>
      </c>
      <c r="U24" s="107"/>
      <c r="V24" s="168" t="s">
        <v>60</v>
      </c>
      <c r="W24" s="409" t="s">
        <v>38</v>
      </c>
      <c r="X24" s="409" t="s">
        <v>37</v>
      </c>
      <c r="Y24" s="410"/>
    </row>
    <row r="25" spans="2:27" x14ac:dyDescent="0.3">
      <c r="B25" s="263">
        <v>10</v>
      </c>
      <c r="C25" s="652" t="s">
        <v>515</v>
      </c>
      <c r="D25" s="414">
        <v>0</v>
      </c>
      <c r="E25" s="414">
        <v>0</v>
      </c>
      <c r="F25" s="414">
        <v>0</v>
      </c>
      <c r="G25" s="414">
        <v>0</v>
      </c>
      <c r="H25" s="414">
        <v>0</v>
      </c>
      <c r="I25" s="414">
        <v>0</v>
      </c>
      <c r="J25" s="414">
        <v>0</v>
      </c>
      <c r="K25" s="414">
        <v>0</v>
      </c>
      <c r="L25" s="414">
        <v>0</v>
      </c>
      <c r="M25" s="414">
        <v>0</v>
      </c>
      <c r="N25" s="414">
        <v>0</v>
      </c>
      <c r="O25" s="414">
        <v>0</v>
      </c>
      <c r="P25" s="419"/>
      <c r="Q25" s="420">
        <f t="shared" si="8"/>
        <v>0</v>
      </c>
      <c r="R25" s="421">
        <f t="shared" si="9"/>
        <v>0</v>
      </c>
      <c r="T25" s="319" t="s">
        <v>204</v>
      </c>
      <c r="U25" s="107">
        <v>11</v>
      </c>
      <c r="V25" s="138" t="s">
        <v>62</v>
      </c>
      <c r="W25" s="317">
        <f t="shared" ref="W25:W37" si="10">SUMIF($B$1:$B$495,U25,$Q$1:$Q$495)</f>
        <v>183567.24</v>
      </c>
      <c r="X25" s="317">
        <f t="shared" ref="X25:X37" si="11">SUMIF($B$1:$B$495,U25,$R$1:$R$495)</f>
        <v>172429.23999999996</v>
      </c>
      <c r="Y25" s="245"/>
    </row>
    <row r="26" spans="2:27" x14ac:dyDescent="0.3">
      <c r="B26" s="263">
        <v>10</v>
      </c>
      <c r="C26" s="532" t="s">
        <v>516</v>
      </c>
      <c r="D26" s="414">
        <v>0</v>
      </c>
      <c r="E26" s="414">
        <v>0</v>
      </c>
      <c r="F26" s="414">
        <v>0</v>
      </c>
      <c r="G26" s="414">
        <v>287</v>
      </c>
      <c r="H26" s="414">
        <v>111.5</v>
      </c>
      <c r="I26" s="414">
        <v>-398.5</v>
      </c>
      <c r="J26" s="414">
        <v>0</v>
      </c>
      <c r="K26" s="414">
        <v>143.5</v>
      </c>
      <c r="L26" s="414">
        <v>0</v>
      </c>
      <c r="M26" s="414">
        <v>224</v>
      </c>
      <c r="N26" s="414">
        <v>468.75</v>
      </c>
      <c r="O26" s="414">
        <v>-382.5</v>
      </c>
      <c r="P26" s="414"/>
      <c r="Q26" s="343">
        <f t="shared" si="8"/>
        <v>453.75</v>
      </c>
      <c r="R26" s="344">
        <f t="shared" si="9"/>
        <v>1241</v>
      </c>
      <c r="T26" s="319" t="s">
        <v>205</v>
      </c>
      <c r="U26" s="107">
        <v>12</v>
      </c>
      <c r="V26" s="138" t="s">
        <v>63</v>
      </c>
      <c r="W26" s="317">
        <f t="shared" si="10"/>
        <v>13994.57</v>
      </c>
      <c r="X26" s="317">
        <f t="shared" si="11"/>
        <v>27232.760000000002</v>
      </c>
      <c r="Y26" s="245"/>
    </row>
    <row r="27" spans="2:27" x14ac:dyDescent="0.3">
      <c r="B27" s="263">
        <v>10</v>
      </c>
      <c r="C27" s="652" t="s">
        <v>517</v>
      </c>
      <c r="D27" s="414">
        <v>300</v>
      </c>
      <c r="E27" s="414">
        <v>300</v>
      </c>
      <c r="F27" s="414">
        <v>600</v>
      </c>
      <c r="G27" s="414">
        <v>0</v>
      </c>
      <c r="H27" s="414">
        <v>300</v>
      </c>
      <c r="I27" s="414">
        <v>-300</v>
      </c>
      <c r="J27" s="414">
        <v>0</v>
      </c>
      <c r="K27" s="414">
        <v>100</v>
      </c>
      <c r="L27" s="414">
        <v>300</v>
      </c>
      <c r="M27" s="414">
        <v>100</v>
      </c>
      <c r="N27" s="414">
        <v>100</v>
      </c>
      <c r="O27" s="414">
        <v>100</v>
      </c>
      <c r="P27" s="341"/>
      <c r="Q27" s="343">
        <f t="shared" si="8"/>
        <v>1900</v>
      </c>
      <c r="R27" s="344">
        <f t="shared" si="9"/>
        <v>1200</v>
      </c>
      <c r="T27" s="319" t="s">
        <v>206</v>
      </c>
      <c r="U27" s="107">
        <v>13</v>
      </c>
      <c r="V27" s="138" t="s">
        <v>64</v>
      </c>
      <c r="W27" s="317">
        <f t="shared" si="10"/>
        <v>14865.53</v>
      </c>
      <c r="X27" s="317">
        <f t="shared" si="11"/>
        <v>11974</v>
      </c>
      <c r="Y27" s="245"/>
    </row>
    <row r="28" spans="2:27" x14ac:dyDescent="0.3">
      <c r="B28" s="263">
        <v>10</v>
      </c>
      <c r="C28" s="652" t="s">
        <v>518</v>
      </c>
      <c r="D28" s="414">
        <v>85</v>
      </c>
      <c r="E28" s="414">
        <v>85</v>
      </c>
      <c r="F28" s="414">
        <v>425</v>
      </c>
      <c r="G28" s="414">
        <v>0</v>
      </c>
      <c r="H28" s="414">
        <v>854</v>
      </c>
      <c r="I28" s="414">
        <v>-170</v>
      </c>
      <c r="J28" s="414">
        <v>810</v>
      </c>
      <c r="K28" s="414">
        <v>255</v>
      </c>
      <c r="L28" s="414">
        <v>525</v>
      </c>
      <c r="M28" s="414">
        <v>170</v>
      </c>
      <c r="N28" s="414">
        <v>425</v>
      </c>
      <c r="O28" s="414">
        <v>255</v>
      </c>
      <c r="P28" s="341"/>
      <c r="Q28" s="343">
        <f t="shared" si="8"/>
        <v>3719</v>
      </c>
      <c r="R28" s="344">
        <f t="shared" si="9"/>
        <v>3400</v>
      </c>
      <c r="T28" s="319" t="s">
        <v>207</v>
      </c>
      <c r="U28" s="107">
        <v>14</v>
      </c>
      <c r="V28" s="138" t="s">
        <v>65</v>
      </c>
      <c r="W28" s="317">
        <f t="shared" si="10"/>
        <v>73738.929999999993</v>
      </c>
      <c r="X28" s="317">
        <f t="shared" si="11"/>
        <v>75831.679999999993</v>
      </c>
      <c r="Y28" s="245"/>
    </row>
    <row r="29" spans="2:27" x14ac:dyDescent="0.3">
      <c r="B29" s="263">
        <v>10</v>
      </c>
      <c r="C29" s="652" t="s">
        <v>519</v>
      </c>
      <c r="D29" s="414">
        <v>0</v>
      </c>
      <c r="E29" s="414">
        <v>0</v>
      </c>
      <c r="F29" s="414">
        <v>0</v>
      </c>
      <c r="G29" s="414">
        <v>0</v>
      </c>
      <c r="H29" s="414">
        <v>0</v>
      </c>
      <c r="I29" s="414">
        <v>0</v>
      </c>
      <c r="J29" s="414">
        <v>0</v>
      </c>
      <c r="K29" s="414">
        <v>35</v>
      </c>
      <c r="L29" s="414">
        <v>385</v>
      </c>
      <c r="M29" s="414">
        <v>35</v>
      </c>
      <c r="N29" s="414">
        <v>490</v>
      </c>
      <c r="O29" s="414">
        <v>70</v>
      </c>
      <c r="P29" s="341"/>
      <c r="Q29" s="343">
        <f t="shared" si="8"/>
        <v>1015</v>
      </c>
      <c r="R29" s="344">
        <f t="shared" si="9"/>
        <v>2380</v>
      </c>
      <c r="T29" s="319" t="s">
        <v>208</v>
      </c>
      <c r="U29" s="107">
        <v>15</v>
      </c>
      <c r="V29" s="138" t="s">
        <v>209</v>
      </c>
      <c r="W29" s="317">
        <f t="shared" si="10"/>
        <v>79997.630000000019</v>
      </c>
      <c r="X29" s="317">
        <f t="shared" si="11"/>
        <v>89185</v>
      </c>
      <c r="Y29" s="245"/>
    </row>
    <row r="30" spans="2:27" x14ac:dyDescent="0.3">
      <c r="B30" s="263">
        <v>8</v>
      </c>
      <c r="C30" s="652" t="s">
        <v>520</v>
      </c>
      <c r="D30" s="414">
        <v>0</v>
      </c>
      <c r="E30" s="414">
        <v>0</v>
      </c>
      <c r="F30" s="414">
        <v>0</v>
      </c>
      <c r="G30" s="414">
        <v>0</v>
      </c>
      <c r="H30" s="414">
        <v>0</v>
      </c>
      <c r="I30" s="414">
        <v>0</v>
      </c>
      <c r="J30" s="414">
        <v>0</v>
      </c>
      <c r="K30" s="414">
        <v>0</v>
      </c>
      <c r="L30" s="414">
        <v>0</v>
      </c>
      <c r="M30" s="414">
        <v>0</v>
      </c>
      <c r="N30" s="414">
        <v>16</v>
      </c>
      <c r="O30" s="414">
        <v>61</v>
      </c>
      <c r="P30" s="348"/>
      <c r="Q30" s="343">
        <f t="shared" si="8"/>
        <v>77</v>
      </c>
      <c r="R30" s="344">
        <f t="shared" si="9"/>
        <v>308</v>
      </c>
      <c r="T30" s="319" t="s">
        <v>210</v>
      </c>
      <c r="U30" s="107">
        <v>16</v>
      </c>
      <c r="V30" s="138" t="s">
        <v>211</v>
      </c>
      <c r="W30" s="317">
        <f t="shared" si="10"/>
        <v>7313.09</v>
      </c>
      <c r="X30" s="317">
        <f t="shared" si="11"/>
        <v>23186.400000000001</v>
      </c>
      <c r="Y30" s="245"/>
    </row>
    <row r="31" spans="2:27" ht="15" thickBot="1" x14ac:dyDescent="0.35">
      <c r="B31" s="263">
        <v>10</v>
      </c>
      <c r="C31" s="589" t="s">
        <v>521</v>
      </c>
      <c r="D31" s="349">
        <v>0</v>
      </c>
      <c r="E31" s="349">
        <v>0</v>
      </c>
      <c r="F31" s="349">
        <v>0</v>
      </c>
      <c r="G31" s="349">
        <v>0</v>
      </c>
      <c r="H31" s="349">
        <v>0</v>
      </c>
      <c r="I31" s="349">
        <v>0</v>
      </c>
      <c r="J31" s="349">
        <v>0</v>
      </c>
      <c r="K31" s="349">
        <v>0</v>
      </c>
      <c r="L31" s="349">
        <v>0</v>
      </c>
      <c r="M31" s="349">
        <v>0</v>
      </c>
      <c r="N31" s="349">
        <v>160</v>
      </c>
      <c r="O31" s="349">
        <v>160</v>
      </c>
      <c r="Q31" s="343">
        <f t="shared" si="8"/>
        <v>320</v>
      </c>
      <c r="R31" s="344">
        <f t="shared" si="9"/>
        <v>1280</v>
      </c>
      <c r="T31" s="323" t="s">
        <v>212</v>
      </c>
      <c r="U31" s="107">
        <v>17</v>
      </c>
      <c r="V31" s="138" t="s">
        <v>70</v>
      </c>
      <c r="W31" s="317">
        <f t="shared" si="10"/>
        <v>154532.66999999998</v>
      </c>
      <c r="X31" s="317">
        <f t="shared" si="11"/>
        <v>147922.44</v>
      </c>
      <c r="Y31" s="245"/>
    </row>
    <row r="32" spans="2:27" x14ac:dyDescent="0.3">
      <c r="B32" s="263">
        <v>10</v>
      </c>
      <c r="C32" s="589" t="s">
        <v>522</v>
      </c>
      <c r="D32" s="414">
        <v>0</v>
      </c>
      <c r="E32" s="414">
        <v>0</v>
      </c>
      <c r="F32" s="414">
        <v>0</v>
      </c>
      <c r="G32" s="414">
        <v>0</v>
      </c>
      <c r="H32" s="414">
        <v>0</v>
      </c>
      <c r="I32" s="414">
        <v>0</v>
      </c>
      <c r="J32" s="414">
        <v>0</v>
      </c>
      <c r="K32" s="414">
        <v>12000</v>
      </c>
      <c r="L32" s="414">
        <v>0</v>
      </c>
      <c r="M32" s="414">
        <v>9000</v>
      </c>
      <c r="N32" s="414">
        <v>0</v>
      </c>
      <c r="O32" s="414">
        <v>0</v>
      </c>
      <c r="P32" s="341"/>
      <c r="Q32" s="343">
        <f t="shared" si="8"/>
        <v>21000</v>
      </c>
      <c r="R32" s="344">
        <f>SUM(M32:O32)*4</f>
        <v>36000</v>
      </c>
      <c r="T32" s="315" t="s">
        <v>184</v>
      </c>
      <c r="U32" s="107">
        <v>18</v>
      </c>
      <c r="V32" s="138" t="s">
        <v>71</v>
      </c>
      <c r="W32" s="317">
        <f t="shared" si="10"/>
        <v>95880.89</v>
      </c>
      <c r="X32" s="317">
        <f t="shared" si="11"/>
        <v>98123.520000000004</v>
      </c>
      <c r="Y32" s="245"/>
    </row>
    <row r="33" spans="2:25" x14ac:dyDescent="0.3">
      <c r="C33" s="538" t="s">
        <v>524</v>
      </c>
      <c r="D33" s="419">
        <v>385</v>
      </c>
      <c r="E33" s="419">
        <v>385</v>
      </c>
      <c r="F33" s="419">
        <v>1025</v>
      </c>
      <c r="G33" s="419">
        <v>327</v>
      </c>
      <c r="H33" s="419">
        <v>1335.5</v>
      </c>
      <c r="I33" s="419">
        <v>-958.5</v>
      </c>
      <c r="J33" s="419">
        <v>790</v>
      </c>
      <c r="K33" s="419">
        <v>12533.5</v>
      </c>
      <c r="L33" s="419">
        <v>1210</v>
      </c>
      <c r="M33" s="419">
        <v>9529</v>
      </c>
      <c r="N33" s="419">
        <v>1793.75</v>
      </c>
      <c r="O33" s="419">
        <v>761.5</v>
      </c>
      <c r="P33" s="341"/>
      <c r="Q33" s="343">
        <f t="shared" si="8"/>
        <v>29116.75</v>
      </c>
      <c r="R33" s="344">
        <f t="shared" si="9"/>
        <v>48337</v>
      </c>
      <c r="T33" s="316" t="s">
        <v>186</v>
      </c>
      <c r="U33" s="107">
        <v>19</v>
      </c>
      <c r="V33" s="138" t="s">
        <v>68</v>
      </c>
      <c r="W33" s="317">
        <f t="shared" si="10"/>
        <v>118548.62000000001</v>
      </c>
      <c r="X33" s="317">
        <f t="shared" si="11"/>
        <v>118548.59999999999</v>
      </c>
      <c r="Y33" s="245"/>
    </row>
    <row r="34" spans="2:25" x14ac:dyDescent="0.3">
      <c r="C34" s="538" t="s">
        <v>525</v>
      </c>
      <c r="D34" s="419">
        <v>3339</v>
      </c>
      <c r="E34" s="419">
        <v>25093</v>
      </c>
      <c r="F34" s="419">
        <v>25917</v>
      </c>
      <c r="G34" s="419">
        <v>30439</v>
      </c>
      <c r="H34" s="419">
        <v>32737.5</v>
      </c>
      <c r="I34" s="419">
        <v>34623.5</v>
      </c>
      <c r="J34" s="419">
        <v>36372</v>
      </c>
      <c r="K34" s="419">
        <v>53405.5</v>
      </c>
      <c r="L34" s="419">
        <v>56253</v>
      </c>
      <c r="M34" s="419">
        <v>64633</v>
      </c>
      <c r="N34" s="419">
        <v>61529.75</v>
      </c>
      <c r="O34" s="419">
        <v>60175.5</v>
      </c>
      <c r="P34" s="341"/>
      <c r="Q34" s="343">
        <f t="shared" si="8"/>
        <v>484517.75</v>
      </c>
      <c r="R34" s="344">
        <f t="shared" si="9"/>
        <v>745353</v>
      </c>
      <c r="T34" s="316" t="s">
        <v>187</v>
      </c>
      <c r="U34" s="107">
        <v>20</v>
      </c>
      <c r="V34" s="138" t="s">
        <v>72</v>
      </c>
      <c r="W34" s="317">
        <f t="shared" si="10"/>
        <v>350471.85999999993</v>
      </c>
      <c r="X34" s="317">
        <f t="shared" si="11"/>
        <v>819039.28</v>
      </c>
      <c r="Y34" s="245"/>
    </row>
    <row r="35" spans="2:25" x14ac:dyDescent="0.3">
      <c r="C35" s="538" t="s">
        <v>526</v>
      </c>
      <c r="D35" s="414"/>
      <c r="E35" s="414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341"/>
      <c r="Q35" s="343">
        <f t="shared" si="8"/>
        <v>0</v>
      </c>
      <c r="R35" s="344">
        <f t="shared" si="9"/>
        <v>0</v>
      </c>
      <c r="T35" s="316" t="s">
        <v>189</v>
      </c>
      <c r="U35" s="107">
        <v>21</v>
      </c>
      <c r="V35" s="138" t="s">
        <v>69</v>
      </c>
      <c r="W35" s="317">
        <f t="shared" si="10"/>
        <v>30312.65</v>
      </c>
      <c r="X35" s="317">
        <f t="shared" si="11"/>
        <v>30000</v>
      </c>
      <c r="Y35" s="253">
        <f>W35/W18</f>
        <v>6.6562545975964046E-2</v>
      </c>
    </row>
    <row r="36" spans="2:25" x14ac:dyDescent="0.3">
      <c r="C36" s="538" t="s">
        <v>527</v>
      </c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341"/>
      <c r="Q36" s="343">
        <f t="shared" si="8"/>
        <v>0</v>
      </c>
      <c r="R36" s="344">
        <f t="shared" si="9"/>
        <v>0</v>
      </c>
      <c r="T36" s="316" t="s">
        <v>190</v>
      </c>
      <c r="U36" s="107">
        <v>22</v>
      </c>
      <c r="V36" s="138" t="s">
        <v>213</v>
      </c>
      <c r="W36" s="317">
        <f t="shared" si="10"/>
        <v>44364.920000000006</v>
      </c>
      <c r="X36" s="317">
        <f t="shared" si="11"/>
        <v>85518.400000000009</v>
      </c>
      <c r="Y36" s="245"/>
    </row>
    <row r="37" spans="2:25" x14ac:dyDescent="0.3">
      <c r="B37" s="263">
        <v>22</v>
      </c>
      <c r="C37" s="589" t="s">
        <v>528</v>
      </c>
      <c r="D37" s="414">
        <v>0</v>
      </c>
      <c r="E37" s="414">
        <v>0</v>
      </c>
      <c r="F37" s="414">
        <v>51.39</v>
      </c>
      <c r="G37" s="414">
        <v>0</v>
      </c>
      <c r="H37" s="414">
        <v>0</v>
      </c>
      <c r="I37" s="414">
        <v>0</v>
      </c>
      <c r="J37" s="414">
        <v>0</v>
      </c>
      <c r="K37" s="414">
        <v>0</v>
      </c>
      <c r="L37" s="414">
        <v>0</v>
      </c>
      <c r="M37" s="414">
        <v>56</v>
      </c>
      <c r="N37" s="414">
        <v>203</v>
      </c>
      <c r="O37" s="414">
        <v>0</v>
      </c>
      <c r="P37" s="341"/>
      <c r="Q37" s="343">
        <f t="shared" si="8"/>
        <v>310.39</v>
      </c>
      <c r="R37" s="344">
        <f t="shared" si="9"/>
        <v>1036</v>
      </c>
      <c r="T37" s="316" t="s">
        <v>191</v>
      </c>
      <c r="U37" s="107">
        <v>23</v>
      </c>
      <c r="V37" s="138" t="s">
        <v>214</v>
      </c>
      <c r="W37" s="317">
        <f t="shared" si="10"/>
        <v>1832.97</v>
      </c>
      <c r="X37" s="317">
        <f t="shared" si="11"/>
        <v>0</v>
      </c>
      <c r="Y37" s="245"/>
    </row>
    <row r="38" spans="2:25" ht="15" thickBot="1" x14ac:dyDescent="0.35">
      <c r="B38" s="263">
        <v>22</v>
      </c>
      <c r="C38" s="589" t="s">
        <v>529</v>
      </c>
      <c r="D38" s="414">
        <v>150.63999999999999</v>
      </c>
      <c r="E38" s="414">
        <v>936.09</v>
      </c>
      <c r="F38" s="414">
        <v>288.48</v>
      </c>
      <c r="G38" s="414">
        <v>98.46</v>
      </c>
      <c r="H38" s="414">
        <v>0</v>
      </c>
      <c r="I38" s="414">
        <v>1253.31</v>
      </c>
      <c r="J38" s="414">
        <v>0</v>
      </c>
      <c r="K38" s="414">
        <v>0</v>
      </c>
      <c r="L38" s="414">
        <v>202.82</v>
      </c>
      <c r="M38" s="414">
        <v>171.75</v>
      </c>
      <c r="N38" s="414">
        <v>248.98</v>
      </c>
      <c r="O38" s="414">
        <v>276.02</v>
      </c>
      <c r="P38" s="341"/>
      <c r="Q38" s="343">
        <f t="shared" si="8"/>
        <v>3626.55</v>
      </c>
      <c r="R38" s="344">
        <f t="shared" si="9"/>
        <v>2787</v>
      </c>
      <c r="T38" s="316" t="s">
        <v>193</v>
      </c>
      <c r="U38" s="107"/>
      <c r="V38" s="306" t="s">
        <v>60</v>
      </c>
      <c r="W38" s="324">
        <f>SUM(W25:W37)</f>
        <v>1169421.5699999998</v>
      </c>
      <c r="X38" s="324">
        <f>SUM(X25:X37)</f>
        <v>1698991.3199999998</v>
      </c>
      <c r="Y38" s="321"/>
    </row>
    <row r="39" spans="2:25" ht="15" thickTop="1" x14ac:dyDescent="0.3">
      <c r="B39" s="263">
        <v>22</v>
      </c>
      <c r="C39" s="589" t="s">
        <v>530</v>
      </c>
      <c r="D39" s="414">
        <v>0</v>
      </c>
      <c r="E39" s="414">
        <v>0</v>
      </c>
      <c r="F39" s="414">
        <v>0</v>
      </c>
      <c r="G39" s="414">
        <v>0</v>
      </c>
      <c r="H39" s="414">
        <v>0</v>
      </c>
      <c r="I39" s="414">
        <v>0</v>
      </c>
      <c r="J39" s="414">
        <v>0</v>
      </c>
      <c r="K39" s="414">
        <v>0</v>
      </c>
      <c r="L39" s="414">
        <v>0</v>
      </c>
      <c r="M39" s="414">
        <v>0</v>
      </c>
      <c r="N39" s="414">
        <v>0</v>
      </c>
      <c r="O39" s="414">
        <v>0</v>
      </c>
      <c r="P39" s="341"/>
      <c r="Q39" s="343">
        <f t="shared" si="8"/>
        <v>0</v>
      </c>
      <c r="R39" s="344">
        <f t="shared" si="9"/>
        <v>0</v>
      </c>
      <c r="T39" s="316" t="s">
        <v>194</v>
      </c>
      <c r="U39" s="107"/>
      <c r="V39" s="137"/>
      <c r="X39" s="236"/>
      <c r="Y39" s="325"/>
    </row>
    <row r="40" spans="2:25" ht="15" thickBot="1" x14ac:dyDescent="0.35">
      <c r="B40" s="263">
        <v>22</v>
      </c>
      <c r="C40" s="589" t="s">
        <v>531</v>
      </c>
      <c r="D40" s="414">
        <v>0</v>
      </c>
      <c r="E40" s="414">
        <v>0</v>
      </c>
      <c r="F40" s="414">
        <v>0</v>
      </c>
      <c r="G40" s="414">
        <v>0</v>
      </c>
      <c r="H40" s="414">
        <v>0</v>
      </c>
      <c r="I40" s="414">
        <v>0</v>
      </c>
      <c r="J40" s="414">
        <v>0</v>
      </c>
      <c r="K40" s="414">
        <v>0</v>
      </c>
      <c r="L40" s="414">
        <v>0</v>
      </c>
      <c r="M40" s="414">
        <v>0</v>
      </c>
      <c r="N40" s="414">
        <v>5927.81</v>
      </c>
      <c r="O40" s="414">
        <v>0</v>
      </c>
      <c r="P40" s="348"/>
      <c r="Q40" s="343">
        <f t="shared" si="8"/>
        <v>5927.81</v>
      </c>
      <c r="R40" s="344">
        <f t="shared" si="9"/>
        <v>23711.24</v>
      </c>
      <c r="T40" s="316" t="s">
        <v>195</v>
      </c>
      <c r="U40" s="107"/>
      <c r="V40" s="100" t="s">
        <v>77</v>
      </c>
      <c r="W40" s="326">
        <f>W22-W38</f>
        <v>-684903.81999999983</v>
      </c>
      <c r="X40" s="326">
        <f>X22-X38</f>
        <v>-953638.31999999983</v>
      </c>
      <c r="Y40" s="327"/>
    </row>
    <row r="41" spans="2:25" ht="15" thickBot="1" x14ac:dyDescent="0.35">
      <c r="B41" s="263">
        <v>22</v>
      </c>
      <c r="C41" s="589" t="s">
        <v>532</v>
      </c>
      <c r="D41" s="414">
        <v>0</v>
      </c>
      <c r="E41" s="414">
        <v>0</v>
      </c>
      <c r="F41" s="414">
        <v>1324.22</v>
      </c>
      <c r="G41" s="414">
        <v>270.45</v>
      </c>
      <c r="H41" s="414">
        <v>2021.23</v>
      </c>
      <c r="I41" s="414">
        <v>561.29999999999995</v>
      </c>
      <c r="J41" s="414">
        <v>859.75</v>
      </c>
      <c r="K41" s="414">
        <v>930.34</v>
      </c>
      <c r="L41" s="414">
        <v>0</v>
      </c>
      <c r="M41" s="414">
        <v>124.37</v>
      </c>
      <c r="N41" s="414">
        <v>124.83</v>
      </c>
      <c r="O41" s="414">
        <v>1052.96</v>
      </c>
      <c r="P41" s="341"/>
      <c r="Q41" s="343">
        <f t="shared" si="8"/>
        <v>7269.45</v>
      </c>
      <c r="R41" s="344">
        <f t="shared" si="9"/>
        <v>5208.6400000000003</v>
      </c>
      <c r="T41" s="316" t="s">
        <v>196</v>
      </c>
      <c r="U41" s="107">
        <v>25</v>
      </c>
      <c r="V41" t="s">
        <v>215</v>
      </c>
      <c r="W41" s="317">
        <f t="shared" ref="W41" si="12">SUMIF($B$1:$B$495,U41,$Q$1:$Q$495)</f>
        <v>0</v>
      </c>
      <c r="X41" s="317">
        <f t="shared" ref="X41" si="13">SUMIF($B$1:$B$495,U41,$R$1:$R$495)</f>
        <v>0</v>
      </c>
    </row>
    <row r="42" spans="2:25" ht="15" thickBot="1" x14ac:dyDescent="0.35">
      <c r="B42" s="263">
        <v>22</v>
      </c>
      <c r="C42" s="589" t="s">
        <v>533</v>
      </c>
      <c r="D42" s="414">
        <v>0</v>
      </c>
      <c r="E42" s="414">
        <v>0</v>
      </c>
      <c r="F42" s="414">
        <v>0</v>
      </c>
      <c r="G42" s="414">
        <v>0</v>
      </c>
      <c r="H42" s="414">
        <v>0</v>
      </c>
      <c r="I42" s="414">
        <v>27.6</v>
      </c>
      <c r="J42" s="414">
        <v>14.05</v>
      </c>
      <c r="K42" s="414">
        <v>14.5</v>
      </c>
      <c r="L42" s="414">
        <v>13.25</v>
      </c>
      <c r="M42" s="414">
        <v>0</v>
      </c>
      <c r="N42" s="414">
        <v>35.25</v>
      </c>
      <c r="O42" s="414">
        <v>0</v>
      </c>
      <c r="P42" s="341"/>
      <c r="Q42" s="343">
        <f t="shared" si="8"/>
        <v>104.65</v>
      </c>
      <c r="R42" s="344">
        <f t="shared" si="9"/>
        <v>141</v>
      </c>
      <c r="T42" s="319" t="s">
        <v>197</v>
      </c>
      <c r="U42" s="107">
        <v>24</v>
      </c>
      <c r="V42" s="266" t="s">
        <v>216</v>
      </c>
      <c r="W42" s="328">
        <f>SUMIF($B$1:$B$495,U42,$Q$1:$Q$495)</f>
        <v>-684903.82</v>
      </c>
      <c r="X42" s="328">
        <f>SUMIF($B$1:$B$495,U42,$R$1:$R$495)</f>
        <v>-953638.32000000007</v>
      </c>
      <c r="Y42" s="221"/>
    </row>
    <row r="43" spans="2:25" x14ac:dyDescent="0.3">
      <c r="B43" s="263">
        <v>18</v>
      </c>
      <c r="C43" s="589" t="s">
        <v>534</v>
      </c>
      <c r="D43" s="414">
        <v>2897.06</v>
      </c>
      <c r="E43" s="414">
        <v>8675.7900000000009</v>
      </c>
      <c r="F43" s="414">
        <v>10308.780000000001</v>
      </c>
      <c r="G43" s="414">
        <v>5761.72</v>
      </c>
      <c r="H43" s="414">
        <v>5761.72</v>
      </c>
      <c r="I43" s="414">
        <v>5761.72</v>
      </c>
      <c r="J43" s="414">
        <v>5738.91</v>
      </c>
      <c r="K43" s="414">
        <v>14267.02</v>
      </c>
      <c r="L43" s="414">
        <v>84.14</v>
      </c>
      <c r="M43" s="414">
        <v>5800</v>
      </c>
      <c r="N43" s="414">
        <v>12000</v>
      </c>
      <c r="O43" s="414">
        <v>5171.16</v>
      </c>
      <c r="P43" s="341"/>
      <c r="Q43" s="343">
        <f t="shared" si="8"/>
        <v>82228.02</v>
      </c>
      <c r="R43" s="344">
        <f t="shared" si="9"/>
        <v>91884.64</v>
      </c>
      <c r="T43" s="319" t="s">
        <v>198</v>
      </c>
      <c r="W43" s="317"/>
      <c r="X43" s="317"/>
    </row>
    <row r="44" spans="2:25" x14ac:dyDescent="0.3">
      <c r="B44" s="263">
        <v>20</v>
      </c>
      <c r="C44" s="589" t="s">
        <v>535</v>
      </c>
      <c r="D44" s="414">
        <v>53714.27</v>
      </c>
      <c r="E44" s="414">
        <v>99932.85</v>
      </c>
      <c r="F44" s="414">
        <v>-31450.880000000001</v>
      </c>
      <c r="G44" s="414">
        <v>19243.099999999999</v>
      </c>
      <c r="H44" s="414">
        <v>14123.18</v>
      </c>
      <c r="I44" s="414">
        <v>14123.18</v>
      </c>
      <c r="J44" s="414">
        <v>14123.18</v>
      </c>
      <c r="K44" s="414">
        <v>14123.16</v>
      </c>
      <c r="L44" s="414">
        <v>-52220</v>
      </c>
      <c r="M44" s="414">
        <v>159619</v>
      </c>
      <c r="N44" s="414">
        <v>22570.41</v>
      </c>
      <c r="O44" s="414">
        <v>22570.41</v>
      </c>
      <c r="P44" s="341"/>
      <c r="Q44" s="343">
        <f t="shared" si="8"/>
        <v>350471.85999999993</v>
      </c>
      <c r="R44" s="344">
        <f t="shared" si="9"/>
        <v>819039.28</v>
      </c>
      <c r="T44" s="319" t="s">
        <v>199</v>
      </c>
      <c r="W44" s="317"/>
      <c r="X44" s="317"/>
    </row>
    <row r="45" spans="2:25" x14ac:dyDescent="0.3">
      <c r="C45" s="538" t="s">
        <v>536</v>
      </c>
      <c r="D45" s="419">
        <v>56761.97</v>
      </c>
      <c r="E45" s="419">
        <v>109544.73</v>
      </c>
      <c r="F45" s="419">
        <v>-19478.009999999998</v>
      </c>
      <c r="G45" s="419">
        <v>25373.73</v>
      </c>
      <c r="H45" s="419">
        <v>21906.13</v>
      </c>
      <c r="I45" s="419">
        <v>21727.11</v>
      </c>
      <c r="J45" s="419">
        <v>20735.89</v>
      </c>
      <c r="K45" s="419">
        <v>29335.02</v>
      </c>
      <c r="L45" s="419">
        <v>-51919.79</v>
      </c>
      <c r="M45" s="419">
        <v>165771.12</v>
      </c>
      <c r="N45" s="419">
        <v>41110.28</v>
      </c>
      <c r="O45" s="419">
        <v>29070.55</v>
      </c>
      <c r="P45" s="341"/>
      <c r="Q45" s="343">
        <f t="shared" si="8"/>
        <v>449938.73000000004</v>
      </c>
      <c r="R45" s="344">
        <f t="shared" si="9"/>
        <v>943807.79999999993</v>
      </c>
      <c r="T45" s="319" t="s">
        <v>200</v>
      </c>
      <c r="W45" s="317"/>
    </row>
    <row r="46" spans="2:25" x14ac:dyDescent="0.3">
      <c r="C46" s="538" t="s">
        <v>537</v>
      </c>
      <c r="D46" s="414"/>
      <c r="E46" s="414"/>
      <c r="F46" s="414"/>
      <c r="G46" s="414"/>
      <c r="H46" s="414"/>
      <c r="I46" s="414"/>
      <c r="J46" s="414"/>
      <c r="K46" s="414"/>
      <c r="L46" s="414"/>
      <c r="M46" s="414"/>
      <c r="N46" s="414"/>
      <c r="O46" s="414"/>
      <c r="P46" s="345"/>
      <c r="Q46" s="343">
        <f t="shared" si="8"/>
        <v>0</v>
      </c>
      <c r="R46" s="344">
        <f t="shared" si="9"/>
        <v>0</v>
      </c>
      <c r="T46" s="319" t="s">
        <v>201</v>
      </c>
    </row>
    <row r="47" spans="2:25" x14ac:dyDescent="0.3">
      <c r="B47" s="263">
        <v>17</v>
      </c>
      <c r="C47" s="539" t="s">
        <v>538</v>
      </c>
      <c r="D47" s="414">
        <v>5678</v>
      </c>
      <c r="E47" s="414">
        <v>6823</v>
      </c>
      <c r="F47" s="414">
        <v>17089</v>
      </c>
      <c r="G47" s="414">
        <v>13519.69</v>
      </c>
      <c r="H47" s="414">
        <v>7732</v>
      </c>
      <c r="I47" s="414">
        <v>10761.5</v>
      </c>
      <c r="J47" s="414">
        <v>15634.96</v>
      </c>
      <c r="K47" s="414">
        <v>8660.5</v>
      </c>
      <c r="L47" s="414">
        <v>11421.5</v>
      </c>
      <c r="M47" s="414">
        <v>13732</v>
      </c>
      <c r="N47" s="414">
        <v>11154.39</v>
      </c>
      <c r="O47" s="414">
        <v>11997.66</v>
      </c>
      <c r="P47" s="346"/>
      <c r="Q47" s="343">
        <f t="shared" si="8"/>
        <v>134204.19999999998</v>
      </c>
      <c r="R47" s="344">
        <f t="shared" si="9"/>
        <v>147536.20000000001</v>
      </c>
      <c r="T47" s="319" t="s">
        <v>202</v>
      </c>
    </row>
    <row r="48" spans="2:25" x14ac:dyDescent="0.3">
      <c r="B48" s="263">
        <v>17</v>
      </c>
      <c r="C48" s="589" t="s">
        <v>539</v>
      </c>
      <c r="D48" s="414">
        <v>0</v>
      </c>
      <c r="E48" s="414">
        <v>0</v>
      </c>
      <c r="F48" s="414">
        <v>0</v>
      </c>
      <c r="G48" s="414">
        <v>0</v>
      </c>
      <c r="H48" s="414">
        <v>0</v>
      </c>
      <c r="I48" s="414">
        <v>0</v>
      </c>
      <c r="J48" s="414">
        <v>0</v>
      </c>
      <c r="K48" s="414">
        <v>0</v>
      </c>
      <c r="L48" s="414">
        <v>0</v>
      </c>
      <c r="M48" s="414">
        <v>0</v>
      </c>
      <c r="N48" s="414">
        <v>0</v>
      </c>
      <c r="O48" s="414">
        <v>0</v>
      </c>
      <c r="P48" s="346"/>
      <c r="Q48" s="343">
        <f t="shared" si="8"/>
        <v>0</v>
      </c>
      <c r="R48" s="344">
        <f t="shared" si="9"/>
        <v>0</v>
      </c>
      <c r="T48" s="319" t="s">
        <v>203</v>
      </c>
    </row>
    <row r="49" spans="2:20" x14ac:dyDescent="0.3">
      <c r="B49" s="263">
        <v>17</v>
      </c>
      <c r="C49" s="539" t="s">
        <v>540</v>
      </c>
      <c r="D49" s="414">
        <v>0</v>
      </c>
      <c r="E49" s="414">
        <v>0</v>
      </c>
      <c r="F49" s="414">
        <v>0</v>
      </c>
      <c r="G49" s="414">
        <v>0</v>
      </c>
      <c r="H49" s="414">
        <v>0</v>
      </c>
      <c r="I49" s="414">
        <v>5267.55</v>
      </c>
      <c r="J49" s="414">
        <v>464.36</v>
      </c>
      <c r="K49" s="414">
        <v>0</v>
      </c>
      <c r="L49" s="414">
        <v>14500</v>
      </c>
      <c r="M49" s="414">
        <v>0</v>
      </c>
      <c r="N49" s="414">
        <v>40</v>
      </c>
      <c r="O49" s="414">
        <v>56.56</v>
      </c>
      <c r="P49" s="348"/>
      <c r="Q49" s="343">
        <f t="shared" si="8"/>
        <v>20328.47</v>
      </c>
      <c r="R49" s="344">
        <f t="shared" si="9"/>
        <v>386.24</v>
      </c>
      <c r="T49" s="319" t="s">
        <v>204</v>
      </c>
    </row>
    <row r="50" spans="2:20" x14ac:dyDescent="0.3">
      <c r="C50" s="590" t="s">
        <v>541</v>
      </c>
      <c r="D50" s="419">
        <v>5678</v>
      </c>
      <c r="E50" s="419">
        <v>6823</v>
      </c>
      <c r="F50" s="419">
        <v>17089</v>
      </c>
      <c r="G50" s="419">
        <v>13519.69</v>
      </c>
      <c r="H50" s="419">
        <v>7732</v>
      </c>
      <c r="I50" s="419">
        <v>16029.05</v>
      </c>
      <c r="J50" s="419">
        <v>16099.32</v>
      </c>
      <c r="K50" s="419">
        <v>8660.5</v>
      </c>
      <c r="L50" s="419">
        <v>25921.5</v>
      </c>
      <c r="M50" s="419">
        <v>13732</v>
      </c>
      <c r="N50" s="419">
        <v>11194.39</v>
      </c>
      <c r="O50" s="419">
        <v>12054.22</v>
      </c>
      <c r="P50" s="341"/>
      <c r="Q50" s="343">
        <f t="shared" si="8"/>
        <v>154532.67000000001</v>
      </c>
      <c r="R50" s="344">
        <f t="shared" si="9"/>
        <v>147922.44</v>
      </c>
      <c r="T50" s="319" t="s">
        <v>205</v>
      </c>
    </row>
    <row r="51" spans="2:20" x14ac:dyDescent="0.3">
      <c r="C51" s="538" t="s">
        <v>542</v>
      </c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345"/>
      <c r="Q51" s="343">
        <f t="shared" si="8"/>
        <v>0</v>
      </c>
      <c r="R51" s="344">
        <f t="shared" si="9"/>
        <v>0</v>
      </c>
      <c r="T51" s="319" t="s">
        <v>206</v>
      </c>
    </row>
    <row r="52" spans="2:20" x14ac:dyDescent="0.3">
      <c r="B52" s="263">
        <v>21</v>
      </c>
      <c r="C52" s="589" t="s">
        <v>543</v>
      </c>
      <c r="D52" s="414">
        <v>2500</v>
      </c>
      <c r="E52" s="414">
        <v>2500</v>
      </c>
      <c r="F52" s="414">
        <v>2500</v>
      </c>
      <c r="G52" s="414">
        <v>2500</v>
      </c>
      <c r="H52" s="414">
        <v>2500</v>
      </c>
      <c r="I52" s="414">
        <v>2500</v>
      </c>
      <c r="J52" s="414">
        <v>2500</v>
      </c>
      <c r="K52" s="414">
        <v>2500</v>
      </c>
      <c r="L52" s="414">
        <v>2812.65</v>
      </c>
      <c r="M52" s="414">
        <v>2500</v>
      </c>
      <c r="N52" s="414">
        <v>2500</v>
      </c>
      <c r="O52" s="414">
        <v>2500</v>
      </c>
      <c r="P52" s="346"/>
      <c r="Q52" s="343">
        <f t="shared" si="8"/>
        <v>30312.65</v>
      </c>
      <c r="R52" s="344">
        <f t="shared" si="9"/>
        <v>30000</v>
      </c>
      <c r="T52" s="319" t="s">
        <v>207</v>
      </c>
    </row>
    <row r="53" spans="2:20" x14ac:dyDescent="0.3">
      <c r="B53" s="263">
        <v>22</v>
      </c>
      <c r="C53" s="589" t="s">
        <v>544</v>
      </c>
      <c r="D53" s="414">
        <v>0</v>
      </c>
      <c r="E53" s="414">
        <v>250.56</v>
      </c>
      <c r="F53" s="414">
        <v>5886.91</v>
      </c>
      <c r="G53" s="414">
        <v>133.53</v>
      </c>
      <c r="H53" s="414">
        <v>623.54999999999995</v>
      </c>
      <c r="I53" s="414">
        <v>125</v>
      </c>
      <c r="J53" s="414">
        <v>104.57</v>
      </c>
      <c r="K53" s="414">
        <v>490</v>
      </c>
      <c r="L53" s="414">
        <v>-4192.3999999999996</v>
      </c>
      <c r="M53" s="414">
        <v>6875.12</v>
      </c>
      <c r="N53" s="414">
        <v>125</v>
      </c>
      <c r="O53" s="414">
        <v>366.7</v>
      </c>
      <c r="P53" s="345"/>
      <c r="Q53" s="343">
        <f t="shared" si="8"/>
        <v>10788.54</v>
      </c>
      <c r="R53" s="344">
        <f t="shared" si="9"/>
        <v>29467.279999999999</v>
      </c>
      <c r="T53" s="319" t="s">
        <v>208</v>
      </c>
    </row>
    <row r="54" spans="2:20" x14ac:dyDescent="0.3">
      <c r="B54" s="263">
        <v>22</v>
      </c>
      <c r="C54" s="589" t="s">
        <v>545</v>
      </c>
      <c r="D54" s="414">
        <v>0</v>
      </c>
      <c r="E54" s="414">
        <v>1877</v>
      </c>
      <c r="F54" s="414">
        <v>727.17</v>
      </c>
      <c r="G54" s="414">
        <v>0</v>
      </c>
      <c r="H54" s="414">
        <v>0</v>
      </c>
      <c r="I54" s="414">
        <v>0</v>
      </c>
      <c r="J54" s="414">
        <v>2400</v>
      </c>
      <c r="K54" s="414">
        <v>0</v>
      </c>
      <c r="L54" s="414">
        <v>0</v>
      </c>
      <c r="M54" s="414">
        <v>2600</v>
      </c>
      <c r="N54" s="414">
        <v>375</v>
      </c>
      <c r="O54" s="414">
        <v>1028</v>
      </c>
      <c r="P54" s="346"/>
      <c r="Q54" s="343">
        <f t="shared" si="8"/>
        <v>9007.17</v>
      </c>
      <c r="R54" s="344">
        <f t="shared" si="9"/>
        <v>16012</v>
      </c>
      <c r="T54" s="319" t="s">
        <v>210</v>
      </c>
    </row>
    <row r="55" spans="2:20" ht="15" thickBot="1" x14ac:dyDescent="0.35">
      <c r="B55" s="263">
        <v>22</v>
      </c>
      <c r="C55" s="589" t="s">
        <v>546</v>
      </c>
      <c r="D55" s="414">
        <v>73.790000000000006</v>
      </c>
      <c r="E55" s="414">
        <v>21.96</v>
      </c>
      <c r="F55" s="414">
        <v>142.33000000000001</v>
      </c>
      <c r="G55" s="414">
        <v>53.3</v>
      </c>
      <c r="H55" s="414">
        <v>39.770000000000003</v>
      </c>
      <c r="I55" s="414">
        <v>95.13</v>
      </c>
      <c r="J55" s="414">
        <v>159.1</v>
      </c>
      <c r="K55" s="414">
        <v>22.64</v>
      </c>
      <c r="L55" s="414">
        <v>215.49</v>
      </c>
      <c r="M55" s="414">
        <v>276.76</v>
      </c>
      <c r="N55" s="414">
        <v>35.1</v>
      </c>
      <c r="O55" s="414">
        <v>96.37</v>
      </c>
      <c r="P55" s="346"/>
      <c r="Q55" s="343">
        <f t="shared" si="8"/>
        <v>1231.7399999999998</v>
      </c>
      <c r="R55" s="344">
        <f t="shared" si="9"/>
        <v>1632.92</v>
      </c>
      <c r="T55" s="323" t="s">
        <v>212</v>
      </c>
    </row>
    <row r="56" spans="2:20" x14ac:dyDescent="0.3">
      <c r="B56" s="263">
        <v>22</v>
      </c>
      <c r="C56" s="589" t="s">
        <v>547</v>
      </c>
      <c r="D56" s="414">
        <v>42.59</v>
      </c>
      <c r="E56" s="414">
        <v>0</v>
      </c>
      <c r="F56" s="414">
        <v>0</v>
      </c>
      <c r="G56" s="414">
        <v>0</v>
      </c>
      <c r="H56" s="414">
        <v>0</v>
      </c>
      <c r="I56" s="414">
        <v>24.37</v>
      </c>
      <c r="J56" s="414">
        <v>0</v>
      </c>
      <c r="K56" s="414">
        <v>80.180000000000007</v>
      </c>
      <c r="L56" s="414">
        <v>15.18</v>
      </c>
      <c r="M56" s="414">
        <v>93.92</v>
      </c>
      <c r="N56" s="414">
        <v>55.22</v>
      </c>
      <c r="O56" s="414">
        <v>46.29</v>
      </c>
      <c r="P56" s="346"/>
      <c r="Q56" s="343">
        <f t="shared" si="8"/>
        <v>357.75000000000006</v>
      </c>
      <c r="R56" s="344">
        <f t="shared" si="9"/>
        <v>781.71999999999991</v>
      </c>
      <c r="T56" s="315" t="s">
        <v>184</v>
      </c>
    </row>
    <row r="57" spans="2:20" x14ac:dyDescent="0.3">
      <c r="B57" s="263">
        <v>22</v>
      </c>
      <c r="C57" s="589" t="s">
        <v>548</v>
      </c>
      <c r="D57" s="414">
        <v>135</v>
      </c>
      <c r="E57" s="414">
        <v>0</v>
      </c>
      <c r="F57" s="414">
        <v>0</v>
      </c>
      <c r="G57" s="414">
        <v>0</v>
      </c>
      <c r="H57" s="414">
        <v>0</v>
      </c>
      <c r="I57" s="414">
        <v>0</v>
      </c>
      <c r="J57" s="414">
        <v>0</v>
      </c>
      <c r="K57" s="414">
        <v>0</v>
      </c>
      <c r="L57" s="414">
        <v>0</v>
      </c>
      <c r="M57" s="414">
        <v>0</v>
      </c>
      <c r="N57" s="414">
        <v>0</v>
      </c>
      <c r="O57" s="414">
        <v>0</v>
      </c>
      <c r="P57" s="341"/>
      <c r="Q57" s="343">
        <f t="shared" si="8"/>
        <v>135</v>
      </c>
      <c r="R57" s="344">
        <f t="shared" si="9"/>
        <v>0</v>
      </c>
      <c r="T57" s="316" t="s">
        <v>186</v>
      </c>
    </row>
    <row r="58" spans="2:20" x14ac:dyDescent="0.3">
      <c r="B58" s="263">
        <v>23</v>
      </c>
      <c r="C58" s="539" t="s">
        <v>549</v>
      </c>
      <c r="D58" s="414">
        <v>0</v>
      </c>
      <c r="E58" s="414">
        <v>0</v>
      </c>
      <c r="F58" s="414">
        <v>1850</v>
      </c>
      <c r="G58" s="414">
        <v>-231.25</v>
      </c>
      <c r="H58" s="414">
        <v>103.25</v>
      </c>
      <c r="I58" s="414">
        <v>110.97</v>
      </c>
      <c r="J58" s="414">
        <v>0</v>
      </c>
      <c r="K58" s="414">
        <v>0</v>
      </c>
      <c r="L58" s="414">
        <v>0</v>
      </c>
      <c r="M58" s="414">
        <v>0</v>
      </c>
      <c r="N58" s="414">
        <v>0</v>
      </c>
      <c r="O58" s="414">
        <v>0</v>
      </c>
      <c r="P58" s="341"/>
      <c r="Q58" s="343">
        <f t="shared" si="8"/>
        <v>1832.97</v>
      </c>
      <c r="R58" s="344">
        <f t="shared" si="9"/>
        <v>0</v>
      </c>
      <c r="T58" s="316" t="s">
        <v>187</v>
      </c>
    </row>
    <row r="59" spans="2:20" x14ac:dyDescent="0.3">
      <c r="B59" s="263">
        <v>22</v>
      </c>
      <c r="C59" s="589" t="s">
        <v>550</v>
      </c>
      <c r="D59" s="414">
        <v>0</v>
      </c>
      <c r="E59" s="414">
        <v>0</v>
      </c>
      <c r="F59" s="414">
        <v>0</v>
      </c>
      <c r="G59" s="414">
        <v>0</v>
      </c>
      <c r="H59" s="414">
        <v>0</v>
      </c>
      <c r="I59" s="414">
        <v>1813.93</v>
      </c>
      <c r="J59" s="414">
        <v>175.93</v>
      </c>
      <c r="K59" s="414">
        <v>175.93</v>
      </c>
      <c r="L59" s="414">
        <v>175.93</v>
      </c>
      <c r="M59" s="414">
        <v>175.93</v>
      </c>
      <c r="N59" s="414">
        <v>175.93</v>
      </c>
      <c r="O59" s="414">
        <v>175.93</v>
      </c>
      <c r="P59" s="341"/>
      <c r="Q59" s="343">
        <f t="shared" si="8"/>
        <v>2869.5099999999993</v>
      </c>
      <c r="R59" s="344">
        <f t="shared" si="9"/>
        <v>2111.16</v>
      </c>
      <c r="T59" s="316" t="s">
        <v>189</v>
      </c>
    </row>
    <row r="60" spans="2:20" x14ac:dyDescent="0.3">
      <c r="B60" s="263">
        <v>22</v>
      </c>
      <c r="C60" s="589" t="s">
        <v>551</v>
      </c>
      <c r="D60" s="414">
        <v>176.88</v>
      </c>
      <c r="E60" s="414">
        <v>176.88</v>
      </c>
      <c r="F60" s="414">
        <v>176.88</v>
      </c>
      <c r="G60" s="414">
        <v>176.88</v>
      </c>
      <c r="H60" s="414">
        <v>176.88</v>
      </c>
      <c r="I60" s="414">
        <v>176.88</v>
      </c>
      <c r="J60" s="414">
        <v>184.8</v>
      </c>
      <c r="K60" s="414">
        <v>184.8</v>
      </c>
      <c r="L60" s="414">
        <v>184.8</v>
      </c>
      <c r="M60" s="414">
        <v>184.8</v>
      </c>
      <c r="N60" s="414">
        <v>184.8</v>
      </c>
      <c r="O60" s="414">
        <v>184.8</v>
      </c>
      <c r="P60" s="341"/>
      <c r="Q60" s="343">
        <f t="shared" si="8"/>
        <v>2170.08</v>
      </c>
      <c r="R60" s="344">
        <f t="shared" si="9"/>
        <v>2217.6000000000004</v>
      </c>
      <c r="T60" s="316" t="s">
        <v>190</v>
      </c>
    </row>
    <row r="61" spans="2:20" x14ac:dyDescent="0.3">
      <c r="B61" s="263">
        <v>22</v>
      </c>
      <c r="C61" s="589" t="s">
        <v>552</v>
      </c>
      <c r="D61" s="414">
        <v>51.48</v>
      </c>
      <c r="E61" s="414">
        <v>51.48</v>
      </c>
      <c r="F61" s="414">
        <v>51.48</v>
      </c>
      <c r="G61" s="414">
        <v>51.48</v>
      </c>
      <c r="H61" s="414">
        <v>102.96</v>
      </c>
      <c r="I61" s="414">
        <v>0</v>
      </c>
      <c r="J61" s="414">
        <v>51.48</v>
      </c>
      <c r="K61" s="414">
        <v>51.48</v>
      </c>
      <c r="L61" s="414">
        <v>51.48</v>
      </c>
      <c r="M61" s="414">
        <v>0</v>
      </c>
      <c r="N61" s="414">
        <v>51.48</v>
      </c>
      <c r="O61" s="414">
        <v>51.48</v>
      </c>
      <c r="P61" s="341"/>
      <c r="Q61" s="343">
        <f t="shared" si="8"/>
        <v>566.28000000000009</v>
      </c>
      <c r="R61" s="344">
        <f t="shared" si="9"/>
        <v>411.84</v>
      </c>
      <c r="T61" s="316" t="s">
        <v>191</v>
      </c>
    </row>
    <row r="62" spans="2:20" x14ac:dyDescent="0.3">
      <c r="C62" s="538" t="s">
        <v>553</v>
      </c>
      <c r="D62" s="419">
        <v>2979.74</v>
      </c>
      <c r="E62" s="419">
        <v>4877.88</v>
      </c>
      <c r="F62" s="419">
        <v>11334.77</v>
      </c>
      <c r="G62" s="419">
        <v>2683.94</v>
      </c>
      <c r="H62" s="419">
        <v>3546.41</v>
      </c>
      <c r="I62" s="419">
        <v>4846.28</v>
      </c>
      <c r="J62" s="419">
        <v>5575.88</v>
      </c>
      <c r="K62" s="419">
        <v>3505.03</v>
      </c>
      <c r="L62" s="419">
        <v>-736.87</v>
      </c>
      <c r="M62" s="419">
        <v>12706.53</v>
      </c>
      <c r="N62" s="419">
        <v>3502.53</v>
      </c>
      <c r="O62" s="419">
        <v>4449.57</v>
      </c>
      <c r="P62" s="345"/>
      <c r="Q62" s="343">
        <f t="shared" si="8"/>
        <v>59271.689999999988</v>
      </c>
      <c r="R62" s="344">
        <f t="shared" si="9"/>
        <v>82634.52</v>
      </c>
      <c r="T62" s="316" t="s">
        <v>193</v>
      </c>
    </row>
    <row r="63" spans="2:20" x14ac:dyDescent="0.3">
      <c r="C63" s="538" t="s">
        <v>554</v>
      </c>
      <c r="D63" s="414"/>
      <c r="E63" s="414"/>
      <c r="F63" s="414"/>
      <c r="G63" s="414"/>
      <c r="H63" s="414"/>
      <c r="I63" s="414"/>
      <c r="J63" s="414"/>
      <c r="K63" s="414"/>
      <c r="L63" s="414"/>
      <c r="M63" s="414"/>
      <c r="N63" s="414"/>
      <c r="O63" s="414"/>
      <c r="P63" s="346"/>
      <c r="Q63" s="343">
        <f t="shared" si="8"/>
        <v>0</v>
      </c>
      <c r="R63" s="344">
        <f t="shared" si="9"/>
        <v>0</v>
      </c>
      <c r="T63" s="316" t="s">
        <v>194</v>
      </c>
    </row>
    <row r="64" spans="2:20" x14ac:dyDescent="0.3">
      <c r="B64" s="263">
        <v>13</v>
      </c>
      <c r="C64" s="589" t="s">
        <v>555</v>
      </c>
      <c r="D64" s="414">
        <v>0</v>
      </c>
      <c r="E64" s="414">
        <v>0</v>
      </c>
      <c r="F64" s="414">
        <v>255</v>
      </c>
      <c r="G64" s="414">
        <v>1815.64</v>
      </c>
      <c r="H64" s="414">
        <v>0</v>
      </c>
      <c r="I64" s="414">
        <v>810.41</v>
      </c>
      <c r="J64" s="414">
        <v>0</v>
      </c>
      <c r="K64" s="414">
        <v>0</v>
      </c>
      <c r="L64" s="414">
        <v>335.98</v>
      </c>
      <c r="M64" s="414">
        <v>0</v>
      </c>
      <c r="N64" s="414">
        <v>700</v>
      </c>
      <c r="O64" s="414">
        <v>0</v>
      </c>
      <c r="P64" s="346"/>
      <c r="Q64" s="343">
        <f t="shared" si="8"/>
        <v>3917.03</v>
      </c>
      <c r="R64" s="344">
        <f>SUM(M64:O64)*4</f>
        <v>2800</v>
      </c>
      <c r="T64" s="316" t="s">
        <v>195</v>
      </c>
    </row>
    <row r="65" spans="2:20" x14ac:dyDescent="0.3">
      <c r="C65" s="589" t="s">
        <v>556</v>
      </c>
      <c r="D65" s="414">
        <v>0</v>
      </c>
      <c r="E65" s="414">
        <v>0</v>
      </c>
      <c r="F65" s="414">
        <v>0</v>
      </c>
      <c r="G65" s="414">
        <v>0</v>
      </c>
      <c r="H65" s="414">
        <v>0</v>
      </c>
      <c r="I65" s="414">
        <v>0</v>
      </c>
      <c r="J65" s="414">
        <v>0</v>
      </c>
      <c r="K65" s="414">
        <v>0</v>
      </c>
      <c r="L65" s="414">
        <v>0</v>
      </c>
      <c r="M65" s="414">
        <v>0</v>
      </c>
      <c r="N65" s="414">
        <v>0</v>
      </c>
      <c r="O65" s="414">
        <v>0</v>
      </c>
      <c r="P65" s="341"/>
      <c r="Q65" s="343">
        <f t="shared" si="8"/>
        <v>0</v>
      </c>
      <c r="R65" s="344">
        <f t="shared" si="9"/>
        <v>0</v>
      </c>
      <c r="T65" s="316" t="s">
        <v>196</v>
      </c>
    </row>
    <row r="66" spans="2:20" x14ac:dyDescent="0.3">
      <c r="C66" s="589" t="s">
        <v>557</v>
      </c>
      <c r="D66" s="414">
        <v>0</v>
      </c>
      <c r="E66" s="414">
        <v>0</v>
      </c>
      <c r="F66" s="414">
        <v>0</v>
      </c>
      <c r="G66" s="414">
        <v>0</v>
      </c>
      <c r="H66" s="414">
        <v>0</v>
      </c>
      <c r="I66" s="414">
        <v>0</v>
      </c>
      <c r="J66" s="414">
        <v>0</v>
      </c>
      <c r="K66" s="414">
        <v>0</v>
      </c>
      <c r="L66" s="414">
        <v>0</v>
      </c>
      <c r="M66" s="414">
        <v>0</v>
      </c>
      <c r="N66" s="414">
        <v>0</v>
      </c>
      <c r="O66" s="414">
        <v>0</v>
      </c>
      <c r="P66" s="341"/>
      <c r="Q66" s="343">
        <f t="shared" si="8"/>
        <v>0</v>
      </c>
      <c r="R66" s="344">
        <f t="shared" si="9"/>
        <v>0</v>
      </c>
      <c r="T66" s="319" t="s">
        <v>197</v>
      </c>
    </row>
    <row r="67" spans="2:20" x14ac:dyDescent="0.3">
      <c r="B67" s="263">
        <v>13</v>
      </c>
      <c r="C67" s="589" t="s">
        <v>558</v>
      </c>
      <c r="D67" s="414">
        <v>0</v>
      </c>
      <c r="E67" s="414">
        <v>0</v>
      </c>
      <c r="F67" s="414">
        <v>1243.5</v>
      </c>
      <c r="G67" s="414">
        <v>0</v>
      </c>
      <c r="H67" s="414">
        <v>0</v>
      </c>
      <c r="I67" s="414">
        <v>0</v>
      </c>
      <c r="J67" s="414">
        <v>1237.5</v>
      </c>
      <c r="K67" s="414">
        <v>0</v>
      </c>
      <c r="L67" s="414">
        <v>0</v>
      </c>
      <c r="M67" s="414">
        <v>1237.5</v>
      </c>
      <c r="N67" s="414">
        <v>0</v>
      </c>
      <c r="O67" s="414">
        <v>0</v>
      </c>
      <c r="P67" s="341"/>
      <c r="Q67" s="343">
        <f t="shared" si="8"/>
        <v>3718.5</v>
      </c>
      <c r="R67" s="344">
        <f t="shared" si="9"/>
        <v>4950</v>
      </c>
      <c r="T67" s="319" t="s">
        <v>198</v>
      </c>
    </row>
    <row r="68" spans="2:20" x14ac:dyDescent="0.3">
      <c r="C68" s="538" t="s">
        <v>559</v>
      </c>
      <c r="D68" s="419">
        <v>0</v>
      </c>
      <c r="E68" s="419">
        <v>0</v>
      </c>
      <c r="F68" s="419">
        <v>1498.5</v>
      </c>
      <c r="G68" s="419">
        <v>1815.64</v>
      </c>
      <c r="H68" s="419">
        <v>0</v>
      </c>
      <c r="I68" s="419">
        <v>810.41</v>
      </c>
      <c r="J68" s="419">
        <v>1237.5</v>
      </c>
      <c r="K68" s="419">
        <v>0</v>
      </c>
      <c r="L68" s="419">
        <v>335.98</v>
      </c>
      <c r="M68" s="419">
        <v>1237.5</v>
      </c>
      <c r="N68" s="419">
        <v>700</v>
      </c>
      <c r="O68" s="419">
        <v>0</v>
      </c>
      <c r="P68" s="341"/>
      <c r="Q68" s="343">
        <f t="shared" si="8"/>
        <v>7635.5300000000007</v>
      </c>
      <c r="R68" s="344">
        <f t="shared" si="9"/>
        <v>7750</v>
      </c>
      <c r="T68" s="319" t="s">
        <v>199</v>
      </c>
    </row>
    <row r="69" spans="2:20" x14ac:dyDescent="0.3">
      <c r="C69" s="538" t="s">
        <v>320</v>
      </c>
      <c r="D69" s="414"/>
      <c r="E69" s="414"/>
      <c r="F69" s="414"/>
      <c r="G69" s="414"/>
      <c r="H69" s="414"/>
      <c r="I69" s="414"/>
      <c r="J69" s="414"/>
      <c r="K69" s="414"/>
      <c r="L69" s="414"/>
      <c r="M69" s="414"/>
      <c r="N69" s="414"/>
      <c r="O69" s="414"/>
      <c r="P69" s="341"/>
      <c r="Q69" s="343">
        <f t="shared" si="8"/>
        <v>0</v>
      </c>
      <c r="R69" s="344">
        <f t="shared" si="9"/>
        <v>0</v>
      </c>
      <c r="T69" s="319" t="s">
        <v>200</v>
      </c>
    </row>
    <row r="70" spans="2:20" x14ac:dyDescent="0.3">
      <c r="C70" s="589" t="s">
        <v>560</v>
      </c>
      <c r="D70" s="414">
        <v>0</v>
      </c>
      <c r="E70" s="414">
        <v>0</v>
      </c>
      <c r="F70" s="414">
        <v>0</v>
      </c>
      <c r="G70" s="414">
        <v>0</v>
      </c>
      <c r="H70" s="414">
        <v>0</v>
      </c>
      <c r="I70" s="414">
        <v>0</v>
      </c>
      <c r="J70" s="414">
        <v>0</v>
      </c>
      <c r="K70" s="414">
        <v>0</v>
      </c>
      <c r="L70" s="414">
        <v>0</v>
      </c>
      <c r="M70" s="414">
        <v>0</v>
      </c>
      <c r="N70" s="414">
        <v>0</v>
      </c>
      <c r="O70" s="414">
        <v>0</v>
      </c>
      <c r="P70" s="341"/>
      <c r="Q70" s="343">
        <f t="shared" si="8"/>
        <v>0</v>
      </c>
      <c r="R70" s="344">
        <f t="shared" si="9"/>
        <v>0</v>
      </c>
      <c r="T70" s="319" t="s">
        <v>201</v>
      </c>
    </row>
    <row r="71" spans="2:20" x14ac:dyDescent="0.3">
      <c r="C71" s="538" t="s">
        <v>561</v>
      </c>
      <c r="D71" s="419">
        <v>0</v>
      </c>
      <c r="E71" s="419">
        <v>0</v>
      </c>
      <c r="F71" s="419">
        <v>0</v>
      </c>
      <c r="G71" s="419">
        <v>0</v>
      </c>
      <c r="H71" s="419">
        <v>0</v>
      </c>
      <c r="I71" s="419">
        <v>0</v>
      </c>
      <c r="J71" s="419">
        <v>0</v>
      </c>
      <c r="K71" s="419">
        <v>0</v>
      </c>
      <c r="L71" s="419">
        <v>0</v>
      </c>
      <c r="M71" s="419">
        <v>0</v>
      </c>
      <c r="N71" s="419">
        <v>0</v>
      </c>
      <c r="O71" s="419">
        <v>0</v>
      </c>
      <c r="P71" s="341"/>
      <c r="Q71" s="343">
        <f t="shared" si="8"/>
        <v>0</v>
      </c>
      <c r="R71" s="344">
        <f t="shared" si="9"/>
        <v>0</v>
      </c>
      <c r="T71" s="319" t="s">
        <v>202</v>
      </c>
    </row>
    <row r="72" spans="2:20" x14ac:dyDescent="0.3">
      <c r="C72" s="538" t="s">
        <v>562</v>
      </c>
      <c r="D72" s="414"/>
      <c r="E72" s="414"/>
      <c r="F72" s="414"/>
      <c r="G72" s="414"/>
      <c r="H72" s="414"/>
      <c r="I72" s="414"/>
      <c r="J72" s="414"/>
      <c r="K72" s="414"/>
      <c r="L72" s="414"/>
      <c r="M72" s="414"/>
      <c r="N72" s="414"/>
      <c r="O72" s="414"/>
      <c r="P72" s="341"/>
      <c r="Q72" s="343">
        <f t="shared" si="8"/>
        <v>0</v>
      </c>
      <c r="R72" s="344">
        <f t="shared" si="9"/>
        <v>0</v>
      </c>
      <c r="T72" s="319" t="s">
        <v>203</v>
      </c>
    </row>
    <row r="73" spans="2:20" x14ac:dyDescent="0.3">
      <c r="B73" s="263">
        <v>18</v>
      </c>
      <c r="C73" s="589" t="s">
        <v>563</v>
      </c>
      <c r="D73" s="414">
        <v>0</v>
      </c>
      <c r="E73" s="414">
        <v>0</v>
      </c>
      <c r="F73" s="414">
        <v>0</v>
      </c>
      <c r="G73" s="414">
        <v>0</v>
      </c>
      <c r="H73" s="414">
        <v>0</v>
      </c>
      <c r="I73" s="414">
        <v>0</v>
      </c>
      <c r="J73" s="414">
        <v>0</v>
      </c>
      <c r="K73" s="414">
        <v>0</v>
      </c>
      <c r="L73" s="414">
        <v>0</v>
      </c>
      <c r="M73" s="414">
        <v>0</v>
      </c>
      <c r="N73" s="414">
        <v>0</v>
      </c>
      <c r="O73" s="414">
        <v>0</v>
      </c>
      <c r="P73" s="341"/>
      <c r="Q73" s="343">
        <f t="shared" si="8"/>
        <v>0</v>
      </c>
      <c r="R73" s="344">
        <f t="shared" si="9"/>
        <v>0</v>
      </c>
      <c r="T73" s="319" t="s">
        <v>204</v>
      </c>
    </row>
    <row r="74" spans="2:20" x14ac:dyDescent="0.3">
      <c r="B74" s="263">
        <v>18</v>
      </c>
      <c r="C74" s="589" t="s">
        <v>564</v>
      </c>
      <c r="D74" s="414">
        <v>1650</v>
      </c>
      <c r="E74" s="414">
        <v>1391.44</v>
      </c>
      <c r="F74" s="414">
        <v>1860.83</v>
      </c>
      <c r="G74" s="414">
        <v>1449.86</v>
      </c>
      <c r="H74" s="414">
        <v>1449.86</v>
      </c>
      <c r="I74" s="414">
        <v>1449.86</v>
      </c>
      <c r="J74" s="414">
        <v>1449.86</v>
      </c>
      <c r="K74" s="414">
        <v>737.79</v>
      </c>
      <c r="L74" s="414">
        <v>653.65</v>
      </c>
      <c r="M74" s="414">
        <v>737.79</v>
      </c>
      <c r="N74" s="414">
        <v>737.79</v>
      </c>
      <c r="O74" s="414">
        <v>84.14</v>
      </c>
      <c r="P74" s="341"/>
      <c r="Q74" s="343">
        <f t="shared" si="8"/>
        <v>13652.869999999999</v>
      </c>
      <c r="R74" s="344">
        <f t="shared" si="9"/>
        <v>6238.88</v>
      </c>
      <c r="T74" s="319" t="s">
        <v>205</v>
      </c>
    </row>
    <row r="75" spans="2:20" x14ac:dyDescent="0.3">
      <c r="B75" s="263">
        <v>11</v>
      </c>
      <c r="C75" s="589" t="s">
        <v>565</v>
      </c>
      <c r="D75" s="414">
        <v>2329.19</v>
      </c>
      <c r="E75" s="414">
        <v>6975.91</v>
      </c>
      <c r="F75" s="414">
        <v>6779.73</v>
      </c>
      <c r="G75" s="414">
        <v>4519.82</v>
      </c>
      <c r="H75" s="414">
        <v>4519.82</v>
      </c>
      <c r="I75" s="414">
        <v>4519.82</v>
      </c>
      <c r="J75" s="414">
        <v>4519.82</v>
      </c>
      <c r="K75" s="414">
        <v>6779.73</v>
      </c>
      <c r="L75" s="414">
        <v>4519.82</v>
      </c>
      <c r="M75" s="414">
        <v>4519.82</v>
      </c>
      <c r="N75" s="414">
        <v>4530.38</v>
      </c>
      <c r="O75" s="414">
        <v>4540.9399999999996</v>
      </c>
      <c r="P75" s="341"/>
      <c r="Q75" s="343">
        <f t="shared" si="8"/>
        <v>59054.799999999996</v>
      </c>
      <c r="R75" s="344">
        <f t="shared" si="9"/>
        <v>54364.56</v>
      </c>
      <c r="T75" s="319" t="s">
        <v>206</v>
      </c>
    </row>
    <row r="76" spans="2:20" x14ac:dyDescent="0.3">
      <c r="B76" s="263">
        <v>11</v>
      </c>
      <c r="C76" s="589" t="s">
        <v>566</v>
      </c>
      <c r="D76" s="414">
        <v>0</v>
      </c>
      <c r="E76" s="414">
        <v>0</v>
      </c>
      <c r="F76" s="414">
        <v>0</v>
      </c>
      <c r="G76" s="414">
        <v>0</v>
      </c>
      <c r="H76" s="414">
        <v>20700</v>
      </c>
      <c r="I76" s="414">
        <v>6025</v>
      </c>
      <c r="J76" s="414">
        <v>6525</v>
      </c>
      <c r="K76" s="414">
        <v>6525</v>
      </c>
      <c r="L76" s="414">
        <v>6525</v>
      </c>
      <c r="M76" s="414">
        <v>6525</v>
      </c>
      <c r="N76" s="414">
        <v>6525</v>
      </c>
      <c r="O76" s="414">
        <v>2175</v>
      </c>
      <c r="P76" s="341"/>
      <c r="Q76" s="343">
        <f t="shared" si="8"/>
        <v>61525</v>
      </c>
      <c r="R76" s="344">
        <f t="shared" si="9"/>
        <v>60900</v>
      </c>
      <c r="T76" s="319" t="s">
        <v>207</v>
      </c>
    </row>
    <row r="77" spans="2:20" x14ac:dyDescent="0.3">
      <c r="B77" s="263">
        <v>11</v>
      </c>
      <c r="C77" s="589" t="s">
        <v>562</v>
      </c>
      <c r="D77" s="414">
        <v>1377.23</v>
      </c>
      <c r="E77" s="414">
        <v>1102.98</v>
      </c>
      <c r="F77" s="414">
        <v>10477.09</v>
      </c>
      <c r="G77" s="414">
        <v>5448.09</v>
      </c>
      <c r="H77" s="414">
        <v>6000</v>
      </c>
      <c r="I77" s="414">
        <v>10704.5</v>
      </c>
      <c r="J77" s="414">
        <v>461.24</v>
      </c>
      <c r="K77" s="414">
        <v>681.61</v>
      </c>
      <c r="L77" s="414">
        <v>5764.7</v>
      </c>
      <c r="M77" s="414">
        <v>0</v>
      </c>
      <c r="N77" s="414">
        <v>0</v>
      </c>
      <c r="O77" s="414">
        <v>10491.06</v>
      </c>
      <c r="P77" s="341"/>
      <c r="Q77" s="343">
        <f t="shared" si="8"/>
        <v>52508.499999999993</v>
      </c>
      <c r="R77" s="344">
        <f t="shared" si="9"/>
        <v>41964.24</v>
      </c>
      <c r="T77" s="319" t="s">
        <v>208</v>
      </c>
    </row>
    <row r="78" spans="2:20" x14ac:dyDescent="0.3">
      <c r="B78" s="263">
        <v>11</v>
      </c>
      <c r="C78" s="589" t="s">
        <v>567</v>
      </c>
      <c r="D78" s="414">
        <v>0</v>
      </c>
      <c r="E78" s="414">
        <v>0</v>
      </c>
      <c r="F78" s="414">
        <v>0</v>
      </c>
      <c r="G78" s="414">
        <v>0</v>
      </c>
      <c r="H78" s="414">
        <v>0</v>
      </c>
      <c r="I78" s="414">
        <v>0</v>
      </c>
      <c r="J78" s="414">
        <v>0</v>
      </c>
      <c r="K78" s="414">
        <v>0</v>
      </c>
      <c r="L78" s="414">
        <v>0</v>
      </c>
      <c r="M78" s="414">
        <v>0</v>
      </c>
      <c r="N78" s="414">
        <v>0</v>
      </c>
      <c r="O78" s="414">
        <v>0</v>
      </c>
      <c r="P78" s="341"/>
      <c r="Q78" s="343">
        <f t="shared" si="8"/>
        <v>0</v>
      </c>
      <c r="R78" s="344">
        <f t="shared" si="9"/>
        <v>0</v>
      </c>
      <c r="T78" s="319" t="s">
        <v>210</v>
      </c>
    </row>
    <row r="79" spans="2:20" ht="15" thickBot="1" x14ac:dyDescent="0.35">
      <c r="B79" s="263">
        <v>11</v>
      </c>
      <c r="C79" s="589" t="s">
        <v>568</v>
      </c>
      <c r="D79" s="414">
        <v>0</v>
      </c>
      <c r="E79" s="414">
        <v>0</v>
      </c>
      <c r="F79" s="414">
        <v>807.93</v>
      </c>
      <c r="G79" s="414">
        <v>872.37</v>
      </c>
      <c r="H79" s="414">
        <v>680.37</v>
      </c>
      <c r="I79" s="414">
        <v>703.64</v>
      </c>
      <c r="J79" s="414">
        <v>679.05</v>
      </c>
      <c r="K79" s="414">
        <v>1295.8800000000001</v>
      </c>
      <c r="L79" s="414">
        <v>520.58000000000004</v>
      </c>
      <c r="M79" s="414">
        <v>520.58000000000004</v>
      </c>
      <c r="N79" s="414">
        <v>520.58000000000004</v>
      </c>
      <c r="O79" s="414">
        <v>520.58000000000004</v>
      </c>
      <c r="P79" s="341"/>
      <c r="Q79" s="343">
        <f t="shared" si="8"/>
        <v>7121.5599999999995</v>
      </c>
      <c r="R79" s="344">
        <f t="shared" si="9"/>
        <v>6246.9600000000009</v>
      </c>
      <c r="T79" s="323" t="s">
        <v>212</v>
      </c>
    </row>
    <row r="80" spans="2:20" x14ac:dyDescent="0.3">
      <c r="B80" s="263">
        <v>11</v>
      </c>
      <c r="C80" s="589" t="s">
        <v>569</v>
      </c>
      <c r="D80" s="414">
        <v>0</v>
      </c>
      <c r="E80" s="414">
        <v>0</v>
      </c>
      <c r="F80" s="414">
        <v>0</v>
      </c>
      <c r="G80" s="414">
        <v>0</v>
      </c>
      <c r="H80" s="414">
        <v>0</v>
      </c>
      <c r="I80" s="414">
        <v>280</v>
      </c>
      <c r="J80" s="414">
        <v>0</v>
      </c>
      <c r="K80" s="414">
        <v>0</v>
      </c>
      <c r="L80" s="414">
        <v>0</v>
      </c>
      <c r="M80" s="414">
        <v>0</v>
      </c>
      <c r="N80" s="414">
        <v>6.43</v>
      </c>
      <c r="O80" s="414">
        <v>0</v>
      </c>
      <c r="P80" s="341"/>
      <c r="Q80" s="343">
        <f t="shared" si="8"/>
        <v>286.43</v>
      </c>
      <c r="R80" s="344">
        <f t="shared" si="9"/>
        <v>25.72</v>
      </c>
      <c r="T80" s="315" t="s">
        <v>184</v>
      </c>
    </row>
    <row r="81" spans="2:20" x14ac:dyDescent="0.3">
      <c r="B81" s="263">
        <v>11</v>
      </c>
      <c r="C81" s="589" t="s">
        <v>570</v>
      </c>
      <c r="D81" s="414">
        <v>0</v>
      </c>
      <c r="E81" s="414">
        <v>0</v>
      </c>
      <c r="F81" s="414">
        <v>0</v>
      </c>
      <c r="G81" s="414">
        <v>0</v>
      </c>
      <c r="H81" s="414">
        <v>0</v>
      </c>
      <c r="I81" s="414">
        <v>0</v>
      </c>
      <c r="J81" s="414">
        <v>0</v>
      </c>
      <c r="K81" s="414">
        <v>0</v>
      </c>
      <c r="L81" s="414">
        <v>0</v>
      </c>
      <c r="M81" s="414">
        <v>0</v>
      </c>
      <c r="N81" s="414">
        <v>0</v>
      </c>
      <c r="O81" s="414">
        <v>0</v>
      </c>
      <c r="P81" s="345"/>
      <c r="Q81" s="343">
        <f t="shared" si="8"/>
        <v>0</v>
      </c>
      <c r="R81" s="344">
        <f t="shared" si="9"/>
        <v>0</v>
      </c>
      <c r="T81" s="316" t="s">
        <v>186</v>
      </c>
    </row>
    <row r="82" spans="2:20" x14ac:dyDescent="0.3">
      <c r="B82" s="263">
        <v>11</v>
      </c>
      <c r="C82" s="589" t="s">
        <v>571</v>
      </c>
      <c r="D82" s="414">
        <v>0</v>
      </c>
      <c r="E82" s="414">
        <v>0</v>
      </c>
      <c r="F82" s="414">
        <v>0</v>
      </c>
      <c r="G82" s="414">
        <v>0</v>
      </c>
      <c r="H82" s="414">
        <v>0</v>
      </c>
      <c r="I82" s="414">
        <v>0</v>
      </c>
      <c r="J82" s="414">
        <v>0</v>
      </c>
      <c r="K82" s="414">
        <v>0</v>
      </c>
      <c r="L82" s="414">
        <v>0</v>
      </c>
      <c r="M82" s="414">
        <v>0</v>
      </c>
      <c r="N82" s="414">
        <v>0</v>
      </c>
      <c r="O82" s="414">
        <v>0</v>
      </c>
      <c r="P82" s="346"/>
      <c r="Q82" s="343">
        <f t="shared" si="8"/>
        <v>0</v>
      </c>
      <c r="R82" s="344">
        <f t="shared" si="9"/>
        <v>0</v>
      </c>
      <c r="T82" s="316" t="s">
        <v>187</v>
      </c>
    </row>
    <row r="83" spans="2:20" x14ac:dyDescent="0.3">
      <c r="B83" s="263">
        <v>11</v>
      </c>
      <c r="C83" s="589" t="s">
        <v>572</v>
      </c>
      <c r="D83" s="414">
        <v>0</v>
      </c>
      <c r="E83" s="414">
        <v>0</v>
      </c>
      <c r="F83" s="414">
        <v>0</v>
      </c>
      <c r="G83" s="414">
        <v>0</v>
      </c>
      <c r="H83" s="414">
        <v>0</v>
      </c>
      <c r="I83" s="414">
        <v>0</v>
      </c>
      <c r="J83" s="414">
        <v>0</v>
      </c>
      <c r="K83" s="414">
        <v>0</v>
      </c>
      <c r="L83" s="414">
        <v>0</v>
      </c>
      <c r="M83" s="414">
        <v>0</v>
      </c>
      <c r="N83" s="414">
        <v>0</v>
      </c>
      <c r="O83" s="414">
        <v>0</v>
      </c>
      <c r="P83" s="346"/>
      <c r="Q83" s="343">
        <f t="shared" ref="Q83:Q146" si="14">SUM(D83:O83)</f>
        <v>0</v>
      </c>
      <c r="R83" s="344">
        <f t="shared" ref="R83:R146" si="15">SUM(M83:O83)*4</f>
        <v>0</v>
      </c>
      <c r="T83" s="316" t="s">
        <v>189</v>
      </c>
    </row>
    <row r="84" spans="2:20" x14ac:dyDescent="0.3">
      <c r="B84" s="263">
        <v>12</v>
      </c>
      <c r="C84" s="589" t="s">
        <v>573</v>
      </c>
      <c r="D84" s="414">
        <v>0</v>
      </c>
      <c r="E84" s="414">
        <v>0</v>
      </c>
      <c r="F84" s="414">
        <v>3300</v>
      </c>
      <c r="G84" s="414">
        <v>0</v>
      </c>
      <c r="H84" s="414">
        <v>-3300</v>
      </c>
      <c r="I84" s="414">
        <v>0</v>
      </c>
      <c r="J84" s="414">
        <v>0</v>
      </c>
      <c r="K84" s="414">
        <v>0</v>
      </c>
      <c r="L84" s="414">
        <v>0</v>
      </c>
      <c r="M84" s="414">
        <v>0</v>
      </c>
      <c r="N84" s="414">
        <v>0</v>
      </c>
      <c r="O84" s="414">
        <v>0</v>
      </c>
      <c r="P84" s="341"/>
      <c r="Q84" s="343">
        <f t="shared" si="14"/>
        <v>0</v>
      </c>
      <c r="R84" s="344">
        <f t="shared" si="15"/>
        <v>0</v>
      </c>
      <c r="T84" s="316" t="s">
        <v>190</v>
      </c>
    </row>
    <row r="85" spans="2:20" x14ac:dyDescent="0.3">
      <c r="B85" s="263">
        <v>12</v>
      </c>
      <c r="C85" s="589" t="s">
        <v>574</v>
      </c>
      <c r="D85" s="414">
        <v>0</v>
      </c>
      <c r="E85" s="414">
        <v>0</v>
      </c>
      <c r="F85" s="414">
        <v>0</v>
      </c>
      <c r="G85" s="414">
        <v>0</v>
      </c>
      <c r="H85" s="414">
        <v>0</v>
      </c>
      <c r="I85" s="414">
        <v>0</v>
      </c>
      <c r="J85" s="414">
        <v>0</v>
      </c>
      <c r="K85" s="414">
        <v>0</v>
      </c>
      <c r="L85" s="414">
        <v>1331.38</v>
      </c>
      <c r="M85" s="414">
        <v>213.49</v>
      </c>
      <c r="N85" s="414">
        <v>49.92</v>
      </c>
      <c r="O85" s="414">
        <v>474.78</v>
      </c>
      <c r="P85" s="341"/>
      <c r="Q85" s="343">
        <f t="shared" si="14"/>
        <v>2069.5700000000002</v>
      </c>
      <c r="R85" s="344">
        <f t="shared" si="15"/>
        <v>2952.76</v>
      </c>
      <c r="T85" s="316" t="s">
        <v>191</v>
      </c>
    </row>
    <row r="86" spans="2:20" x14ac:dyDescent="0.3">
      <c r="B86" s="263">
        <v>12</v>
      </c>
      <c r="C86" s="539" t="s">
        <v>575</v>
      </c>
      <c r="D86" s="414">
        <v>0</v>
      </c>
      <c r="E86" s="414">
        <v>1830</v>
      </c>
      <c r="F86" s="414">
        <v>120</v>
      </c>
      <c r="G86" s="414">
        <v>0</v>
      </c>
      <c r="H86" s="414">
        <v>0</v>
      </c>
      <c r="I86" s="414">
        <v>1010</v>
      </c>
      <c r="J86" s="414">
        <v>105</v>
      </c>
      <c r="K86" s="414">
        <v>1400</v>
      </c>
      <c r="L86" s="414">
        <v>1390</v>
      </c>
      <c r="M86" s="414">
        <v>2930</v>
      </c>
      <c r="N86" s="414">
        <v>610</v>
      </c>
      <c r="O86" s="414">
        <v>2530</v>
      </c>
      <c r="P86" s="341"/>
      <c r="Q86" s="343">
        <f t="shared" si="14"/>
        <v>11925</v>
      </c>
      <c r="R86" s="344">
        <f t="shared" si="15"/>
        <v>24280</v>
      </c>
      <c r="T86" s="316" t="s">
        <v>193</v>
      </c>
    </row>
    <row r="87" spans="2:20" x14ac:dyDescent="0.3">
      <c r="B87" s="263">
        <v>11</v>
      </c>
      <c r="C87" s="589" t="s">
        <v>576</v>
      </c>
      <c r="D87" s="414">
        <v>0</v>
      </c>
      <c r="E87" s="414">
        <v>0</v>
      </c>
      <c r="F87" s="414">
        <v>437.31</v>
      </c>
      <c r="G87" s="414">
        <v>0</v>
      </c>
      <c r="H87" s="414">
        <v>0</v>
      </c>
      <c r="I87" s="414">
        <v>0</v>
      </c>
      <c r="J87" s="414">
        <v>0</v>
      </c>
      <c r="K87" s="414">
        <v>0</v>
      </c>
      <c r="L87" s="414">
        <v>401.7</v>
      </c>
      <c r="M87" s="414">
        <v>1161.55</v>
      </c>
      <c r="N87" s="414">
        <v>827.55</v>
      </c>
      <c r="O87" s="414">
        <v>138.28</v>
      </c>
      <c r="P87" s="341"/>
      <c r="Q87" s="343">
        <f t="shared" si="14"/>
        <v>2966.39</v>
      </c>
      <c r="R87" s="344">
        <f t="shared" si="15"/>
        <v>8509.52</v>
      </c>
      <c r="T87" s="316" t="s">
        <v>194</v>
      </c>
    </row>
    <row r="88" spans="2:20" x14ac:dyDescent="0.3">
      <c r="B88" s="263">
        <v>11</v>
      </c>
      <c r="C88" s="589" t="s">
        <v>577</v>
      </c>
      <c r="D88" s="414">
        <v>0</v>
      </c>
      <c r="E88" s="414">
        <v>0</v>
      </c>
      <c r="F88" s="414">
        <v>0</v>
      </c>
      <c r="G88" s="414">
        <v>0</v>
      </c>
      <c r="H88" s="414">
        <v>0</v>
      </c>
      <c r="I88" s="414">
        <v>0</v>
      </c>
      <c r="J88" s="414">
        <v>0</v>
      </c>
      <c r="K88" s="414">
        <v>0</v>
      </c>
      <c r="L88" s="414">
        <v>0</v>
      </c>
      <c r="M88" s="414">
        <v>0</v>
      </c>
      <c r="N88" s="414">
        <v>0</v>
      </c>
      <c r="O88" s="414">
        <v>104.56</v>
      </c>
      <c r="P88" s="341"/>
      <c r="Q88" s="343">
        <f t="shared" si="14"/>
        <v>104.56</v>
      </c>
      <c r="R88" s="344">
        <f t="shared" si="15"/>
        <v>418.24</v>
      </c>
      <c r="T88" s="316" t="s">
        <v>195</v>
      </c>
    </row>
    <row r="89" spans="2:20" x14ac:dyDescent="0.3">
      <c r="B89" s="263">
        <v>13</v>
      </c>
      <c r="C89" s="589" t="s">
        <v>578</v>
      </c>
      <c r="D89" s="414">
        <v>0</v>
      </c>
      <c r="E89" s="414">
        <v>0</v>
      </c>
      <c r="F89" s="414">
        <v>1056</v>
      </c>
      <c r="G89" s="414">
        <v>1056</v>
      </c>
      <c r="H89" s="414">
        <v>0</v>
      </c>
      <c r="I89" s="414">
        <v>0</v>
      </c>
      <c r="J89" s="414">
        <v>3006</v>
      </c>
      <c r="K89" s="414">
        <v>0</v>
      </c>
      <c r="L89" s="414">
        <v>1056</v>
      </c>
      <c r="M89" s="414">
        <v>1056</v>
      </c>
      <c r="N89" s="414">
        <v>1056</v>
      </c>
      <c r="O89" s="414">
        <v>-1056</v>
      </c>
      <c r="P89" s="341"/>
      <c r="Q89" s="343">
        <f t="shared" si="14"/>
        <v>7230</v>
      </c>
      <c r="R89" s="344">
        <f t="shared" si="15"/>
        <v>4224</v>
      </c>
      <c r="T89" s="316" t="s">
        <v>196</v>
      </c>
    </row>
    <row r="90" spans="2:20" x14ac:dyDescent="0.3">
      <c r="C90" s="575" t="s">
        <v>579</v>
      </c>
      <c r="D90" s="419">
        <v>5356.42</v>
      </c>
      <c r="E90" s="419">
        <v>11300.33</v>
      </c>
      <c r="F90" s="419">
        <v>24838.89</v>
      </c>
      <c r="G90" s="419">
        <v>13346.14</v>
      </c>
      <c r="H90" s="419">
        <v>30050.05</v>
      </c>
      <c r="I90" s="419">
        <v>24692.82</v>
      </c>
      <c r="J90" s="419">
        <v>16745.97</v>
      </c>
      <c r="K90" s="419">
        <v>17420.009999999998</v>
      </c>
      <c r="L90" s="419">
        <v>22162.83</v>
      </c>
      <c r="M90" s="419">
        <v>17664.23</v>
      </c>
      <c r="N90" s="419">
        <v>14863.65</v>
      </c>
      <c r="O90" s="419">
        <v>20003.34</v>
      </c>
      <c r="P90" s="341"/>
      <c r="Q90" s="343">
        <f t="shared" si="14"/>
        <v>218444.68000000002</v>
      </c>
      <c r="R90" s="344">
        <f t="shared" si="15"/>
        <v>210124.88</v>
      </c>
      <c r="T90" s="319" t="s">
        <v>197</v>
      </c>
    </row>
    <row r="91" spans="2:20" x14ac:dyDescent="0.3">
      <c r="C91" s="575" t="s">
        <v>580</v>
      </c>
      <c r="D91" s="414"/>
      <c r="E91" s="414"/>
      <c r="F91" s="414"/>
      <c r="G91" s="414"/>
      <c r="H91" s="414"/>
      <c r="I91" s="414"/>
      <c r="J91" s="414"/>
      <c r="K91" s="414"/>
      <c r="L91" s="414"/>
      <c r="M91" s="414"/>
      <c r="N91" s="414"/>
      <c r="O91" s="414"/>
      <c r="P91" s="341"/>
      <c r="Q91" s="343">
        <f t="shared" si="14"/>
        <v>0</v>
      </c>
      <c r="R91" s="344">
        <f t="shared" si="15"/>
        <v>0</v>
      </c>
      <c r="T91" s="319" t="s">
        <v>198</v>
      </c>
    </row>
    <row r="92" spans="2:20" x14ac:dyDescent="0.3">
      <c r="B92" s="263">
        <v>14</v>
      </c>
      <c r="C92" s="652" t="s">
        <v>581</v>
      </c>
      <c r="D92" s="414">
        <v>0</v>
      </c>
      <c r="E92" s="414">
        <v>0</v>
      </c>
      <c r="F92" s="414">
        <v>487</v>
      </c>
      <c r="G92" s="414">
        <v>0</v>
      </c>
      <c r="H92" s="414">
        <v>516.02</v>
      </c>
      <c r="I92" s="414">
        <v>547.07000000000005</v>
      </c>
      <c r="J92" s="414">
        <v>1721.34</v>
      </c>
      <c r="K92" s="414">
        <v>694.92</v>
      </c>
      <c r="L92" s="414">
        <v>1447.77</v>
      </c>
      <c r="M92" s="414">
        <v>1375.91</v>
      </c>
      <c r="N92" s="414">
        <v>1479.45</v>
      </c>
      <c r="O92" s="414">
        <v>1688.7</v>
      </c>
      <c r="P92" s="341"/>
      <c r="Q92" s="343">
        <f t="shared" si="14"/>
        <v>9958.1800000000021</v>
      </c>
      <c r="R92" s="344">
        <f t="shared" si="15"/>
        <v>18176.240000000002</v>
      </c>
      <c r="T92" s="319" t="s">
        <v>199</v>
      </c>
    </row>
    <row r="93" spans="2:20" x14ac:dyDescent="0.3">
      <c r="B93" s="263">
        <v>15</v>
      </c>
      <c r="C93" s="652" t="s">
        <v>582</v>
      </c>
      <c r="D93" s="414">
        <v>0</v>
      </c>
      <c r="E93" s="414">
        <v>0</v>
      </c>
      <c r="F93" s="414">
        <v>0</v>
      </c>
      <c r="G93" s="414">
        <v>0</v>
      </c>
      <c r="H93" s="414">
        <v>0</v>
      </c>
      <c r="I93" s="414">
        <v>0</v>
      </c>
      <c r="J93" s="414">
        <v>0</v>
      </c>
      <c r="K93" s="414">
        <v>2445</v>
      </c>
      <c r="L93" s="414">
        <v>5424.84</v>
      </c>
      <c r="M93" s="414">
        <v>9596.66</v>
      </c>
      <c r="N93" s="414">
        <v>5564.26</v>
      </c>
      <c r="O93" s="414">
        <v>7086.9</v>
      </c>
      <c r="P93" s="341"/>
      <c r="Q93" s="343">
        <f>SUM(D93:O93)</f>
        <v>30117.660000000003</v>
      </c>
      <c r="R93" s="344">
        <f t="shared" si="15"/>
        <v>88991.28</v>
      </c>
      <c r="T93" s="319" t="s">
        <v>200</v>
      </c>
    </row>
    <row r="94" spans="2:20" x14ac:dyDescent="0.3">
      <c r="B94" s="263">
        <v>16</v>
      </c>
      <c r="C94" s="652" t="s">
        <v>583</v>
      </c>
      <c r="D94" s="414">
        <v>0</v>
      </c>
      <c r="E94" s="414">
        <v>0</v>
      </c>
      <c r="F94" s="414">
        <v>468.27</v>
      </c>
      <c r="G94" s="414">
        <v>205.87</v>
      </c>
      <c r="H94" s="414">
        <v>-674.14</v>
      </c>
      <c r="I94" s="414">
        <v>0</v>
      </c>
      <c r="J94" s="414">
        <v>0</v>
      </c>
      <c r="K94" s="414">
        <v>0</v>
      </c>
      <c r="L94" s="414">
        <v>0</v>
      </c>
      <c r="M94" s="414">
        <v>945.81</v>
      </c>
      <c r="N94" s="414">
        <v>0</v>
      </c>
      <c r="O94" s="414">
        <v>1308.04</v>
      </c>
      <c r="P94" s="341"/>
      <c r="Q94" s="343">
        <f t="shared" si="14"/>
        <v>2253.85</v>
      </c>
      <c r="R94" s="344">
        <f t="shared" si="15"/>
        <v>9015.4</v>
      </c>
      <c r="T94" s="319" t="s">
        <v>201</v>
      </c>
    </row>
    <row r="95" spans="2:20" x14ac:dyDescent="0.3">
      <c r="B95" s="263">
        <v>16</v>
      </c>
      <c r="C95" s="652" t="s">
        <v>584</v>
      </c>
      <c r="D95" s="414">
        <v>38693.33</v>
      </c>
      <c r="E95" s="414">
        <v>0</v>
      </c>
      <c r="F95" s="414">
        <v>0</v>
      </c>
      <c r="G95" s="414">
        <v>-38693.33</v>
      </c>
      <c r="H95" s="414">
        <v>0</v>
      </c>
      <c r="I95" s="414">
        <v>0</v>
      </c>
      <c r="J95" s="414">
        <v>0</v>
      </c>
      <c r="K95" s="414">
        <v>0</v>
      </c>
      <c r="L95" s="414">
        <v>0</v>
      </c>
      <c r="M95" s="414">
        <v>0</v>
      </c>
      <c r="N95" s="414">
        <v>0</v>
      </c>
      <c r="O95" s="414">
        <v>0</v>
      </c>
      <c r="P95" s="341"/>
      <c r="Q95" s="343">
        <f t="shared" si="14"/>
        <v>0</v>
      </c>
      <c r="R95" s="344">
        <f t="shared" si="15"/>
        <v>0</v>
      </c>
      <c r="T95" s="319" t="s">
        <v>202</v>
      </c>
    </row>
    <row r="96" spans="2:20" x14ac:dyDescent="0.3">
      <c r="B96" s="263">
        <v>14</v>
      </c>
      <c r="C96" s="652" t="s">
        <v>585</v>
      </c>
      <c r="D96" s="414">
        <v>3712.54</v>
      </c>
      <c r="E96" s="414">
        <v>5183.8100000000004</v>
      </c>
      <c r="F96" s="414">
        <v>4239.3999999999996</v>
      </c>
      <c r="G96" s="414">
        <v>4607.17</v>
      </c>
      <c r="H96" s="414">
        <v>2283.0500000000002</v>
      </c>
      <c r="I96" s="414">
        <v>2073.71</v>
      </c>
      <c r="J96" s="414">
        <v>3038.55</v>
      </c>
      <c r="K96" s="414">
        <v>2630.56</v>
      </c>
      <c r="L96" s="414">
        <v>2894.99</v>
      </c>
      <c r="M96" s="414">
        <v>2502.36</v>
      </c>
      <c r="N96" s="414">
        <v>1927.82</v>
      </c>
      <c r="O96" s="414">
        <v>694.79</v>
      </c>
      <c r="P96" s="341"/>
      <c r="Q96" s="343">
        <f t="shared" si="14"/>
        <v>35788.75</v>
      </c>
      <c r="R96" s="344">
        <f t="shared" si="15"/>
        <v>20499.88</v>
      </c>
      <c r="T96" s="319" t="s">
        <v>203</v>
      </c>
    </row>
    <row r="97" spans="2:20" x14ac:dyDescent="0.3">
      <c r="B97" s="263">
        <v>15</v>
      </c>
      <c r="C97" s="652" t="s">
        <v>586</v>
      </c>
      <c r="D97" s="414">
        <v>0</v>
      </c>
      <c r="E97" s="414">
        <v>0</v>
      </c>
      <c r="F97" s="414">
        <v>0</v>
      </c>
      <c r="G97" s="414">
        <v>0</v>
      </c>
      <c r="H97" s="414">
        <v>0</v>
      </c>
      <c r="I97" s="414">
        <v>0</v>
      </c>
      <c r="J97" s="414">
        <v>632.87</v>
      </c>
      <c r="K97" s="414">
        <v>48296.639999999999</v>
      </c>
      <c r="L97" s="414">
        <v>0</v>
      </c>
      <c r="M97" s="414">
        <v>0</v>
      </c>
      <c r="N97" s="414">
        <v>0</v>
      </c>
      <c r="O97" s="414">
        <v>0</v>
      </c>
      <c r="P97" s="341"/>
      <c r="Q97" s="343">
        <f t="shared" si="14"/>
        <v>48929.51</v>
      </c>
      <c r="R97" s="344">
        <f t="shared" si="15"/>
        <v>0</v>
      </c>
      <c r="T97" s="319" t="s">
        <v>204</v>
      </c>
    </row>
    <row r="98" spans="2:20" x14ac:dyDescent="0.3">
      <c r="B98" s="263">
        <v>14</v>
      </c>
      <c r="C98" s="652" t="s">
        <v>587</v>
      </c>
      <c r="D98" s="414">
        <v>0</v>
      </c>
      <c r="E98" s="414">
        <v>0</v>
      </c>
      <c r="F98" s="414">
        <v>0</v>
      </c>
      <c r="G98" s="414">
        <v>0</v>
      </c>
      <c r="H98" s="414">
        <v>6195.94</v>
      </c>
      <c r="I98" s="414">
        <v>2401.85</v>
      </c>
      <c r="J98" s="414">
        <v>4045.03</v>
      </c>
      <c r="K98" s="414">
        <v>3878.44</v>
      </c>
      <c r="L98" s="414">
        <v>2181.85</v>
      </c>
      <c r="M98" s="414">
        <v>2893.34</v>
      </c>
      <c r="N98" s="414">
        <v>5089.4799999999996</v>
      </c>
      <c r="O98" s="414">
        <v>1306.07</v>
      </c>
      <c r="P98" s="345"/>
      <c r="Q98" s="343">
        <f t="shared" si="14"/>
        <v>27991.999999999996</v>
      </c>
      <c r="R98" s="344">
        <f t="shared" si="15"/>
        <v>37155.56</v>
      </c>
      <c r="T98" s="319" t="s">
        <v>205</v>
      </c>
    </row>
    <row r="99" spans="2:20" x14ac:dyDescent="0.3">
      <c r="B99" s="263">
        <v>15</v>
      </c>
      <c r="C99" s="652" t="s">
        <v>588</v>
      </c>
      <c r="D99" s="414">
        <v>16.829999999999998</v>
      </c>
      <c r="E99" s="414">
        <v>0</v>
      </c>
      <c r="F99" s="414">
        <v>0</v>
      </c>
      <c r="G99" s="414">
        <v>0</v>
      </c>
      <c r="H99" s="414">
        <v>285.42</v>
      </c>
      <c r="I99" s="414">
        <v>359.63</v>
      </c>
      <c r="J99" s="414">
        <v>225</v>
      </c>
      <c r="K99" s="414">
        <v>0</v>
      </c>
      <c r="L99" s="414">
        <v>15.15</v>
      </c>
      <c r="M99" s="414">
        <v>0</v>
      </c>
      <c r="N99" s="414">
        <v>0</v>
      </c>
      <c r="O99" s="414">
        <v>48.43</v>
      </c>
      <c r="P99" s="346"/>
      <c r="Q99" s="343">
        <f t="shared" si="14"/>
        <v>950.45999999999992</v>
      </c>
      <c r="R99" s="344">
        <f t="shared" si="15"/>
        <v>193.72</v>
      </c>
      <c r="T99" s="319" t="s">
        <v>206</v>
      </c>
    </row>
    <row r="100" spans="2:20" x14ac:dyDescent="0.3">
      <c r="B100" s="263">
        <v>16</v>
      </c>
      <c r="C100" s="652" t="s">
        <v>589</v>
      </c>
      <c r="D100" s="414">
        <v>0</v>
      </c>
      <c r="E100" s="414">
        <v>0</v>
      </c>
      <c r="F100" s="414">
        <v>0</v>
      </c>
      <c r="G100" s="414">
        <v>528.17999999999995</v>
      </c>
      <c r="H100" s="414">
        <v>-528.17999999999995</v>
      </c>
      <c r="I100" s="414">
        <v>248.98</v>
      </c>
      <c r="J100" s="414">
        <v>249</v>
      </c>
      <c r="K100" s="414">
        <v>772</v>
      </c>
      <c r="L100" s="414">
        <v>246.51</v>
      </c>
      <c r="M100" s="414">
        <v>1544.26</v>
      </c>
      <c r="N100" s="414">
        <v>1072.26</v>
      </c>
      <c r="O100" s="414">
        <v>926.23</v>
      </c>
      <c r="P100" s="346"/>
      <c r="Q100" s="343">
        <f t="shared" si="14"/>
        <v>5059.24</v>
      </c>
      <c r="R100" s="344">
        <f t="shared" si="15"/>
        <v>14171</v>
      </c>
      <c r="T100" s="319" t="s">
        <v>207</v>
      </c>
    </row>
    <row r="101" spans="2:20" x14ac:dyDescent="0.3">
      <c r="C101" s="575" t="s">
        <v>590</v>
      </c>
      <c r="D101" s="419">
        <v>42422.7</v>
      </c>
      <c r="E101" s="419">
        <v>5183.8100000000004</v>
      </c>
      <c r="F101" s="419">
        <v>5194.67</v>
      </c>
      <c r="G101" s="419">
        <v>-33352.11</v>
      </c>
      <c r="H101" s="419">
        <v>8078.11</v>
      </c>
      <c r="I101" s="419">
        <v>5631.24</v>
      </c>
      <c r="J101" s="419">
        <v>9911.7900000000009</v>
      </c>
      <c r="K101" s="419">
        <v>58717.56</v>
      </c>
      <c r="L101" s="419">
        <v>12211.11</v>
      </c>
      <c r="M101" s="419">
        <v>18858.34</v>
      </c>
      <c r="N101" s="419">
        <v>15133.27</v>
      </c>
      <c r="O101" s="419">
        <v>13059.16</v>
      </c>
      <c r="P101" s="341"/>
      <c r="Q101" s="343">
        <f t="shared" si="14"/>
        <v>161049.65</v>
      </c>
      <c r="R101" s="344">
        <f t="shared" si="15"/>
        <v>188203.08000000002</v>
      </c>
      <c r="T101" s="319" t="s">
        <v>208</v>
      </c>
    </row>
    <row r="102" spans="2:20" x14ac:dyDescent="0.3">
      <c r="C102" s="576" t="s">
        <v>591</v>
      </c>
      <c r="D102" s="419">
        <v>113198.83</v>
      </c>
      <c r="E102" s="419">
        <v>137729.75</v>
      </c>
      <c r="F102" s="419">
        <v>40477.82</v>
      </c>
      <c r="G102" s="419">
        <v>23387.03</v>
      </c>
      <c r="H102" s="419">
        <v>71312.7</v>
      </c>
      <c r="I102" s="419">
        <v>73736.91</v>
      </c>
      <c r="J102" s="419">
        <v>70306.350000000006</v>
      </c>
      <c r="K102" s="419">
        <v>117638.12</v>
      </c>
      <c r="L102" s="419">
        <v>7974.76</v>
      </c>
      <c r="M102" s="419">
        <v>229969.72</v>
      </c>
      <c r="N102" s="419">
        <v>86504.12</v>
      </c>
      <c r="O102" s="419">
        <v>78636.84</v>
      </c>
      <c r="P102" s="341"/>
      <c r="Q102" s="343">
        <f t="shared" si="14"/>
        <v>1050872.95</v>
      </c>
      <c r="R102" s="344">
        <f t="shared" si="15"/>
        <v>1580442.7199999997</v>
      </c>
      <c r="T102" s="319" t="s">
        <v>210</v>
      </c>
    </row>
    <row r="103" spans="2:20" ht="15" thickBot="1" x14ac:dyDescent="0.35">
      <c r="C103" s="575" t="s">
        <v>592</v>
      </c>
      <c r="D103" s="419">
        <v>-109859.83</v>
      </c>
      <c r="E103" s="419">
        <v>-112636.75</v>
      </c>
      <c r="F103" s="419">
        <v>-14560.82</v>
      </c>
      <c r="G103" s="419">
        <v>7051.97</v>
      </c>
      <c r="H103" s="419">
        <v>-38575.199999999997</v>
      </c>
      <c r="I103" s="419">
        <v>-39113.410000000003</v>
      </c>
      <c r="J103" s="419">
        <v>-33934.35</v>
      </c>
      <c r="K103" s="419">
        <v>-64232.62</v>
      </c>
      <c r="L103" s="419">
        <v>48278.239999999998</v>
      </c>
      <c r="M103" s="419">
        <v>-165336.72</v>
      </c>
      <c r="N103" s="419">
        <v>-24974.37</v>
      </c>
      <c r="O103" s="419">
        <v>-18461.34</v>
      </c>
      <c r="P103" s="341"/>
      <c r="Q103" s="343">
        <f t="shared" si="14"/>
        <v>-566355.19999999995</v>
      </c>
      <c r="R103" s="344">
        <f t="shared" si="15"/>
        <v>-835089.72</v>
      </c>
      <c r="T103" s="323" t="s">
        <v>212</v>
      </c>
    </row>
    <row r="104" spans="2:20" x14ac:dyDescent="0.3">
      <c r="C104" s="652"/>
      <c r="D104" s="414"/>
      <c r="E104" s="414"/>
      <c r="F104" s="414"/>
      <c r="G104" s="414"/>
      <c r="H104" s="414"/>
      <c r="I104" s="414"/>
      <c r="J104" s="414"/>
      <c r="K104" s="414"/>
      <c r="L104" s="414"/>
      <c r="M104" s="414"/>
      <c r="N104" s="414"/>
      <c r="O104" s="414"/>
      <c r="P104" s="341"/>
      <c r="Q104" s="343">
        <f t="shared" si="14"/>
        <v>0</v>
      </c>
      <c r="R104" s="344">
        <f t="shared" si="15"/>
        <v>0</v>
      </c>
      <c r="T104" s="315" t="s">
        <v>184</v>
      </c>
    </row>
    <row r="105" spans="2:20" x14ac:dyDescent="0.3">
      <c r="B105" s="263">
        <v>19</v>
      </c>
      <c r="C105" s="652" t="s">
        <v>593</v>
      </c>
      <c r="D105" s="414">
        <v>3601.29</v>
      </c>
      <c r="E105" s="414">
        <v>3601.29</v>
      </c>
      <c r="F105" s="414">
        <v>3601.29</v>
      </c>
      <c r="G105" s="414">
        <v>3601.29</v>
      </c>
      <c r="H105" s="414">
        <v>3601.29</v>
      </c>
      <c r="I105" s="414">
        <v>3601.29</v>
      </c>
      <c r="J105" s="414">
        <v>47545.63</v>
      </c>
      <c r="K105" s="414">
        <v>9879.0499999999993</v>
      </c>
      <c r="L105" s="414">
        <v>9879.0499999999993</v>
      </c>
      <c r="M105" s="414">
        <v>9879.0499999999993</v>
      </c>
      <c r="N105" s="414">
        <v>9879.0499999999993</v>
      </c>
      <c r="O105" s="414">
        <v>9879.0499999999993</v>
      </c>
      <c r="P105" s="341"/>
      <c r="Q105" s="343">
        <f t="shared" si="14"/>
        <v>118548.62000000001</v>
      </c>
      <c r="R105" s="344">
        <f t="shared" si="15"/>
        <v>118548.59999999999</v>
      </c>
      <c r="T105" s="316" t="s">
        <v>186</v>
      </c>
    </row>
    <row r="106" spans="2:20" x14ac:dyDescent="0.3">
      <c r="C106" s="652"/>
      <c r="D106" s="414"/>
      <c r="E106" s="414"/>
      <c r="F106" s="414"/>
      <c r="G106" s="414"/>
      <c r="H106" s="414"/>
      <c r="I106" s="414"/>
      <c r="J106" s="414"/>
      <c r="K106" s="414"/>
      <c r="L106" s="414"/>
      <c r="M106" s="414"/>
      <c r="N106" s="414"/>
      <c r="O106" s="414"/>
      <c r="P106" s="341"/>
      <c r="Q106" s="343">
        <f t="shared" si="14"/>
        <v>0</v>
      </c>
      <c r="R106" s="344">
        <f>SUM(M106:O106)*4</f>
        <v>0</v>
      </c>
      <c r="T106" s="316" t="s">
        <v>187</v>
      </c>
    </row>
    <row r="107" spans="2:20" x14ac:dyDescent="0.3">
      <c r="B107" s="263">
        <v>24</v>
      </c>
      <c r="C107" s="575" t="s">
        <v>613</v>
      </c>
      <c r="D107" s="419">
        <f>D103-D105</f>
        <v>-113461.12</v>
      </c>
      <c r="E107" s="419">
        <f t="shared" ref="E107:O107" si="16">E103-E105</f>
        <v>-116238.04</v>
      </c>
      <c r="F107" s="419">
        <f t="shared" si="16"/>
        <v>-18162.11</v>
      </c>
      <c r="G107" s="419">
        <f t="shared" si="16"/>
        <v>3450.6800000000003</v>
      </c>
      <c r="H107" s="419">
        <f t="shared" si="16"/>
        <v>-42176.49</v>
      </c>
      <c r="I107" s="419">
        <f t="shared" si="16"/>
        <v>-42714.700000000004</v>
      </c>
      <c r="J107" s="419">
        <f t="shared" si="16"/>
        <v>-81479.98</v>
      </c>
      <c r="K107" s="419">
        <f t="shared" si="16"/>
        <v>-74111.67</v>
      </c>
      <c r="L107" s="419">
        <f t="shared" si="16"/>
        <v>38399.19</v>
      </c>
      <c r="M107" s="419">
        <f t="shared" si="16"/>
        <v>-175215.77</v>
      </c>
      <c r="N107" s="419">
        <f t="shared" si="16"/>
        <v>-34853.42</v>
      </c>
      <c r="O107" s="419">
        <f t="shared" si="16"/>
        <v>-28340.39</v>
      </c>
      <c r="P107" s="341"/>
      <c r="Q107" s="343">
        <f t="shared" si="14"/>
        <v>-684903.82</v>
      </c>
      <c r="R107" s="344">
        <f t="shared" si="15"/>
        <v>-953638.32000000007</v>
      </c>
      <c r="T107" s="316" t="s">
        <v>189</v>
      </c>
    </row>
    <row r="108" spans="2:20" x14ac:dyDescent="0.3">
      <c r="B108" s="107"/>
      <c r="C108" s="652"/>
      <c r="D108" s="419"/>
      <c r="E108" s="419"/>
      <c r="F108" s="419"/>
      <c r="G108" s="419"/>
      <c r="H108" s="419"/>
      <c r="I108" s="419"/>
      <c r="J108" s="419"/>
      <c r="K108" s="419"/>
      <c r="L108" s="419"/>
      <c r="M108" s="419"/>
      <c r="N108" s="419"/>
      <c r="O108" s="419"/>
      <c r="P108" s="341"/>
      <c r="Q108" s="343">
        <f t="shared" si="14"/>
        <v>0</v>
      </c>
      <c r="R108" s="344">
        <f t="shared" si="15"/>
        <v>0</v>
      </c>
      <c r="T108" s="316" t="s">
        <v>190</v>
      </c>
    </row>
    <row r="109" spans="2:20" x14ac:dyDescent="0.3">
      <c r="C109" s="652"/>
      <c r="D109" s="414"/>
      <c r="E109" s="414"/>
      <c r="F109" s="414"/>
      <c r="G109" s="414"/>
      <c r="H109" s="414"/>
      <c r="I109" s="414"/>
      <c r="J109" s="414"/>
      <c r="K109" s="414"/>
      <c r="L109" s="414"/>
      <c r="M109" s="414"/>
      <c r="N109" s="414"/>
      <c r="O109" s="414"/>
      <c r="P109" s="341"/>
      <c r="Q109" s="343">
        <f t="shared" si="14"/>
        <v>0</v>
      </c>
      <c r="R109" s="344">
        <f t="shared" si="15"/>
        <v>0</v>
      </c>
      <c r="T109" s="316" t="s">
        <v>191</v>
      </c>
    </row>
    <row r="110" spans="2:20" x14ac:dyDescent="0.3">
      <c r="C110" s="652"/>
      <c r="D110" s="414"/>
      <c r="E110" s="414"/>
      <c r="F110" s="414"/>
      <c r="G110" s="414"/>
      <c r="H110" s="414"/>
      <c r="I110" s="414"/>
      <c r="J110" s="414"/>
      <c r="K110" s="414"/>
      <c r="L110" s="414"/>
      <c r="M110" s="414"/>
      <c r="N110" s="414"/>
      <c r="O110" s="414"/>
      <c r="P110" s="341"/>
      <c r="Q110" s="343">
        <f t="shared" si="14"/>
        <v>0</v>
      </c>
      <c r="R110" s="344">
        <f t="shared" si="15"/>
        <v>0</v>
      </c>
      <c r="T110" s="316" t="s">
        <v>193</v>
      </c>
    </row>
    <row r="111" spans="2:20" x14ac:dyDescent="0.3">
      <c r="C111" s="532"/>
      <c r="D111" s="414"/>
      <c r="E111" s="414"/>
      <c r="F111" s="414"/>
      <c r="G111" s="414"/>
      <c r="H111" s="414"/>
      <c r="I111" s="414"/>
      <c r="J111" s="414"/>
      <c r="K111" s="414"/>
      <c r="L111" s="414"/>
      <c r="M111" s="414"/>
      <c r="N111" s="414"/>
      <c r="O111" s="414"/>
      <c r="P111" s="341"/>
      <c r="Q111" s="343">
        <f t="shared" si="14"/>
        <v>0</v>
      </c>
      <c r="R111" s="344">
        <f t="shared" si="15"/>
        <v>0</v>
      </c>
      <c r="T111" s="316" t="s">
        <v>194</v>
      </c>
    </row>
    <row r="112" spans="2:20" x14ac:dyDescent="0.3">
      <c r="C112" s="652"/>
      <c r="D112" s="414"/>
      <c r="E112" s="414"/>
      <c r="F112" s="414"/>
      <c r="G112" s="414"/>
      <c r="H112" s="414"/>
      <c r="I112" s="414"/>
      <c r="J112" s="414"/>
      <c r="K112" s="414"/>
      <c r="L112" s="414"/>
      <c r="M112" s="414"/>
      <c r="N112" s="414"/>
      <c r="O112" s="414"/>
      <c r="P112" s="341"/>
      <c r="Q112" s="343">
        <f t="shared" si="14"/>
        <v>0</v>
      </c>
      <c r="R112" s="344">
        <f t="shared" si="15"/>
        <v>0</v>
      </c>
      <c r="T112" s="316" t="s">
        <v>195</v>
      </c>
    </row>
    <row r="113" spans="3:20" x14ac:dyDescent="0.3">
      <c r="C113" s="652"/>
      <c r="D113" s="414"/>
      <c r="E113" s="414"/>
      <c r="F113" s="414"/>
      <c r="G113" s="414"/>
      <c r="H113" s="414"/>
      <c r="I113" s="414"/>
      <c r="J113" s="414"/>
      <c r="K113" s="414"/>
      <c r="L113" s="414"/>
      <c r="M113" s="414"/>
      <c r="N113" s="414"/>
      <c r="O113" s="414"/>
      <c r="P113" s="345"/>
      <c r="Q113" s="343">
        <f t="shared" si="14"/>
        <v>0</v>
      </c>
      <c r="R113" s="344">
        <f t="shared" si="15"/>
        <v>0</v>
      </c>
      <c r="T113" s="316" t="s">
        <v>196</v>
      </c>
    </row>
    <row r="114" spans="3:20" x14ac:dyDescent="0.3">
      <c r="C114" s="652"/>
      <c r="D114" s="414"/>
      <c r="E114" s="414"/>
      <c r="F114" s="414"/>
      <c r="G114" s="414"/>
      <c r="H114" s="414"/>
      <c r="I114" s="414"/>
      <c r="J114" s="414"/>
      <c r="K114" s="414"/>
      <c r="L114" s="414"/>
      <c r="M114" s="414"/>
      <c r="N114" s="414"/>
      <c r="O114" s="414"/>
      <c r="P114" s="346"/>
      <c r="Q114" s="343">
        <f t="shared" si="14"/>
        <v>0</v>
      </c>
      <c r="R114" s="344">
        <f t="shared" si="15"/>
        <v>0</v>
      </c>
      <c r="T114" s="319" t="s">
        <v>197</v>
      </c>
    </row>
    <row r="115" spans="3:20" x14ac:dyDescent="0.3">
      <c r="C115" s="652"/>
      <c r="D115" s="414"/>
      <c r="E115" s="414"/>
      <c r="F115" s="414"/>
      <c r="G115" s="414"/>
      <c r="H115" s="414"/>
      <c r="I115" s="414"/>
      <c r="J115" s="414"/>
      <c r="K115" s="414"/>
      <c r="L115" s="414"/>
      <c r="M115" s="414"/>
      <c r="N115" s="414"/>
      <c r="O115" s="414"/>
      <c r="P115" s="346"/>
      <c r="Q115" s="343">
        <f t="shared" si="14"/>
        <v>0</v>
      </c>
      <c r="R115" s="344">
        <f t="shared" si="15"/>
        <v>0</v>
      </c>
      <c r="T115" s="319" t="s">
        <v>198</v>
      </c>
    </row>
    <row r="116" spans="3:20" x14ac:dyDescent="0.3">
      <c r="C116" s="652"/>
      <c r="D116" s="414"/>
      <c r="E116" s="414"/>
      <c r="F116" s="414"/>
      <c r="G116" s="414"/>
      <c r="H116" s="414"/>
      <c r="I116" s="414"/>
      <c r="J116" s="414"/>
      <c r="K116" s="414"/>
      <c r="L116" s="414"/>
      <c r="M116" s="414"/>
      <c r="N116" s="414"/>
      <c r="O116" s="414"/>
      <c r="P116" s="341"/>
      <c r="Q116" s="343">
        <f t="shared" si="14"/>
        <v>0</v>
      </c>
      <c r="R116" s="344">
        <f t="shared" si="15"/>
        <v>0</v>
      </c>
      <c r="T116" s="319" t="s">
        <v>199</v>
      </c>
    </row>
    <row r="117" spans="3:20" x14ac:dyDescent="0.3">
      <c r="C117" s="652"/>
      <c r="D117" s="414"/>
      <c r="E117" s="414"/>
      <c r="F117" s="414"/>
      <c r="G117" s="414"/>
      <c r="H117" s="414"/>
      <c r="I117" s="414"/>
      <c r="J117" s="414"/>
      <c r="K117" s="414"/>
      <c r="L117" s="414"/>
      <c r="M117" s="414"/>
      <c r="N117" s="414"/>
      <c r="O117" s="414"/>
      <c r="P117" s="341"/>
      <c r="Q117" s="343">
        <f t="shared" si="14"/>
        <v>0</v>
      </c>
      <c r="R117" s="344">
        <f t="shared" si="15"/>
        <v>0</v>
      </c>
      <c r="T117" s="319" t="s">
        <v>200</v>
      </c>
    </row>
    <row r="118" spans="3:20" x14ac:dyDescent="0.3">
      <c r="C118" s="652"/>
      <c r="D118" s="414"/>
      <c r="E118" s="414"/>
      <c r="F118" s="414"/>
      <c r="G118" s="414"/>
      <c r="H118" s="414"/>
      <c r="I118" s="414"/>
      <c r="J118" s="414"/>
      <c r="K118" s="414"/>
      <c r="L118" s="414"/>
      <c r="M118" s="414"/>
      <c r="N118" s="414"/>
      <c r="O118" s="414"/>
      <c r="P118" s="341"/>
      <c r="Q118" s="343">
        <f t="shared" si="14"/>
        <v>0</v>
      </c>
      <c r="R118" s="344">
        <f t="shared" si="15"/>
        <v>0</v>
      </c>
      <c r="T118" s="319" t="s">
        <v>201</v>
      </c>
    </row>
    <row r="119" spans="3:20" x14ac:dyDescent="0.3">
      <c r="C119" s="652"/>
      <c r="D119" s="419"/>
      <c r="E119" s="419"/>
      <c r="F119" s="419"/>
      <c r="G119" s="419"/>
      <c r="H119" s="419"/>
      <c r="I119" s="419"/>
      <c r="J119" s="419"/>
      <c r="K119" s="419"/>
      <c r="L119" s="419"/>
      <c r="M119" s="419"/>
      <c r="N119" s="419"/>
      <c r="O119" s="419"/>
      <c r="P119" s="341"/>
      <c r="Q119" s="343">
        <f t="shared" si="14"/>
        <v>0</v>
      </c>
      <c r="R119" s="344">
        <f t="shared" si="15"/>
        <v>0</v>
      </c>
      <c r="T119" s="319" t="s">
        <v>202</v>
      </c>
    </row>
    <row r="120" spans="3:20" x14ac:dyDescent="0.3">
      <c r="C120" s="652"/>
      <c r="D120" s="419"/>
      <c r="E120" s="419"/>
      <c r="F120" s="419"/>
      <c r="G120" s="419"/>
      <c r="H120" s="419"/>
      <c r="I120" s="419"/>
      <c r="J120" s="419"/>
      <c r="K120" s="419"/>
      <c r="L120" s="419"/>
      <c r="M120" s="419"/>
      <c r="N120" s="419"/>
      <c r="O120" s="419"/>
      <c r="P120" s="341"/>
      <c r="Q120" s="343">
        <f t="shared" si="14"/>
        <v>0</v>
      </c>
      <c r="R120" s="344">
        <f t="shared" si="15"/>
        <v>0</v>
      </c>
      <c r="T120" s="319" t="s">
        <v>203</v>
      </c>
    </row>
    <row r="121" spans="3:20" x14ac:dyDescent="0.3">
      <c r="C121" s="652"/>
      <c r="D121" s="414"/>
      <c r="E121" s="414"/>
      <c r="F121" s="414"/>
      <c r="G121" s="414"/>
      <c r="H121" s="414"/>
      <c r="I121" s="414"/>
      <c r="J121" s="414"/>
      <c r="K121" s="414"/>
      <c r="L121" s="414"/>
      <c r="M121" s="414"/>
      <c r="N121" s="414"/>
      <c r="O121" s="414"/>
      <c r="P121" s="341"/>
      <c r="Q121" s="343">
        <f t="shared" si="14"/>
        <v>0</v>
      </c>
      <c r="R121" s="344">
        <f t="shared" si="15"/>
        <v>0</v>
      </c>
      <c r="T121" s="319" t="s">
        <v>204</v>
      </c>
    </row>
    <row r="122" spans="3:20" x14ac:dyDescent="0.3">
      <c r="C122" s="652"/>
      <c r="D122" s="414"/>
      <c r="E122" s="414"/>
      <c r="F122" s="414"/>
      <c r="G122" s="414"/>
      <c r="H122" s="414"/>
      <c r="I122" s="414"/>
      <c r="J122" s="414"/>
      <c r="K122" s="414"/>
      <c r="L122" s="414"/>
      <c r="M122" s="414"/>
      <c r="N122" s="414"/>
      <c r="O122" s="414"/>
      <c r="P122" s="345"/>
      <c r="Q122" s="343">
        <f t="shared" si="14"/>
        <v>0</v>
      </c>
      <c r="R122" s="344">
        <f t="shared" si="15"/>
        <v>0</v>
      </c>
      <c r="T122" s="319" t="s">
        <v>205</v>
      </c>
    </row>
    <row r="123" spans="3:20" x14ac:dyDescent="0.3">
      <c r="C123" s="652"/>
      <c r="D123" s="414"/>
      <c r="E123" s="414"/>
      <c r="F123" s="414"/>
      <c r="G123" s="414"/>
      <c r="H123" s="414"/>
      <c r="I123" s="414"/>
      <c r="J123" s="414"/>
      <c r="K123" s="414"/>
      <c r="L123" s="414"/>
      <c r="M123" s="414"/>
      <c r="N123" s="414"/>
      <c r="O123" s="414"/>
      <c r="P123" s="346"/>
      <c r="Q123" s="343">
        <f t="shared" si="14"/>
        <v>0</v>
      </c>
      <c r="R123" s="344">
        <f t="shared" si="15"/>
        <v>0</v>
      </c>
      <c r="T123" s="319" t="s">
        <v>206</v>
      </c>
    </row>
    <row r="124" spans="3:20" x14ac:dyDescent="0.3">
      <c r="C124" s="532"/>
      <c r="D124" s="414"/>
      <c r="E124" s="414"/>
      <c r="F124" s="414"/>
      <c r="G124" s="414"/>
      <c r="H124" s="414"/>
      <c r="I124" s="414"/>
      <c r="J124" s="414"/>
      <c r="K124" s="414"/>
      <c r="L124" s="414"/>
      <c r="M124" s="414"/>
      <c r="N124" s="414"/>
      <c r="O124" s="414"/>
      <c r="P124" s="346"/>
      <c r="Q124" s="343">
        <f t="shared" si="14"/>
        <v>0</v>
      </c>
      <c r="R124" s="344">
        <f t="shared" si="15"/>
        <v>0</v>
      </c>
      <c r="T124" s="319" t="s">
        <v>207</v>
      </c>
    </row>
    <row r="125" spans="3:20" x14ac:dyDescent="0.3">
      <c r="C125" s="652"/>
      <c r="D125" s="414"/>
      <c r="E125" s="414"/>
      <c r="F125" s="414"/>
      <c r="G125" s="414"/>
      <c r="H125" s="414"/>
      <c r="I125" s="414"/>
      <c r="J125" s="414"/>
      <c r="K125" s="414"/>
      <c r="L125" s="414"/>
      <c r="M125" s="414"/>
      <c r="N125" s="414"/>
      <c r="O125" s="414"/>
      <c r="P125" s="341"/>
      <c r="Q125" s="343">
        <f t="shared" si="14"/>
        <v>0</v>
      </c>
      <c r="R125" s="344">
        <f t="shared" si="15"/>
        <v>0</v>
      </c>
      <c r="T125" s="319" t="s">
        <v>208</v>
      </c>
    </row>
    <row r="126" spans="3:20" x14ac:dyDescent="0.3">
      <c r="C126" s="652"/>
      <c r="D126" s="414"/>
      <c r="E126" s="414"/>
      <c r="F126" s="414"/>
      <c r="G126" s="414"/>
      <c r="H126" s="414"/>
      <c r="I126" s="414"/>
      <c r="J126" s="414"/>
      <c r="K126" s="414"/>
      <c r="L126" s="414"/>
      <c r="M126" s="414"/>
      <c r="N126" s="414"/>
      <c r="O126" s="414"/>
      <c r="P126" s="341"/>
      <c r="Q126" s="343">
        <f t="shared" si="14"/>
        <v>0</v>
      </c>
      <c r="R126" s="344">
        <f t="shared" si="15"/>
        <v>0</v>
      </c>
      <c r="T126" s="319" t="s">
        <v>210</v>
      </c>
    </row>
    <row r="127" spans="3:20" ht="15" thickBot="1" x14ac:dyDescent="0.35">
      <c r="C127" s="532"/>
      <c r="D127" s="414"/>
      <c r="E127" s="414"/>
      <c r="F127" s="414"/>
      <c r="G127" s="414"/>
      <c r="H127" s="414"/>
      <c r="I127" s="414"/>
      <c r="J127" s="414"/>
      <c r="K127" s="414"/>
      <c r="L127" s="414"/>
      <c r="M127" s="414"/>
      <c r="N127" s="414"/>
      <c r="O127" s="414"/>
      <c r="P127" s="341"/>
      <c r="Q127" s="343">
        <f t="shared" si="14"/>
        <v>0</v>
      </c>
      <c r="R127" s="344">
        <f t="shared" si="15"/>
        <v>0</v>
      </c>
      <c r="T127" s="323" t="s">
        <v>212</v>
      </c>
    </row>
    <row r="128" spans="3:20" x14ac:dyDescent="0.3">
      <c r="C128" s="652"/>
      <c r="D128" s="414"/>
      <c r="E128" s="414"/>
      <c r="F128" s="414"/>
      <c r="G128" s="414"/>
      <c r="H128" s="414"/>
      <c r="I128" s="414"/>
      <c r="J128" s="414"/>
      <c r="K128" s="414"/>
      <c r="L128" s="414"/>
      <c r="M128" s="414"/>
      <c r="N128" s="414"/>
      <c r="O128" s="414"/>
      <c r="P128" s="341"/>
      <c r="Q128" s="343">
        <f t="shared" si="14"/>
        <v>0</v>
      </c>
      <c r="R128" s="344">
        <f t="shared" si="15"/>
        <v>0</v>
      </c>
      <c r="T128" s="315" t="s">
        <v>184</v>
      </c>
    </row>
    <row r="129" spans="3:20" x14ac:dyDescent="0.3">
      <c r="C129" s="532"/>
      <c r="D129" s="414"/>
      <c r="E129" s="414"/>
      <c r="F129" s="414"/>
      <c r="G129" s="414"/>
      <c r="H129" s="414"/>
      <c r="I129" s="414"/>
      <c r="J129" s="414"/>
      <c r="K129" s="414"/>
      <c r="L129" s="414"/>
      <c r="M129" s="414"/>
      <c r="N129" s="414"/>
      <c r="O129" s="414"/>
      <c r="P129" s="345"/>
      <c r="Q129" s="343">
        <f>SUM(D129:O129)</f>
        <v>0</v>
      </c>
      <c r="R129" s="344">
        <f t="shared" si="15"/>
        <v>0</v>
      </c>
      <c r="T129" s="316" t="s">
        <v>186</v>
      </c>
    </row>
    <row r="130" spans="3:20" x14ac:dyDescent="0.3">
      <c r="C130" s="652"/>
      <c r="D130" s="414"/>
      <c r="E130" s="414"/>
      <c r="F130" s="414"/>
      <c r="G130" s="414"/>
      <c r="H130" s="414"/>
      <c r="I130" s="414"/>
      <c r="J130" s="414"/>
      <c r="K130" s="414"/>
      <c r="L130" s="414"/>
      <c r="M130" s="414"/>
      <c r="N130" s="414"/>
      <c r="O130" s="414"/>
      <c r="P130" s="346"/>
      <c r="Q130" s="343">
        <f t="shared" si="14"/>
        <v>0</v>
      </c>
      <c r="R130" s="344">
        <f t="shared" si="15"/>
        <v>0</v>
      </c>
      <c r="T130" s="316" t="s">
        <v>187</v>
      </c>
    </row>
    <row r="131" spans="3:20" x14ac:dyDescent="0.3">
      <c r="C131" s="652"/>
      <c r="D131" s="414"/>
      <c r="E131" s="414"/>
      <c r="F131" s="414"/>
      <c r="G131" s="414"/>
      <c r="H131" s="414"/>
      <c r="I131" s="414"/>
      <c r="J131" s="414"/>
      <c r="K131" s="414"/>
      <c r="L131" s="414"/>
      <c r="M131" s="414"/>
      <c r="N131" s="414"/>
      <c r="O131" s="414"/>
      <c r="P131" s="346"/>
      <c r="Q131" s="343">
        <f t="shared" si="14"/>
        <v>0</v>
      </c>
      <c r="R131" s="344">
        <f t="shared" si="15"/>
        <v>0</v>
      </c>
      <c r="T131" s="316" t="s">
        <v>189</v>
      </c>
    </row>
    <row r="132" spans="3:20" x14ac:dyDescent="0.3">
      <c r="C132" s="532"/>
      <c r="D132" s="414"/>
      <c r="E132" s="414"/>
      <c r="F132" s="414"/>
      <c r="G132" s="414"/>
      <c r="H132" s="414"/>
      <c r="I132" s="414"/>
      <c r="J132" s="414"/>
      <c r="K132" s="414"/>
      <c r="L132" s="414"/>
      <c r="M132" s="414"/>
      <c r="N132" s="414"/>
      <c r="O132" s="414"/>
      <c r="P132" s="341"/>
      <c r="Q132" s="343">
        <f t="shared" si="14"/>
        <v>0</v>
      </c>
      <c r="R132" s="344">
        <f t="shared" si="15"/>
        <v>0</v>
      </c>
      <c r="T132" s="316" t="s">
        <v>190</v>
      </c>
    </row>
    <row r="133" spans="3:20" x14ac:dyDescent="0.3">
      <c r="C133" s="652"/>
      <c r="D133" s="414"/>
      <c r="E133" s="414"/>
      <c r="F133" s="414"/>
      <c r="G133" s="414"/>
      <c r="H133" s="414"/>
      <c r="I133" s="414"/>
      <c r="J133" s="414"/>
      <c r="K133" s="414"/>
      <c r="L133" s="414"/>
      <c r="M133" s="414"/>
      <c r="N133" s="414"/>
      <c r="O133" s="414"/>
      <c r="P133" s="341"/>
      <c r="Q133" s="343">
        <f t="shared" si="14"/>
        <v>0</v>
      </c>
      <c r="R133" s="344">
        <f t="shared" si="15"/>
        <v>0</v>
      </c>
      <c r="T133" s="316" t="s">
        <v>191</v>
      </c>
    </row>
    <row r="134" spans="3:20" x14ac:dyDescent="0.3">
      <c r="C134" s="652"/>
      <c r="D134" s="419"/>
      <c r="E134" s="419"/>
      <c r="F134" s="419"/>
      <c r="G134" s="419"/>
      <c r="H134" s="419"/>
      <c r="I134" s="419"/>
      <c r="J134" s="419"/>
      <c r="K134" s="419"/>
      <c r="L134" s="419"/>
      <c r="M134" s="419"/>
      <c r="N134" s="419"/>
      <c r="O134" s="419"/>
      <c r="P134" s="341"/>
      <c r="Q134" s="343">
        <f t="shared" si="14"/>
        <v>0</v>
      </c>
      <c r="R134" s="344">
        <f t="shared" si="15"/>
        <v>0</v>
      </c>
      <c r="T134" s="316" t="s">
        <v>193</v>
      </c>
    </row>
    <row r="135" spans="3:20" x14ac:dyDescent="0.3">
      <c r="C135" s="652"/>
      <c r="D135" s="414"/>
      <c r="E135" s="414"/>
      <c r="F135" s="414"/>
      <c r="G135" s="414"/>
      <c r="H135" s="414"/>
      <c r="I135" s="414"/>
      <c r="J135" s="414"/>
      <c r="K135" s="414"/>
      <c r="L135" s="414"/>
      <c r="M135" s="414"/>
      <c r="N135" s="414"/>
      <c r="O135" s="414"/>
      <c r="P135" s="341"/>
      <c r="Q135" s="343">
        <f t="shared" si="14"/>
        <v>0</v>
      </c>
      <c r="R135" s="344">
        <f t="shared" si="15"/>
        <v>0</v>
      </c>
      <c r="T135" s="316" t="s">
        <v>194</v>
      </c>
    </row>
    <row r="136" spans="3:20" x14ac:dyDescent="0.3">
      <c r="C136" s="532"/>
      <c r="D136" s="414"/>
      <c r="E136" s="414"/>
      <c r="F136" s="414"/>
      <c r="G136" s="414"/>
      <c r="H136" s="414"/>
      <c r="I136" s="414"/>
      <c r="J136" s="414"/>
      <c r="K136" s="414"/>
      <c r="L136" s="414"/>
      <c r="M136" s="414"/>
      <c r="N136" s="414"/>
      <c r="O136" s="414"/>
      <c r="P136" s="341"/>
      <c r="Q136" s="343">
        <f t="shared" si="14"/>
        <v>0</v>
      </c>
      <c r="R136" s="344">
        <f t="shared" si="15"/>
        <v>0</v>
      </c>
      <c r="T136" s="316" t="s">
        <v>195</v>
      </c>
    </row>
    <row r="137" spans="3:20" x14ac:dyDescent="0.3">
      <c r="C137" s="652"/>
      <c r="D137" s="414"/>
      <c r="E137" s="414"/>
      <c r="F137" s="414"/>
      <c r="G137" s="414"/>
      <c r="H137" s="414"/>
      <c r="I137" s="414"/>
      <c r="J137" s="414"/>
      <c r="K137" s="414"/>
      <c r="L137" s="414"/>
      <c r="M137" s="414"/>
      <c r="N137" s="414"/>
      <c r="O137" s="414"/>
      <c r="P137" s="341"/>
      <c r="Q137" s="343">
        <f t="shared" si="14"/>
        <v>0</v>
      </c>
      <c r="R137" s="344">
        <f t="shared" si="15"/>
        <v>0</v>
      </c>
      <c r="T137" s="316" t="s">
        <v>196</v>
      </c>
    </row>
    <row r="138" spans="3:20" x14ac:dyDescent="0.3">
      <c r="C138" s="532"/>
      <c r="D138" s="414"/>
      <c r="E138" s="414"/>
      <c r="F138" s="414"/>
      <c r="G138" s="414"/>
      <c r="H138" s="414"/>
      <c r="I138" s="414"/>
      <c r="J138" s="414"/>
      <c r="K138" s="414"/>
      <c r="L138" s="414"/>
      <c r="M138" s="414"/>
      <c r="N138" s="414"/>
      <c r="O138" s="414"/>
      <c r="P138" s="345"/>
      <c r="Q138" s="343">
        <f t="shared" si="14"/>
        <v>0</v>
      </c>
      <c r="R138" s="344">
        <f t="shared" si="15"/>
        <v>0</v>
      </c>
      <c r="T138" s="319" t="s">
        <v>197</v>
      </c>
    </row>
    <row r="139" spans="3:20" x14ac:dyDescent="0.3">
      <c r="C139" s="652"/>
      <c r="D139" s="414"/>
      <c r="E139" s="414"/>
      <c r="F139" s="414"/>
      <c r="G139" s="414"/>
      <c r="H139" s="414"/>
      <c r="I139" s="414"/>
      <c r="J139" s="414"/>
      <c r="K139" s="414"/>
      <c r="L139" s="414"/>
      <c r="M139" s="414"/>
      <c r="N139" s="414"/>
      <c r="O139" s="414"/>
      <c r="P139" s="346"/>
      <c r="Q139" s="343">
        <f t="shared" si="14"/>
        <v>0</v>
      </c>
      <c r="R139" s="344">
        <f t="shared" si="15"/>
        <v>0</v>
      </c>
      <c r="T139" s="319" t="s">
        <v>198</v>
      </c>
    </row>
    <row r="140" spans="3:20" x14ac:dyDescent="0.3">
      <c r="C140" s="532"/>
      <c r="D140" s="414"/>
      <c r="E140" s="414"/>
      <c r="F140" s="414"/>
      <c r="G140" s="414"/>
      <c r="H140" s="414"/>
      <c r="I140" s="414"/>
      <c r="J140" s="414"/>
      <c r="K140" s="414"/>
      <c r="L140" s="414"/>
      <c r="M140" s="414"/>
      <c r="N140" s="414"/>
      <c r="O140" s="414"/>
      <c r="P140" s="346"/>
      <c r="Q140" s="343">
        <f t="shared" si="14"/>
        <v>0</v>
      </c>
      <c r="R140" s="344">
        <f t="shared" si="15"/>
        <v>0</v>
      </c>
      <c r="T140" s="319" t="s">
        <v>199</v>
      </c>
    </row>
    <row r="141" spans="3:20" x14ac:dyDescent="0.3">
      <c r="C141" s="652"/>
      <c r="D141" s="414"/>
      <c r="E141" s="414"/>
      <c r="F141" s="414"/>
      <c r="G141" s="414"/>
      <c r="H141" s="414"/>
      <c r="I141" s="414"/>
      <c r="J141" s="414"/>
      <c r="K141" s="414"/>
      <c r="L141" s="414"/>
      <c r="M141" s="414"/>
      <c r="N141" s="414"/>
      <c r="O141" s="414"/>
      <c r="P141" s="341"/>
      <c r="Q141" s="343">
        <f t="shared" si="14"/>
        <v>0</v>
      </c>
      <c r="R141" s="344">
        <f t="shared" si="15"/>
        <v>0</v>
      </c>
      <c r="T141" s="319" t="s">
        <v>200</v>
      </c>
    </row>
    <row r="142" spans="3:20" x14ac:dyDescent="0.3">
      <c r="C142" s="652"/>
      <c r="D142" s="419"/>
      <c r="E142" s="419"/>
      <c r="F142" s="419"/>
      <c r="G142" s="419"/>
      <c r="H142" s="419"/>
      <c r="I142" s="419"/>
      <c r="J142" s="419"/>
      <c r="K142" s="419"/>
      <c r="L142" s="419"/>
      <c r="M142" s="419"/>
      <c r="N142" s="419"/>
      <c r="O142" s="419"/>
      <c r="P142" s="341"/>
      <c r="Q142" s="343">
        <f t="shared" si="14"/>
        <v>0</v>
      </c>
      <c r="R142" s="344">
        <f t="shared" si="15"/>
        <v>0</v>
      </c>
      <c r="T142" s="319" t="s">
        <v>201</v>
      </c>
    </row>
    <row r="143" spans="3:20" x14ac:dyDescent="0.3">
      <c r="C143" s="532"/>
      <c r="D143" s="414"/>
      <c r="E143" s="414"/>
      <c r="F143" s="414"/>
      <c r="G143" s="414"/>
      <c r="H143" s="414"/>
      <c r="I143" s="414"/>
      <c r="J143" s="414"/>
      <c r="K143" s="414"/>
      <c r="L143" s="414"/>
      <c r="M143" s="414"/>
      <c r="N143" s="414"/>
      <c r="O143" s="414"/>
      <c r="P143" s="341"/>
      <c r="Q143" s="343">
        <f t="shared" si="14"/>
        <v>0</v>
      </c>
      <c r="R143" s="344">
        <f t="shared" si="15"/>
        <v>0</v>
      </c>
      <c r="T143" s="319" t="s">
        <v>202</v>
      </c>
    </row>
    <row r="144" spans="3:20" x14ac:dyDescent="0.3">
      <c r="C144" s="652"/>
      <c r="D144" s="414"/>
      <c r="E144" s="414"/>
      <c r="F144" s="414"/>
      <c r="G144" s="414"/>
      <c r="H144" s="414"/>
      <c r="I144" s="414"/>
      <c r="J144" s="414"/>
      <c r="K144" s="414"/>
      <c r="L144" s="414"/>
      <c r="M144" s="414"/>
      <c r="N144" s="414"/>
      <c r="O144" s="414"/>
      <c r="P144" s="341"/>
      <c r="Q144" s="343">
        <f t="shared" si="14"/>
        <v>0</v>
      </c>
      <c r="R144" s="344">
        <f t="shared" si="15"/>
        <v>0</v>
      </c>
      <c r="T144" s="319" t="s">
        <v>203</v>
      </c>
    </row>
    <row r="145" spans="3:20" x14ac:dyDescent="0.3">
      <c r="C145" s="532"/>
      <c r="D145" s="414"/>
      <c r="E145" s="414"/>
      <c r="F145" s="414"/>
      <c r="G145" s="414"/>
      <c r="H145" s="414"/>
      <c r="I145" s="414"/>
      <c r="J145" s="414"/>
      <c r="K145" s="414"/>
      <c r="L145" s="414"/>
      <c r="M145" s="414"/>
      <c r="N145" s="414"/>
      <c r="O145" s="414"/>
      <c r="P145" s="345"/>
      <c r="Q145" s="343">
        <f t="shared" si="14"/>
        <v>0</v>
      </c>
      <c r="R145" s="344">
        <f t="shared" si="15"/>
        <v>0</v>
      </c>
      <c r="T145" s="319" t="s">
        <v>204</v>
      </c>
    </row>
    <row r="146" spans="3:20" x14ac:dyDescent="0.3">
      <c r="C146" s="540"/>
      <c r="D146" s="415"/>
      <c r="E146" s="415"/>
      <c r="F146" s="415"/>
      <c r="G146" s="415"/>
      <c r="H146" s="415"/>
      <c r="I146" s="415"/>
      <c r="J146" s="415"/>
      <c r="K146" s="415"/>
      <c r="L146" s="415"/>
      <c r="M146" s="415"/>
      <c r="N146" s="415"/>
      <c r="O146" s="415"/>
      <c r="P146" s="346"/>
      <c r="Q146" s="343">
        <f t="shared" si="14"/>
        <v>0</v>
      </c>
      <c r="R146" s="344">
        <f t="shared" si="15"/>
        <v>0</v>
      </c>
      <c r="T146" s="319" t="s">
        <v>205</v>
      </c>
    </row>
    <row r="147" spans="3:20" x14ac:dyDescent="0.3">
      <c r="C147" s="540"/>
      <c r="D147" s="415"/>
      <c r="E147" s="415"/>
      <c r="F147" s="415"/>
      <c r="G147" s="415"/>
      <c r="H147" s="415"/>
      <c r="I147" s="415"/>
      <c r="J147" s="415"/>
      <c r="K147" s="415"/>
      <c r="L147" s="415"/>
      <c r="M147" s="415"/>
      <c r="N147" s="415"/>
      <c r="O147" s="415"/>
      <c r="P147" s="345"/>
      <c r="Q147" s="343">
        <f t="shared" ref="Q147:Q210" si="17">SUM(D147:O147)</f>
        <v>0</v>
      </c>
      <c r="R147" s="344">
        <f t="shared" ref="R147:R210" si="18">SUM(M147:O147)*4</f>
        <v>0</v>
      </c>
      <c r="T147" s="319" t="s">
        <v>206</v>
      </c>
    </row>
    <row r="148" spans="3:20" x14ac:dyDescent="0.3">
      <c r="C148" s="540"/>
      <c r="D148" s="415"/>
      <c r="E148" s="415"/>
      <c r="F148" s="415"/>
      <c r="G148" s="415"/>
      <c r="H148" s="415"/>
      <c r="I148" s="415"/>
      <c r="J148" s="415"/>
      <c r="K148" s="415"/>
      <c r="L148" s="415"/>
      <c r="M148" s="415"/>
      <c r="N148" s="415"/>
      <c r="O148" s="415"/>
      <c r="P148" s="346"/>
      <c r="Q148" s="343">
        <f t="shared" si="17"/>
        <v>0</v>
      </c>
      <c r="R148" s="344">
        <f t="shared" si="18"/>
        <v>0</v>
      </c>
      <c r="T148" s="319" t="s">
        <v>207</v>
      </c>
    </row>
    <row r="149" spans="3:20" x14ac:dyDescent="0.3">
      <c r="C149" s="540"/>
      <c r="D149" s="415"/>
      <c r="E149" s="415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345"/>
      <c r="Q149" s="343">
        <f t="shared" si="17"/>
        <v>0</v>
      </c>
      <c r="R149" s="344">
        <f t="shared" si="18"/>
        <v>0</v>
      </c>
      <c r="T149" s="319" t="s">
        <v>208</v>
      </c>
    </row>
    <row r="150" spans="3:20" x14ac:dyDescent="0.3">
      <c r="C150" s="540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Q150" s="343">
        <f t="shared" si="17"/>
        <v>0</v>
      </c>
      <c r="R150" s="344">
        <f t="shared" si="18"/>
        <v>0</v>
      </c>
      <c r="T150" s="319" t="s">
        <v>210</v>
      </c>
    </row>
    <row r="151" spans="3:20" ht="15" thickBot="1" x14ac:dyDescent="0.35">
      <c r="C151" s="540"/>
      <c r="D151" s="579"/>
      <c r="E151" s="579"/>
      <c r="F151" s="579"/>
      <c r="G151" s="579"/>
      <c r="H151" s="579"/>
      <c r="I151" s="579"/>
      <c r="J151" s="579"/>
      <c r="K151" s="579"/>
      <c r="L151" s="579"/>
      <c r="M151" s="579"/>
      <c r="N151" s="579"/>
      <c r="O151" s="579"/>
      <c r="Q151" s="343">
        <f t="shared" si="17"/>
        <v>0</v>
      </c>
      <c r="R151" s="344">
        <f t="shared" si="18"/>
        <v>0</v>
      </c>
      <c r="T151" s="323" t="s">
        <v>212</v>
      </c>
    </row>
    <row r="152" spans="3:20" x14ac:dyDescent="0.3">
      <c r="C152" s="540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79"/>
      <c r="Q152" s="343">
        <f t="shared" si="17"/>
        <v>0</v>
      </c>
      <c r="R152" s="344">
        <f t="shared" si="18"/>
        <v>0</v>
      </c>
      <c r="T152" s="315" t="s">
        <v>184</v>
      </c>
    </row>
    <row r="153" spans="3:20" x14ac:dyDescent="0.3">
      <c r="C153" s="540"/>
      <c r="D153" s="415"/>
      <c r="E153" s="415"/>
      <c r="F153" s="415"/>
      <c r="G153" s="415"/>
      <c r="H153" s="415"/>
      <c r="I153" s="415"/>
      <c r="J153" s="415"/>
      <c r="K153" s="415"/>
      <c r="L153" s="415"/>
      <c r="M153" s="415"/>
      <c r="N153" s="415"/>
      <c r="O153" s="415"/>
      <c r="Q153" s="343">
        <f t="shared" si="17"/>
        <v>0</v>
      </c>
      <c r="R153" s="344">
        <f t="shared" si="18"/>
        <v>0</v>
      </c>
      <c r="T153" s="316" t="s">
        <v>186</v>
      </c>
    </row>
    <row r="154" spans="3:20" x14ac:dyDescent="0.3">
      <c r="C154" s="540"/>
      <c r="D154" s="579"/>
      <c r="E154" s="579"/>
      <c r="F154" s="579"/>
      <c r="G154" s="579"/>
      <c r="H154" s="579"/>
      <c r="I154" s="579"/>
      <c r="J154" s="579"/>
      <c r="K154" s="579"/>
      <c r="L154" s="579"/>
      <c r="M154" s="579"/>
      <c r="N154" s="579"/>
      <c r="O154" s="579"/>
      <c r="Q154" s="343">
        <f t="shared" si="17"/>
        <v>0</v>
      </c>
      <c r="R154" s="344">
        <f t="shared" si="18"/>
        <v>0</v>
      </c>
      <c r="T154" s="316" t="s">
        <v>187</v>
      </c>
    </row>
    <row r="155" spans="3:20" x14ac:dyDescent="0.3">
      <c r="C155" s="540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t="s">
        <v>313</v>
      </c>
      <c r="Q155" s="343">
        <f t="shared" si="17"/>
        <v>0</v>
      </c>
      <c r="R155" s="344">
        <f t="shared" si="18"/>
        <v>0</v>
      </c>
      <c r="T155" s="316" t="s">
        <v>189</v>
      </c>
    </row>
    <row r="156" spans="3:20" x14ac:dyDescent="0.3">
      <c r="C156" s="540"/>
      <c r="D156" s="417"/>
      <c r="E156" s="417"/>
      <c r="F156" s="417"/>
      <c r="G156" s="417"/>
      <c r="H156" s="417"/>
      <c r="I156" s="417"/>
      <c r="J156" s="417"/>
      <c r="K156" s="417"/>
      <c r="L156" s="417"/>
      <c r="M156" s="417"/>
      <c r="N156" s="417"/>
      <c r="O156" s="417"/>
      <c r="Q156" s="343">
        <f t="shared" si="17"/>
        <v>0</v>
      </c>
      <c r="R156" s="344">
        <f t="shared" si="18"/>
        <v>0</v>
      </c>
      <c r="T156" s="316" t="s">
        <v>190</v>
      </c>
    </row>
    <row r="157" spans="3:20" x14ac:dyDescent="0.3">
      <c r="C157" s="540"/>
      <c r="D157" s="577"/>
      <c r="E157" s="577"/>
      <c r="F157" s="577"/>
      <c r="G157" s="577"/>
      <c r="H157" s="577"/>
      <c r="I157" s="577"/>
      <c r="J157" s="577"/>
      <c r="K157" s="577"/>
      <c r="L157" s="577"/>
      <c r="M157" s="577"/>
      <c r="N157" s="577"/>
      <c r="O157" s="577"/>
      <c r="Q157" s="343">
        <f t="shared" si="17"/>
        <v>0</v>
      </c>
      <c r="R157" s="344">
        <f t="shared" si="18"/>
        <v>0</v>
      </c>
      <c r="T157" s="316" t="s">
        <v>191</v>
      </c>
    </row>
    <row r="158" spans="3:20" x14ac:dyDescent="0.3">
      <c r="C158" s="540"/>
      <c r="D158" s="579"/>
      <c r="E158" s="579"/>
      <c r="F158" s="579"/>
      <c r="G158" s="579"/>
      <c r="H158" s="579"/>
      <c r="I158" s="579"/>
      <c r="J158" s="579"/>
      <c r="K158" s="579"/>
      <c r="L158" s="579"/>
      <c r="M158" s="579"/>
      <c r="N158" s="579"/>
      <c r="O158" s="579"/>
      <c r="Q158" s="343">
        <f t="shared" si="17"/>
        <v>0</v>
      </c>
      <c r="R158" s="344">
        <f t="shared" si="18"/>
        <v>0</v>
      </c>
      <c r="T158" s="316" t="s">
        <v>193</v>
      </c>
    </row>
    <row r="159" spans="3:20" x14ac:dyDescent="0.3">
      <c r="C159" s="540"/>
      <c r="D159" s="579"/>
      <c r="E159" s="579"/>
      <c r="F159" s="579"/>
      <c r="G159" s="579"/>
      <c r="H159" s="579"/>
      <c r="I159" s="579"/>
      <c r="J159" s="579"/>
      <c r="K159" s="579"/>
      <c r="L159" s="579"/>
      <c r="M159" s="579"/>
      <c r="N159" s="579"/>
      <c r="O159" s="579"/>
      <c r="Q159" s="343">
        <f t="shared" si="17"/>
        <v>0</v>
      </c>
      <c r="R159" s="344">
        <f t="shared" si="18"/>
        <v>0</v>
      </c>
      <c r="T159" s="316" t="s">
        <v>194</v>
      </c>
    </row>
    <row r="160" spans="3:20" x14ac:dyDescent="0.3">
      <c r="C160" s="540"/>
      <c r="D160" s="417"/>
      <c r="E160" s="417"/>
      <c r="F160" s="417"/>
      <c r="G160" s="417"/>
      <c r="H160" s="417"/>
      <c r="I160" s="417"/>
      <c r="J160" s="417"/>
      <c r="K160" s="417"/>
      <c r="L160" s="417"/>
      <c r="M160" s="417"/>
      <c r="N160" s="417"/>
      <c r="O160" s="417"/>
      <c r="Q160" s="343">
        <f t="shared" si="17"/>
        <v>0</v>
      </c>
      <c r="R160" s="344">
        <f>SUM(M160:O160)*4</f>
        <v>0</v>
      </c>
      <c r="T160" s="316" t="s">
        <v>195</v>
      </c>
    </row>
    <row r="161" spans="3:20" x14ac:dyDescent="0.3">
      <c r="C161" s="540"/>
      <c r="D161" s="577"/>
      <c r="E161" s="577"/>
      <c r="F161" s="577"/>
      <c r="G161" s="577"/>
      <c r="H161" s="577"/>
      <c r="I161" s="577"/>
      <c r="J161" s="577"/>
      <c r="K161" s="577"/>
      <c r="L161" s="577"/>
      <c r="M161" s="577"/>
      <c r="N161" s="577"/>
      <c r="O161" s="577"/>
      <c r="Q161" s="343">
        <f t="shared" si="17"/>
        <v>0</v>
      </c>
      <c r="R161" s="344">
        <f t="shared" si="18"/>
        <v>0</v>
      </c>
      <c r="T161" s="316" t="s">
        <v>196</v>
      </c>
    </row>
    <row r="162" spans="3:20" x14ac:dyDescent="0.3">
      <c r="C162" s="540"/>
      <c r="D162" s="415"/>
      <c r="E162" s="415"/>
      <c r="F162" s="415"/>
      <c r="G162" s="415"/>
      <c r="H162" s="415"/>
      <c r="I162" s="415"/>
      <c r="J162" s="415"/>
      <c r="K162" s="415"/>
      <c r="L162" s="415"/>
      <c r="M162" s="415"/>
      <c r="N162" s="415"/>
      <c r="O162" s="415"/>
      <c r="Q162" s="343">
        <f t="shared" si="17"/>
        <v>0</v>
      </c>
      <c r="R162" s="344">
        <f t="shared" si="18"/>
        <v>0</v>
      </c>
      <c r="T162" s="319" t="s">
        <v>197</v>
      </c>
    </row>
    <row r="163" spans="3:20" x14ac:dyDescent="0.3">
      <c r="C163" s="540"/>
      <c r="D163" s="415"/>
      <c r="E163" s="415"/>
      <c r="F163" s="415"/>
      <c r="G163" s="415"/>
      <c r="H163" s="415"/>
      <c r="I163" s="415"/>
      <c r="J163" s="415"/>
      <c r="K163" s="415"/>
      <c r="L163" s="415"/>
      <c r="M163" s="415"/>
      <c r="N163" s="415"/>
      <c r="O163" s="415"/>
      <c r="Q163" s="343">
        <f t="shared" si="17"/>
        <v>0</v>
      </c>
      <c r="R163" s="344">
        <f t="shared" si="18"/>
        <v>0</v>
      </c>
      <c r="T163" s="319" t="s">
        <v>198</v>
      </c>
    </row>
    <row r="164" spans="3:20" x14ac:dyDescent="0.3">
      <c r="C164" s="540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Q164" s="343">
        <f t="shared" si="17"/>
        <v>0</v>
      </c>
      <c r="R164" s="344">
        <f t="shared" si="18"/>
        <v>0</v>
      </c>
      <c r="T164" s="319" t="s">
        <v>199</v>
      </c>
    </row>
    <row r="165" spans="3:20" x14ac:dyDescent="0.3">
      <c r="C165" s="540"/>
      <c r="D165" s="577"/>
      <c r="E165" s="577"/>
      <c r="F165" s="577"/>
      <c r="G165" s="577"/>
      <c r="H165" s="577"/>
      <c r="I165" s="577"/>
      <c r="J165" s="577"/>
      <c r="K165" s="577"/>
      <c r="L165" s="577"/>
      <c r="M165" s="577"/>
      <c r="N165" s="577"/>
      <c r="O165" s="577"/>
      <c r="Q165" s="343">
        <f>SUM(D165:O165)</f>
        <v>0</v>
      </c>
      <c r="R165" s="344">
        <f t="shared" si="18"/>
        <v>0</v>
      </c>
      <c r="T165" s="319" t="s">
        <v>200</v>
      </c>
    </row>
    <row r="166" spans="3:20" x14ac:dyDescent="0.3">
      <c r="C166" s="540"/>
      <c r="D166" s="415"/>
      <c r="E166" s="415"/>
      <c r="F166" s="415"/>
      <c r="G166" s="415"/>
      <c r="H166" s="415"/>
      <c r="I166" s="415"/>
      <c r="J166" s="415"/>
      <c r="K166" s="415"/>
      <c r="L166" s="415"/>
      <c r="M166" s="415"/>
      <c r="N166" s="415"/>
      <c r="O166" s="415"/>
      <c r="Q166" s="343">
        <f t="shared" si="17"/>
        <v>0</v>
      </c>
      <c r="R166" s="344">
        <f t="shared" si="18"/>
        <v>0</v>
      </c>
      <c r="T166" s="319" t="s">
        <v>201</v>
      </c>
    </row>
    <row r="167" spans="3:20" x14ac:dyDescent="0.3">
      <c r="C167" s="540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Q167" s="343">
        <f t="shared" si="17"/>
        <v>0</v>
      </c>
      <c r="R167" s="344">
        <f t="shared" si="18"/>
        <v>0</v>
      </c>
      <c r="T167" s="319" t="s">
        <v>202</v>
      </c>
    </row>
    <row r="168" spans="3:20" x14ac:dyDescent="0.3">
      <c r="C168" s="540"/>
      <c r="D168" s="578"/>
      <c r="E168" s="578"/>
      <c r="F168" s="578"/>
      <c r="G168" s="578"/>
      <c r="H168" s="578"/>
      <c r="I168" s="578"/>
      <c r="J168" s="578"/>
      <c r="K168" s="578"/>
      <c r="L168" s="578"/>
      <c r="M168" s="578"/>
      <c r="N168" s="578"/>
      <c r="O168" s="578"/>
      <c r="Q168" s="343">
        <f t="shared" si="17"/>
        <v>0</v>
      </c>
      <c r="R168" s="344">
        <f t="shared" si="18"/>
        <v>0</v>
      </c>
      <c r="T168" s="319" t="s">
        <v>203</v>
      </c>
    </row>
    <row r="169" spans="3:20" x14ac:dyDescent="0.3">
      <c r="C169" s="540"/>
      <c r="D169" s="418"/>
      <c r="E169" s="418"/>
      <c r="F169" s="418"/>
      <c r="G169" s="418"/>
      <c r="H169" s="418"/>
      <c r="I169" s="418"/>
      <c r="J169" s="418"/>
      <c r="K169" s="418"/>
      <c r="L169" s="418"/>
      <c r="M169" s="418"/>
      <c r="N169" s="418"/>
      <c r="O169" s="418"/>
      <c r="Q169" s="343">
        <f t="shared" si="17"/>
        <v>0</v>
      </c>
      <c r="R169" s="344">
        <f t="shared" si="18"/>
        <v>0</v>
      </c>
      <c r="T169" s="319" t="s">
        <v>204</v>
      </c>
    </row>
    <row r="170" spans="3:20" x14ac:dyDescent="0.3">
      <c r="C170" s="540"/>
      <c r="D170" s="415"/>
      <c r="E170" s="415"/>
      <c r="F170" s="415"/>
      <c r="G170" s="415"/>
      <c r="H170" s="415"/>
      <c r="I170" s="415"/>
      <c r="J170" s="415"/>
      <c r="K170" s="415"/>
      <c r="L170" s="415"/>
      <c r="M170" s="415"/>
      <c r="N170" s="415"/>
      <c r="O170" s="415"/>
      <c r="Q170" s="343">
        <f t="shared" si="17"/>
        <v>0</v>
      </c>
      <c r="R170" s="344">
        <f t="shared" si="18"/>
        <v>0</v>
      </c>
      <c r="T170" s="319" t="s">
        <v>205</v>
      </c>
    </row>
    <row r="171" spans="3:20" x14ac:dyDescent="0.3">
      <c r="C171" s="540"/>
      <c r="D171" s="415"/>
      <c r="E171" s="415"/>
      <c r="F171" s="415"/>
      <c r="G171" s="415"/>
      <c r="H171" s="415"/>
      <c r="I171" s="415"/>
      <c r="J171" s="415"/>
      <c r="K171" s="415"/>
      <c r="L171" s="415"/>
      <c r="M171" s="415"/>
      <c r="N171" s="415"/>
      <c r="O171" s="415"/>
      <c r="Q171" s="343">
        <f t="shared" si="17"/>
        <v>0</v>
      </c>
      <c r="R171" s="344">
        <f t="shared" si="18"/>
        <v>0</v>
      </c>
      <c r="T171" s="319" t="s">
        <v>206</v>
      </c>
    </row>
    <row r="172" spans="3:20" x14ac:dyDescent="0.3">
      <c r="C172" s="540"/>
      <c r="D172" s="417"/>
      <c r="E172" s="417"/>
      <c r="F172" s="417"/>
      <c r="G172" s="417"/>
      <c r="H172" s="417"/>
      <c r="I172" s="417"/>
      <c r="J172" s="417"/>
      <c r="K172" s="417"/>
      <c r="L172" s="417"/>
      <c r="M172" s="417"/>
      <c r="N172" s="417"/>
      <c r="O172" s="417"/>
      <c r="Q172" s="343">
        <f t="shared" si="17"/>
        <v>0</v>
      </c>
      <c r="R172" s="344">
        <f t="shared" si="18"/>
        <v>0</v>
      </c>
      <c r="T172" s="319" t="s">
        <v>207</v>
      </c>
    </row>
    <row r="173" spans="3:20" x14ac:dyDescent="0.3">
      <c r="C173" s="540"/>
      <c r="D173" s="415"/>
      <c r="E173" s="415"/>
      <c r="F173" s="415"/>
      <c r="G173" s="415"/>
      <c r="H173" s="415"/>
      <c r="I173" s="415"/>
      <c r="J173" s="415"/>
      <c r="K173" s="415"/>
      <c r="L173" s="415"/>
      <c r="M173" s="415"/>
      <c r="N173" s="415"/>
      <c r="O173" s="415"/>
      <c r="Q173" s="343">
        <f t="shared" si="17"/>
        <v>0</v>
      </c>
      <c r="R173" s="344">
        <f t="shared" si="18"/>
        <v>0</v>
      </c>
      <c r="T173" s="319" t="s">
        <v>208</v>
      </c>
    </row>
    <row r="174" spans="3:20" x14ac:dyDescent="0.3">
      <c r="C174" s="540"/>
      <c r="D174" s="417"/>
      <c r="E174" s="417"/>
      <c r="F174" s="417"/>
      <c r="G174" s="417"/>
      <c r="H174" s="417"/>
      <c r="I174" s="417"/>
      <c r="J174" s="417"/>
      <c r="K174" s="417"/>
      <c r="L174" s="417"/>
      <c r="M174" s="417"/>
      <c r="N174" s="417"/>
      <c r="O174" s="417"/>
      <c r="Q174" s="343">
        <f t="shared" si="17"/>
        <v>0</v>
      </c>
      <c r="R174" s="344">
        <f t="shared" si="18"/>
        <v>0</v>
      </c>
      <c r="T174" s="319" t="s">
        <v>210</v>
      </c>
    </row>
    <row r="175" spans="3:20" ht="15" thickBot="1" x14ac:dyDescent="0.35">
      <c r="C175" s="540"/>
      <c r="D175" s="416"/>
      <c r="E175" s="416"/>
      <c r="F175" s="416"/>
      <c r="G175" s="416"/>
      <c r="H175" s="416"/>
      <c r="I175" s="416"/>
      <c r="J175" s="416"/>
      <c r="K175" s="416"/>
      <c r="L175" s="416"/>
      <c r="M175" s="416"/>
      <c r="N175" s="416"/>
      <c r="O175" s="416"/>
      <c r="Q175" s="343">
        <f>SUM(D175:O175)</f>
        <v>0</v>
      </c>
      <c r="R175" s="344">
        <f t="shared" si="18"/>
        <v>0</v>
      </c>
      <c r="T175" s="323" t="s">
        <v>212</v>
      </c>
    </row>
    <row r="176" spans="3:20" x14ac:dyDescent="0.3">
      <c r="C176" s="591"/>
      <c r="D176" s="403"/>
      <c r="Q176" s="343">
        <f t="shared" si="17"/>
        <v>0</v>
      </c>
      <c r="R176" s="344">
        <f t="shared" si="18"/>
        <v>0</v>
      </c>
      <c r="T176" s="315" t="s">
        <v>184</v>
      </c>
    </row>
    <row r="177" spans="3:20" x14ac:dyDescent="0.3">
      <c r="C177" s="591"/>
      <c r="D177" s="404"/>
      <c r="Q177" s="343">
        <f t="shared" si="17"/>
        <v>0</v>
      </c>
      <c r="R177" s="344">
        <f t="shared" si="18"/>
        <v>0</v>
      </c>
      <c r="T177" s="316" t="s">
        <v>186</v>
      </c>
    </row>
    <row r="178" spans="3:20" x14ac:dyDescent="0.3">
      <c r="C178" s="591"/>
      <c r="D178" s="404"/>
      <c r="Q178" s="343">
        <f t="shared" si="17"/>
        <v>0</v>
      </c>
      <c r="R178" s="344">
        <f t="shared" si="18"/>
        <v>0</v>
      </c>
      <c r="T178" s="316" t="s">
        <v>187</v>
      </c>
    </row>
    <row r="179" spans="3:20" x14ac:dyDescent="0.3">
      <c r="C179" s="591"/>
      <c r="D179" s="404"/>
      <c r="Q179" s="343">
        <f t="shared" si="17"/>
        <v>0</v>
      </c>
      <c r="R179" s="344">
        <f t="shared" si="18"/>
        <v>0</v>
      </c>
      <c r="T179" s="316" t="s">
        <v>189</v>
      </c>
    </row>
    <row r="180" spans="3:20" x14ac:dyDescent="0.3">
      <c r="C180" s="591"/>
      <c r="D180" s="405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Q180" s="343">
        <f t="shared" si="17"/>
        <v>0</v>
      </c>
      <c r="R180" s="344">
        <f t="shared" si="18"/>
        <v>0</v>
      </c>
      <c r="T180" s="316" t="s">
        <v>190</v>
      </c>
    </row>
    <row r="181" spans="3:20" x14ac:dyDescent="0.3">
      <c r="C181" s="591"/>
      <c r="D181" s="403"/>
      <c r="Q181" s="343">
        <f t="shared" si="17"/>
        <v>0</v>
      </c>
      <c r="R181" s="344">
        <f t="shared" si="18"/>
        <v>0</v>
      </c>
      <c r="T181" s="316" t="s">
        <v>191</v>
      </c>
    </row>
    <row r="182" spans="3:20" x14ac:dyDescent="0.3">
      <c r="C182" s="591"/>
      <c r="D182" s="404"/>
      <c r="Q182" s="343">
        <f t="shared" si="17"/>
        <v>0</v>
      </c>
      <c r="R182" s="344">
        <f t="shared" si="18"/>
        <v>0</v>
      </c>
      <c r="T182" s="316" t="s">
        <v>193</v>
      </c>
    </row>
    <row r="183" spans="3:20" x14ac:dyDescent="0.3">
      <c r="C183" s="591"/>
      <c r="D183" s="404"/>
      <c r="Q183" s="343">
        <f t="shared" si="17"/>
        <v>0</v>
      </c>
      <c r="R183" s="344">
        <f t="shared" si="18"/>
        <v>0</v>
      </c>
      <c r="T183" s="316" t="s">
        <v>194</v>
      </c>
    </row>
    <row r="184" spans="3:20" x14ac:dyDescent="0.3">
      <c r="C184" s="591"/>
      <c r="D184" s="404"/>
      <c r="Q184" s="343">
        <f t="shared" si="17"/>
        <v>0</v>
      </c>
      <c r="R184" s="344">
        <f t="shared" si="18"/>
        <v>0</v>
      </c>
      <c r="T184" s="316" t="s">
        <v>195</v>
      </c>
    </row>
    <row r="185" spans="3:20" x14ac:dyDescent="0.3">
      <c r="C185" s="591"/>
      <c r="D185" s="404"/>
      <c r="Q185" s="343">
        <f t="shared" si="17"/>
        <v>0</v>
      </c>
      <c r="R185" s="344">
        <f t="shared" si="18"/>
        <v>0</v>
      </c>
      <c r="T185" s="316" t="s">
        <v>196</v>
      </c>
    </row>
    <row r="186" spans="3:20" x14ac:dyDescent="0.3">
      <c r="C186" s="591"/>
      <c r="D186" s="404"/>
      <c r="Q186" s="343">
        <f t="shared" si="17"/>
        <v>0</v>
      </c>
      <c r="R186" s="344">
        <f t="shared" si="18"/>
        <v>0</v>
      </c>
      <c r="T186" s="319" t="s">
        <v>197</v>
      </c>
    </row>
    <row r="187" spans="3:20" x14ac:dyDescent="0.3">
      <c r="C187" s="591"/>
      <c r="D187" s="403"/>
      <c r="Q187" s="343">
        <f t="shared" si="17"/>
        <v>0</v>
      </c>
      <c r="R187" s="344">
        <f t="shared" si="18"/>
        <v>0</v>
      </c>
      <c r="T187" s="319" t="s">
        <v>198</v>
      </c>
    </row>
    <row r="188" spans="3:20" x14ac:dyDescent="0.3">
      <c r="C188" s="591"/>
      <c r="D188" s="340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Q188" s="343">
        <f t="shared" si="17"/>
        <v>0</v>
      </c>
      <c r="R188" s="344">
        <f t="shared" si="18"/>
        <v>0</v>
      </c>
      <c r="T188" s="319" t="s">
        <v>199</v>
      </c>
    </row>
    <row r="189" spans="3:20" x14ac:dyDescent="0.3">
      <c r="C189" s="591"/>
      <c r="D189" s="405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Q189" s="343">
        <f t="shared" si="17"/>
        <v>0</v>
      </c>
      <c r="R189" s="344">
        <f t="shared" si="18"/>
        <v>0</v>
      </c>
      <c r="T189" s="319" t="s">
        <v>200</v>
      </c>
    </row>
    <row r="190" spans="3:20" x14ac:dyDescent="0.3">
      <c r="C190" s="591"/>
      <c r="D190" s="340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Q190" s="343">
        <f t="shared" si="17"/>
        <v>0</v>
      </c>
      <c r="R190" s="344">
        <f t="shared" si="18"/>
        <v>0</v>
      </c>
      <c r="T190" s="319" t="s">
        <v>201</v>
      </c>
    </row>
    <row r="191" spans="3:20" ht="15" thickBot="1" x14ac:dyDescent="0.35">
      <c r="C191" s="654"/>
      <c r="D191" s="403"/>
      <c r="Q191" s="343">
        <f t="shared" si="17"/>
        <v>0</v>
      </c>
      <c r="R191" s="344">
        <f t="shared" si="18"/>
        <v>0</v>
      </c>
      <c r="T191" s="319" t="s">
        <v>202</v>
      </c>
    </row>
    <row r="192" spans="3:20" x14ac:dyDescent="0.3">
      <c r="C192" s="402"/>
      <c r="D192" s="403"/>
      <c r="Q192" s="343">
        <f t="shared" si="17"/>
        <v>0</v>
      </c>
      <c r="R192" s="344">
        <f t="shared" si="18"/>
        <v>0</v>
      </c>
      <c r="T192" s="319" t="s">
        <v>203</v>
      </c>
    </row>
    <row r="193" spans="3:20" x14ac:dyDescent="0.3">
      <c r="C193" s="402"/>
      <c r="D193" s="403"/>
      <c r="Q193" s="343">
        <f t="shared" si="17"/>
        <v>0</v>
      </c>
      <c r="R193" s="344">
        <f t="shared" si="18"/>
        <v>0</v>
      </c>
      <c r="T193" s="319" t="s">
        <v>204</v>
      </c>
    </row>
    <row r="194" spans="3:20" x14ac:dyDescent="0.3">
      <c r="C194" s="402"/>
      <c r="D194" s="403"/>
      <c r="Q194" s="343">
        <f t="shared" si="17"/>
        <v>0</v>
      </c>
      <c r="R194" s="344">
        <f t="shared" si="18"/>
        <v>0</v>
      </c>
      <c r="T194" s="319" t="s">
        <v>205</v>
      </c>
    </row>
    <row r="195" spans="3:20" x14ac:dyDescent="0.3">
      <c r="C195" s="402"/>
      <c r="D195" s="403"/>
      <c r="Q195" s="343">
        <f t="shared" si="17"/>
        <v>0</v>
      </c>
      <c r="R195" s="344">
        <f t="shared" si="18"/>
        <v>0</v>
      </c>
      <c r="T195" s="319" t="s">
        <v>206</v>
      </c>
    </row>
    <row r="196" spans="3:20" x14ac:dyDescent="0.3">
      <c r="C196" s="402"/>
      <c r="D196" s="403"/>
      <c r="Q196" s="343">
        <f t="shared" si="17"/>
        <v>0</v>
      </c>
      <c r="R196" s="344">
        <f t="shared" si="18"/>
        <v>0</v>
      </c>
      <c r="T196" s="319" t="s">
        <v>207</v>
      </c>
    </row>
    <row r="197" spans="3:20" x14ac:dyDescent="0.3">
      <c r="C197" s="402"/>
      <c r="D197" s="403"/>
      <c r="Q197" s="343">
        <f t="shared" si="17"/>
        <v>0</v>
      </c>
      <c r="R197" s="344">
        <f t="shared" si="18"/>
        <v>0</v>
      </c>
      <c r="T197" s="319" t="s">
        <v>208</v>
      </c>
    </row>
    <row r="198" spans="3:20" x14ac:dyDescent="0.3">
      <c r="C198" s="402"/>
      <c r="D198" s="404"/>
      <c r="Q198" s="343">
        <f t="shared" si="17"/>
        <v>0</v>
      </c>
      <c r="R198" s="344">
        <f t="shared" si="18"/>
        <v>0</v>
      </c>
      <c r="T198" s="319" t="s">
        <v>210</v>
      </c>
    </row>
    <row r="199" spans="3:20" ht="15" thickBot="1" x14ac:dyDescent="0.35">
      <c r="C199" s="402"/>
      <c r="D199" s="403"/>
      <c r="Q199" s="343">
        <f t="shared" si="17"/>
        <v>0</v>
      </c>
      <c r="R199" s="344">
        <f t="shared" si="18"/>
        <v>0</v>
      </c>
      <c r="T199" s="323" t="s">
        <v>212</v>
      </c>
    </row>
    <row r="200" spans="3:20" x14ac:dyDescent="0.3">
      <c r="C200" s="402"/>
      <c r="D200" s="404"/>
      <c r="Q200" s="343">
        <f t="shared" si="17"/>
        <v>0</v>
      </c>
      <c r="R200" s="344">
        <f t="shared" si="18"/>
        <v>0</v>
      </c>
      <c r="T200" s="315" t="s">
        <v>184</v>
      </c>
    </row>
    <row r="201" spans="3:20" x14ac:dyDescent="0.3">
      <c r="C201" s="402"/>
      <c r="D201" s="403"/>
      <c r="Q201" s="343">
        <f t="shared" si="17"/>
        <v>0</v>
      </c>
      <c r="R201" s="344">
        <f t="shared" si="18"/>
        <v>0</v>
      </c>
      <c r="T201" s="316" t="s">
        <v>186</v>
      </c>
    </row>
    <row r="202" spans="3:20" x14ac:dyDescent="0.3">
      <c r="C202" s="402"/>
      <c r="D202" s="404"/>
      <c r="Q202" s="343">
        <f t="shared" si="17"/>
        <v>0</v>
      </c>
      <c r="R202" s="344">
        <f t="shared" si="18"/>
        <v>0</v>
      </c>
      <c r="T202" s="316" t="s">
        <v>187</v>
      </c>
    </row>
    <row r="203" spans="3:20" x14ac:dyDescent="0.3">
      <c r="C203" s="402"/>
      <c r="D203" s="403"/>
      <c r="Q203" s="343">
        <f t="shared" si="17"/>
        <v>0</v>
      </c>
      <c r="R203" s="344">
        <f t="shared" si="18"/>
        <v>0</v>
      </c>
      <c r="T203" s="316" t="s">
        <v>189</v>
      </c>
    </row>
    <row r="204" spans="3:20" x14ac:dyDescent="0.3">
      <c r="C204" s="402"/>
      <c r="D204" s="403"/>
      <c r="Q204" s="343">
        <f t="shared" si="17"/>
        <v>0</v>
      </c>
      <c r="R204" s="344">
        <f t="shared" si="18"/>
        <v>0</v>
      </c>
      <c r="T204" s="316" t="s">
        <v>190</v>
      </c>
    </row>
    <row r="205" spans="3:20" x14ac:dyDescent="0.3">
      <c r="C205" s="402"/>
      <c r="D205" s="403"/>
      <c r="Q205" s="343">
        <f t="shared" si="17"/>
        <v>0</v>
      </c>
      <c r="R205" s="344">
        <f t="shared" si="18"/>
        <v>0</v>
      </c>
      <c r="T205" s="316" t="s">
        <v>191</v>
      </c>
    </row>
    <row r="206" spans="3:20" x14ac:dyDescent="0.3">
      <c r="C206" s="402"/>
      <c r="D206" s="403"/>
      <c r="Q206" s="343">
        <f t="shared" si="17"/>
        <v>0</v>
      </c>
      <c r="R206" s="344">
        <f t="shared" si="18"/>
        <v>0</v>
      </c>
      <c r="T206" s="316" t="s">
        <v>193</v>
      </c>
    </row>
    <row r="207" spans="3:20" x14ac:dyDescent="0.3">
      <c r="C207" s="402"/>
      <c r="D207" s="403"/>
      <c r="Q207" s="343">
        <f t="shared" si="17"/>
        <v>0</v>
      </c>
      <c r="R207" s="344">
        <f t="shared" si="18"/>
        <v>0</v>
      </c>
      <c r="T207" s="316" t="s">
        <v>194</v>
      </c>
    </row>
    <row r="208" spans="3:20" x14ac:dyDescent="0.3">
      <c r="C208" s="402"/>
      <c r="D208" s="403"/>
      <c r="Q208" s="343">
        <f t="shared" si="17"/>
        <v>0</v>
      </c>
      <c r="R208" s="344">
        <f t="shared" si="18"/>
        <v>0</v>
      </c>
      <c r="T208" s="316" t="s">
        <v>195</v>
      </c>
    </row>
    <row r="209" spans="3:20" x14ac:dyDescent="0.3">
      <c r="C209" s="402"/>
      <c r="D209" s="403"/>
      <c r="Q209" s="343">
        <f t="shared" si="17"/>
        <v>0</v>
      </c>
      <c r="R209" s="344">
        <f t="shared" si="18"/>
        <v>0</v>
      </c>
      <c r="T209" s="316" t="s">
        <v>196</v>
      </c>
    </row>
    <row r="210" spans="3:20" x14ac:dyDescent="0.3">
      <c r="C210" s="402"/>
      <c r="D210" s="405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Q210" s="343">
        <f t="shared" si="17"/>
        <v>0</v>
      </c>
      <c r="R210" s="344">
        <f t="shared" si="18"/>
        <v>0</v>
      </c>
      <c r="T210" s="319" t="s">
        <v>197</v>
      </c>
    </row>
    <row r="211" spans="3:20" x14ac:dyDescent="0.3">
      <c r="C211" s="402"/>
      <c r="D211" s="403"/>
      <c r="Q211" s="343">
        <f t="shared" ref="Q211:Q274" si="19">SUM(D211:O211)</f>
        <v>0</v>
      </c>
      <c r="R211" s="344">
        <f t="shared" ref="R211:R274" si="20">SUM(M211:O211)*4</f>
        <v>0</v>
      </c>
      <c r="T211" s="319" t="s">
        <v>198</v>
      </c>
    </row>
    <row r="212" spans="3:20" x14ac:dyDescent="0.3">
      <c r="C212" s="402"/>
      <c r="D212" s="340"/>
      <c r="Q212" s="343">
        <f t="shared" si="19"/>
        <v>0</v>
      </c>
      <c r="R212" s="344">
        <f t="shared" si="20"/>
        <v>0</v>
      </c>
      <c r="T212" s="319" t="s">
        <v>199</v>
      </c>
    </row>
    <row r="213" spans="3:20" x14ac:dyDescent="0.3">
      <c r="C213" s="402"/>
      <c r="D213" s="404"/>
      <c r="Q213" s="343">
        <f t="shared" si="19"/>
        <v>0</v>
      </c>
      <c r="R213" s="344">
        <f t="shared" si="20"/>
        <v>0</v>
      </c>
      <c r="T213" s="319" t="s">
        <v>200</v>
      </c>
    </row>
    <row r="214" spans="3:20" x14ac:dyDescent="0.3">
      <c r="C214" s="402"/>
      <c r="D214" s="403"/>
      <c r="Q214" s="343">
        <f t="shared" si="19"/>
        <v>0</v>
      </c>
      <c r="R214" s="344">
        <f t="shared" si="20"/>
        <v>0</v>
      </c>
      <c r="T214" s="319" t="s">
        <v>201</v>
      </c>
    </row>
    <row r="215" spans="3:20" x14ac:dyDescent="0.3">
      <c r="C215" s="402"/>
      <c r="D215" s="403"/>
      <c r="Q215" s="343">
        <f t="shared" si="19"/>
        <v>0</v>
      </c>
      <c r="R215" s="344">
        <f t="shared" si="20"/>
        <v>0</v>
      </c>
      <c r="T215" s="319" t="s">
        <v>202</v>
      </c>
    </row>
    <row r="216" spans="3:20" x14ac:dyDescent="0.3">
      <c r="C216" s="402"/>
      <c r="D216" s="403"/>
      <c r="Q216" s="343">
        <f t="shared" si="19"/>
        <v>0</v>
      </c>
      <c r="R216" s="344">
        <f t="shared" si="20"/>
        <v>0</v>
      </c>
      <c r="T216" s="319" t="s">
        <v>203</v>
      </c>
    </row>
    <row r="217" spans="3:20" x14ac:dyDescent="0.3">
      <c r="C217" s="402"/>
      <c r="D217" s="403"/>
      <c r="Q217" s="343">
        <f t="shared" si="19"/>
        <v>0</v>
      </c>
      <c r="R217" s="344">
        <f t="shared" si="20"/>
        <v>0</v>
      </c>
      <c r="T217" s="319" t="s">
        <v>204</v>
      </c>
    </row>
    <row r="218" spans="3:20" x14ac:dyDescent="0.3">
      <c r="C218" s="402"/>
      <c r="D218" s="403"/>
      <c r="Q218" s="343">
        <f t="shared" si="19"/>
        <v>0</v>
      </c>
      <c r="R218" s="344">
        <f t="shared" si="20"/>
        <v>0</v>
      </c>
      <c r="T218" s="319" t="s">
        <v>205</v>
      </c>
    </row>
    <row r="219" spans="3:20" x14ac:dyDescent="0.3">
      <c r="C219" s="402"/>
      <c r="D219" s="403"/>
      <c r="Q219" s="343">
        <f t="shared" si="19"/>
        <v>0</v>
      </c>
      <c r="R219" s="344">
        <f t="shared" si="20"/>
        <v>0</v>
      </c>
      <c r="T219" s="319" t="s">
        <v>206</v>
      </c>
    </row>
    <row r="220" spans="3:20" x14ac:dyDescent="0.3">
      <c r="C220" s="402"/>
      <c r="D220" s="403"/>
      <c r="Q220" s="343">
        <f t="shared" si="19"/>
        <v>0</v>
      </c>
      <c r="R220" s="344">
        <f t="shared" si="20"/>
        <v>0</v>
      </c>
      <c r="T220" s="319" t="s">
        <v>207</v>
      </c>
    </row>
    <row r="221" spans="3:20" x14ac:dyDescent="0.3">
      <c r="C221" s="402"/>
      <c r="D221" s="403"/>
      <c r="Q221" s="343">
        <f t="shared" si="19"/>
        <v>0</v>
      </c>
      <c r="R221" s="344">
        <f t="shared" si="20"/>
        <v>0</v>
      </c>
      <c r="T221" s="319" t="s">
        <v>208</v>
      </c>
    </row>
    <row r="222" spans="3:20" x14ac:dyDescent="0.3">
      <c r="C222" s="402"/>
      <c r="D222" s="403"/>
      <c r="Q222" s="343">
        <f t="shared" si="19"/>
        <v>0</v>
      </c>
      <c r="R222" s="344">
        <f t="shared" si="20"/>
        <v>0</v>
      </c>
      <c r="T222" s="319" t="s">
        <v>210</v>
      </c>
    </row>
    <row r="223" spans="3:20" ht="15" thickBot="1" x14ac:dyDescent="0.35">
      <c r="C223" s="402"/>
      <c r="D223" s="403"/>
      <c r="Q223" s="343">
        <f t="shared" si="19"/>
        <v>0</v>
      </c>
      <c r="R223" s="344">
        <f t="shared" si="20"/>
        <v>0</v>
      </c>
      <c r="T223" s="323" t="s">
        <v>212</v>
      </c>
    </row>
    <row r="224" spans="3:20" x14ac:dyDescent="0.3">
      <c r="C224" s="402"/>
      <c r="D224" s="403"/>
      <c r="Q224" s="343">
        <f t="shared" si="19"/>
        <v>0</v>
      </c>
      <c r="R224" s="344">
        <f t="shared" si="20"/>
        <v>0</v>
      </c>
      <c r="T224" s="315" t="s">
        <v>184</v>
      </c>
    </row>
    <row r="225" spans="3:20" x14ac:dyDescent="0.3">
      <c r="C225" s="402"/>
      <c r="D225" s="404"/>
      <c r="Q225" s="343">
        <f t="shared" si="19"/>
        <v>0</v>
      </c>
      <c r="R225" s="344">
        <f t="shared" si="20"/>
        <v>0</v>
      </c>
      <c r="T225" s="316" t="s">
        <v>186</v>
      </c>
    </row>
    <row r="226" spans="3:20" x14ac:dyDescent="0.3">
      <c r="C226" s="402"/>
      <c r="D226" s="403"/>
      <c r="Q226" s="343">
        <f t="shared" si="19"/>
        <v>0</v>
      </c>
      <c r="R226" s="344">
        <f t="shared" si="20"/>
        <v>0</v>
      </c>
      <c r="T226" s="316" t="s">
        <v>187</v>
      </c>
    </row>
    <row r="227" spans="3:20" x14ac:dyDescent="0.3">
      <c r="C227" s="402"/>
      <c r="D227" s="403"/>
      <c r="Q227" s="343">
        <f t="shared" si="19"/>
        <v>0</v>
      </c>
      <c r="R227" s="344">
        <f t="shared" si="20"/>
        <v>0</v>
      </c>
      <c r="T227" s="316" t="s">
        <v>189</v>
      </c>
    </row>
    <row r="228" spans="3:20" x14ac:dyDescent="0.3">
      <c r="C228" s="402"/>
      <c r="D228" s="403"/>
      <c r="Q228" s="343">
        <f t="shared" si="19"/>
        <v>0</v>
      </c>
      <c r="R228" s="344">
        <f t="shared" si="20"/>
        <v>0</v>
      </c>
      <c r="T228" s="316" t="s">
        <v>190</v>
      </c>
    </row>
    <row r="229" spans="3:20" x14ac:dyDescent="0.3">
      <c r="C229" s="402"/>
      <c r="D229" s="403"/>
      <c r="Q229" s="343">
        <f t="shared" si="19"/>
        <v>0</v>
      </c>
      <c r="R229" s="344">
        <f t="shared" si="20"/>
        <v>0</v>
      </c>
      <c r="T229" s="316" t="s">
        <v>191</v>
      </c>
    </row>
    <row r="230" spans="3:20" x14ac:dyDescent="0.3">
      <c r="C230" s="402"/>
      <c r="D230" s="403"/>
      <c r="Q230" s="343">
        <f t="shared" si="19"/>
        <v>0</v>
      </c>
      <c r="R230" s="344">
        <f t="shared" si="20"/>
        <v>0</v>
      </c>
      <c r="T230" s="316" t="s">
        <v>193</v>
      </c>
    </row>
    <row r="231" spans="3:20" x14ac:dyDescent="0.3">
      <c r="C231" s="402"/>
      <c r="D231" s="403"/>
      <c r="Q231" s="343">
        <f t="shared" si="19"/>
        <v>0</v>
      </c>
      <c r="R231" s="344">
        <f t="shared" si="20"/>
        <v>0</v>
      </c>
      <c r="T231" s="316" t="s">
        <v>194</v>
      </c>
    </row>
    <row r="232" spans="3:20" x14ac:dyDescent="0.3">
      <c r="C232" s="402"/>
      <c r="D232" s="403"/>
      <c r="Q232" s="343">
        <f t="shared" si="19"/>
        <v>0</v>
      </c>
      <c r="R232" s="344">
        <f t="shared" si="20"/>
        <v>0</v>
      </c>
      <c r="T232" s="316" t="s">
        <v>195</v>
      </c>
    </row>
    <row r="233" spans="3:20" x14ac:dyDescent="0.3">
      <c r="C233" s="402"/>
      <c r="D233" s="403"/>
      <c r="Q233" s="343">
        <f t="shared" si="19"/>
        <v>0</v>
      </c>
      <c r="R233" s="344">
        <f t="shared" si="20"/>
        <v>0</v>
      </c>
      <c r="T233" s="316" t="s">
        <v>196</v>
      </c>
    </row>
    <row r="234" spans="3:20" x14ac:dyDescent="0.3">
      <c r="C234" s="402"/>
      <c r="D234" s="403"/>
      <c r="Q234" s="343">
        <f t="shared" si="19"/>
        <v>0</v>
      </c>
      <c r="R234" s="344">
        <f t="shared" si="20"/>
        <v>0</v>
      </c>
      <c r="T234" s="319" t="s">
        <v>197</v>
      </c>
    </row>
    <row r="235" spans="3:20" x14ac:dyDescent="0.3">
      <c r="C235" s="402"/>
      <c r="D235" s="403"/>
      <c r="Q235" s="343">
        <f t="shared" si="19"/>
        <v>0</v>
      </c>
      <c r="R235" s="344">
        <f t="shared" si="20"/>
        <v>0</v>
      </c>
      <c r="T235" s="319" t="s">
        <v>198</v>
      </c>
    </row>
    <row r="236" spans="3:20" x14ac:dyDescent="0.3">
      <c r="C236" s="402"/>
      <c r="D236" s="403"/>
      <c r="Q236" s="343">
        <f t="shared" si="19"/>
        <v>0</v>
      </c>
      <c r="R236" s="344">
        <f t="shared" si="20"/>
        <v>0</v>
      </c>
      <c r="T236" s="319" t="s">
        <v>199</v>
      </c>
    </row>
    <row r="237" spans="3:20" x14ac:dyDescent="0.3">
      <c r="C237" s="402"/>
      <c r="D237" s="404"/>
      <c r="Q237" s="343">
        <f t="shared" si="19"/>
        <v>0</v>
      </c>
      <c r="R237" s="344">
        <f t="shared" si="20"/>
        <v>0</v>
      </c>
      <c r="T237" s="319" t="s">
        <v>200</v>
      </c>
    </row>
    <row r="238" spans="3:20" x14ac:dyDescent="0.3">
      <c r="C238" s="402"/>
      <c r="D238" s="403"/>
      <c r="Q238" s="343">
        <f t="shared" si="19"/>
        <v>0</v>
      </c>
      <c r="R238" s="344">
        <f t="shared" si="20"/>
        <v>0</v>
      </c>
      <c r="T238" s="319" t="s">
        <v>201</v>
      </c>
    </row>
    <row r="239" spans="3:20" x14ac:dyDescent="0.3">
      <c r="C239" s="402"/>
      <c r="D239" s="403"/>
      <c r="Q239" s="343">
        <f t="shared" si="19"/>
        <v>0</v>
      </c>
      <c r="R239" s="344">
        <f t="shared" si="20"/>
        <v>0</v>
      </c>
      <c r="T239" s="319" t="s">
        <v>202</v>
      </c>
    </row>
    <row r="240" spans="3:20" x14ac:dyDescent="0.3">
      <c r="C240" s="402"/>
      <c r="D240" s="403"/>
      <c r="Q240" s="343">
        <f t="shared" si="19"/>
        <v>0</v>
      </c>
      <c r="R240" s="344">
        <f t="shared" si="20"/>
        <v>0</v>
      </c>
      <c r="T240" s="319" t="s">
        <v>203</v>
      </c>
    </row>
    <row r="241" spans="3:20" x14ac:dyDescent="0.3">
      <c r="C241" s="402"/>
      <c r="D241" s="403"/>
      <c r="Q241" s="343">
        <f t="shared" si="19"/>
        <v>0</v>
      </c>
      <c r="R241" s="344">
        <f t="shared" si="20"/>
        <v>0</v>
      </c>
      <c r="T241" s="319" t="s">
        <v>204</v>
      </c>
    </row>
    <row r="242" spans="3:20" x14ac:dyDescent="0.3">
      <c r="C242" s="402"/>
      <c r="D242" s="403"/>
      <c r="Q242" s="343">
        <f t="shared" si="19"/>
        <v>0</v>
      </c>
      <c r="R242" s="344">
        <f t="shared" si="20"/>
        <v>0</v>
      </c>
      <c r="T242" s="319" t="s">
        <v>205</v>
      </c>
    </row>
    <row r="243" spans="3:20" x14ac:dyDescent="0.3">
      <c r="C243" s="402"/>
      <c r="D243" s="405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Q243" s="343">
        <f t="shared" si="19"/>
        <v>0</v>
      </c>
      <c r="R243" s="344">
        <f t="shared" si="20"/>
        <v>0</v>
      </c>
      <c r="T243" s="319" t="s">
        <v>206</v>
      </c>
    </row>
    <row r="244" spans="3:20" x14ac:dyDescent="0.3">
      <c r="C244" s="402"/>
      <c r="D244" s="403"/>
      <c r="Q244" s="343">
        <f t="shared" si="19"/>
        <v>0</v>
      </c>
      <c r="R244" s="344">
        <f t="shared" si="20"/>
        <v>0</v>
      </c>
      <c r="T244" s="319" t="s">
        <v>207</v>
      </c>
    </row>
    <row r="245" spans="3:20" x14ac:dyDescent="0.3">
      <c r="C245" s="402"/>
      <c r="D245" s="340"/>
      <c r="Q245" s="343">
        <f t="shared" si="19"/>
        <v>0</v>
      </c>
      <c r="R245" s="344">
        <f t="shared" si="20"/>
        <v>0</v>
      </c>
      <c r="T245" s="319" t="s">
        <v>208</v>
      </c>
    </row>
    <row r="246" spans="3:20" x14ac:dyDescent="0.3">
      <c r="C246" s="402"/>
      <c r="D246" s="403"/>
      <c r="Q246" s="343">
        <f t="shared" si="19"/>
        <v>0</v>
      </c>
      <c r="R246" s="344">
        <f t="shared" si="20"/>
        <v>0</v>
      </c>
      <c r="T246" s="319" t="s">
        <v>210</v>
      </c>
    </row>
    <row r="247" spans="3:20" ht="15" thickBot="1" x14ac:dyDescent="0.35">
      <c r="C247" s="402"/>
      <c r="D247" s="403"/>
      <c r="Q247" s="343">
        <f t="shared" si="19"/>
        <v>0</v>
      </c>
      <c r="R247" s="344">
        <f t="shared" si="20"/>
        <v>0</v>
      </c>
      <c r="T247" s="323" t="s">
        <v>212</v>
      </c>
    </row>
    <row r="248" spans="3:20" x14ac:dyDescent="0.3">
      <c r="C248" s="402"/>
      <c r="D248" s="404"/>
      <c r="Q248" s="343">
        <f t="shared" si="19"/>
        <v>0</v>
      </c>
      <c r="R248" s="344">
        <f t="shared" si="20"/>
        <v>0</v>
      </c>
      <c r="T248" s="315" t="s">
        <v>184</v>
      </c>
    </row>
    <row r="249" spans="3:20" x14ac:dyDescent="0.3">
      <c r="C249" s="402"/>
      <c r="D249" s="404"/>
      <c r="Q249" s="343">
        <f t="shared" si="19"/>
        <v>0</v>
      </c>
      <c r="R249" s="344">
        <f t="shared" si="20"/>
        <v>0</v>
      </c>
      <c r="T249" s="316" t="s">
        <v>186</v>
      </c>
    </row>
    <row r="250" spans="3:20" x14ac:dyDescent="0.3">
      <c r="C250" s="402"/>
      <c r="D250" s="404"/>
      <c r="Q250" s="343">
        <f t="shared" si="19"/>
        <v>0</v>
      </c>
      <c r="R250" s="344">
        <f t="shared" si="20"/>
        <v>0</v>
      </c>
      <c r="T250" s="316" t="s">
        <v>187</v>
      </c>
    </row>
    <row r="251" spans="3:20" x14ac:dyDescent="0.3">
      <c r="C251" s="402"/>
      <c r="D251" s="404"/>
      <c r="Q251" s="343">
        <f t="shared" si="19"/>
        <v>0</v>
      </c>
      <c r="R251" s="344">
        <f t="shared" si="20"/>
        <v>0</v>
      </c>
      <c r="T251" s="316" t="s">
        <v>189</v>
      </c>
    </row>
    <row r="252" spans="3:20" x14ac:dyDescent="0.3">
      <c r="C252" s="402"/>
      <c r="D252" s="404"/>
      <c r="Q252" s="343">
        <f t="shared" si="19"/>
        <v>0</v>
      </c>
      <c r="R252" s="344">
        <f t="shared" si="20"/>
        <v>0</v>
      </c>
      <c r="T252" s="316" t="s">
        <v>190</v>
      </c>
    </row>
    <row r="253" spans="3:20" x14ac:dyDescent="0.3">
      <c r="C253" s="402"/>
      <c r="D253" s="403"/>
      <c r="Q253" s="343">
        <f t="shared" si="19"/>
        <v>0</v>
      </c>
      <c r="R253" s="344">
        <f t="shared" si="20"/>
        <v>0</v>
      </c>
      <c r="T253" s="316" t="s">
        <v>191</v>
      </c>
    </row>
    <row r="254" spans="3:20" x14ac:dyDescent="0.3">
      <c r="C254" s="402"/>
      <c r="D254" s="404"/>
      <c r="Q254" s="343">
        <f t="shared" si="19"/>
        <v>0</v>
      </c>
      <c r="R254" s="344">
        <f t="shared" si="20"/>
        <v>0</v>
      </c>
      <c r="T254" s="316" t="s">
        <v>193</v>
      </c>
    </row>
    <row r="255" spans="3:20" x14ac:dyDescent="0.3">
      <c r="C255" s="402"/>
      <c r="D255" s="403"/>
      <c r="Q255" s="343">
        <f t="shared" si="19"/>
        <v>0</v>
      </c>
      <c r="R255" s="344">
        <f t="shared" si="20"/>
        <v>0</v>
      </c>
      <c r="T255" s="316" t="s">
        <v>194</v>
      </c>
    </row>
    <row r="256" spans="3:20" x14ac:dyDescent="0.3">
      <c r="C256" s="402"/>
      <c r="D256" s="403"/>
      <c r="Q256" s="343">
        <f t="shared" si="19"/>
        <v>0</v>
      </c>
      <c r="R256" s="344">
        <f t="shared" si="20"/>
        <v>0</v>
      </c>
      <c r="T256" s="316" t="s">
        <v>195</v>
      </c>
    </row>
    <row r="257" spans="3:20" x14ac:dyDescent="0.3">
      <c r="C257" s="402"/>
      <c r="D257" s="403"/>
      <c r="Q257" s="343">
        <f t="shared" si="19"/>
        <v>0</v>
      </c>
      <c r="R257" s="344">
        <f t="shared" si="20"/>
        <v>0</v>
      </c>
      <c r="T257" s="316" t="s">
        <v>196</v>
      </c>
    </row>
    <row r="258" spans="3:20" x14ac:dyDescent="0.3">
      <c r="C258" s="402"/>
      <c r="D258" s="403"/>
      <c r="Q258" s="343">
        <f t="shared" si="19"/>
        <v>0</v>
      </c>
      <c r="R258" s="344">
        <f t="shared" si="20"/>
        <v>0</v>
      </c>
      <c r="T258" s="319" t="s">
        <v>197</v>
      </c>
    </row>
    <row r="259" spans="3:20" x14ac:dyDescent="0.3">
      <c r="C259" s="402"/>
      <c r="D259" s="403"/>
      <c r="Q259" s="343">
        <f t="shared" si="19"/>
        <v>0</v>
      </c>
      <c r="R259" s="344">
        <f t="shared" si="20"/>
        <v>0</v>
      </c>
      <c r="T259" s="319" t="s">
        <v>198</v>
      </c>
    </row>
    <row r="260" spans="3:20" x14ac:dyDescent="0.3">
      <c r="C260" s="402"/>
      <c r="D260" s="403"/>
      <c r="Q260" s="343">
        <f t="shared" si="19"/>
        <v>0</v>
      </c>
      <c r="R260" s="344">
        <f t="shared" si="20"/>
        <v>0</v>
      </c>
      <c r="T260" s="319" t="s">
        <v>199</v>
      </c>
    </row>
    <row r="261" spans="3:20" x14ac:dyDescent="0.3">
      <c r="C261" s="402"/>
      <c r="D261" s="403"/>
      <c r="Q261" s="343">
        <f t="shared" si="19"/>
        <v>0</v>
      </c>
      <c r="R261" s="344">
        <f t="shared" si="20"/>
        <v>0</v>
      </c>
      <c r="T261" s="319" t="s">
        <v>200</v>
      </c>
    </row>
    <row r="262" spans="3:20" x14ac:dyDescent="0.3">
      <c r="C262" s="402"/>
      <c r="D262" s="404"/>
      <c r="Q262" s="343">
        <f t="shared" si="19"/>
        <v>0</v>
      </c>
      <c r="R262" s="344">
        <f t="shared" si="20"/>
        <v>0</v>
      </c>
      <c r="T262" s="319" t="s">
        <v>201</v>
      </c>
    </row>
    <row r="263" spans="3:20" x14ac:dyDescent="0.3">
      <c r="C263" s="402"/>
      <c r="D263" s="404"/>
      <c r="Q263" s="343">
        <f t="shared" si="19"/>
        <v>0</v>
      </c>
      <c r="R263" s="344">
        <f t="shared" si="20"/>
        <v>0</v>
      </c>
      <c r="T263" s="319" t="s">
        <v>202</v>
      </c>
    </row>
    <row r="264" spans="3:20" x14ac:dyDescent="0.3">
      <c r="C264" s="402"/>
      <c r="D264" s="403"/>
      <c r="Q264" s="343">
        <f t="shared" si="19"/>
        <v>0</v>
      </c>
      <c r="R264" s="344">
        <f t="shared" si="20"/>
        <v>0</v>
      </c>
      <c r="T264" s="319" t="s">
        <v>203</v>
      </c>
    </row>
    <row r="265" spans="3:20" x14ac:dyDescent="0.3">
      <c r="C265" s="402"/>
      <c r="D265" s="403"/>
      <c r="Q265" s="343">
        <f t="shared" si="19"/>
        <v>0</v>
      </c>
      <c r="R265" s="344">
        <f t="shared" si="20"/>
        <v>0</v>
      </c>
      <c r="T265" s="319" t="s">
        <v>204</v>
      </c>
    </row>
    <row r="266" spans="3:20" x14ac:dyDescent="0.3">
      <c r="C266" s="402"/>
      <c r="D266" s="403"/>
      <c r="Q266" s="343">
        <f t="shared" si="19"/>
        <v>0</v>
      </c>
      <c r="R266" s="344">
        <f t="shared" si="20"/>
        <v>0</v>
      </c>
      <c r="T266" s="319" t="s">
        <v>205</v>
      </c>
    </row>
    <row r="267" spans="3:20" x14ac:dyDescent="0.3">
      <c r="C267" s="402"/>
      <c r="D267" s="403"/>
      <c r="Q267" s="343">
        <f t="shared" si="19"/>
        <v>0</v>
      </c>
      <c r="R267" s="344">
        <f t="shared" si="20"/>
        <v>0</v>
      </c>
      <c r="T267" s="319" t="s">
        <v>206</v>
      </c>
    </row>
    <row r="268" spans="3:20" x14ac:dyDescent="0.3">
      <c r="C268" s="402"/>
      <c r="D268" s="403"/>
      <c r="Q268" s="343">
        <f t="shared" si="19"/>
        <v>0</v>
      </c>
      <c r="R268" s="344">
        <f t="shared" si="20"/>
        <v>0</v>
      </c>
      <c r="T268" s="319" t="s">
        <v>207</v>
      </c>
    </row>
    <row r="269" spans="3:20" x14ac:dyDescent="0.3">
      <c r="C269" s="402"/>
      <c r="D269" s="405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Q269" s="343">
        <f t="shared" si="19"/>
        <v>0</v>
      </c>
      <c r="R269" s="344">
        <f t="shared" si="20"/>
        <v>0</v>
      </c>
      <c r="T269" s="319" t="s">
        <v>208</v>
      </c>
    </row>
    <row r="270" spans="3:20" x14ac:dyDescent="0.3">
      <c r="C270" s="402"/>
      <c r="D270" s="403"/>
      <c r="Q270" s="343">
        <f t="shared" si="19"/>
        <v>0</v>
      </c>
      <c r="R270" s="344">
        <f t="shared" si="20"/>
        <v>0</v>
      </c>
      <c r="T270" s="319" t="s">
        <v>210</v>
      </c>
    </row>
    <row r="271" spans="3:20" ht="15" thickBot="1" x14ac:dyDescent="0.35">
      <c r="C271" s="402"/>
      <c r="D271" s="340"/>
      <c r="Q271" s="343">
        <f t="shared" si="19"/>
        <v>0</v>
      </c>
      <c r="R271" s="344">
        <f t="shared" si="20"/>
        <v>0</v>
      </c>
      <c r="T271" s="323" t="s">
        <v>212</v>
      </c>
    </row>
    <row r="272" spans="3:20" x14ac:dyDescent="0.3">
      <c r="C272" s="402"/>
      <c r="D272" s="404"/>
      <c r="Q272" s="343">
        <f t="shared" si="19"/>
        <v>0</v>
      </c>
      <c r="R272" s="344">
        <f t="shared" si="20"/>
        <v>0</v>
      </c>
      <c r="T272" s="315" t="s">
        <v>184</v>
      </c>
    </row>
    <row r="273" spans="3:20" x14ac:dyDescent="0.3">
      <c r="C273" s="402"/>
      <c r="D273" s="403"/>
      <c r="Q273" s="343">
        <f t="shared" si="19"/>
        <v>0</v>
      </c>
      <c r="R273" s="344">
        <f t="shared" si="20"/>
        <v>0</v>
      </c>
      <c r="T273" s="316" t="s">
        <v>186</v>
      </c>
    </row>
    <row r="274" spans="3:20" x14ac:dyDescent="0.3">
      <c r="C274" s="402"/>
      <c r="D274" s="404"/>
      <c r="Q274" s="343">
        <f t="shared" si="19"/>
        <v>0</v>
      </c>
      <c r="R274" s="344">
        <f t="shared" si="20"/>
        <v>0</v>
      </c>
      <c r="T274" s="316" t="s">
        <v>187</v>
      </c>
    </row>
    <row r="275" spans="3:20" x14ac:dyDescent="0.3">
      <c r="C275" s="402"/>
      <c r="D275" s="404"/>
      <c r="Q275" s="343">
        <f t="shared" ref="Q275:Q338" si="21">SUM(D275:O275)</f>
        <v>0</v>
      </c>
      <c r="R275" s="344">
        <f t="shared" ref="R275:R338" si="22">SUM(M275:O275)*4</f>
        <v>0</v>
      </c>
      <c r="T275" s="316" t="s">
        <v>189</v>
      </c>
    </row>
    <row r="276" spans="3:20" x14ac:dyDescent="0.3">
      <c r="C276" s="402"/>
      <c r="D276" s="405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Q276" s="343">
        <f t="shared" si="21"/>
        <v>0</v>
      </c>
      <c r="R276" s="344">
        <f t="shared" si="22"/>
        <v>0</v>
      </c>
      <c r="T276" s="316" t="s">
        <v>190</v>
      </c>
    </row>
    <row r="277" spans="3:20" x14ac:dyDescent="0.3">
      <c r="C277" s="402"/>
      <c r="D277" s="403"/>
      <c r="Q277" s="343">
        <f t="shared" si="21"/>
        <v>0</v>
      </c>
      <c r="R277" s="344">
        <f t="shared" si="22"/>
        <v>0</v>
      </c>
      <c r="T277" s="316" t="s">
        <v>191</v>
      </c>
    </row>
    <row r="278" spans="3:20" x14ac:dyDescent="0.3">
      <c r="C278" s="402"/>
      <c r="D278" s="340"/>
      <c r="Q278" s="343">
        <f t="shared" si="21"/>
        <v>0</v>
      </c>
      <c r="R278" s="344">
        <f t="shared" si="22"/>
        <v>0</v>
      </c>
      <c r="T278" s="316" t="s">
        <v>193</v>
      </c>
    </row>
    <row r="279" spans="3:20" x14ac:dyDescent="0.3">
      <c r="C279" s="402"/>
      <c r="D279" s="404"/>
      <c r="Q279" s="343">
        <f t="shared" si="21"/>
        <v>0</v>
      </c>
      <c r="R279" s="344">
        <f t="shared" si="22"/>
        <v>0</v>
      </c>
      <c r="T279" s="316" t="s">
        <v>194</v>
      </c>
    </row>
    <row r="280" spans="3:20" x14ac:dyDescent="0.3">
      <c r="C280" s="402"/>
      <c r="D280" s="405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Q280" s="343">
        <f t="shared" si="21"/>
        <v>0</v>
      </c>
      <c r="R280" s="344">
        <f t="shared" si="22"/>
        <v>0</v>
      </c>
      <c r="T280" s="316" t="s">
        <v>195</v>
      </c>
    </row>
    <row r="281" spans="3:20" x14ac:dyDescent="0.3">
      <c r="C281" s="402"/>
      <c r="D281" s="403"/>
      <c r="Q281" s="343">
        <f t="shared" si="21"/>
        <v>0</v>
      </c>
      <c r="R281" s="344">
        <f t="shared" si="22"/>
        <v>0</v>
      </c>
      <c r="T281" s="316" t="s">
        <v>196</v>
      </c>
    </row>
    <row r="282" spans="3:20" x14ac:dyDescent="0.3">
      <c r="C282" s="402"/>
      <c r="D282" s="340"/>
      <c r="Q282" s="343">
        <f t="shared" si="21"/>
        <v>0</v>
      </c>
      <c r="R282" s="344">
        <f t="shared" si="22"/>
        <v>0</v>
      </c>
      <c r="T282" s="319" t="s">
        <v>197</v>
      </c>
    </row>
    <row r="283" spans="3:20" x14ac:dyDescent="0.3">
      <c r="C283" s="402"/>
      <c r="D283" s="404"/>
      <c r="Q283" s="343">
        <f t="shared" si="21"/>
        <v>0</v>
      </c>
      <c r="R283" s="344">
        <f t="shared" si="22"/>
        <v>0</v>
      </c>
      <c r="T283" s="319" t="s">
        <v>198</v>
      </c>
    </row>
    <row r="284" spans="3:20" x14ac:dyDescent="0.3">
      <c r="C284" s="402"/>
      <c r="D284" s="405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Q284" s="343">
        <f t="shared" si="21"/>
        <v>0</v>
      </c>
      <c r="R284" s="344">
        <f t="shared" si="22"/>
        <v>0</v>
      </c>
      <c r="T284" s="319" t="s">
        <v>199</v>
      </c>
    </row>
    <row r="285" spans="3:20" x14ac:dyDescent="0.3">
      <c r="C285" s="402"/>
      <c r="D285" s="403"/>
      <c r="Q285" s="343">
        <f t="shared" si="21"/>
        <v>0</v>
      </c>
      <c r="R285" s="344">
        <f t="shared" si="22"/>
        <v>0</v>
      </c>
      <c r="T285" s="319" t="s">
        <v>200</v>
      </c>
    </row>
    <row r="286" spans="3:20" x14ac:dyDescent="0.3">
      <c r="C286" s="402"/>
      <c r="D286" s="340"/>
      <c r="Q286" s="343">
        <f t="shared" si="21"/>
        <v>0</v>
      </c>
      <c r="R286" s="344">
        <f t="shared" si="22"/>
        <v>0</v>
      </c>
      <c r="T286" s="319" t="s">
        <v>201</v>
      </c>
    </row>
    <row r="287" spans="3:20" x14ac:dyDescent="0.3">
      <c r="C287" s="402"/>
      <c r="D287" s="404"/>
      <c r="Q287" s="343">
        <f t="shared" si="21"/>
        <v>0</v>
      </c>
      <c r="R287" s="344">
        <f t="shared" si="22"/>
        <v>0</v>
      </c>
      <c r="T287" s="319" t="s">
        <v>202</v>
      </c>
    </row>
    <row r="288" spans="3:20" x14ac:dyDescent="0.3">
      <c r="C288" s="407"/>
      <c r="D288" s="404"/>
      <c r="Q288" s="343">
        <f t="shared" si="21"/>
        <v>0</v>
      </c>
      <c r="R288" s="344">
        <f t="shared" si="22"/>
        <v>0</v>
      </c>
      <c r="T288" s="319" t="s">
        <v>203</v>
      </c>
    </row>
    <row r="289" spans="3:20" x14ac:dyDescent="0.3">
      <c r="C289" s="402"/>
      <c r="D289" s="405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Q289" s="343">
        <f t="shared" si="21"/>
        <v>0</v>
      </c>
      <c r="R289" s="344">
        <f t="shared" si="22"/>
        <v>0</v>
      </c>
      <c r="T289" s="319" t="s">
        <v>204</v>
      </c>
    </row>
    <row r="290" spans="3:20" x14ac:dyDescent="0.3">
      <c r="C290" s="402"/>
      <c r="D290" s="403"/>
      <c r="Q290" s="343">
        <f t="shared" si="21"/>
        <v>0</v>
      </c>
      <c r="R290" s="344">
        <f t="shared" si="22"/>
        <v>0</v>
      </c>
      <c r="T290" s="319" t="s">
        <v>205</v>
      </c>
    </row>
    <row r="291" spans="3:20" x14ac:dyDescent="0.3">
      <c r="C291" s="402"/>
      <c r="D291" s="403"/>
      <c r="Q291" s="343">
        <f t="shared" si="21"/>
        <v>0</v>
      </c>
      <c r="R291" s="344">
        <f t="shared" si="22"/>
        <v>0</v>
      </c>
      <c r="T291" s="319" t="s">
        <v>206</v>
      </c>
    </row>
    <row r="292" spans="3:20" x14ac:dyDescent="0.3">
      <c r="C292" s="402"/>
      <c r="D292" s="403"/>
      <c r="Q292" s="343">
        <f t="shared" si="21"/>
        <v>0</v>
      </c>
      <c r="R292" s="344">
        <f t="shared" si="22"/>
        <v>0</v>
      </c>
      <c r="T292" s="319" t="s">
        <v>207</v>
      </c>
    </row>
    <row r="293" spans="3:20" x14ac:dyDescent="0.3">
      <c r="C293" s="402"/>
      <c r="D293" s="403"/>
      <c r="Q293" s="343">
        <f t="shared" si="21"/>
        <v>0</v>
      </c>
      <c r="R293" s="344">
        <f t="shared" si="22"/>
        <v>0</v>
      </c>
      <c r="T293" s="319" t="s">
        <v>208</v>
      </c>
    </row>
    <row r="294" spans="3:20" x14ac:dyDescent="0.3">
      <c r="C294" s="402"/>
      <c r="D294" s="403"/>
      <c r="Q294" s="343">
        <f t="shared" si="21"/>
        <v>0</v>
      </c>
      <c r="R294" s="344">
        <f t="shared" si="22"/>
        <v>0</v>
      </c>
      <c r="T294" s="319" t="s">
        <v>210</v>
      </c>
    </row>
    <row r="295" spans="3:20" ht="15" thickBot="1" x14ac:dyDescent="0.35">
      <c r="C295" s="402"/>
      <c r="D295" s="403"/>
      <c r="Q295" s="343">
        <f t="shared" si="21"/>
        <v>0</v>
      </c>
      <c r="R295" s="344">
        <f t="shared" si="22"/>
        <v>0</v>
      </c>
      <c r="T295" s="323" t="s">
        <v>212</v>
      </c>
    </row>
    <row r="296" spans="3:20" x14ac:dyDescent="0.3">
      <c r="C296" s="402"/>
      <c r="D296" s="403"/>
      <c r="Q296" s="343">
        <f t="shared" si="21"/>
        <v>0</v>
      </c>
      <c r="R296" s="344">
        <f t="shared" si="22"/>
        <v>0</v>
      </c>
      <c r="T296" s="315" t="s">
        <v>184</v>
      </c>
    </row>
    <row r="297" spans="3:20" x14ac:dyDescent="0.3">
      <c r="C297" s="402"/>
      <c r="D297" s="340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Q297" s="343">
        <f t="shared" si="21"/>
        <v>0</v>
      </c>
      <c r="R297" s="344">
        <f t="shared" si="22"/>
        <v>0</v>
      </c>
      <c r="T297" s="316" t="s">
        <v>186</v>
      </c>
    </row>
    <row r="298" spans="3:20" x14ac:dyDescent="0.3">
      <c r="C298" s="402"/>
      <c r="D298" s="403"/>
      <c r="Q298" s="343">
        <f t="shared" si="21"/>
        <v>0</v>
      </c>
      <c r="R298" s="344">
        <f t="shared" si="22"/>
        <v>0</v>
      </c>
      <c r="T298" s="316" t="s">
        <v>187</v>
      </c>
    </row>
    <row r="299" spans="3:20" x14ac:dyDescent="0.3">
      <c r="C299" s="402"/>
      <c r="D299" s="405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Q299" s="343">
        <f t="shared" si="21"/>
        <v>0</v>
      </c>
      <c r="R299" s="344">
        <f t="shared" si="22"/>
        <v>0</v>
      </c>
      <c r="T299" s="316" t="s">
        <v>189</v>
      </c>
    </row>
    <row r="300" spans="3:20" ht="16.5" customHeight="1" x14ac:dyDescent="0.3">
      <c r="C300" s="402"/>
      <c r="D300" s="403"/>
      <c r="Q300" s="343">
        <f t="shared" si="21"/>
        <v>0</v>
      </c>
      <c r="R300" s="344">
        <f t="shared" si="22"/>
        <v>0</v>
      </c>
      <c r="T300" s="316" t="s">
        <v>190</v>
      </c>
    </row>
    <row r="301" spans="3:20" x14ac:dyDescent="0.3">
      <c r="C301" s="402"/>
      <c r="D301" s="405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Q301" s="343">
        <f t="shared" si="21"/>
        <v>0</v>
      </c>
      <c r="R301" s="344">
        <f t="shared" si="22"/>
        <v>0</v>
      </c>
      <c r="T301" s="316" t="s">
        <v>191</v>
      </c>
    </row>
    <row r="302" spans="3:20" x14ac:dyDescent="0.3">
      <c r="Q302" s="343">
        <f t="shared" si="21"/>
        <v>0</v>
      </c>
      <c r="R302" s="344">
        <f t="shared" si="22"/>
        <v>0</v>
      </c>
      <c r="T302" s="316" t="s">
        <v>193</v>
      </c>
    </row>
    <row r="303" spans="3:20" x14ac:dyDescent="0.3">
      <c r="Q303" s="343">
        <f t="shared" si="21"/>
        <v>0</v>
      </c>
      <c r="R303" s="344">
        <f t="shared" si="22"/>
        <v>0</v>
      </c>
      <c r="T303" s="316" t="s">
        <v>194</v>
      </c>
    </row>
    <row r="304" spans="3:20" x14ac:dyDescent="0.3">
      <c r="Q304" s="343">
        <f t="shared" si="21"/>
        <v>0</v>
      </c>
      <c r="R304" s="344">
        <f t="shared" si="22"/>
        <v>0</v>
      </c>
      <c r="T304" s="316" t="s">
        <v>195</v>
      </c>
    </row>
    <row r="305" spans="17:20" x14ac:dyDescent="0.3">
      <c r="Q305" s="343">
        <f t="shared" si="21"/>
        <v>0</v>
      </c>
      <c r="R305" s="344">
        <f t="shared" si="22"/>
        <v>0</v>
      </c>
      <c r="T305" s="316" t="s">
        <v>196</v>
      </c>
    </row>
    <row r="306" spans="17:20" x14ac:dyDescent="0.3">
      <c r="Q306" s="343">
        <f t="shared" si="21"/>
        <v>0</v>
      </c>
      <c r="R306" s="344">
        <f t="shared" si="22"/>
        <v>0</v>
      </c>
      <c r="T306" s="319" t="s">
        <v>197</v>
      </c>
    </row>
    <row r="307" spans="17:20" x14ac:dyDescent="0.3">
      <c r="Q307" s="343">
        <f t="shared" si="21"/>
        <v>0</v>
      </c>
      <c r="R307" s="344">
        <f t="shared" si="22"/>
        <v>0</v>
      </c>
      <c r="T307" s="319" t="s">
        <v>198</v>
      </c>
    </row>
    <row r="308" spans="17:20" x14ac:dyDescent="0.3">
      <c r="Q308" s="343">
        <f t="shared" si="21"/>
        <v>0</v>
      </c>
      <c r="R308" s="344">
        <f t="shared" si="22"/>
        <v>0</v>
      </c>
      <c r="T308" s="319" t="s">
        <v>199</v>
      </c>
    </row>
    <row r="309" spans="17:20" x14ac:dyDescent="0.3">
      <c r="Q309" s="343">
        <f t="shared" si="21"/>
        <v>0</v>
      </c>
      <c r="R309" s="344">
        <f t="shared" si="22"/>
        <v>0</v>
      </c>
      <c r="T309" s="319" t="s">
        <v>200</v>
      </c>
    </row>
    <row r="310" spans="17:20" x14ac:dyDescent="0.3">
      <c r="Q310" s="343">
        <f t="shared" si="21"/>
        <v>0</v>
      </c>
      <c r="R310" s="344">
        <f t="shared" si="22"/>
        <v>0</v>
      </c>
      <c r="T310" s="319" t="s">
        <v>201</v>
      </c>
    </row>
    <row r="311" spans="17:20" x14ac:dyDescent="0.3">
      <c r="Q311" s="343">
        <f t="shared" si="21"/>
        <v>0</v>
      </c>
      <c r="R311" s="344">
        <f t="shared" si="22"/>
        <v>0</v>
      </c>
      <c r="T311" s="319" t="s">
        <v>202</v>
      </c>
    </row>
    <row r="312" spans="17:20" x14ac:dyDescent="0.3">
      <c r="Q312" s="343">
        <f t="shared" si="21"/>
        <v>0</v>
      </c>
      <c r="R312" s="344">
        <f t="shared" si="22"/>
        <v>0</v>
      </c>
      <c r="T312" s="319" t="s">
        <v>203</v>
      </c>
    </row>
    <row r="313" spans="17:20" x14ac:dyDescent="0.3">
      <c r="Q313" s="343">
        <f t="shared" si="21"/>
        <v>0</v>
      </c>
      <c r="R313" s="344">
        <f t="shared" si="22"/>
        <v>0</v>
      </c>
      <c r="T313" s="319" t="s">
        <v>204</v>
      </c>
    </row>
    <row r="314" spans="17:20" x14ac:dyDescent="0.3">
      <c r="Q314" s="343">
        <f t="shared" si="21"/>
        <v>0</v>
      </c>
      <c r="R314" s="344">
        <f t="shared" si="22"/>
        <v>0</v>
      </c>
      <c r="T314" s="319" t="s">
        <v>205</v>
      </c>
    </row>
    <row r="315" spans="17:20" x14ac:dyDescent="0.3">
      <c r="Q315" s="343">
        <f t="shared" si="21"/>
        <v>0</v>
      </c>
      <c r="R315" s="344">
        <f t="shared" si="22"/>
        <v>0</v>
      </c>
      <c r="T315" s="319" t="s">
        <v>206</v>
      </c>
    </row>
    <row r="316" spans="17:20" x14ac:dyDescent="0.3">
      <c r="Q316" s="343">
        <f t="shared" si="21"/>
        <v>0</v>
      </c>
      <c r="R316" s="344">
        <f t="shared" si="22"/>
        <v>0</v>
      </c>
      <c r="T316" s="319" t="s">
        <v>207</v>
      </c>
    </row>
    <row r="317" spans="17:20" x14ac:dyDescent="0.3">
      <c r="Q317" s="343">
        <f t="shared" si="21"/>
        <v>0</v>
      </c>
      <c r="R317" s="344">
        <f t="shared" si="22"/>
        <v>0</v>
      </c>
      <c r="T317" s="319" t="s">
        <v>208</v>
      </c>
    </row>
    <row r="318" spans="17:20" x14ac:dyDescent="0.3">
      <c r="Q318" s="343">
        <f t="shared" si="21"/>
        <v>0</v>
      </c>
      <c r="R318" s="344">
        <f t="shared" si="22"/>
        <v>0</v>
      </c>
      <c r="T318" s="319" t="s">
        <v>210</v>
      </c>
    </row>
    <row r="319" spans="17:20" ht="15" thickBot="1" x14ac:dyDescent="0.35">
      <c r="Q319" s="343">
        <f t="shared" si="21"/>
        <v>0</v>
      </c>
      <c r="R319" s="344">
        <f t="shared" si="22"/>
        <v>0</v>
      </c>
      <c r="T319" s="323" t="s">
        <v>212</v>
      </c>
    </row>
    <row r="320" spans="17:20" x14ac:dyDescent="0.3">
      <c r="Q320" s="343">
        <f t="shared" si="21"/>
        <v>0</v>
      </c>
      <c r="R320" s="344">
        <f t="shared" si="22"/>
        <v>0</v>
      </c>
      <c r="T320" s="315" t="s">
        <v>184</v>
      </c>
    </row>
    <row r="321" spans="17:20" x14ac:dyDescent="0.3">
      <c r="Q321" s="343">
        <f t="shared" si="21"/>
        <v>0</v>
      </c>
      <c r="R321" s="344">
        <f t="shared" si="22"/>
        <v>0</v>
      </c>
      <c r="T321" s="316" t="s">
        <v>186</v>
      </c>
    </row>
    <row r="322" spans="17:20" x14ac:dyDescent="0.3">
      <c r="Q322" s="343">
        <f t="shared" si="21"/>
        <v>0</v>
      </c>
      <c r="R322" s="344">
        <f t="shared" si="22"/>
        <v>0</v>
      </c>
      <c r="T322" s="316" t="s">
        <v>187</v>
      </c>
    </row>
    <row r="323" spans="17:20" x14ac:dyDescent="0.3">
      <c r="Q323" s="343">
        <f t="shared" si="21"/>
        <v>0</v>
      </c>
      <c r="R323" s="344">
        <f t="shared" si="22"/>
        <v>0</v>
      </c>
      <c r="T323" s="316" t="s">
        <v>189</v>
      </c>
    </row>
    <row r="324" spans="17:20" x14ac:dyDescent="0.3">
      <c r="Q324" s="343">
        <f t="shared" si="21"/>
        <v>0</v>
      </c>
      <c r="R324" s="344">
        <f t="shared" si="22"/>
        <v>0</v>
      </c>
      <c r="T324" s="316" t="s">
        <v>190</v>
      </c>
    </row>
    <row r="325" spans="17:20" x14ac:dyDescent="0.3">
      <c r="Q325" s="343">
        <f t="shared" si="21"/>
        <v>0</v>
      </c>
      <c r="R325" s="344">
        <f t="shared" si="22"/>
        <v>0</v>
      </c>
      <c r="T325" s="316" t="s">
        <v>191</v>
      </c>
    </row>
    <row r="326" spans="17:20" x14ac:dyDescent="0.3">
      <c r="Q326" s="343">
        <f t="shared" si="21"/>
        <v>0</v>
      </c>
      <c r="R326" s="344">
        <f t="shared" si="22"/>
        <v>0</v>
      </c>
      <c r="T326" s="316" t="s">
        <v>193</v>
      </c>
    </row>
    <row r="327" spans="17:20" x14ac:dyDescent="0.3">
      <c r="Q327" s="343">
        <f t="shared" si="21"/>
        <v>0</v>
      </c>
      <c r="R327" s="344">
        <f t="shared" si="22"/>
        <v>0</v>
      </c>
      <c r="T327" s="316" t="s">
        <v>194</v>
      </c>
    </row>
    <row r="328" spans="17:20" x14ac:dyDescent="0.3">
      <c r="Q328" s="343">
        <f t="shared" si="21"/>
        <v>0</v>
      </c>
      <c r="R328" s="344">
        <f t="shared" si="22"/>
        <v>0</v>
      </c>
      <c r="T328" s="316" t="s">
        <v>195</v>
      </c>
    </row>
    <row r="329" spans="17:20" x14ac:dyDescent="0.3">
      <c r="Q329" s="343">
        <f t="shared" si="21"/>
        <v>0</v>
      </c>
      <c r="R329" s="344">
        <f t="shared" si="22"/>
        <v>0</v>
      </c>
      <c r="T329" s="316" t="s">
        <v>196</v>
      </c>
    </row>
    <row r="330" spans="17:20" x14ac:dyDescent="0.3">
      <c r="Q330" s="343">
        <f t="shared" si="21"/>
        <v>0</v>
      </c>
      <c r="R330" s="344">
        <f t="shared" si="22"/>
        <v>0</v>
      </c>
      <c r="T330" s="319" t="s">
        <v>197</v>
      </c>
    </row>
    <row r="331" spans="17:20" x14ac:dyDescent="0.3">
      <c r="Q331" s="343">
        <f t="shared" si="21"/>
        <v>0</v>
      </c>
      <c r="R331" s="344">
        <f t="shared" si="22"/>
        <v>0</v>
      </c>
      <c r="T331" s="319" t="s">
        <v>198</v>
      </c>
    </row>
    <row r="332" spans="17:20" x14ac:dyDescent="0.3">
      <c r="Q332" s="343">
        <f t="shared" si="21"/>
        <v>0</v>
      </c>
      <c r="R332" s="344">
        <f t="shared" si="22"/>
        <v>0</v>
      </c>
      <c r="T332" s="319" t="s">
        <v>199</v>
      </c>
    </row>
    <row r="333" spans="17:20" x14ac:dyDescent="0.3">
      <c r="Q333" s="343">
        <f t="shared" si="21"/>
        <v>0</v>
      </c>
      <c r="R333" s="344">
        <f t="shared" si="22"/>
        <v>0</v>
      </c>
      <c r="T333" s="319" t="s">
        <v>200</v>
      </c>
    </row>
    <row r="334" spans="17:20" x14ac:dyDescent="0.3">
      <c r="Q334" s="343">
        <f t="shared" si="21"/>
        <v>0</v>
      </c>
      <c r="R334" s="344">
        <f t="shared" si="22"/>
        <v>0</v>
      </c>
      <c r="T334" s="319" t="s">
        <v>201</v>
      </c>
    </row>
    <row r="335" spans="17:20" x14ac:dyDescent="0.3">
      <c r="Q335" s="343">
        <f t="shared" si="21"/>
        <v>0</v>
      </c>
      <c r="R335" s="344">
        <f t="shared" si="22"/>
        <v>0</v>
      </c>
      <c r="T335" s="319" t="s">
        <v>202</v>
      </c>
    </row>
    <row r="336" spans="17:20" x14ac:dyDescent="0.3">
      <c r="Q336" s="343">
        <f t="shared" si="21"/>
        <v>0</v>
      </c>
      <c r="R336" s="344">
        <f t="shared" si="22"/>
        <v>0</v>
      </c>
      <c r="T336" s="319" t="s">
        <v>203</v>
      </c>
    </row>
    <row r="337" spans="17:20" x14ac:dyDescent="0.3">
      <c r="Q337" s="343">
        <f t="shared" si="21"/>
        <v>0</v>
      </c>
      <c r="R337" s="344">
        <f t="shared" si="22"/>
        <v>0</v>
      </c>
      <c r="T337" s="319" t="s">
        <v>204</v>
      </c>
    </row>
    <row r="338" spans="17:20" x14ac:dyDescent="0.3">
      <c r="Q338" s="343">
        <f t="shared" si="21"/>
        <v>0</v>
      </c>
      <c r="R338" s="344">
        <f t="shared" si="22"/>
        <v>0</v>
      </c>
      <c r="T338" s="319" t="s">
        <v>205</v>
      </c>
    </row>
    <row r="339" spans="17:20" x14ac:dyDescent="0.3">
      <c r="Q339" s="343">
        <f t="shared" ref="Q339:Q402" si="23">SUM(D339:O339)</f>
        <v>0</v>
      </c>
      <c r="R339" s="344">
        <f t="shared" ref="R339:R402" si="24">SUM(M339:O339)*4</f>
        <v>0</v>
      </c>
      <c r="T339" s="319" t="s">
        <v>206</v>
      </c>
    </row>
    <row r="340" spans="17:20" x14ac:dyDescent="0.3">
      <c r="Q340" s="343">
        <f t="shared" si="23"/>
        <v>0</v>
      </c>
      <c r="R340" s="344">
        <f t="shared" si="24"/>
        <v>0</v>
      </c>
      <c r="T340" s="319" t="s">
        <v>207</v>
      </c>
    </row>
    <row r="341" spans="17:20" x14ac:dyDescent="0.3">
      <c r="Q341" s="343">
        <f t="shared" si="23"/>
        <v>0</v>
      </c>
      <c r="R341" s="344">
        <f t="shared" si="24"/>
        <v>0</v>
      </c>
      <c r="T341" s="319" t="s">
        <v>208</v>
      </c>
    </row>
    <row r="342" spans="17:20" x14ac:dyDescent="0.3">
      <c r="Q342" s="343">
        <f t="shared" si="23"/>
        <v>0</v>
      </c>
      <c r="R342" s="344">
        <f t="shared" si="24"/>
        <v>0</v>
      </c>
      <c r="T342" s="319" t="s">
        <v>210</v>
      </c>
    </row>
    <row r="343" spans="17:20" ht="15" thickBot="1" x14ac:dyDescent="0.35">
      <c r="Q343" s="343">
        <f t="shared" si="23"/>
        <v>0</v>
      </c>
      <c r="R343" s="344">
        <f t="shared" si="24"/>
        <v>0</v>
      </c>
      <c r="T343" s="323" t="s">
        <v>212</v>
      </c>
    </row>
    <row r="344" spans="17:20" x14ac:dyDescent="0.3">
      <c r="Q344" s="343">
        <f t="shared" si="23"/>
        <v>0</v>
      </c>
      <c r="R344" s="344">
        <f t="shared" si="24"/>
        <v>0</v>
      </c>
      <c r="T344" s="315" t="s">
        <v>184</v>
      </c>
    </row>
    <row r="345" spans="17:20" x14ac:dyDescent="0.3">
      <c r="Q345" s="343">
        <f t="shared" si="23"/>
        <v>0</v>
      </c>
      <c r="R345" s="344">
        <f t="shared" si="24"/>
        <v>0</v>
      </c>
      <c r="T345" s="316" t="s">
        <v>186</v>
      </c>
    </row>
    <row r="346" spans="17:20" x14ac:dyDescent="0.3">
      <c r="Q346" s="343">
        <f t="shared" si="23"/>
        <v>0</v>
      </c>
      <c r="R346" s="344">
        <f t="shared" si="24"/>
        <v>0</v>
      </c>
      <c r="T346" s="316" t="s">
        <v>187</v>
      </c>
    </row>
    <row r="347" spans="17:20" x14ac:dyDescent="0.3">
      <c r="Q347" s="343">
        <f t="shared" si="23"/>
        <v>0</v>
      </c>
      <c r="R347" s="344">
        <f t="shared" si="24"/>
        <v>0</v>
      </c>
      <c r="T347" s="316" t="s">
        <v>189</v>
      </c>
    </row>
    <row r="348" spans="17:20" x14ac:dyDescent="0.3">
      <c r="Q348" s="343">
        <f t="shared" si="23"/>
        <v>0</v>
      </c>
      <c r="R348" s="344">
        <f t="shared" si="24"/>
        <v>0</v>
      </c>
      <c r="T348" s="316" t="s">
        <v>190</v>
      </c>
    </row>
    <row r="349" spans="17:20" x14ac:dyDescent="0.3">
      <c r="Q349" s="343">
        <f t="shared" si="23"/>
        <v>0</v>
      </c>
      <c r="R349" s="344">
        <f t="shared" si="24"/>
        <v>0</v>
      </c>
      <c r="T349" s="316" t="s">
        <v>191</v>
      </c>
    </row>
    <row r="350" spans="17:20" x14ac:dyDescent="0.3">
      <c r="Q350" s="343">
        <f t="shared" si="23"/>
        <v>0</v>
      </c>
      <c r="R350" s="344">
        <f t="shared" si="24"/>
        <v>0</v>
      </c>
      <c r="T350" s="316" t="s">
        <v>193</v>
      </c>
    </row>
    <row r="351" spans="17:20" x14ac:dyDescent="0.3">
      <c r="Q351" s="343">
        <f t="shared" si="23"/>
        <v>0</v>
      </c>
      <c r="R351" s="344">
        <f t="shared" si="24"/>
        <v>0</v>
      </c>
      <c r="T351" s="316" t="s">
        <v>194</v>
      </c>
    </row>
    <row r="352" spans="17:20" x14ac:dyDescent="0.3">
      <c r="Q352" s="343">
        <f t="shared" si="23"/>
        <v>0</v>
      </c>
      <c r="R352" s="344">
        <f t="shared" si="24"/>
        <v>0</v>
      </c>
      <c r="T352" s="316" t="s">
        <v>195</v>
      </c>
    </row>
    <row r="353" spans="17:20" x14ac:dyDescent="0.3">
      <c r="Q353" s="343">
        <f t="shared" si="23"/>
        <v>0</v>
      </c>
      <c r="R353" s="344">
        <f t="shared" si="24"/>
        <v>0</v>
      </c>
      <c r="T353" s="316" t="s">
        <v>196</v>
      </c>
    </row>
    <row r="354" spans="17:20" x14ac:dyDescent="0.3">
      <c r="Q354" s="343">
        <f t="shared" si="23"/>
        <v>0</v>
      </c>
      <c r="R354" s="344">
        <f t="shared" si="24"/>
        <v>0</v>
      </c>
      <c r="T354" s="319" t="s">
        <v>197</v>
      </c>
    </row>
    <row r="355" spans="17:20" x14ac:dyDescent="0.3">
      <c r="Q355" s="343">
        <f t="shared" si="23"/>
        <v>0</v>
      </c>
      <c r="R355" s="344">
        <f t="shared" si="24"/>
        <v>0</v>
      </c>
      <c r="T355" s="319" t="s">
        <v>198</v>
      </c>
    </row>
    <row r="356" spans="17:20" x14ac:dyDescent="0.3">
      <c r="Q356" s="343">
        <f t="shared" si="23"/>
        <v>0</v>
      </c>
      <c r="R356" s="344">
        <f t="shared" si="24"/>
        <v>0</v>
      </c>
      <c r="T356" s="319" t="s">
        <v>199</v>
      </c>
    </row>
    <row r="357" spans="17:20" x14ac:dyDescent="0.3">
      <c r="Q357" s="343">
        <f t="shared" si="23"/>
        <v>0</v>
      </c>
      <c r="R357" s="344">
        <f t="shared" si="24"/>
        <v>0</v>
      </c>
      <c r="T357" s="319" t="s">
        <v>200</v>
      </c>
    </row>
    <row r="358" spans="17:20" x14ac:dyDescent="0.3">
      <c r="Q358" s="343">
        <f t="shared" si="23"/>
        <v>0</v>
      </c>
      <c r="R358" s="344">
        <f t="shared" si="24"/>
        <v>0</v>
      </c>
      <c r="T358" s="319" t="s">
        <v>201</v>
      </c>
    </row>
    <row r="359" spans="17:20" x14ac:dyDescent="0.3">
      <c r="Q359" s="343">
        <f t="shared" si="23"/>
        <v>0</v>
      </c>
      <c r="R359" s="344">
        <f t="shared" si="24"/>
        <v>0</v>
      </c>
      <c r="T359" s="319" t="s">
        <v>202</v>
      </c>
    </row>
    <row r="360" spans="17:20" x14ac:dyDescent="0.3">
      <c r="Q360" s="343">
        <f t="shared" si="23"/>
        <v>0</v>
      </c>
      <c r="R360" s="344">
        <f t="shared" si="24"/>
        <v>0</v>
      </c>
      <c r="T360" s="319" t="s">
        <v>203</v>
      </c>
    </row>
    <row r="361" spans="17:20" x14ac:dyDescent="0.3">
      <c r="Q361" s="343">
        <f t="shared" si="23"/>
        <v>0</v>
      </c>
      <c r="R361" s="344">
        <f t="shared" si="24"/>
        <v>0</v>
      </c>
      <c r="T361" s="319" t="s">
        <v>204</v>
      </c>
    </row>
    <row r="362" spans="17:20" x14ac:dyDescent="0.3">
      <c r="Q362" s="343">
        <f t="shared" si="23"/>
        <v>0</v>
      </c>
      <c r="R362" s="344">
        <f t="shared" si="24"/>
        <v>0</v>
      </c>
      <c r="T362" s="319" t="s">
        <v>205</v>
      </c>
    </row>
    <row r="363" spans="17:20" x14ac:dyDescent="0.3">
      <c r="Q363" s="343">
        <f t="shared" si="23"/>
        <v>0</v>
      </c>
      <c r="R363" s="344">
        <f t="shared" si="24"/>
        <v>0</v>
      </c>
      <c r="T363" s="319" t="s">
        <v>206</v>
      </c>
    </row>
    <row r="364" spans="17:20" x14ac:dyDescent="0.3">
      <c r="Q364" s="343">
        <f t="shared" si="23"/>
        <v>0</v>
      </c>
      <c r="R364" s="344">
        <f t="shared" si="24"/>
        <v>0</v>
      </c>
      <c r="T364" s="319" t="s">
        <v>207</v>
      </c>
    </row>
    <row r="365" spans="17:20" x14ac:dyDescent="0.3">
      <c r="Q365" s="343">
        <f t="shared" si="23"/>
        <v>0</v>
      </c>
      <c r="R365" s="344">
        <f t="shared" si="24"/>
        <v>0</v>
      </c>
      <c r="T365" s="319" t="s">
        <v>208</v>
      </c>
    </row>
    <row r="366" spans="17:20" x14ac:dyDescent="0.3">
      <c r="Q366" s="343">
        <f t="shared" si="23"/>
        <v>0</v>
      </c>
      <c r="R366" s="344">
        <f t="shared" si="24"/>
        <v>0</v>
      </c>
      <c r="T366" s="319" t="s">
        <v>210</v>
      </c>
    </row>
    <row r="367" spans="17:20" ht="15" thickBot="1" x14ac:dyDescent="0.35">
      <c r="Q367" s="343">
        <f t="shared" si="23"/>
        <v>0</v>
      </c>
      <c r="R367" s="344">
        <f t="shared" si="24"/>
        <v>0</v>
      </c>
      <c r="T367" s="323" t="s">
        <v>212</v>
      </c>
    </row>
    <row r="368" spans="17:20" x14ac:dyDescent="0.3">
      <c r="Q368" s="343">
        <f t="shared" si="23"/>
        <v>0</v>
      </c>
      <c r="R368" s="344">
        <f t="shared" si="24"/>
        <v>0</v>
      </c>
      <c r="T368" s="315" t="s">
        <v>184</v>
      </c>
    </row>
    <row r="369" spans="17:20" x14ac:dyDescent="0.3">
      <c r="Q369" s="343">
        <f t="shared" si="23"/>
        <v>0</v>
      </c>
      <c r="R369" s="344">
        <f t="shared" si="24"/>
        <v>0</v>
      </c>
      <c r="T369" s="316" t="s">
        <v>186</v>
      </c>
    </row>
    <row r="370" spans="17:20" x14ac:dyDescent="0.3">
      <c r="Q370" s="343">
        <f t="shared" si="23"/>
        <v>0</v>
      </c>
      <c r="R370" s="344">
        <f t="shared" si="24"/>
        <v>0</v>
      </c>
      <c r="T370" s="316" t="s">
        <v>187</v>
      </c>
    </row>
    <row r="371" spans="17:20" x14ac:dyDescent="0.3">
      <c r="Q371" s="343">
        <f t="shared" si="23"/>
        <v>0</v>
      </c>
      <c r="R371" s="344">
        <f t="shared" si="24"/>
        <v>0</v>
      </c>
      <c r="T371" s="316" t="s">
        <v>189</v>
      </c>
    </row>
    <row r="372" spans="17:20" x14ac:dyDescent="0.3">
      <c r="Q372" s="343">
        <f t="shared" si="23"/>
        <v>0</v>
      </c>
      <c r="R372" s="344">
        <f t="shared" si="24"/>
        <v>0</v>
      </c>
      <c r="T372" s="316" t="s">
        <v>190</v>
      </c>
    </row>
    <row r="373" spans="17:20" x14ac:dyDescent="0.3">
      <c r="Q373" s="343">
        <f t="shared" si="23"/>
        <v>0</v>
      </c>
      <c r="R373" s="344">
        <f t="shared" si="24"/>
        <v>0</v>
      </c>
      <c r="T373" s="316" t="s">
        <v>191</v>
      </c>
    </row>
    <row r="374" spans="17:20" x14ac:dyDescent="0.3">
      <c r="Q374" s="343">
        <f t="shared" si="23"/>
        <v>0</v>
      </c>
      <c r="R374" s="344">
        <f t="shared" si="24"/>
        <v>0</v>
      </c>
      <c r="T374" s="316" t="s">
        <v>193</v>
      </c>
    </row>
    <row r="375" spans="17:20" x14ac:dyDescent="0.3">
      <c r="Q375" s="343">
        <f t="shared" si="23"/>
        <v>0</v>
      </c>
      <c r="R375" s="344">
        <f t="shared" si="24"/>
        <v>0</v>
      </c>
      <c r="T375" s="316" t="s">
        <v>194</v>
      </c>
    </row>
    <row r="376" spans="17:20" x14ac:dyDescent="0.3">
      <c r="Q376" s="343">
        <f t="shared" si="23"/>
        <v>0</v>
      </c>
      <c r="R376" s="344">
        <f t="shared" si="24"/>
        <v>0</v>
      </c>
      <c r="T376" s="316" t="s">
        <v>195</v>
      </c>
    </row>
    <row r="377" spans="17:20" x14ac:dyDescent="0.3">
      <c r="Q377" s="343">
        <f t="shared" si="23"/>
        <v>0</v>
      </c>
      <c r="R377" s="344">
        <f t="shared" si="24"/>
        <v>0</v>
      </c>
      <c r="T377" s="316" t="s">
        <v>196</v>
      </c>
    </row>
    <row r="378" spans="17:20" x14ac:dyDescent="0.3">
      <c r="Q378" s="343">
        <f t="shared" si="23"/>
        <v>0</v>
      </c>
      <c r="R378" s="344">
        <f t="shared" si="24"/>
        <v>0</v>
      </c>
      <c r="T378" s="319" t="s">
        <v>197</v>
      </c>
    </row>
    <row r="379" spans="17:20" x14ac:dyDescent="0.3">
      <c r="Q379" s="343">
        <f t="shared" si="23"/>
        <v>0</v>
      </c>
      <c r="R379" s="344">
        <f t="shared" si="24"/>
        <v>0</v>
      </c>
      <c r="T379" s="319" t="s">
        <v>198</v>
      </c>
    </row>
    <row r="380" spans="17:20" x14ac:dyDescent="0.3">
      <c r="Q380" s="343">
        <f t="shared" si="23"/>
        <v>0</v>
      </c>
      <c r="R380" s="344">
        <f t="shared" si="24"/>
        <v>0</v>
      </c>
      <c r="T380" s="319" t="s">
        <v>199</v>
      </c>
    </row>
    <row r="381" spans="17:20" x14ac:dyDescent="0.3">
      <c r="Q381" s="343">
        <f t="shared" si="23"/>
        <v>0</v>
      </c>
      <c r="R381" s="344">
        <f t="shared" si="24"/>
        <v>0</v>
      </c>
      <c r="T381" s="319" t="s">
        <v>200</v>
      </c>
    </row>
    <row r="382" spans="17:20" x14ac:dyDescent="0.3">
      <c r="Q382" s="343">
        <f t="shared" si="23"/>
        <v>0</v>
      </c>
      <c r="R382" s="344">
        <f t="shared" si="24"/>
        <v>0</v>
      </c>
      <c r="T382" s="319" t="s">
        <v>201</v>
      </c>
    </row>
    <row r="383" spans="17:20" x14ac:dyDescent="0.3">
      <c r="Q383" s="343">
        <f t="shared" si="23"/>
        <v>0</v>
      </c>
      <c r="R383" s="344">
        <f t="shared" si="24"/>
        <v>0</v>
      </c>
      <c r="T383" s="319" t="s">
        <v>202</v>
      </c>
    </row>
    <row r="384" spans="17:20" x14ac:dyDescent="0.3">
      <c r="Q384" s="343">
        <f t="shared" si="23"/>
        <v>0</v>
      </c>
      <c r="R384" s="344">
        <f t="shared" si="24"/>
        <v>0</v>
      </c>
      <c r="T384" s="319" t="s">
        <v>203</v>
      </c>
    </row>
    <row r="385" spans="17:20" x14ac:dyDescent="0.3">
      <c r="Q385" s="343">
        <f t="shared" si="23"/>
        <v>0</v>
      </c>
      <c r="R385" s="344">
        <f t="shared" si="24"/>
        <v>0</v>
      </c>
      <c r="T385" s="319" t="s">
        <v>204</v>
      </c>
    </row>
    <row r="386" spans="17:20" x14ac:dyDescent="0.3">
      <c r="Q386" s="343">
        <f t="shared" si="23"/>
        <v>0</v>
      </c>
      <c r="R386" s="344">
        <f t="shared" si="24"/>
        <v>0</v>
      </c>
      <c r="T386" s="319" t="s">
        <v>205</v>
      </c>
    </row>
    <row r="387" spans="17:20" x14ac:dyDescent="0.3">
      <c r="Q387" s="343">
        <f t="shared" si="23"/>
        <v>0</v>
      </c>
      <c r="R387" s="344">
        <f t="shared" si="24"/>
        <v>0</v>
      </c>
      <c r="T387" s="319" t="s">
        <v>206</v>
      </c>
    </row>
    <row r="388" spans="17:20" x14ac:dyDescent="0.3">
      <c r="Q388" s="343">
        <f t="shared" si="23"/>
        <v>0</v>
      </c>
      <c r="R388" s="344">
        <f t="shared" si="24"/>
        <v>0</v>
      </c>
      <c r="T388" s="319" t="s">
        <v>207</v>
      </c>
    </row>
    <row r="389" spans="17:20" x14ac:dyDescent="0.3">
      <c r="Q389" s="343">
        <f t="shared" si="23"/>
        <v>0</v>
      </c>
      <c r="R389" s="344">
        <f t="shared" si="24"/>
        <v>0</v>
      </c>
      <c r="T389" s="319" t="s">
        <v>208</v>
      </c>
    </row>
    <row r="390" spans="17:20" x14ac:dyDescent="0.3">
      <c r="Q390" s="343">
        <f t="shared" si="23"/>
        <v>0</v>
      </c>
      <c r="R390" s="344">
        <f t="shared" si="24"/>
        <v>0</v>
      </c>
      <c r="T390" s="319" t="s">
        <v>210</v>
      </c>
    </row>
    <row r="391" spans="17:20" ht="15" thickBot="1" x14ac:dyDescent="0.35">
      <c r="Q391" s="343">
        <f t="shared" si="23"/>
        <v>0</v>
      </c>
      <c r="R391" s="344">
        <f t="shared" si="24"/>
        <v>0</v>
      </c>
      <c r="T391" s="323" t="s">
        <v>212</v>
      </c>
    </row>
    <row r="392" spans="17:20" x14ac:dyDescent="0.3">
      <c r="Q392" s="343">
        <f t="shared" si="23"/>
        <v>0</v>
      </c>
      <c r="R392" s="344">
        <f t="shared" si="24"/>
        <v>0</v>
      </c>
      <c r="T392" s="315" t="s">
        <v>184</v>
      </c>
    </row>
    <row r="393" spans="17:20" x14ac:dyDescent="0.3">
      <c r="Q393" s="343">
        <f t="shared" si="23"/>
        <v>0</v>
      </c>
      <c r="R393" s="344">
        <f t="shared" si="24"/>
        <v>0</v>
      </c>
      <c r="T393" s="316" t="s">
        <v>186</v>
      </c>
    </row>
    <row r="394" spans="17:20" x14ac:dyDescent="0.3">
      <c r="Q394" s="343">
        <f t="shared" si="23"/>
        <v>0</v>
      </c>
      <c r="R394" s="344">
        <f t="shared" si="24"/>
        <v>0</v>
      </c>
      <c r="T394" s="316" t="s">
        <v>187</v>
      </c>
    </row>
    <row r="395" spans="17:20" x14ac:dyDescent="0.3">
      <c r="Q395" s="343">
        <f t="shared" si="23"/>
        <v>0</v>
      </c>
      <c r="R395" s="344">
        <f t="shared" si="24"/>
        <v>0</v>
      </c>
      <c r="T395" s="316" t="s">
        <v>189</v>
      </c>
    </row>
    <row r="396" spans="17:20" x14ac:dyDescent="0.3">
      <c r="Q396" s="343">
        <f t="shared" si="23"/>
        <v>0</v>
      </c>
      <c r="R396" s="344">
        <f t="shared" si="24"/>
        <v>0</v>
      </c>
      <c r="T396" s="316" t="s">
        <v>190</v>
      </c>
    </row>
    <row r="397" spans="17:20" x14ac:dyDescent="0.3">
      <c r="Q397" s="343">
        <f t="shared" si="23"/>
        <v>0</v>
      </c>
      <c r="R397" s="344">
        <f t="shared" si="24"/>
        <v>0</v>
      </c>
      <c r="T397" s="316" t="s">
        <v>191</v>
      </c>
    </row>
    <row r="398" spans="17:20" x14ac:dyDescent="0.3">
      <c r="Q398" s="343">
        <f t="shared" si="23"/>
        <v>0</v>
      </c>
      <c r="R398" s="344">
        <f t="shared" si="24"/>
        <v>0</v>
      </c>
      <c r="T398" s="316" t="s">
        <v>193</v>
      </c>
    </row>
    <row r="399" spans="17:20" x14ac:dyDescent="0.3">
      <c r="Q399" s="343">
        <f t="shared" si="23"/>
        <v>0</v>
      </c>
      <c r="R399" s="344">
        <f t="shared" si="24"/>
        <v>0</v>
      </c>
      <c r="T399" s="316" t="s">
        <v>194</v>
      </c>
    </row>
    <row r="400" spans="17:20" x14ac:dyDescent="0.3">
      <c r="Q400" s="343">
        <f t="shared" si="23"/>
        <v>0</v>
      </c>
      <c r="R400" s="344">
        <f t="shared" si="24"/>
        <v>0</v>
      </c>
      <c r="T400" s="316" t="s">
        <v>195</v>
      </c>
    </row>
    <row r="401" spans="17:20" x14ac:dyDescent="0.3">
      <c r="Q401" s="343">
        <f t="shared" si="23"/>
        <v>0</v>
      </c>
      <c r="R401" s="344">
        <f t="shared" si="24"/>
        <v>0</v>
      </c>
      <c r="T401" s="316" t="s">
        <v>196</v>
      </c>
    </row>
    <row r="402" spans="17:20" x14ac:dyDescent="0.3">
      <c r="Q402" s="343">
        <f t="shared" si="23"/>
        <v>0</v>
      </c>
      <c r="R402" s="344">
        <f t="shared" si="24"/>
        <v>0</v>
      </c>
      <c r="T402" s="319" t="s">
        <v>197</v>
      </c>
    </row>
    <row r="403" spans="17:20" x14ac:dyDescent="0.3">
      <c r="Q403" s="343">
        <f t="shared" ref="Q403:Q466" si="25">SUM(D403:O403)</f>
        <v>0</v>
      </c>
      <c r="R403" s="344">
        <f t="shared" ref="R403:R466" si="26">SUM(M403:O403)*4</f>
        <v>0</v>
      </c>
      <c r="T403" s="319" t="s">
        <v>198</v>
      </c>
    </row>
    <row r="404" spans="17:20" x14ac:dyDescent="0.3">
      <c r="Q404" s="343">
        <f t="shared" si="25"/>
        <v>0</v>
      </c>
      <c r="R404" s="344">
        <f t="shared" si="26"/>
        <v>0</v>
      </c>
      <c r="T404" s="319" t="s">
        <v>199</v>
      </c>
    </row>
    <row r="405" spans="17:20" x14ac:dyDescent="0.3">
      <c r="Q405" s="343">
        <f t="shared" si="25"/>
        <v>0</v>
      </c>
      <c r="R405" s="344">
        <f t="shared" si="26"/>
        <v>0</v>
      </c>
      <c r="T405" s="319" t="s">
        <v>200</v>
      </c>
    </row>
    <row r="406" spans="17:20" x14ac:dyDescent="0.3">
      <c r="Q406" s="343">
        <f t="shared" si="25"/>
        <v>0</v>
      </c>
      <c r="R406" s="344">
        <f t="shared" si="26"/>
        <v>0</v>
      </c>
      <c r="T406" s="319" t="s">
        <v>201</v>
      </c>
    </row>
    <row r="407" spans="17:20" x14ac:dyDescent="0.3">
      <c r="Q407" s="343">
        <f t="shared" si="25"/>
        <v>0</v>
      </c>
      <c r="R407" s="344">
        <f t="shared" si="26"/>
        <v>0</v>
      </c>
      <c r="T407" s="319" t="s">
        <v>202</v>
      </c>
    </row>
    <row r="408" spans="17:20" x14ac:dyDescent="0.3">
      <c r="Q408" s="343">
        <f t="shared" si="25"/>
        <v>0</v>
      </c>
      <c r="R408" s="344">
        <f t="shared" si="26"/>
        <v>0</v>
      </c>
      <c r="T408" s="319" t="s">
        <v>203</v>
      </c>
    </row>
    <row r="409" spans="17:20" x14ac:dyDescent="0.3">
      <c r="Q409" s="343">
        <f t="shared" si="25"/>
        <v>0</v>
      </c>
      <c r="R409" s="344">
        <f t="shared" si="26"/>
        <v>0</v>
      </c>
      <c r="T409" s="319" t="s">
        <v>204</v>
      </c>
    </row>
    <row r="410" spans="17:20" x14ac:dyDescent="0.3">
      <c r="Q410" s="343">
        <f t="shared" si="25"/>
        <v>0</v>
      </c>
      <c r="R410" s="344">
        <f t="shared" si="26"/>
        <v>0</v>
      </c>
      <c r="T410" s="319" t="s">
        <v>205</v>
      </c>
    </row>
    <row r="411" spans="17:20" x14ac:dyDescent="0.3">
      <c r="Q411" s="343">
        <f t="shared" si="25"/>
        <v>0</v>
      </c>
      <c r="R411" s="344">
        <f t="shared" si="26"/>
        <v>0</v>
      </c>
      <c r="T411" s="319" t="s">
        <v>206</v>
      </c>
    </row>
    <row r="412" spans="17:20" x14ac:dyDescent="0.3">
      <c r="Q412" s="343">
        <f t="shared" si="25"/>
        <v>0</v>
      </c>
      <c r="R412" s="344">
        <f t="shared" si="26"/>
        <v>0</v>
      </c>
      <c r="T412" s="319" t="s">
        <v>207</v>
      </c>
    </row>
    <row r="413" spans="17:20" x14ac:dyDescent="0.3">
      <c r="Q413" s="343">
        <f t="shared" si="25"/>
        <v>0</v>
      </c>
      <c r="R413" s="344">
        <f t="shared" si="26"/>
        <v>0</v>
      </c>
      <c r="T413" s="319" t="s">
        <v>208</v>
      </c>
    </row>
    <row r="414" spans="17:20" x14ac:dyDescent="0.3">
      <c r="Q414" s="343">
        <f t="shared" si="25"/>
        <v>0</v>
      </c>
      <c r="R414" s="344">
        <f t="shared" si="26"/>
        <v>0</v>
      </c>
      <c r="T414" s="319" t="s">
        <v>210</v>
      </c>
    </row>
    <row r="415" spans="17:20" ht="15" thickBot="1" x14ac:dyDescent="0.35">
      <c r="Q415" s="343">
        <f t="shared" si="25"/>
        <v>0</v>
      </c>
      <c r="R415" s="344">
        <f t="shared" si="26"/>
        <v>0</v>
      </c>
      <c r="T415" s="323" t="s">
        <v>212</v>
      </c>
    </row>
    <row r="416" spans="17:20" x14ac:dyDescent="0.3">
      <c r="Q416" s="343">
        <f t="shared" si="25"/>
        <v>0</v>
      </c>
      <c r="R416" s="344">
        <f t="shared" si="26"/>
        <v>0</v>
      </c>
      <c r="T416" s="315" t="s">
        <v>184</v>
      </c>
    </row>
    <row r="417" spans="17:20" x14ac:dyDescent="0.3">
      <c r="Q417" s="343">
        <f t="shared" si="25"/>
        <v>0</v>
      </c>
      <c r="R417" s="344">
        <f t="shared" si="26"/>
        <v>0</v>
      </c>
      <c r="T417" s="316" t="s">
        <v>186</v>
      </c>
    </row>
    <row r="418" spans="17:20" x14ac:dyDescent="0.3">
      <c r="Q418" s="343">
        <f t="shared" si="25"/>
        <v>0</v>
      </c>
      <c r="R418" s="344">
        <f t="shared" si="26"/>
        <v>0</v>
      </c>
      <c r="T418" s="316" t="s">
        <v>187</v>
      </c>
    </row>
    <row r="419" spans="17:20" x14ac:dyDescent="0.3">
      <c r="Q419" s="343">
        <f t="shared" si="25"/>
        <v>0</v>
      </c>
      <c r="R419" s="344">
        <f t="shared" si="26"/>
        <v>0</v>
      </c>
      <c r="T419" s="316" t="s">
        <v>189</v>
      </c>
    </row>
    <row r="420" spans="17:20" x14ac:dyDescent="0.3">
      <c r="Q420" s="343">
        <f t="shared" si="25"/>
        <v>0</v>
      </c>
      <c r="R420" s="344">
        <f t="shared" si="26"/>
        <v>0</v>
      </c>
      <c r="T420" s="316" t="s">
        <v>190</v>
      </c>
    </row>
    <row r="421" spans="17:20" x14ac:dyDescent="0.3">
      <c r="Q421" s="343">
        <f t="shared" si="25"/>
        <v>0</v>
      </c>
      <c r="R421" s="344">
        <f t="shared" si="26"/>
        <v>0</v>
      </c>
      <c r="T421" s="316" t="s">
        <v>191</v>
      </c>
    </row>
    <row r="422" spans="17:20" x14ac:dyDescent="0.3">
      <c r="Q422" s="343">
        <f t="shared" si="25"/>
        <v>0</v>
      </c>
      <c r="R422" s="344">
        <f t="shared" si="26"/>
        <v>0</v>
      </c>
      <c r="T422" s="316" t="s">
        <v>193</v>
      </c>
    </row>
    <row r="423" spans="17:20" x14ac:dyDescent="0.3">
      <c r="Q423" s="343">
        <f t="shared" si="25"/>
        <v>0</v>
      </c>
      <c r="R423" s="344">
        <f t="shared" si="26"/>
        <v>0</v>
      </c>
      <c r="T423" s="316" t="s">
        <v>194</v>
      </c>
    </row>
    <row r="424" spans="17:20" x14ac:dyDescent="0.3">
      <c r="Q424" s="343">
        <f t="shared" si="25"/>
        <v>0</v>
      </c>
      <c r="R424" s="344">
        <f t="shared" si="26"/>
        <v>0</v>
      </c>
      <c r="T424" s="316" t="s">
        <v>195</v>
      </c>
    </row>
    <row r="425" spans="17:20" x14ac:dyDescent="0.3">
      <c r="Q425" s="343">
        <f t="shared" si="25"/>
        <v>0</v>
      </c>
      <c r="R425" s="344">
        <f t="shared" si="26"/>
        <v>0</v>
      </c>
      <c r="T425" s="316" t="s">
        <v>196</v>
      </c>
    </row>
    <row r="426" spans="17:20" x14ac:dyDescent="0.3">
      <c r="Q426" s="343">
        <f t="shared" si="25"/>
        <v>0</v>
      </c>
      <c r="R426" s="344">
        <f t="shared" si="26"/>
        <v>0</v>
      </c>
      <c r="T426" s="319" t="s">
        <v>197</v>
      </c>
    </row>
    <row r="427" spans="17:20" x14ac:dyDescent="0.3">
      <c r="Q427" s="343">
        <f t="shared" si="25"/>
        <v>0</v>
      </c>
      <c r="R427" s="344">
        <f t="shared" si="26"/>
        <v>0</v>
      </c>
      <c r="T427" s="319" t="s">
        <v>198</v>
      </c>
    </row>
    <row r="428" spans="17:20" x14ac:dyDescent="0.3">
      <c r="Q428" s="343">
        <f t="shared" si="25"/>
        <v>0</v>
      </c>
      <c r="R428" s="344">
        <f t="shared" si="26"/>
        <v>0</v>
      </c>
      <c r="T428" s="319" t="s">
        <v>199</v>
      </c>
    </row>
    <row r="429" spans="17:20" x14ac:dyDescent="0.3">
      <c r="Q429" s="343">
        <f t="shared" si="25"/>
        <v>0</v>
      </c>
      <c r="R429" s="344">
        <f t="shared" si="26"/>
        <v>0</v>
      </c>
      <c r="T429" s="319" t="s">
        <v>200</v>
      </c>
    </row>
    <row r="430" spans="17:20" x14ac:dyDescent="0.3">
      <c r="Q430" s="343">
        <f t="shared" si="25"/>
        <v>0</v>
      </c>
      <c r="R430" s="344">
        <f t="shared" si="26"/>
        <v>0</v>
      </c>
      <c r="T430" s="319" t="s">
        <v>201</v>
      </c>
    </row>
    <row r="431" spans="17:20" x14ac:dyDescent="0.3">
      <c r="Q431" s="343">
        <f t="shared" si="25"/>
        <v>0</v>
      </c>
      <c r="R431" s="344">
        <f t="shared" si="26"/>
        <v>0</v>
      </c>
      <c r="T431" s="319" t="s">
        <v>202</v>
      </c>
    </row>
    <row r="432" spans="17:20" x14ac:dyDescent="0.3">
      <c r="Q432" s="343">
        <f t="shared" si="25"/>
        <v>0</v>
      </c>
      <c r="R432" s="344">
        <f t="shared" si="26"/>
        <v>0</v>
      </c>
      <c r="T432" s="319" t="s">
        <v>203</v>
      </c>
    </row>
    <row r="433" spans="17:20" x14ac:dyDescent="0.3">
      <c r="Q433" s="343">
        <f t="shared" si="25"/>
        <v>0</v>
      </c>
      <c r="R433" s="344">
        <f t="shared" si="26"/>
        <v>0</v>
      </c>
      <c r="T433" s="319" t="s">
        <v>204</v>
      </c>
    </row>
    <row r="434" spans="17:20" x14ac:dyDescent="0.3">
      <c r="Q434" s="343">
        <f t="shared" si="25"/>
        <v>0</v>
      </c>
      <c r="R434" s="344">
        <f t="shared" si="26"/>
        <v>0</v>
      </c>
      <c r="T434" s="319" t="s">
        <v>205</v>
      </c>
    </row>
    <row r="435" spans="17:20" x14ac:dyDescent="0.3">
      <c r="Q435" s="343">
        <f t="shared" si="25"/>
        <v>0</v>
      </c>
      <c r="R435" s="344">
        <f t="shared" si="26"/>
        <v>0</v>
      </c>
      <c r="T435" s="319" t="s">
        <v>206</v>
      </c>
    </row>
    <row r="436" spans="17:20" x14ac:dyDescent="0.3">
      <c r="Q436" s="343">
        <f t="shared" si="25"/>
        <v>0</v>
      </c>
      <c r="R436" s="344">
        <f t="shared" si="26"/>
        <v>0</v>
      </c>
      <c r="T436" s="319" t="s">
        <v>207</v>
      </c>
    </row>
    <row r="437" spans="17:20" x14ac:dyDescent="0.3">
      <c r="Q437" s="343">
        <f t="shared" si="25"/>
        <v>0</v>
      </c>
      <c r="R437" s="344">
        <f t="shared" si="26"/>
        <v>0</v>
      </c>
      <c r="T437" s="319" t="s">
        <v>208</v>
      </c>
    </row>
    <row r="438" spans="17:20" x14ac:dyDescent="0.3">
      <c r="Q438" s="343">
        <f t="shared" si="25"/>
        <v>0</v>
      </c>
      <c r="R438" s="344">
        <f t="shared" si="26"/>
        <v>0</v>
      </c>
      <c r="T438" s="319" t="s">
        <v>210</v>
      </c>
    </row>
    <row r="439" spans="17:20" ht="15" thickBot="1" x14ac:dyDescent="0.35">
      <c r="Q439" s="343">
        <f t="shared" si="25"/>
        <v>0</v>
      </c>
      <c r="R439" s="344">
        <f t="shared" si="26"/>
        <v>0</v>
      </c>
      <c r="T439" s="323" t="s">
        <v>212</v>
      </c>
    </row>
    <row r="440" spans="17:20" x14ac:dyDescent="0.3">
      <c r="Q440" s="343">
        <f t="shared" si="25"/>
        <v>0</v>
      </c>
      <c r="R440" s="344">
        <f t="shared" si="26"/>
        <v>0</v>
      </c>
      <c r="T440" s="315" t="s">
        <v>184</v>
      </c>
    </row>
    <row r="441" spans="17:20" x14ac:dyDescent="0.3">
      <c r="Q441" s="343">
        <f t="shared" si="25"/>
        <v>0</v>
      </c>
      <c r="R441" s="344">
        <f t="shared" si="26"/>
        <v>0</v>
      </c>
      <c r="T441" s="316" t="s">
        <v>186</v>
      </c>
    </row>
    <row r="442" spans="17:20" x14ac:dyDescent="0.3">
      <c r="Q442" s="343">
        <f t="shared" si="25"/>
        <v>0</v>
      </c>
      <c r="R442" s="344">
        <f t="shared" si="26"/>
        <v>0</v>
      </c>
      <c r="T442" s="316" t="s">
        <v>187</v>
      </c>
    </row>
    <row r="443" spans="17:20" x14ac:dyDescent="0.3">
      <c r="Q443" s="343">
        <f t="shared" si="25"/>
        <v>0</v>
      </c>
      <c r="R443" s="344">
        <f t="shared" si="26"/>
        <v>0</v>
      </c>
      <c r="T443" s="316" t="s">
        <v>189</v>
      </c>
    </row>
    <row r="444" spans="17:20" x14ac:dyDescent="0.3">
      <c r="Q444" s="343">
        <f t="shared" si="25"/>
        <v>0</v>
      </c>
      <c r="R444" s="344">
        <f t="shared" si="26"/>
        <v>0</v>
      </c>
      <c r="T444" s="316" t="s">
        <v>190</v>
      </c>
    </row>
    <row r="445" spans="17:20" x14ac:dyDescent="0.3">
      <c r="Q445" s="343">
        <f t="shared" si="25"/>
        <v>0</v>
      </c>
      <c r="R445" s="344">
        <f t="shared" si="26"/>
        <v>0</v>
      </c>
      <c r="T445" s="316" t="s">
        <v>191</v>
      </c>
    </row>
    <row r="446" spans="17:20" x14ac:dyDescent="0.3">
      <c r="Q446" s="343">
        <f t="shared" si="25"/>
        <v>0</v>
      </c>
      <c r="R446" s="344">
        <f t="shared" si="26"/>
        <v>0</v>
      </c>
      <c r="T446" s="316" t="s">
        <v>193</v>
      </c>
    </row>
    <row r="447" spans="17:20" x14ac:dyDescent="0.3">
      <c r="Q447" s="343">
        <f t="shared" si="25"/>
        <v>0</v>
      </c>
      <c r="R447" s="344">
        <f t="shared" si="26"/>
        <v>0</v>
      </c>
      <c r="T447" s="316" t="s">
        <v>194</v>
      </c>
    </row>
    <row r="448" spans="17:20" x14ac:dyDescent="0.3">
      <c r="Q448" s="343">
        <f t="shared" si="25"/>
        <v>0</v>
      </c>
      <c r="R448" s="344">
        <f t="shared" si="26"/>
        <v>0</v>
      </c>
      <c r="T448" s="316" t="s">
        <v>195</v>
      </c>
    </row>
    <row r="449" spans="17:20" x14ac:dyDescent="0.3">
      <c r="Q449" s="343">
        <f t="shared" si="25"/>
        <v>0</v>
      </c>
      <c r="R449" s="344">
        <f t="shared" si="26"/>
        <v>0</v>
      </c>
      <c r="T449" s="316" t="s">
        <v>196</v>
      </c>
    </row>
    <row r="450" spans="17:20" x14ac:dyDescent="0.3">
      <c r="Q450" s="343">
        <f t="shared" si="25"/>
        <v>0</v>
      </c>
      <c r="R450" s="344">
        <f t="shared" si="26"/>
        <v>0</v>
      </c>
      <c r="T450" s="319" t="s">
        <v>197</v>
      </c>
    </row>
    <row r="451" spans="17:20" x14ac:dyDescent="0.3">
      <c r="Q451" s="343">
        <f t="shared" si="25"/>
        <v>0</v>
      </c>
      <c r="R451" s="344">
        <f t="shared" si="26"/>
        <v>0</v>
      </c>
      <c r="T451" s="319" t="s">
        <v>198</v>
      </c>
    </row>
    <row r="452" spans="17:20" x14ac:dyDescent="0.3">
      <c r="Q452" s="343">
        <f t="shared" si="25"/>
        <v>0</v>
      </c>
      <c r="R452" s="344">
        <f t="shared" si="26"/>
        <v>0</v>
      </c>
      <c r="T452" s="319" t="s">
        <v>199</v>
      </c>
    </row>
    <row r="453" spans="17:20" x14ac:dyDescent="0.3">
      <c r="Q453" s="343">
        <f t="shared" si="25"/>
        <v>0</v>
      </c>
      <c r="R453" s="344">
        <f t="shared" si="26"/>
        <v>0</v>
      </c>
      <c r="T453" s="319" t="s">
        <v>200</v>
      </c>
    </row>
    <row r="454" spans="17:20" x14ac:dyDescent="0.3">
      <c r="Q454" s="343">
        <f t="shared" si="25"/>
        <v>0</v>
      </c>
      <c r="R454" s="344">
        <f t="shared" si="26"/>
        <v>0</v>
      </c>
      <c r="T454" s="319" t="s">
        <v>201</v>
      </c>
    </row>
    <row r="455" spans="17:20" x14ac:dyDescent="0.3">
      <c r="Q455" s="343">
        <f t="shared" si="25"/>
        <v>0</v>
      </c>
      <c r="R455" s="344">
        <f t="shared" si="26"/>
        <v>0</v>
      </c>
      <c r="T455" s="319" t="s">
        <v>202</v>
      </c>
    </row>
    <row r="456" spans="17:20" x14ac:dyDescent="0.3">
      <c r="Q456" s="343">
        <f t="shared" si="25"/>
        <v>0</v>
      </c>
      <c r="R456" s="344">
        <f t="shared" si="26"/>
        <v>0</v>
      </c>
      <c r="T456" s="319" t="s">
        <v>203</v>
      </c>
    </row>
    <row r="457" spans="17:20" x14ac:dyDescent="0.3">
      <c r="Q457" s="343">
        <f t="shared" si="25"/>
        <v>0</v>
      </c>
      <c r="R457" s="344">
        <f t="shared" si="26"/>
        <v>0</v>
      </c>
      <c r="T457" s="319" t="s">
        <v>204</v>
      </c>
    </row>
    <row r="458" spans="17:20" x14ac:dyDescent="0.3">
      <c r="Q458" s="343">
        <f t="shared" si="25"/>
        <v>0</v>
      </c>
      <c r="R458" s="344">
        <f t="shared" si="26"/>
        <v>0</v>
      </c>
      <c r="T458" s="319" t="s">
        <v>205</v>
      </c>
    </row>
    <row r="459" spans="17:20" x14ac:dyDescent="0.3">
      <c r="Q459" s="343">
        <f t="shared" si="25"/>
        <v>0</v>
      </c>
      <c r="R459" s="344">
        <f t="shared" si="26"/>
        <v>0</v>
      </c>
      <c r="T459" s="319" t="s">
        <v>206</v>
      </c>
    </row>
    <row r="460" spans="17:20" x14ac:dyDescent="0.3">
      <c r="Q460" s="343">
        <f t="shared" si="25"/>
        <v>0</v>
      </c>
      <c r="R460" s="344">
        <f t="shared" si="26"/>
        <v>0</v>
      </c>
      <c r="T460" s="319" t="s">
        <v>207</v>
      </c>
    </row>
    <row r="461" spans="17:20" x14ac:dyDescent="0.3">
      <c r="Q461" s="343">
        <f t="shared" si="25"/>
        <v>0</v>
      </c>
      <c r="R461" s="344">
        <f t="shared" si="26"/>
        <v>0</v>
      </c>
      <c r="T461" s="319" t="s">
        <v>208</v>
      </c>
    </row>
    <row r="462" spans="17:20" x14ac:dyDescent="0.3">
      <c r="Q462" s="343">
        <f t="shared" si="25"/>
        <v>0</v>
      </c>
      <c r="R462" s="344">
        <f t="shared" si="26"/>
        <v>0</v>
      </c>
      <c r="T462" s="319" t="s">
        <v>210</v>
      </c>
    </row>
    <row r="463" spans="17:20" ht="15" thickBot="1" x14ac:dyDescent="0.35">
      <c r="Q463" s="343">
        <f t="shared" si="25"/>
        <v>0</v>
      </c>
      <c r="R463" s="344">
        <f t="shared" si="26"/>
        <v>0</v>
      </c>
      <c r="T463" s="323" t="s">
        <v>212</v>
      </c>
    </row>
    <row r="464" spans="17:20" x14ac:dyDescent="0.3">
      <c r="Q464" s="343">
        <f t="shared" si="25"/>
        <v>0</v>
      </c>
      <c r="R464" s="344">
        <f t="shared" si="26"/>
        <v>0</v>
      </c>
      <c r="T464" s="315" t="s">
        <v>184</v>
      </c>
    </row>
    <row r="465" spans="17:20" x14ac:dyDescent="0.3">
      <c r="Q465" s="343">
        <f t="shared" si="25"/>
        <v>0</v>
      </c>
      <c r="R465" s="344">
        <f t="shared" si="26"/>
        <v>0</v>
      </c>
      <c r="T465" s="316" t="s">
        <v>186</v>
      </c>
    </row>
    <row r="466" spans="17:20" x14ac:dyDescent="0.3">
      <c r="Q466" s="343">
        <f t="shared" si="25"/>
        <v>0</v>
      </c>
      <c r="R466" s="344">
        <f t="shared" si="26"/>
        <v>0</v>
      </c>
      <c r="T466" s="316" t="s">
        <v>187</v>
      </c>
    </row>
    <row r="467" spans="17:20" x14ac:dyDescent="0.3">
      <c r="Q467" s="343">
        <f t="shared" ref="Q467:Q530" si="27">SUM(D467:O467)</f>
        <v>0</v>
      </c>
      <c r="R467" s="344">
        <f t="shared" ref="R467:R530" si="28">SUM(M467:O467)*4</f>
        <v>0</v>
      </c>
      <c r="T467" s="316" t="s">
        <v>189</v>
      </c>
    </row>
    <row r="468" spans="17:20" x14ac:dyDescent="0.3">
      <c r="Q468" s="343">
        <f t="shared" si="27"/>
        <v>0</v>
      </c>
      <c r="R468" s="344">
        <f t="shared" si="28"/>
        <v>0</v>
      </c>
      <c r="T468" s="316" t="s">
        <v>190</v>
      </c>
    </row>
    <row r="469" spans="17:20" x14ac:dyDescent="0.3">
      <c r="Q469" s="343">
        <f t="shared" si="27"/>
        <v>0</v>
      </c>
      <c r="R469" s="344">
        <f t="shared" si="28"/>
        <v>0</v>
      </c>
      <c r="T469" s="316" t="s">
        <v>191</v>
      </c>
    </row>
    <row r="470" spans="17:20" x14ac:dyDescent="0.3">
      <c r="Q470" s="343">
        <f t="shared" si="27"/>
        <v>0</v>
      </c>
      <c r="R470" s="344">
        <f t="shared" si="28"/>
        <v>0</v>
      </c>
      <c r="T470" s="316" t="s">
        <v>193</v>
      </c>
    </row>
    <row r="471" spans="17:20" x14ac:dyDescent="0.3">
      <c r="Q471" s="343">
        <f t="shared" si="27"/>
        <v>0</v>
      </c>
      <c r="R471" s="344">
        <f t="shared" si="28"/>
        <v>0</v>
      </c>
      <c r="T471" s="316" t="s">
        <v>194</v>
      </c>
    </row>
    <row r="472" spans="17:20" x14ac:dyDescent="0.3">
      <c r="Q472" s="343">
        <f t="shared" si="27"/>
        <v>0</v>
      </c>
      <c r="R472" s="344">
        <f t="shared" si="28"/>
        <v>0</v>
      </c>
      <c r="T472" s="316" t="s">
        <v>195</v>
      </c>
    </row>
    <row r="473" spans="17:20" x14ac:dyDescent="0.3">
      <c r="Q473" s="343">
        <f t="shared" si="27"/>
        <v>0</v>
      </c>
      <c r="R473" s="344">
        <f t="shared" si="28"/>
        <v>0</v>
      </c>
      <c r="T473" s="316" t="s">
        <v>196</v>
      </c>
    </row>
    <row r="474" spans="17:20" x14ac:dyDescent="0.3">
      <c r="Q474" s="343">
        <f t="shared" si="27"/>
        <v>0</v>
      </c>
      <c r="R474" s="344">
        <f t="shared" si="28"/>
        <v>0</v>
      </c>
      <c r="T474" s="319" t="s">
        <v>197</v>
      </c>
    </row>
    <row r="475" spans="17:20" x14ac:dyDescent="0.3">
      <c r="Q475" s="343">
        <f t="shared" si="27"/>
        <v>0</v>
      </c>
      <c r="R475" s="344">
        <f t="shared" si="28"/>
        <v>0</v>
      </c>
      <c r="T475" s="319" t="s">
        <v>198</v>
      </c>
    </row>
    <row r="476" spans="17:20" x14ac:dyDescent="0.3">
      <c r="Q476" s="343">
        <f t="shared" si="27"/>
        <v>0</v>
      </c>
      <c r="R476" s="344">
        <f t="shared" si="28"/>
        <v>0</v>
      </c>
      <c r="T476" s="319" t="s">
        <v>199</v>
      </c>
    </row>
    <row r="477" spans="17:20" x14ac:dyDescent="0.3">
      <c r="Q477" s="343">
        <f t="shared" si="27"/>
        <v>0</v>
      </c>
      <c r="R477" s="344">
        <f t="shared" si="28"/>
        <v>0</v>
      </c>
      <c r="T477" s="319" t="s">
        <v>200</v>
      </c>
    </row>
    <row r="478" spans="17:20" x14ac:dyDescent="0.3">
      <c r="Q478" s="343">
        <f t="shared" si="27"/>
        <v>0</v>
      </c>
      <c r="R478" s="344">
        <f t="shared" si="28"/>
        <v>0</v>
      </c>
      <c r="T478" s="319" t="s">
        <v>201</v>
      </c>
    </row>
    <row r="479" spans="17:20" x14ac:dyDescent="0.3">
      <c r="Q479" s="343">
        <f t="shared" si="27"/>
        <v>0</v>
      </c>
      <c r="R479" s="344">
        <f t="shared" si="28"/>
        <v>0</v>
      </c>
      <c r="T479" s="319" t="s">
        <v>202</v>
      </c>
    </row>
    <row r="480" spans="17:20" x14ac:dyDescent="0.3">
      <c r="Q480" s="343">
        <f t="shared" si="27"/>
        <v>0</v>
      </c>
      <c r="R480" s="344">
        <f t="shared" si="28"/>
        <v>0</v>
      </c>
      <c r="T480" s="319" t="s">
        <v>203</v>
      </c>
    </row>
    <row r="481" spans="17:20" x14ac:dyDescent="0.3">
      <c r="Q481" s="343">
        <f t="shared" si="27"/>
        <v>0</v>
      </c>
      <c r="R481" s="344">
        <f t="shared" si="28"/>
        <v>0</v>
      </c>
      <c r="T481" s="319" t="s">
        <v>204</v>
      </c>
    </row>
    <row r="482" spans="17:20" x14ac:dyDescent="0.3">
      <c r="Q482" s="343">
        <f t="shared" si="27"/>
        <v>0</v>
      </c>
      <c r="R482" s="344">
        <f t="shared" si="28"/>
        <v>0</v>
      </c>
      <c r="T482" s="319" t="s">
        <v>205</v>
      </c>
    </row>
    <row r="483" spans="17:20" x14ac:dyDescent="0.3">
      <c r="Q483" s="343">
        <f t="shared" si="27"/>
        <v>0</v>
      </c>
      <c r="R483" s="344">
        <f t="shared" si="28"/>
        <v>0</v>
      </c>
      <c r="T483" s="319" t="s">
        <v>206</v>
      </c>
    </row>
    <row r="484" spans="17:20" x14ac:dyDescent="0.3">
      <c r="Q484" s="343">
        <f t="shared" si="27"/>
        <v>0</v>
      </c>
      <c r="R484" s="344">
        <f t="shared" si="28"/>
        <v>0</v>
      </c>
      <c r="T484" s="319" t="s">
        <v>207</v>
      </c>
    </row>
    <row r="485" spans="17:20" x14ac:dyDescent="0.3">
      <c r="Q485" s="343">
        <f t="shared" si="27"/>
        <v>0</v>
      </c>
      <c r="R485" s="344">
        <f t="shared" si="28"/>
        <v>0</v>
      </c>
      <c r="T485" s="319" t="s">
        <v>208</v>
      </c>
    </row>
    <row r="486" spans="17:20" x14ac:dyDescent="0.3">
      <c r="Q486" s="343">
        <f t="shared" si="27"/>
        <v>0</v>
      </c>
      <c r="R486" s="344">
        <f t="shared" si="28"/>
        <v>0</v>
      </c>
      <c r="T486" s="319" t="s">
        <v>210</v>
      </c>
    </row>
    <row r="487" spans="17:20" ht="15" thickBot="1" x14ac:dyDescent="0.35">
      <c r="Q487" s="343">
        <f t="shared" si="27"/>
        <v>0</v>
      </c>
      <c r="R487" s="344">
        <f t="shared" si="28"/>
        <v>0</v>
      </c>
      <c r="T487" s="323" t="s">
        <v>212</v>
      </c>
    </row>
    <row r="488" spans="17:20" x14ac:dyDescent="0.3">
      <c r="Q488" s="343">
        <f t="shared" si="27"/>
        <v>0</v>
      </c>
      <c r="R488" s="344">
        <f t="shared" si="28"/>
        <v>0</v>
      </c>
      <c r="T488" s="315" t="s">
        <v>184</v>
      </c>
    </row>
    <row r="489" spans="17:20" x14ac:dyDescent="0.3">
      <c r="Q489" s="343">
        <f t="shared" si="27"/>
        <v>0</v>
      </c>
      <c r="R489" s="344">
        <f t="shared" si="28"/>
        <v>0</v>
      </c>
      <c r="T489" s="316" t="s">
        <v>186</v>
      </c>
    </row>
    <row r="490" spans="17:20" x14ac:dyDescent="0.3">
      <c r="Q490" s="343">
        <f t="shared" si="27"/>
        <v>0</v>
      </c>
      <c r="R490" s="344">
        <f t="shared" si="28"/>
        <v>0</v>
      </c>
      <c r="T490" s="316" t="s">
        <v>187</v>
      </c>
    </row>
    <row r="491" spans="17:20" x14ac:dyDescent="0.3">
      <c r="Q491" s="343">
        <f t="shared" si="27"/>
        <v>0</v>
      </c>
      <c r="R491" s="344">
        <f t="shared" si="28"/>
        <v>0</v>
      </c>
      <c r="T491" s="316" t="s">
        <v>189</v>
      </c>
    </row>
    <row r="492" spans="17:20" x14ac:dyDescent="0.3">
      <c r="Q492" s="343">
        <f t="shared" si="27"/>
        <v>0</v>
      </c>
      <c r="R492" s="344">
        <f t="shared" si="28"/>
        <v>0</v>
      </c>
      <c r="T492" s="316" t="s">
        <v>190</v>
      </c>
    </row>
    <row r="493" spans="17:20" x14ac:dyDescent="0.3">
      <c r="Q493" s="343">
        <f t="shared" si="27"/>
        <v>0</v>
      </c>
      <c r="R493" s="344">
        <f t="shared" si="28"/>
        <v>0</v>
      </c>
      <c r="T493" s="316" t="s">
        <v>191</v>
      </c>
    </row>
    <row r="494" spans="17:20" x14ac:dyDescent="0.3">
      <c r="Q494" s="343">
        <f t="shared" si="27"/>
        <v>0</v>
      </c>
      <c r="R494" s="344">
        <f t="shared" si="28"/>
        <v>0</v>
      </c>
      <c r="T494" s="316" t="s">
        <v>193</v>
      </c>
    </row>
    <row r="495" spans="17:20" x14ac:dyDescent="0.3">
      <c r="Q495" s="343">
        <f t="shared" si="27"/>
        <v>0</v>
      </c>
      <c r="R495" s="344">
        <f t="shared" si="28"/>
        <v>0</v>
      </c>
      <c r="T495" s="316" t="s">
        <v>194</v>
      </c>
    </row>
    <row r="496" spans="17:20" x14ac:dyDescent="0.3">
      <c r="Q496" s="343">
        <f t="shared" si="27"/>
        <v>0</v>
      </c>
      <c r="R496" s="344">
        <f t="shared" si="28"/>
        <v>0</v>
      </c>
      <c r="T496" s="316" t="s">
        <v>195</v>
      </c>
    </row>
    <row r="497" spans="17:20" x14ac:dyDescent="0.3">
      <c r="Q497" s="343">
        <f t="shared" si="27"/>
        <v>0</v>
      </c>
      <c r="R497" s="344">
        <f t="shared" si="28"/>
        <v>0</v>
      </c>
      <c r="T497" s="316" t="s">
        <v>196</v>
      </c>
    </row>
    <row r="498" spans="17:20" x14ac:dyDescent="0.3">
      <c r="Q498" s="343">
        <f t="shared" si="27"/>
        <v>0</v>
      </c>
      <c r="R498" s="344">
        <f t="shared" si="28"/>
        <v>0</v>
      </c>
      <c r="T498" s="319" t="s">
        <v>197</v>
      </c>
    </row>
    <row r="499" spans="17:20" x14ac:dyDescent="0.3">
      <c r="Q499" s="343">
        <f t="shared" si="27"/>
        <v>0</v>
      </c>
      <c r="R499" s="344">
        <f t="shared" si="28"/>
        <v>0</v>
      </c>
      <c r="T499" s="319" t="s">
        <v>198</v>
      </c>
    </row>
    <row r="500" spans="17:20" x14ac:dyDescent="0.3">
      <c r="Q500" s="343">
        <f t="shared" si="27"/>
        <v>0</v>
      </c>
      <c r="R500" s="344">
        <f t="shared" si="28"/>
        <v>0</v>
      </c>
      <c r="T500" s="319" t="s">
        <v>199</v>
      </c>
    </row>
    <row r="501" spans="17:20" x14ac:dyDescent="0.3">
      <c r="Q501" s="343">
        <f t="shared" si="27"/>
        <v>0</v>
      </c>
      <c r="R501" s="344">
        <f t="shared" si="28"/>
        <v>0</v>
      </c>
      <c r="T501" s="319" t="s">
        <v>200</v>
      </c>
    </row>
    <row r="502" spans="17:20" x14ac:dyDescent="0.3">
      <c r="Q502" s="343">
        <f t="shared" si="27"/>
        <v>0</v>
      </c>
      <c r="R502" s="344">
        <f t="shared" si="28"/>
        <v>0</v>
      </c>
      <c r="T502" s="319" t="s">
        <v>201</v>
      </c>
    </row>
    <row r="503" spans="17:20" x14ac:dyDescent="0.3">
      <c r="Q503" s="343">
        <f t="shared" si="27"/>
        <v>0</v>
      </c>
      <c r="R503" s="344">
        <f t="shared" si="28"/>
        <v>0</v>
      </c>
      <c r="T503" s="319" t="s">
        <v>202</v>
      </c>
    </row>
    <row r="504" spans="17:20" x14ac:dyDescent="0.3">
      <c r="Q504" s="343">
        <f t="shared" si="27"/>
        <v>0</v>
      </c>
      <c r="R504" s="344">
        <f t="shared" si="28"/>
        <v>0</v>
      </c>
      <c r="T504" s="319" t="s">
        <v>203</v>
      </c>
    </row>
    <row r="505" spans="17:20" x14ac:dyDescent="0.3">
      <c r="Q505" s="343">
        <f t="shared" si="27"/>
        <v>0</v>
      </c>
      <c r="R505" s="344">
        <f t="shared" si="28"/>
        <v>0</v>
      </c>
      <c r="T505" s="319" t="s">
        <v>204</v>
      </c>
    </row>
    <row r="506" spans="17:20" x14ac:dyDescent="0.3">
      <c r="Q506" s="343">
        <f t="shared" si="27"/>
        <v>0</v>
      </c>
      <c r="R506" s="344">
        <f t="shared" si="28"/>
        <v>0</v>
      </c>
      <c r="T506" s="319" t="s">
        <v>205</v>
      </c>
    </row>
    <row r="507" spans="17:20" x14ac:dyDescent="0.3">
      <c r="Q507" s="343">
        <f t="shared" si="27"/>
        <v>0</v>
      </c>
      <c r="R507" s="344">
        <f t="shared" si="28"/>
        <v>0</v>
      </c>
      <c r="T507" s="319" t="s">
        <v>206</v>
      </c>
    </row>
    <row r="508" spans="17:20" x14ac:dyDescent="0.3">
      <c r="Q508" s="343">
        <f t="shared" si="27"/>
        <v>0</v>
      </c>
      <c r="R508" s="344">
        <f t="shared" si="28"/>
        <v>0</v>
      </c>
      <c r="T508" s="319" t="s">
        <v>207</v>
      </c>
    </row>
    <row r="509" spans="17:20" x14ac:dyDescent="0.3">
      <c r="Q509" s="343">
        <f t="shared" si="27"/>
        <v>0</v>
      </c>
      <c r="R509" s="344">
        <f t="shared" si="28"/>
        <v>0</v>
      </c>
      <c r="T509" s="319" t="s">
        <v>208</v>
      </c>
    </row>
    <row r="510" spans="17:20" x14ac:dyDescent="0.3">
      <c r="Q510" s="343">
        <f t="shared" si="27"/>
        <v>0</v>
      </c>
      <c r="R510" s="344">
        <f t="shared" si="28"/>
        <v>0</v>
      </c>
      <c r="T510" s="319" t="s">
        <v>210</v>
      </c>
    </row>
    <row r="511" spans="17:20" ht="15" thickBot="1" x14ac:dyDescent="0.35">
      <c r="Q511" s="343">
        <f t="shared" si="27"/>
        <v>0</v>
      </c>
      <c r="R511" s="344">
        <f t="shared" si="28"/>
        <v>0</v>
      </c>
      <c r="T511" s="323" t="s">
        <v>212</v>
      </c>
    </row>
    <row r="512" spans="17:20" x14ac:dyDescent="0.3">
      <c r="Q512" s="343">
        <f t="shared" si="27"/>
        <v>0</v>
      </c>
      <c r="R512" s="344">
        <f t="shared" si="28"/>
        <v>0</v>
      </c>
      <c r="T512" s="315" t="s">
        <v>184</v>
      </c>
    </row>
    <row r="513" spans="17:20" x14ac:dyDescent="0.3">
      <c r="Q513" s="343">
        <f t="shared" si="27"/>
        <v>0</v>
      </c>
      <c r="R513" s="344">
        <f t="shared" si="28"/>
        <v>0</v>
      </c>
      <c r="T513" s="316" t="s">
        <v>186</v>
      </c>
    </row>
    <row r="514" spans="17:20" x14ac:dyDescent="0.3">
      <c r="Q514" s="343">
        <f t="shared" si="27"/>
        <v>0</v>
      </c>
      <c r="R514" s="344">
        <f t="shared" si="28"/>
        <v>0</v>
      </c>
      <c r="T514" s="316" t="s">
        <v>187</v>
      </c>
    </row>
    <row r="515" spans="17:20" x14ac:dyDescent="0.3">
      <c r="Q515" s="343">
        <f t="shared" si="27"/>
        <v>0</v>
      </c>
      <c r="R515" s="344">
        <f t="shared" si="28"/>
        <v>0</v>
      </c>
      <c r="T515" s="316" t="s">
        <v>189</v>
      </c>
    </row>
    <row r="516" spans="17:20" x14ac:dyDescent="0.3">
      <c r="Q516" s="343">
        <f t="shared" si="27"/>
        <v>0</v>
      </c>
      <c r="R516" s="344">
        <f t="shared" si="28"/>
        <v>0</v>
      </c>
      <c r="T516" s="316" t="s">
        <v>190</v>
      </c>
    </row>
    <row r="517" spans="17:20" x14ac:dyDescent="0.3">
      <c r="Q517" s="343">
        <f t="shared" si="27"/>
        <v>0</v>
      </c>
      <c r="R517" s="344">
        <f t="shared" si="28"/>
        <v>0</v>
      </c>
      <c r="T517" s="316" t="s">
        <v>191</v>
      </c>
    </row>
    <row r="518" spans="17:20" x14ac:dyDescent="0.3">
      <c r="Q518" s="343">
        <f t="shared" si="27"/>
        <v>0</v>
      </c>
      <c r="R518" s="344">
        <f t="shared" si="28"/>
        <v>0</v>
      </c>
      <c r="T518" s="316" t="s">
        <v>193</v>
      </c>
    </row>
    <row r="519" spans="17:20" x14ac:dyDescent="0.3">
      <c r="Q519" s="343">
        <f t="shared" si="27"/>
        <v>0</v>
      </c>
      <c r="R519" s="344">
        <f t="shared" si="28"/>
        <v>0</v>
      </c>
      <c r="T519" s="316" t="s">
        <v>194</v>
      </c>
    </row>
    <row r="520" spans="17:20" x14ac:dyDescent="0.3">
      <c r="Q520" s="343">
        <f t="shared" si="27"/>
        <v>0</v>
      </c>
      <c r="R520" s="344">
        <f t="shared" si="28"/>
        <v>0</v>
      </c>
      <c r="T520" s="316" t="s">
        <v>195</v>
      </c>
    </row>
    <row r="521" spans="17:20" x14ac:dyDescent="0.3">
      <c r="Q521" s="343">
        <f t="shared" si="27"/>
        <v>0</v>
      </c>
      <c r="R521" s="344">
        <f t="shared" si="28"/>
        <v>0</v>
      </c>
      <c r="T521" s="316" t="s">
        <v>196</v>
      </c>
    </row>
    <row r="522" spans="17:20" x14ac:dyDescent="0.3">
      <c r="Q522" s="343">
        <f t="shared" si="27"/>
        <v>0</v>
      </c>
      <c r="R522" s="344">
        <f t="shared" si="28"/>
        <v>0</v>
      </c>
      <c r="T522" s="319" t="s">
        <v>197</v>
      </c>
    </row>
    <row r="523" spans="17:20" x14ac:dyDescent="0.3">
      <c r="Q523" s="343">
        <f t="shared" si="27"/>
        <v>0</v>
      </c>
      <c r="R523" s="344">
        <f t="shared" si="28"/>
        <v>0</v>
      </c>
      <c r="T523" s="319" t="s">
        <v>198</v>
      </c>
    </row>
    <row r="524" spans="17:20" x14ac:dyDescent="0.3">
      <c r="Q524" s="343">
        <f t="shared" si="27"/>
        <v>0</v>
      </c>
      <c r="R524" s="344">
        <f t="shared" si="28"/>
        <v>0</v>
      </c>
      <c r="T524" s="319" t="s">
        <v>199</v>
      </c>
    </row>
    <row r="525" spans="17:20" x14ac:dyDescent="0.3">
      <c r="Q525" s="343">
        <f t="shared" si="27"/>
        <v>0</v>
      </c>
      <c r="R525" s="344">
        <f t="shared" si="28"/>
        <v>0</v>
      </c>
      <c r="T525" s="319" t="s">
        <v>200</v>
      </c>
    </row>
    <row r="526" spans="17:20" x14ac:dyDescent="0.3">
      <c r="Q526" s="343">
        <f t="shared" si="27"/>
        <v>0</v>
      </c>
      <c r="R526" s="344">
        <f t="shared" si="28"/>
        <v>0</v>
      </c>
      <c r="T526" s="319" t="s">
        <v>201</v>
      </c>
    </row>
    <row r="527" spans="17:20" x14ac:dyDescent="0.3">
      <c r="Q527" s="343">
        <f t="shared" si="27"/>
        <v>0</v>
      </c>
      <c r="R527" s="344">
        <f t="shared" si="28"/>
        <v>0</v>
      </c>
      <c r="T527" s="319" t="s">
        <v>202</v>
      </c>
    </row>
    <row r="528" spans="17:20" x14ac:dyDescent="0.3">
      <c r="Q528" s="343">
        <f t="shared" si="27"/>
        <v>0</v>
      </c>
      <c r="R528" s="344">
        <f t="shared" si="28"/>
        <v>0</v>
      </c>
      <c r="T528" s="319" t="s">
        <v>203</v>
      </c>
    </row>
    <row r="529" spans="17:20" x14ac:dyDescent="0.3">
      <c r="Q529" s="343">
        <f t="shared" si="27"/>
        <v>0</v>
      </c>
      <c r="R529" s="344">
        <f t="shared" si="28"/>
        <v>0</v>
      </c>
      <c r="T529" s="319" t="s">
        <v>204</v>
      </c>
    </row>
    <row r="530" spans="17:20" x14ac:dyDescent="0.3">
      <c r="Q530" s="343">
        <f t="shared" si="27"/>
        <v>0</v>
      </c>
      <c r="R530" s="344">
        <f t="shared" si="28"/>
        <v>0</v>
      </c>
      <c r="T530" s="319" t="s">
        <v>205</v>
      </c>
    </row>
    <row r="531" spans="17:20" x14ac:dyDescent="0.3">
      <c r="Q531" s="343">
        <f t="shared" ref="Q531:Q594" si="29">SUM(D531:O531)</f>
        <v>0</v>
      </c>
      <c r="R531" s="344">
        <f t="shared" ref="R531:R594" si="30">SUM(M531:O531)*4</f>
        <v>0</v>
      </c>
      <c r="T531" s="319" t="s">
        <v>206</v>
      </c>
    </row>
    <row r="532" spans="17:20" x14ac:dyDescent="0.3">
      <c r="Q532" s="343">
        <f t="shared" si="29"/>
        <v>0</v>
      </c>
      <c r="R532" s="344">
        <f t="shared" si="30"/>
        <v>0</v>
      </c>
      <c r="T532" s="319" t="s">
        <v>207</v>
      </c>
    </row>
    <row r="533" spans="17:20" x14ac:dyDescent="0.3">
      <c r="Q533" s="343">
        <f t="shared" si="29"/>
        <v>0</v>
      </c>
      <c r="R533" s="344">
        <f t="shared" si="30"/>
        <v>0</v>
      </c>
      <c r="T533" s="319" t="s">
        <v>208</v>
      </c>
    </row>
    <row r="534" spans="17:20" x14ac:dyDescent="0.3">
      <c r="Q534" s="343">
        <f t="shared" si="29"/>
        <v>0</v>
      </c>
      <c r="R534" s="344">
        <f t="shared" si="30"/>
        <v>0</v>
      </c>
      <c r="T534" s="319" t="s">
        <v>210</v>
      </c>
    </row>
    <row r="535" spans="17:20" ht="15" thickBot="1" x14ac:dyDescent="0.35">
      <c r="Q535" s="343">
        <f t="shared" si="29"/>
        <v>0</v>
      </c>
      <c r="R535" s="344">
        <f t="shared" si="30"/>
        <v>0</v>
      </c>
      <c r="T535" s="323" t="s">
        <v>212</v>
      </c>
    </row>
    <row r="536" spans="17:20" x14ac:dyDescent="0.3">
      <c r="Q536" s="343">
        <f t="shared" si="29"/>
        <v>0</v>
      </c>
      <c r="R536" s="344">
        <f t="shared" si="30"/>
        <v>0</v>
      </c>
      <c r="T536" s="315" t="s">
        <v>184</v>
      </c>
    </row>
    <row r="537" spans="17:20" x14ac:dyDescent="0.3">
      <c r="Q537" s="343">
        <f t="shared" si="29"/>
        <v>0</v>
      </c>
      <c r="R537" s="344">
        <f t="shared" si="30"/>
        <v>0</v>
      </c>
      <c r="T537" s="316" t="s">
        <v>186</v>
      </c>
    </row>
    <row r="538" spans="17:20" x14ac:dyDescent="0.3">
      <c r="Q538" s="343">
        <f t="shared" si="29"/>
        <v>0</v>
      </c>
      <c r="R538" s="344">
        <f t="shared" si="30"/>
        <v>0</v>
      </c>
      <c r="T538" s="316" t="s">
        <v>187</v>
      </c>
    </row>
    <row r="539" spans="17:20" x14ac:dyDescent="0.3">
      <c r="Q539" s="343">
        <f t="shared" si="29"/>
        <v>0</v>
      </c>
      <c r="R539" s="344">
        <f t="shared" si="30"/>
        <v>0</v>
      </c>
      <c r="T539" s="316" t="s">
        <v>189</v>
      </c>
    </row>
    <row r="540" spans="17:20" x14ac:dyDescent="0.3">
      <c r="Q540" s="343">
        <f t="shared" si="29"/>
        <v>0</v>
      </c>
      <c r="R540" s="344">
        <f t="shared" si="30"/>
        <v>0</v>
      </c>
      <c r="T540" s="316" t="s">
        <v>190</v>
      </c>
    </row>
    <row r="541" spans="17:20" x14ac:dyDescent="0.3">
      <c r="Q541" s="343">
        <f t="shared" si="29"/>
        <v>0</v>
      </c>
      <c r="R541" s="344">
        <f t="shared" si="30"/>
        <v>0</v>
      </c>
      <c r="T541" s="316" t="s">
        <v>191</v>
      </c>
    </row>
    <row r="542" spans="17:20" x14ac:dyDescent="0.3">
      <c r="Q542" s="343">
        <f t="shared" si="29"/>
        <v>0</v>
      </c>
      <c r="R542" s="344">
        <f t="shared" si="30"/>
        <v>0</v>
      </c>
      <c r="T542" s="316" t="s">
        <v>193</v>
      </c>
    </row>
    <row r="543" spans="17:20" x14ac:dyDescent="0.3">
      <c r="Q543" s="343">
        <f t="shared" si="29"/>
        <v>0</v>
      </c>
      <c r="R543" s="344">
        <f t="shared" si="30"/>
        <v>0</v>
      </c>
      <c r="T543" s="316" t="s">
        <v>194</v>
      </c>
    </row>
    <row r="544" spans="17:20" x14ac:dyDescent="0.3">
      <c r="Q544" s="343">
        <f t="shared" si="29"/>
        <v>0</v>
      </c>
      <c r="R544" s="344">
        <f t="shared" si="30"/>
        <v>0</v>
      </c>
      <c r="T544" s="316" t="s">
        <v>195</v>
      </c>
    </row>
    <row r="545" spans="17:20" x14ac:dyDescent="0.3">
      <c r="Q545" s="343">
        <f t="shared" si="29"/>
        <v>0</v>
      </c>
      <c r="R545" s="344">
        <f t="shared" si="30"/>
        <v>0</v>
      </c>
      <c r="T545" s="316" t="s">
        <v>196</v>
      </c>
    </row>
    <row r="546" spans="17:20" x14ac:dyDescent="0.3">
      <c r="Q546" s="343">
        <f t="shared" si="29"/>
        <v>0</v>
      </c>
      <c r="R546" s="344">
        <f t="shared" si="30"/>
        <v>0</v>
      </c>
      <c r="T546" s="319" t="s">
        <v>197</v>
      </c>
    </row>
    <row r="547" spans="17:20" x14ac:dyDescent="0.3">
      <c r="Q547" s="343">
        <f t="shared" si="29"/>
        <v>0</v>
      </c>
      <c r="R547" s="344">
        <f t="shared" si="30"/>
        <v>0</v>
      </c>
      <c r="T547" s="319" t="s">
        <v>198</v>
      </c>
    </row>
    <row r="548" spans="17:20" x14ac:dyDescent="0.3">
      <c r="Q548" s="343">
        <f t="shared" si="29"/>
        <v>0</v>
      </c>
      <c r="R548" s="344">
        <f t="shared" si="30"/>
        <v>0</v>
      </c>
      <c r="T548" s="319" t="s">
        <v>199</v>
      </c>
    </row>
    <row r="549" spans="17:20" x14ac:dyDescent="0.3">
      <c r="Q549" s="343">
        <f t="shared" si="29"/>
        <v>0</v>
      </c>
      <c r="R549" s="344">
        <f t="shared" si="30"/>
        <v>0</v>
      </c>
      <c r="T549" s="319" t="s">
        <v>200</v>
      </c>
    </row>
    <row r="550" spans="17:20" x14ac:dyDescent="0.3">
      <c r="Q550" s="343">
        <f t="shared" si="29"/>
        <v>0</v>
      </c>
      <c r="R550" s="344">
        <f t="shared" si="30"/>
        <v>0</v>
      </c>
      <c r="T550" s="319" t="s">
        <v>201</v>
      </c>
    </row>
    <row r="551" spans="17:20" x14ac:dyDescent="0.3">
      <c r="Q551" s="343">
        <f t="shared" si="29"/>
        <v>0</v>
      </c>
      <c r="R551" s="344">
        <f t="shared" si="30"/>
        <v>0</v>
      </c>
      <c r="T551" s="319" t="s">
        <v>202</v>
      </c>
    </row>
    <row r="552" spans="17:20" x14ac:dyDescent="0.3">
      <c r="Q552" s="343">
        <f t="shared" si="29"/>
        <v>0</v>
      </c>
      <c r="R552" s="344">
        <f t="shared" si="30"/>
        <v>0</v>
      </c>
      <c r="T552" s="319" t="s">
        <v>203</v>
      </c>
    </row>
    <row r="553" spans="17:20" x14ac:dyDescent="0.3">
      <c r="Q553" s="343">
        <f t="shared" si="29"/>
        <v>0</v>
      </c>
      <c r="R553" s="344">
        <f t="shared" si="30"/>
        <v>0</v>
      </c>
      <c r="T553" s="319" t="s">
        <v>204</v>
      </c>
    </row>
    <row r="554" spans="17:20" x14ac:dyDescent="0.3">
      <c r="Q554" s="343">
        <f t="shared" si="29"/>
        <v>0</v>
      </c>
      <c r="R554" s="344">
        <f t="shared" si="30"/>
        <v>0</v>
      </c>
      <c r="T554" s="319" t="s">
        <v>205</v>
      </c>
    </row>
    <row r="555" spans="17:20" x14ac:dyDescent="0.3">
      <c r="Q555" s="343">
        <f t="shared" si="29"/>
        <v>0</v>
      </c>
      <c r="R555" s="344">
        <f t="shared" si="30"/>
        <v>0</v>
      </c>
      <c r="T555" s="319" t="s">
        <v>206</v>
      </c>
    </row>
    <row r="556" spans="17:20" x14ac:dyDescent="0.3">
      <c r="Q556" s="343">
        <f t="shared" si="29"/>
        <v>0</v>
      </c>
      <c r="R556" s="344">
        <f t="shared" si="30"/>
        <v>0</v>
      </c>
      <c r="T556" s="319" t="s">
        <v>207</v>
      </c>
    </row>
    <row r="557" spans="17:20" x14ac:dyDescent="0.3">
      <c r="Q557" s="343">
        <f t="shared" si="29"/>
        <v>0</v>
      </c>
      <c r="R557" s="344">
        <f t="shared" si="30"/>
        <v>0</v>
      </c>
      <c r="T557" s="319" t="s">
        <v>208</v>
      </c>
    </row>
    <row r="558" spans="17:20" x14ac:dyDescent="0.3">
      <c r="Q558" s="343">
        <f t="shared" si="29"/>
        <v>0</v>
      </c>
      <c r="R558" s="344">
        <f t="shared" si="30"/>
        <v>0</v>
      </c>
      <c r="T558" s="319" t="s">
        <v>210</v>
      </c>
    </row>
    <row r="559" spans="17:20" ht="15" thickBot="1" x14ac:dyDescent="0.35">
      <c r="Q559" s="343">
        <f t="shared" si="29"/>
        <v>0</v>
      </c>
      <c r="R559" s="344">
        <f t="shared" si="30"/>
        <v>0</v>
      </c>
      <c r="T559" s="323" t="s">
        <v>212</v>
      </c>
    </row>
    <row r="560" spans="17:20" x14ac:dyDescent="0.3">
      <c r="Q560" s="343">
        <f t="shared" si="29"/>
        <v>0</v>
      </c>
      <c r="R560" s="344">
        <f t="shared" si="30"/>
        <v>0</v>
      </c>
      <c r="T560" s="315" t="s">
        <v>184</v>
      </c>
    </row>
    <row r="561" spans="17:20" x14ac:dyDescent="0.3">
      <c r="Q561" s="343">
        <f t="shared" si="29"/>
        <v>0</v>
      </c>
      <c r="R561" s="344">
        <f t="shared" si="30"/>
        <v>0</v>
      </c>
      <c r="T561" s="316" t="s">
        <v>186</v>
      </c>
    </row>
    <row r="562" spans="17:20" x14ac:dyDescent="0.3">
      <c r="Q562" s="343">
        <f t="shared" si="29"/>
        <v>0</v>
      </c>
      <c r="R562" s="344">
        <f t="shared" si="30"/>
        <v>0</v>
      </c>
      <c r="T562" s="316" t="s">
        <v>187</v>
      </c>
    </row>
    <row r="563" spans="17:20" x14ac:dyDescent="0.3">
      <c r="Q563" s="343">
        <f t="shared" si="29"/>
        <v>0</v>
      </c>
      <c r="R563" s="344">
        <f t="shared" si="30"/>
        <v>0</v>
      </c>
      <c r="T563" s="316" t="s">
        <v>189</v>
      </c>
    </row>
    <row r="564" spans="17:20" x14ac:dyDescent="0.3">
      <c r="Q564" s="343">
        <f t="shared" si="29"/>
        <v>0</v>
      </c>
      <c r="R564" s="344">
        <f t="shared" si="30"/>
        <v>0</v>
      </c>
      <c r="T564" s="316" t="s">
        <v>190</v>
      </c>
    </row>
    <row r="565" spans="17:20" x14ac:dyDescent="0.3">
      <c r="Q565" s="343">
        <f t="shared" si="29"/>
        <v>0</v>
      </c>
      <c r="R565" s="344">
        <f t="shared" si="30"/>
        <v>0</v>
      </c>
      <c r="T565" s="316" t="s">
        <v>191</v>
      </c>
    </row>
    <row r="566" spans="17:20" x14ac:dyDescent="0.3">
      <c r="Q566" s="343">
        <f t="shared" si="29"/>
        <v>0</v>
      </c>
      <c r="R566" s="344">
        <f t="shared" si="30"/>
        <v>0</v>
      </c>
      <c r="T566" s="316" t="s">
        <v>193</v>
      </c>
    </row>
    <row r="567" spans="17:20" x14ac:dyDescent="0.3">
      <c r="Q567" s="343">
        <f t="shared" si="29"/>
        <v>0</v>
      </c>
      <c r="R567" s="344">
        <f t="shared" si="30"/>
        <v>0</v>
      </c>
      <c r="T567" s="316" t="s">
        <v>194</v>
      </c>
    </row>
    <row r="568" spans="17:20" x14ac:dyDescent="0.3">
      <c r="Q568" s="343">
        <f t="shared" si="29"/>
        <v>0</v>
      </c>
      <c r="R568" s="344">
        <f t="shared" si="30"/>
        <v>0</v>
      </c>
      <c r="T568" s="316" t="s">
        <v>195</v>
      </c>
    </row>
    <row r="569" spans="17:20" x14ac:dyDescent="0.3">
      <c r="Q569" s="343">
        <f t="shared" si="29"/>
        <v>0</v>
      </c>
      <c r="R569" s="344">
        <f t="shared" si="30"/>
        <v>0</v>
      </c>
      <c r="T569" s="316" t="s">
        <v>196</v>
      </c>
    </row>
    <row r="570" spans="17:20" x14ac:dyDescent="0.3">
      <c r="Q570" s="343">
        <f t="shared" si="29"/>
        <v>0</v>
      </c>
      <c r="R570" s="344">
        <f t="shared" si="30"/>
        <v>0</v>
      </c>
      <c r="T570" s="319" t="s">
        <v>197</v>
      </c>
    </row>
    <row r="571" spans="17:20" x14ac:dyDescent="0.3">
      <c r="Q571" s="343">
        <f t="shared" si="29"/>
        <v>0</v>
      </c>
      <c r="R571" s="344">
        <f t="shared" si="30"/>
        <v>0</v>
      </c>
      <c r="T571" s="319" t="s">
        <v>198</v>
      </c>
    </row>
    <row r="572" spans="17:20" x14ac:dyDescent="0.3">
      <c r="Q572" s="343">
        <f t="shared" si="29"/>
        <v>0</v>
      </c>
      <c r="R572" s="344">
        <f t="shared" si="30"/>
        <v>0</v>
      </c>
      <c r="T572" s="319" t="s">
        <v>199</v>
      </c>
    </row>
    <row r="573" spans="17:20" x14ac:dyDescent="0.3">
      <c r="Q573" s="343">
        <f t="shared" si="29"/>
        <v>0</v>
      </c>
      <c r="R573" s="344">
        <f t="shared" si="30"/>
        <v>0</v>
      </c>
      <c r="T573" s="319" t="s">
        <v>200</v>
      </c>
    </row>
    <row r="574" spans="17:20" x14ac:dyDescent="0.3">
      <c r="Q574" s="343">
        <f t="shared" si="29"/>
        <v>0</v>
      </c>
      <c r="R574" s="344">
        <f t="shared" si="30"/>
        <v>0</v>
      </c>
      <c r="T574" s="319" t="s">
        <v>201</v>
      </c>
    </row>
    <row r="575" spans="17:20" x14ac:dyDescent="0.3">
      <c r="Q575" s="343">
        <f t="shared" si="29"/>
        <v>0</v>
      </c>
      <c r="R575" s="344">
        <f t="shared" si="30"/>
        <v>0</v>
      </c>
      <c r="T575" s="319" t="s">
        <v>202</v>
      </c>
    </row>
    <row r="576" spans="17:20" x14ac:dyDescent="0.3">
      <c r="Q576" s="343">
        <f t="shared" si="29"/>
        <v>0</v>
      </c>
      <c r="R576" s="344">
        <f t="shared" si="30"/>
        <v>0</v>
      </c>
      <c r="T576" s="319" t="s">
        <v>203</v>
      </c>
    </row>
    <row r="577" spans="17:20" x14ac:dyDescent="0.3">
      <c r="Q577" s="343">
        <f t="shared" si="29"/>
        <v>0</v>
      </c>
      <c r="R577" s="344">
        <f t="shared" si="30"/>
        <v>0</v>
      </c>
      <c r="T577" s="319" t="s">
        <v>204</v>
      </c>
    </row>
    <row r="578" spans="17:20" x14ac:dyDescent="0.3">
      <c r="Q578" s="343">
        <f t="shared" si="29"/>
        <v>0</v>
      </c>
      <c r="R578" s="344">
        <f t="shared" si="30"/>
        <v>0</v>
      </c>
      <c r="T578" s="319" t="s">
        <v>205</v>
      </c>
    </row>
    <row r="579" spans="17:20" x14ac:dyDescent="0.3">
      <c r="Q579" s="343">
        <f t="shared" si="29"/>
        <v>0</v>
      </c>
      <c r="R579" s="344">
        <f t="shared" si="30"/>
        <v>0</v>
      </c>
      <c r="T579" s="319" t="s">
        <v>206</v>
      </c>
    </row>
    <row r="580" spans="17:20" x14ac:dyDescent="0.3">
      <c r="Q580" s="343">
        <f t="shared" si="29"/>
        <v>0</v>
      </c>
      <c r="R580" s="344">
        <f t="shared" si="30"/>
        <v>0</v>
      </c>
      <c r="T580" s="319" t="s">
        <v>207</v>
      </c>
    </row>
    <row r="581" spans="17:20" x14ac:dyDescent="0.3">
      <c r="Q581" s="343">
        <f t="shared" si="29"/>
        <v>0</v>
      </c>
      <c r="R581" s="344">
        <f t="shared" si="30"/>
        <v>0</v>
      </c>
      <c r="T581" s="319" t="s">
        <v>208</v>
      </c>
    </row>
    <row r="582" spans="17:20" x14ac:dyDescent="0.3">
      <c r="Q582" s="343">
        <f t="shared" si="29"/>
        <v>0</v>
      </c>
      <c r="R582" s="344">
        <f t="shared" si="30"/>
        <v>0</v>
      </c>
      <c r="T582" s="319" t="s">
        <v>210</v>
      </c>
    </row>
    <row r="583" spans="17:20" ht="15" thickBot="1" x14ac:dyDescent="0.35">
      <c r="Q583" s="343">
        <f t="shared" si="29"/>
        <v>0</v>
      </c>
      <c r="R583" s="344">
        <f t="shared" si="30"/>
        <v>0</v>
      </c>
      <c r="T583" s="323" t="s">
        <v>212</v>
      </c>
    </row>
    <row r="584" spans="17:20" x14ac:dyDescent="0.3">
      <c r="Q584" s="343">
        <f t="shared" si="29"/>
        <v>0</v>
      </c>
      <c r="R584" s="344">
        <f t="shared" si="30"/>
        <v>0</v>
      </c>
      <c r="T584" s="315" t="s">
        <v>184</v>
      </c>
    </row>
    <row r="585" spans="17:20" x14ac:dyDescent="0.3">
      <c r="Q585" s="343">
        <f t="shared" si="29"/>
        <v>0</v>
      </c>
      <c r="R585" s="344">
        <f t="shared" si="30"/>
        <v>0</v>
      </c>
      <c r="T585" s="316" t="s">
        <v>186</v>
      </c>
    </row>
    <row r="586" spans="17:20" x14ac:dyDescent="0.3">
      <c r="Q586" s="343">
        <f t="shared" si="29"/>
        <v>0</v>
      </c>
      <c r="R586" s="344">
        <f t="shared" si="30"/>
        <v>0</v>
      </c>
      <c r="T586" s="316" t="s">
        <v>187</v>
      </c>
    </row>
    <row r="587" spans="17:20" x14ac:dyDescent="0.3">
      <c r="Q587" s="343">
        <f t="shared" si="29"/>
        <v>0</v>
      </c>
      <c r="R587" s="344">
        <f t="shared" si="30"/>
        <v>0</v>
      </c>
      <c r="T587" s="316" t="s">
        <v>189</v>
      </c>
    </row>
    <row r="588" spans="17:20" x14ac:dyDescent="0.3">
      <c r="Q588" s="343">
        <f t="shared" si="29"/>
        <v>0</v>
      </c>
      <c r="R588" s="344">
        <f t="shared" si="30"/>
        <v>0</v>
      </c>
      <c r="T588" s="316" t="s">
        <v>190</v>
      </c>
    </row>
    <row r="589" spans="17:20" x14ac:dyDescent="0.3">
      <c r="Q589" s="343">
        <f t="shared" si="29"/>
        <v>0</v>
      </c>
      <c r="R589" s="344">
        <f t="shared" si="30"/>
        <v>0</v>
      </c>
      <c r="T589" s="316" t="s">
        <v>191</v>
      </c>
    </row>
    <row r="590" spans="17:20" x14ac:dyDescent="0.3">
      <c r="Q590" s="343">
        <f t="shared" si="29"/>
        <v>0</v>
      </c>
      <c r="R590" s="344">
        <f t="shared" si="30"/>
        <v>0</v>
      </c>
      <c r="T590" s="316" t="s">
        <v>193</v>
      </c>
    </row>
    <row r="591" spans="17:20" x14ac:dyDescent="0.3">
      <c r="Q591" s="343">
        <f t="shared" si="29"/>
        <v>0</v>
      </c>
      <c r="R591" s="344">
        <f t="shared" si="30"/>
        <v>0</v>
      </c>
      <c r="T591" s="316" t="s">
        <v>194</v>
      </c>
    </row>
    <row r="592" spans="17:20" x14ac:dyDescent="0.3">
      <c r="Q592" s="343">
        <f t="shared" si="29"/>
        <v>0</v>
      </c>
      <c r="R592" s="344">
        <f t="shared" si="30"/>
        <v>0</v>
      </c>
      <c r="T592" s="316" t="s">
        <v>195</v>
      </c>
    </row>
    <row r="593" spans="17:20" x14ac:dyDescent="0.3">
      <c r="Q593" s="343">
        <f t="shared" si="29"/>
        <v>0</v>
      </c>
      <c r="R593" s="344">
        <f t="shared" si="30"/>
        <v>0</v>
      </c>
      <c r="T593" s="316" t="s">
        <v>196</v>
      </c>
    </row>
    <row r="594" spans="17:20" x14ac:dyDescent="0.3">
      <c r="Q594" s="343">
        <f t="shared" si="29"/>
        <v>0</v>
      </c>
      <c r="R594" s="344">
        <f t="shared" si="30"/>
        <v>0</v>
      </c>
      <c r="T594" s="319" t="s">
        <v>197</v>
      </c>
    </row>
    <row r="595" spans="17:20" x14ac:dyDescent="0.3">
      <c r="Q595" s="343">
        <f t="shared" ref="Q595:Q655" si="31">SUM(D595:O595)</f>
        <v>0</v>
      </c>
      <c r="R595" s="344">
        <f t="shared" ref="R595:R655" si="32">SUM(M595:O595)*4</f>
        <v>0</v>
      </c>
      <c r="T595" s="319" t="s">
        <v>198</v>
      </c>
    </row>
    <row r="596" spans="17:20" x14ac:dyDescent="0.3">
      <c r="Q596" s="343">
        <f t="shared" si="31"/>
        <v>0</v>
      </c>
      <c r="R596" s="344">
        <f t="shared" si="32"/>
        <v>0</v>
      </c>
      <c r="T596" s="319" t="s">
        <v>199</v>
      </c>
    </row>
    <row r="597" spans="17:20" x14ac:dyDescent="0.3">
      <c r="Q597" s="343">
        <f t="shared" si="31"/>
        <v>0</v>
      </c>
      <c r="R597" s="344">
        <f t="shared" si="32"/>
        <v>0</v>
      </c>
      <c r="T597" s="319" t="s">
        <v>200</v>
      </c>
    </row>
    <row r="598" spans="17:20" x14ac:dyDescent="0.3">
      <c r="Q598" s="343">
        <f t="shared" si="31"/>
        <v>0</v>
      </c>
      <c r="R598" s="344">
        <f t="shared" si="32"/>
        <v>0</v>
      </c>
      <c r="T598" s="319" t="s">
        <v>201</v>
      </c>
    </row>
    <row r="599" spans="17:20" x14ac:dyDescent="0.3">
      <c r="Q599" s="343">
        <f t="shared" si="31"/>
        <v>0</v>
      </c>
      <c r="R599" s="344">
        <f t="shared" si="32"/>
        <v>0</v>
      </c>
      <c r="T599" s="319" t="s">
        <v>202</v>
      </c>
    </row>
    <row r="600" spans="17:20" x14ac:dyDescent="0.3">
      <c r="Q600" s="343">
        <f t="shared" si="31"/>
        <v>0</v>
      </c>
      <c r="R600" s="344">
        <f t="shared" si="32"/>
        <v>0</v>
      </c>
      <c r="T600" s="319" t="s">
        <v>203</v>
      </c>
    </row>
    <row r="601" spans="17:20" x14ac:dyDescent="0.3">
      <c r="Q601" s="343">
        <f t="shared" si="31"/>
        <v>0</v>
      </c>
      <c r="R601" s="344">
        <f t="shared" si="32"/>
        <v>0</v>
      </c>
      <c r="T601" s="319" t="s">
        <v>204</v>
      </c>
    </row>
    <row r="602" spans="17:20" x14ac:dyDescent="0.3">
      <c r="Q602" s="343">
        <f t="shared" si="31"/>
        <v>0</v>
      </c>
      <c r="R602" s="344">
        <f t="shared" si="32"/>
        <v>0</v>
      </c>
      <c r="T602" s="319" t="s">
        <v>205</v>
      </c>
    </row>
    <row r="603" spans="17:20" x14ac:dyDescent="0.3">
      <c r="Q603" s="343">
        <f t="shared" si="31"/>
        <v>0</v>
      </c>
      <c r="R603" s="344">
        <f t="shared" si="32"/>
        <v>0</v>
      </c>
      <c r="T603" s="319" t="s">
        <v>206</v>
      </c>
    </row>
    <row r="604" spans="17:20" x14ac:dyDescent="0.3">
      <c r="Q604" s="343">
        <f t="shared" si="31"/>
        <v>0</v>
      </c>
      <c r="R604" s="344">
        <f t="shared" si="32"/>
        <v>0</v>
      </c>
      <c r="T604" s="319" t="s">
        <v>207</v>
      </c>
    </row>
    <row r="605" spans="17:20" x14ac:dyDescent="0.3">
      <c r="Q605" s="343">
        <f t="shared" si="31"/>
        <v>0</v>
      </c>
      <c r="R605" s="344">
        <f t="shared" si="32"/>
        <v>0</v>
      </c>
      <c r="T605" s="319" t="s">
        <v>208</v>
      </c>
    </row>
    <row r="606" spans="17:20" x14ac:dyDescent="0.3">
      <c r="Q606" s="343">
        <f t="shared" si="31"/>
        <v>0</v>
      </c>
      <c r="R606" s="344">
        <f t="shared" si="32"/>
        <v>0</v>
      </c>
      <c r="T606" s="319" t="s">
        <v>210</v>
      </c>
    </row>
    <row r="607" spans="17:20" ht="15" thickBot="1" x14ac:dyDescent="0.35">
      <c r="Q607" s="343">
        <f t="shared" si="31"/>
        <v>0</v>
      </c>
      <c r="R607" s="344">
        <f t="shared" si="32"/>
        <v>0</v>
      </c>
      <c r="T607" s="323" t="s">
        <v>212</v>
      </c>
    </row>
    <row r="608" spans="17:20" x14ac:dyDescent="0.3">
      <c r="Q608" s="343">
        <f t="shared" si="31"/>
        <v>0</v>
      </c>
      <c r="R608" s="344">
        <f t="shared" si="32"/>
        <v>0</v>
      </c>
      <c r="T608" s="315" t="s">
        <v>184</v>
      </c>
    </row>
    <row r="609" spans="17:20" x14ac:dyDescent="0.3">
      <c r="Q609" s="343">
        <f t="shared" si="31"/>
        <v>0</v>
      </c>
      <c r="R609" s="344">
        <f t="shared" si="32"/>
        <v>0</v>
      </c>
      <c r="T609" s="316" t="s">
        <v>186</v>
      </c>
    </row>
    <row r="610" spans="17:20" x14ac:dyDescent="0.3">
      <c r="Q610" s="343">
        <f t="shared" si="31"/>
        <v>0</v>
      </c>
      <c r="R610" s="344">
        <f t="shared" si="32"/>
        <v>0</v>
      </c>
      <c r="T610" s="316" t="s">
        <v>187</v>
      </c>
    </row>
    <row r="611" spans="17:20" x14ac:dyDescent="0.3">
      <c r="Q611" s="343">
        <f t="shared" si="31"/>
        <v>0</v>
      </c>
      <c r="R611" s="344">
        <f t="shared" si="32"/>
        <v>0</v>
      </c>
      <c r="T611" s="316" t="s">
        <v>189</v>
      </c>
    </row>
    <row r="612" spans="17:20" x14ac:dyDescent="0.3">
      <c r="Q612" s="343">
        <f t="shared" si="31"/>
        <v>0</v>
      </c>
      <c r="R612" s="344">
        <f t="shared" si="32"/>
        <v>0</v>
      </c>
      <c r="T612" s="316" t="s">
        <v>190</v>
      </c>
    </row>
    <row r="613" spans="17:20" x14ac:dyDescent="0.3">
      <c r="Q613" s="343">
        <f t="shared" si="31"/>
        <v>0</v>
      </c>
      <c r="R613" s="344">
        <f t="shared" si="32"/>
        <v>0</v>
      </c>
      <c r="T613" s="316" t="s">
        <v>191</v>
      </c>
    </row>
    <row r="614" spans="17:20" x14ac:dyDescent="0.3">
      <c r="Q614" s="343">
        <f t="shared" si="31"/>
        <v>0</v>
      </c>
      <c r="R614" s="344">
        <f t="shared" si="32"/>
        <v>0</v>
      </c>
      <c r="T614" s="316" t="s">
        <v>193</v>
      </c>
    </row>
    <row r="615" spans="17:20" x14ac:dyDescent="0.3">
      <c r="Q615" s="343">
        <f t="shared" si="31"/>
        <v>0</v>
      </c>
      <c r="R615" s="344">
        <f t="shared" si="32"/>
        <v>0</v>
      </c>
      <c r="T615" s="316" t="s">
        <v>194</v>
      </c>
    </row>
    <row r="616" spans="17:20" x14ac:dyDescent="0.3">
      <c r="Q616" s="343">
        <f t="shared" si="31"/>
        <v>0</v>
      </c>
      <c r="R616" s="344">
        <f t="shared" si="32"/>
        <v>0</v>
      </c>
      <c r="T616" s="316" t="s">
        <v>195</v>
      </c>
    </row>
    <row r="617" spans="17:20" x14ac:dyDescent="0.3">
      <c r="Q617" s="343">
        <f t="shared" si="31"/>
        <v>0</v>
      </c>
      <c r="R617" s="344">
        <f t="shared" si="32"/>
        <v>0</v>
      </c>
      <c r="T617" s="316" t="s">
        <v>196</v>
      </c>
    </row>
    <row r="618" spans="17:20" x14ac:dyDescent="0.3">
      <c r="Q618" s="343">
        <f t="shared" si="31"/>
        <v>0</v>
      </c>
      <c r="R618" s="344">
        <f t="shared" si="32"/>
        <v>0</v>
      </c>
      <c r="T618" s="319" t="s">
        <v>197</v>
      </c>
    </row>
    <row r="619" spans="17:20" x14ac:dyDescent="0.3">
      <c r="Q619" s="343">
        <f t="shared" si="31"/>
        <v>0</v>
      </c>
      <c r="R619" s="344">
        <f t="shared" si="32"/>
        <v>0</v>
      </c>
      <c r="T619" s="319" t="s">
        <v>198</v>
      </c>
    </row>
    <row r="620" spans="17:20" x14ac:dyDescent="0.3">
      <c r="Q620" s="343">
        <f t="shared" si="31"/>
        <v>0</v>
      </c>
      <c r="R620" s="344">
        <f t="shared" si="32"/>
        <v>0</v>
      </c>
      <c r="T620" s="319" t="s">
        <v>199</v>
      </c>
    </row>
    <row r="621" spans="17:20" x14ac:dyDescent="0.3">
      <c r="Q621" s="343">
        <f t="shared" si="31"/>
        <v>0</v>
      </c>
      <c r="R621" s="344">
        <f t="shared" si="32"/>
        <v>0</v>
      </c>
      <c r="T621" s="319" t="s">
        <v>200</v>
      </c>
    </row>
    <row r="622" spans="17:20" x14ac:dyDescent="0.3">
      <c r="Q622" s="343">
        <f t="shared" si="31"/>
        <v>0</v>
      </c>
      <c r="R622" s="344">
        <f t="shared" si="32"/>
        <v>0</v>
      </c>
      <c r="T622" s="319" t="s">
        <v>201</v>
      </c>
    </row>
    <row r="623" spans="17:20" x14ac:dyDescent="0.3">
      <c r="Q623" s="343">
        <f t="shared" si="31"/>
        <v>0</v>
      </c>
      <c r="R623" s="344">
        <f t="shared" si="32"/>
        <v>0</v>
      </c>
      <c r="T623" s="319" t="s">
        <v>202</v>
      </c>
    </row>
    <row r="624" spans="17:20" x14ac:dyDescent="0.3">
      <c r="Q624" s="343">
        <f t="shared" si="31"/>
        <v>0</v>
      </c>
      <c r="R624" s="344">
        <f t="shared" si="32"/>
        <v>0</v>
      </c>
      <c r="T624" s="319" t="s">
        <v>203</v>
      </c>
    </row>
    <row r="625" spans="17:20" x14ac:dyDescent="0.3">
      <c r="Q625" s="343">
        <f t="shared" si="31"/>
        <v>0</v>
      </c>
      <c r="R625" s="344">
        <f t="shared" si="32"/>
        <v>0</v>
      </c>
      <c r="T625" s="319" t="s">
        <v>204</v>
      </c>
    </row>
    <row r="626" spans="17:20" x14ac:dyDescent="0.3">
      <c r="Q626" s="343">
        <f t="shared" si="31"/>
        <v>0</v>
      </c>
      <c r="R626" s="344">
        <f t="shared" si="32"/>
        <v>0</v>
      </c>
      <c r="T626" s="319" t="s">
        <v>205</v>
      </c>
    </row>
    <row r="627" spans="17:20" x14ac:dyDescent="0.3">
      <c r="Q627" s="343">
        <f t="shared" si="31"/>
        <v>0</v>
      </c>
      <c r="R627" s="344">
        <f t="shared" si="32"/>
        <v>0</v>
      </c>
      <c r="T627" s="319" t="s">
        <v>206</v>
      </c>
    </row>
    <row r="628" spans="17:20" x14ac:dyDescent="0.3">
      <c r="Q628" s="343">
        <f t="shared" si="31"/>
        <v>0</v>
      </c>
      <c r="R628" s="344">
        <f t="shared" si="32"/>
        <v>0</v>
      </c>
      <c r="T628" s="319" t="s">
        <v>207</v>
      </c>
    </row>
    <row r="629" spans="17:20" x14ac:dyDescent="0.3">
      <c r="Q629" s="343">
        <f t="shared" si="31"/>
        <v>0</v>
      </c>
      <c r="R629" s="344">
        <f t="shared" si="32"/>
        <v>0</v>
      </c>
      <c r="T629" s="319" t="s">
        <v>208</v>
      </c>
    </row>
    <row r="630" spans="17:20" x14ac:dyDescent="0.3">
      <c r="Q630" s="343">
        <f t="shared" si="31"/>
        <v>0</v>
      </c>
      <c r="R630" s="344">
        <f t="shared" si="32"/>
        <v>0</v>
      </c>
      <c r="T630" s="319" t="s">
        <v>210</v>
      </c>
    </row>
    <row r="631" spans="17:20" ht="15" thickBot="1" x14ac:dyDescent="0.35">
      <c r="Q631" s="343">
        <f t="shared" si="31"/>
        <v>0</v>
      </c>
      <c r="R631" s="344">
        <f t="shared" si="32"/>
        <v>0</v>
      </c>
      <c r="T631" s="323" t="s">
        <v>212</v>
      </c>
    </row>
    <row r="632" spans="17:20" x14ac:dyDescent="0.3">
      <c r="Q632" s="343">
        <f t="shared" si="31"/>
        <v>0</v>
      </c>
      <c r="R632" s="344">
        <f t="shared" si="32"/>
        <v>0</v>
      </c>
      <c r="T632" s="315" t="s">
        <v>184</v>
      </c>
    </row>
    <row r="633" spans="17:20" x14ac:dyDescent="0.3">
      <c r="Q633" s="343">
        <f t="shared" si="31"/>
        <v>0</v>
      </c>
      <c r="R633" s="344">
        <f t="shared" si="32"/>
        <v>0</v>
      </c>
      <c r="T633" s="316" t="s">
        <v>186</v>
      </c>
    </row>
    <row r="634" spans="17:20" x14ac:dyDescent="0.3">
      <c r="Q634" s="343">
        <f t="shared" si="31"/>
        <v>0</v>
      </c>
      <c r="R634" s="344">
        <f t="shared" si="32"/>
        <v>0</v>
      </c>
      <c r="T634" s="316" t="s">
        <v>187</v>
      </c>
    </row>
    <row r="635" spans="17:20" x14ac:dyDescent="0.3">
      <c r="Q635" s="343">
        <f t="shared" si="31"/>
        <v>0</v>
      </c>
      <c r="R635" s="344">
        <f t="shared" si="32"/>
        <v>0</v>
      </c>
      <c r="T635" s="316" t="s">
        <v>189</v>
      </c>
    </row>
    <row r="636" spans="17:20" x14ac:dyDescent="0.3">
      <c r="Q636" s="343">
        <f t="shared" si="31"/>
        <v>0</v>
      </c>
      <c r="R636" s="344">
        <f t="shared" si="32"/>
        <v>0</v>
      </c>
      <c r="T636" s="316" t="s">
        <v>190</v>
      </c>
    </row>
    <row r="637" spans="17:20" x14ac:dyDescent="0.3">
      <c r="Q637" s="343">
        <f t="shared" si="31"/>
        <v>0</v>
      </c>
      <c r="R637" s="344">
        <f t="shared" si="32"/>
        <v>0</v>
      </c>
      <c r="T637" s="316" t="s">
        <v>191</v>
      </c>
    </row>
    <row r="638" spans="17:20" x14ac:dyDescent="0.3">
      <c r="Q638" s="343">
        <f t="shared" si="31"/>
        <v>0</v>
      </c>
      <c r="R638" s="344">
        <f t="shared" si="32"/>
        <v>0</v>
      </c>
      <c r="T638" s="316" t="s">
        <v>193</v>
      </c>
    </row>
    <row r="639" spans="17:20" x14ac:dyDescent="0.3">
      <c r="Q639" s="343">
        <f t="shared" si="31"/>
        <v>0</v>
      </c>
      <c r="R639" s="344">
        <f t="shared" si="32"/>
        <v>0</v>
      </c>
      <c r="T639" s="316" t="s">
        <v>194</v>
      </c>
    </row>
    <row r="640" spans="17:20" x14ac:dyDescent="0.3">
      <c r="Q640" s="343">
        <f t="shared" si="31"/>
        <v>0</v>
      </c>
      <c r="R640" s="344">
        <f t="shared" si="32"/>
        <v>0</v>
      </c>
      <c r="T640" s="316" t="s">
        <v>195</v>
      </c>
    </row>
    <row r="641" spans="17:20" x14ac:dyDescent="0.3">
      <c r="Q641" s="343">
        <f t="shared" si="31"/>
        <v>0</v>
      </c>
      <c r="R641" s="344">
        <f t="shared" si="32"/>
        <v>0</v>
      </c>
      <c r="T641" s="316" t="s">
        <v>196</v>
      </c>
    </row>
    <row r="642" spans="17:20" x14ac:dyDescent="0.3">
      <c r="Q642" s="343">
        <f t="shared" si="31"/>
        <v>0</v>
      </c>
      <c r="R642" s="344">
        <f t="shared" si="32"/>
        <v>0</v>
      </c>
      <c r="T642" s="319" t="s">
        <v>197</v>
      </c>
    </row>
    <row r="643" spans="17:20" x14ac:dyDescent="0.3">
      <c r="Q643" s="343">
        <f t="shared" si="31"/>
        <v>0</v>
      </c>
      <c r="R643" s="344">
        <f t="shared" si="32"/>
        <v>0</v>
      </c>
      <c r="T643" s="319" t="s">
        <v>198</v>
      </c>
    </row>
    <row r="644" spans="17:20" x14ac:dyDescent="0.3">
      <c r="Q644" s="343">
        <f t="shared" si="31"/>
        <v>0</v>
      </c>
      <c r="R644" s="344">
        <f t="shared" si="32"/>
        <v>0</v>
      </c>
      <c r="T644" s="319" t="s">
        <v>199</v>
      </c>
    </row>
    <row r="645" spans="17:20" x14ac:dyDescent="0.3">
      <c r="Q645" s="343">
        <f t="shared" si="31"/>
        <v>0</v>
      </c>
      <c r="R645" s="344">
        <f t="shared" si="32"/>
        <v>0</v>
      </c>
      <c r="T645" s="319" t="s">
        <v>200</v>
      </c>
    </row>
    <row r="646" spans="17:20" x14ac:dyDescent="0.3">
      <c r="Q646" s="343">
        <f t="shared" si="31"/>
        <v>0</v>
      </c>
      <c r="R646" s="344">
        <f t="shared" si="32"/>
        <v>0</v>
      </c>
      <c r="T646" s="319" t="s">
        <v>201</v>
      </c>
    </row>
    <row r="647" spans="17:20" x14ac:dyDescent="0.3">
      <c r="Q647" s="343">
        <f t="shared" si="31"/>
        <v>0</v>
      </c>
      <c r="R647" s="344">
        <f t="shared" si="32"/>
        <v>0</v>
      </c>
      <c r="T647" s="319" t="s">
        <v>202</v>
      </c>
    </row>
    <row r="648" spans="17:20" x14ac:dyDescent="0.3">
      <c r="Q648" s="343">
        <f t="shared" si="31"/>
        <v>0</v>
      </c>
      <c r="R648" s="344">
        <f t="shared" si="32"/>
        <v>0</v>
      </c>
      <c r="T648" s="319" t="s">
        <v>203</v>
      </c>
    </row>
    <row r="649" spans="17:20" x14ac:dyDescent="0.3">
      <c r="Q649" s="343">
        <f t="shared" si="31"/>
        <v>0</v>
      </c>
      <c r="R649" s="344">
        <f t="shared" si="32"/>
        <v>0</v>
      </c>
      <c r="T649" s="319" t="s">
        <v>204</v>
      </c>
    </row>
    <row r="650" spans="17:20" x14ac:dyDescent="0.3">
      <c r="Q650" s="343">
        <f t="shared" si="31"/>
        <v>0</v>
      </c>
      <c r="R650" s="344">
        <f t="shared" si="32"/>
        <v>0</v>
      </c>
      <c r="T650" s="319" t="s">
        <v>205</v>
      </c>
    </row>
    <row r="651" spans="17:20" x14ac:dyDescent="0.3">
      <c r="Q651" s="343">
        <f t="shared" si="31"/>
        <v>0</v>
      </c>
      <c r="R651" s="344">
        <f t="shared" si="32"/>
        <v>0</v>
      </c>
      <c r="T651" s="319" t="s">
        <v>206</v>
      </c>
    </row>
    <row r="652" spans="17:20" x14ac:dyDescent="0.3">
      <c r="Q652" s="343">
        <f t="shared" si="31"/>
        <v>0</v>
      </c>
      <c r="R652" s="344">
        <f t="shared" si="32"/>
        <v>0</v>
      </c>
      <c r="T652" s="319" t="s">
        <v>207</v>
      </c>
    </row>
    <row r="653" spans="17:20" x14ac:dyDescent="0.3">
      <c r="Q653" s="343">
        <f t="shared" si="31"/>
        <v>0</v>
      </c>
      <c r="R653" s="344">
        <f t="shared" si="32"/>
        <v>0</v>
      </c>
      <c r="T653" s="319" t="s">
        <v>208</v>
      </c>
    </row>
    <row r="654" spans="17:20" x14ac:dyDescent="0.3">
      <c r="Q654" s="343">
        <f t="shared" si="31"/>
        <v>0</v>
      </c>
      <c r="R654" s="344">
        <f t="shared" si="32"/>
        <v>0</v>
      </c>
      <c r="T654" s="319" t="s">
        <v>210</v>
      </c>
    </row>
    <row r="655" spans="17:20" ht="15" thickBot="1" x14ac:dyDescent="0.35">
      <c r="Q655" s="351">
        <f t="shared" si="31"/>
        <v>0</v>
      </c>
      <c r="R655" s="352">
        <f t="shared" si="32"/>
        <v>0</v>
      </c>
      <c r="T655" s="323" t="s">
        <v>212</v>
      </c>
    </row>
  </sheetData>
  <conditionalFormatting sqref="C8 C10:C13 C15 C21 C23 C26 C47 C49:C50 C58 C86 C102 C111 C124 C127 C129 C132 C136 C138 C140 C143 C145">
    <cfRule type="expression" dxfId="17" priority="15">
      <formula>#REF!=""</formula>
    </cfRule>
  </conditionalFormatting>
  <conditionalFormatting sqref="C8">
    <cfRule type="expression" dxfId="16" priority="8">
      <formula>$A8="Total Income"</formula>
    </cfRule>
  </conditionalFormatting>
  <conditionalFormatting sqref="C13:C16 D18:P18 C19:P26 D32:O32 C33:O145">
    <cfRule type="expression" dxfId="15" priority="12">
      <formula>$A14="Net Operating Income"</formula>
    </cfRule>
    <cfRule type="expression" dxfId="14" priority="13">
      <formula>$A14="Total Expense"</formula>
    </cfRule>
    <cfRule type="expression" dxfId="13" priority="14">
      <formula>$A14="Total Income"</formula>
    </cfRule>
  </conditionalFormatting>
  <conditionalFormatting sqref="C17 C27:O30 C31:C32">
    <cfRule type="expression" dxfId="12" priority="43">
      <formula>$A19="Net Operating Income"</formula>
    </cfRule>
    <cfRule type="expression" dxfId="11" priority="44">
      <formula>$A19="Total Expense"</formula>
    </cfRule>
    <cfRule type="expression" dxfId="10" priority="45">
      <formula>$A19="Total Income"</formula>
    </cfRule>
  </conditionalFormatting>
  <conditionalFormatting sqref="C18">
    <cfRule type="expression" dxfId="9" priority="1">
      <formula>$A18="Net Operating Income"</formula>
    </cfRule>
    <cfRule type="expression" dxfId="8" priority="2">
      <formula>$A18="Total Expense"</formula>
    </cfRule>
    <cfRule type="expression" dxfId="7" priority="3">
      <formula>$A18="Total Income"</formula>
    </cfRule>
    <cfRule type="expression" dxfId="6" priority="4">
      <formula>#REF!=""</formula>
    </cfRule>
  </conditionalFormatting>
  <conditionalFormatting sqref="C9:O12 P11:P17 D13:O17">
    <cfRule type="expression" dxfId="5" priority="5">
      <formula>$A9="Net Operating Income"</formula>
    </cfRule>
    <cfRule type="expression" dxfId="4" priority="6">
      <formula>$A9="Total Expense"</formula>
    </cfRule>
    <cfRule type="expression" dxfId="3" priority="7">
      <formula>$A9="Total Income"</formula>
    </cfRule>
  </conditionalFormatting>
  <conditionalFormatting sqref="W40:X40">
    <cfRule type="expression" dxfId="2" priority="24">
      <formula>ROUND(W40-W42,-2)&lt;&gt;0</formula>
    </cfRule>
  </conditionalFormatting>
  <pageMargins left="0.7" right="0.7" top="0.75" bottom="0.75" header="0.3" footer="0.3"/>
  <pageSetup orientation="portrait" r:id="rId1"/>
  <ignoredErrors>
    <ignoredError sqref="R9:R1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A758-9219-4A45-9CDA-713099E17F90}">
  <dimension ref="A1:AF44"/>
  <sheetViews>
    <sheetView showGridLines="0" zoomScale="90" zoomScaleNormal="90" workbookViewId="0">
      <selection activeCell="A10" sqref="A10"/>
    </sheetView>
  </sheetViews>
  <sheetFormatPr defaultRowHeight="14.4" x14ac:dyDescent="0.3"/>
  <cols>
    <col min="1" max="1" width="11.109375" bestFit="1" customWidth="1"/>
    <col min="2" max="2" width="6.6640625" hidden="1" customWidth="1"/>
    <col min="3" max="3" width="30.6640625" bestFit="1" customWidth="1"/>
    <col min="4" max="4" width="30.6640625" customWidth="1"/>
    <col min="5" max="5" width="48.44140625" customWidth="1"/>
    <col min="6" max="6" width="6.88671875" hidden="1" customWidth="1"/>
    <col min="7" max="7" width="24.109375" hidden="1" customWidth="1"/>
    <col min="8" max="8" width="25.6640625" hidden="1" customWidth="1"/>
    <col min="9" max="9" width="30.109375" hidden="1" customWidth="1"/>
    <col min="10" max="10" width="6.21875" bestFit="1" customWidth="1"/>
    <col min="11" max="11" width="7.33203125" hidden="1" customWidth="1"/>
    <col min="12" max="12" width="10.6640625" bestFit="1" customWidth="1"/>
    <col min="13" max="13" width="6.88671875" bestFit="1" customWidth="1"/>
    <col min="14" max="14" width="8.88671875" bestFit="1" customWidth="1"/>
    <col min="15" max="15" width="10.44140625" customWidth="1"/>
    <col min="16" max="16" width="10.109375" hidden="1" customWidth="1"/>
    <col min="17" max="17" width="7.6640625" hidden="1" customWidth="1"/>
    <col min="18" max="18" width="9.109375" bestFit="1" customWidth="1"/>
    <col min="19" max="20" width="9.109375" customWidth="1"/>
    <col min="21" max="21" width="7.6640625" bestFit="1" customWidth="1"/>
    <col min="22" max="22" width="10.33203125" bestFit="1" customWidth="1"/>
    <col min="23" max="23" width="7.44140625" customWidth="1"/>
    <col min="24" max="24" width="12.77734375" hidden="1" customWidth="1"/>
    <col min="25" max="25" width="8" hidden="1" customWidth="1"/>
    <col min="26" max="26" width="7.77734375" hidden="1" customWidth="1"/>
    <col min="27" max="27" width="12.33203125" customWidth="1"/>
    <col min="28" max="32" width="0" hidden="1" customWidth="1"/>
  </cols>
  <sheetData>
    <row r="1" spans="1:32" s="444" customFormat="1" x14ac:dyDescent="0.3">
      <c r="A1" s="443" t="s">
        <v>217</v>
      </c>
      <c r="B1" s="443" t="s">
        <v>218</v>
      </c>
      <c r="C1" s="443" t="s">
        <v>219</v>
      </c>
      <c r="D1" s="443" t="s">
        <v>323</v>
      </c>
      <c r="E1" s="443" t="s">
        <v>220</v>
      </c>
      <c r="F1" s="443" t="s">
        <v>221</v>
      </c>
      <c r="G1" s="443" t="s">
        <v>222</v>
      </c>
      <c r="H1" s="443" t="s">
        <v>223</v>
      </c>
      <c r="I1" s="443" t="s">
        <v>224</v>
      </c>
      <c r="J1" s="443" t="s">
        <v>2</v>
      </c>
      <c r="K1" s="443" t="s">
        <v>225</v>
      </c>
      <c r="L1" s="443" t="s">
        <v>226</v>
      </c>
      <c r="M1" s="443" t="s">
        <v>227</v>
      </c>
      <c r="N1" s="443" t="s">
        <v>228</v>
      </c>
      <c r="O1" s="443" t="s">
        <v>229</v>
      </c>
      <c r="P1" s="443" t="s">
        <v>230</v>
      </c>
      <c r="Q1" s="443" t="s">
        <v>231</v>
      </c>
      <c r="R1" s="443" t="s">
        <v>294</v>
      </c>
      <c r="S1" s="443" t="s">
        <v>321</v>
      </c>
      <c r="T1" s="443" t="s">
        <v>322</v>
      </c>
      <c r="U1" s="443" t="s">
        <v>232</v>
      </c>
      <c r="V1" s="443" t="s">
        <v>321</v>
      </c>
      <c r="W1" s="443" t="s">
        <v>322</v>
      </c>
      <c r="X1" s="443" t="s">
        <v>605</v>
      </c>
      <c r="Y1" s="443" t="s">
        <v>321</v>
      </c>
      <c r="Z1" s="443" t="s">
        <v>322</v>
      </c>
      <c r="AA1" s="443" t="s">
        <v>233</v>
      </c>
      <c r="AB1" s="443" t="s">
        <v>234</v>
      </c>
      <c r="AC1" s="443"/>
      <c r="AD1" s="443"/>
      <c r="AE1" s="443" t="s">
        <v>235</v>
      </c>
      <c r="AF1" s="443" t="s">
        <v>236</v>
      </c>
    </row>
    <row r="2" spans="1:32" s="444" customFormat="1" ht="7.2" customHeight="1" x14ac:dyDescent="0.3"/>
    <row r="3" spans="1:32" s="444" customFormat="1" x14ac:dyDescent="0.3"/>
    <row r="4" spans="1:32" s="444" customFormat="1" x14ac:dyDescent="0.3"/>
    <row r="5" spans="1:32" s="444" customFormat="1" ht="7.2" customHeight="1" thickBot="1" x14ac:dyDescent="0.35"/>
    <row r="6" spans="1:32" s="444" customFormat="1" ht="15" thickBot="1" x14ac:dyDescent="0.35">
      <c r="A6" s="451"/>
      <c r="B6" s="452"/>
      <c r="C6" s="453" t="s">
        <v>237</v>
      </c>
      <c r="D6" s="611"/>
      <c r="O6" s="445" t="s">
        <v>238</v>
      </c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7"/>
    </row>
    <row r="7" spans="1:32" ht="15" thickBot="1" x14ac:dyDescent="0.35">
      <c r="A7" s="454"/>
      <c r="B7" s="455"/>
      <c r="C7" s="456" t="str">
        <f>'CFS-Main Page'!B2</f>
        <v>Calabash Shores</v>
      </c>
      <c r="D7" s="631" t="s">
        <v>595</v>
      </c>
      <c r="E7" s="456" t="str">
        <f>'CFS-Main Page'!D2</f>
        <v>660 Aubrey Ln Calabash, NC, 28467</v>
      </c>
      <c r="F7" s="455"/>
      <c r="G7" s="456"/>
      <c r="H7" s="457"/>
      <c r="I7" s="458"/>
      <c r="J7" s="457">
        <f>Units</f>
        <v>132</v>
      </c>
      <c r="K7" s="457"/>
      <c r="L7" s="459">
        <f>'CFS-Main Page'!D4</f>
        <v>2024</v>
      </c>
      <c r="M7" s="511"/>
      <c r="N7" s="444"/>
      <c r="O7" s="448">
        <f>Rent!J31</f>
        <v>1.9659814927184467</v>
      </c>
      <c r="P7" s="449">
        <f>Rent!J30</f>
        <v>1963.5984848484848</v>
      </c>
      <c r="Q7" s="449"/>
      <c r="R7" s="449">
        <f>Rent!G5</f>
        <v>1568.6399999999999</v>
      </c>
      <c r="S7" s="592">
        <f>AVERAGE(Rent!I9:I10)</f>
        <v>745</v>
      </c>
      <c r="T7" s="629">
        <f>R7/S7</f>
        <v>2.1055570469798655</v>
      </c>
      <c r="U7" s="449">
        <f>Rent!I5</f>
        <v>2441.5257675438597</v>
      </c>
      <c r="V7" s="592">
        <f>AVERAGE(Rent!I11:I14,Rent!I17)</f>
        <v>1068.5999999999999</v>
      </c>
      <c r="W7" s="629">
        <f>U7/V7</f>
        <v>2.2847892265991576</v>
      </c>
      <c r="X7" s="449">
        <f>Rent!K5</f>
        <v>0</v>
      </c>
      <c r="Y7" s="592">
        <f>AVERAGE(Rent!I15:I16)</f>
        <v>1179.5</v>
      </c>
      <c r="Z7" s="629">
        <f>X7/Y7</f>
        <v>0</v>
      </c>
      <c r="AA7" s="450">
        <f>Rent!H29</f>
        <v>0.28030303030303028</v>
      </c>
      <c r="AB7" s="601"/>
      <c r="AC7" s="457"/>
      <c r="AD7" s="457"/>
      <c r="AE7" s="457"/>
      <c r="AF7" s="460"/>
    </row>
    <row r="8" spans="1:32" ht="6.6" customHeight="1" thickBot="1" x14ac:dyDescent="0.35">
      <c r="A8" s="461"/>
      <c r="B8" s="462"/>
      <c r="C8" s="461"/>
      <c r="D8" s="461"/>
      <c r="E8" s="461"/>
      <c r="F8" s="462"/>
      <c r="G8" s="461"/>
      <c r="H8" s="463"/>
      <c r="I8" s="464"/>
      <c r="J8" s="463"/>
      <c r="K8" s="463"/>
      <c r="L8" s="465"/>
      <c r="M8" s="463"/>
      <c r="N8" s="466"/>
      <c r="O8" s="467"/>
      <c r="P8" s="468"/>
      <c r="Q8" s="468"/>
      <c r="R8" s="468"/>
      <c r="S8" s="465"/>
      <c r="T8" s="465"/>
      <c r="U8" s="468"/>
      <c r="V8" s="465"/>
      <c r="W8" s="465"/>
      <c r="X8" s="468"/>
      <c r="Y8" s="465"/>
      <c r="Z8" s="465"/>
      <c r="AA8" s="464"/>
      <c r="AB8" s="464"/>
      <c r="AC8" s="463"/>
      <c r="AD8" s="463"/>
      <c r="AE8" s="463"/>
      <c r="AF8" s="461"/>
    </row>
    <row r="9" spans="1:32" ht="15" thickBot="1" x14ac:dyDescent="0.35">
      <c r="A9" s="469"/>
      <c r="B9" s="470"/>
      <c r="C9" s="453" t="s">
        <v>239</v>
      </c>
      <c r="D9" s="611"/>
      <c r="E9" s="461"/>
      <c r="F9" s="462"/>
      <c r="G9" s="461"/>
      <c r="H9" s="463"/>
      <c r="I9" s="464"/>
      <c r="J9" s="463"/>
      <c r="K9" s="463"/>
      <c r="L9" s="465"/>
      <c r="M9" s="463"/>
      <c r="N9" s="466"/>
      <c r="O9" s="467"/>
      <c r="P9" s="468"/>
      <c r="Q9" s="468"/>
      <c r="R9" s="468"/>
      <c r="S9" s="465"/>
      <c r="T9" s="465"/>
      <c r="U9" s="468"/>
      <c r="V9" s="465"/>
      <c r="W9" s="465"/>
      <c r="X9" s="468"/>
      <c r="Y9" s="465"/>
      <c r="Z9" s="465"/>
      <c r="AA9" s="464"/>
      <c r="AB9" s="464"/>
      <c r="AC9" s="463"/>
      <c r="AD9" s="463"/>
      <c r="AE9" s="463"/>
      <c r="AF9" s="461"/>
    </row>
    <row r="10" spans="1:32" x14ac:dyDescent="0.3">
      <c r="A10" s="471">
        <v>1</v>
      </c>
      <c r="B10" s="472"/>
      <c r="C10" s="473" t="s">
        <v>594</v>
      </c>
      <c r="D10" s="630" t="s">
        <v>595</v>
      </c>
      <c r="E10" s="473" t="s">
        <v>596</v>
      </c>
      <c r="F10" s="472"/>
      <c r="G10" s="473"/>
      <c r="H10" s="474"/>
      <c r="I10" s="475"/>
      <c r="J10" s="474">
        <v>136</v>
      </c>
      <c r="K10" s="474"/>
      <c r="L10" s="476">
        <v>2024</v>
      </c>
      <c r="M10" s="474"/>
      <c r="N10" s="477">
        <v>2.14</v>
      </c>
      <c r="O10" s="478"/>
      <c r="P10" s="479"/>
      <c r="Q10" s="479"/>
      <c r="R10" s="479"/>
      <c r="S10" s="476"/>
      <c r="T10" s="593" t="e">
        <f>R10/S10</f>
        <v>#DIV/0!</v>
      </c>
      <c r="U10" s="479">
        <v>1954</v>
      </c>
      <c r="V10" s="476">
        <v>1376</v>
      </c>
      <c r="W10" s="593">
        <f>U10/V10</f>
        <v>1.4200581395348837</v>
      </c>
      <c r="X10" s="479">
        <v>1990</v>
      </c>
      <c r="Y10" s="476">
        <v>1376</v>
      </c>
      <c r="Z10" s="593">
        <f>X10/Y10</f>
        <v>1.4462209302325582</v>
      </c>
      <c r="AA10" s="602">
        <v>0.63200000000000001</v>
      </c>
      <c r="AB10" s="597"/>
      <c r="AC10" s="474"/>
      <c r="AD10" s="474"/>
      <c r="AE10" s="474"/>
      <c r="AF10" s="480"/>
    </row>
    <row r="11" spans="1:32" x14ac:dyDescent="0.3">
      <c r="A11" s="481">
        <f>A10+1</f>
        <v>2</v>
      </c>
      <c r="B11" s="482"/>
      <c r="C11" s="263" t="s">
        <v>597</v>
      </c>
      <c r="D11" s="531" t="s">
        <v>595</v>
      </c>
      <c r="E11" s="263" t="s">
        <v>598</v>
      </c>
      <c r="F11" s="482"/>
      <c r="G11" s="263"/>
      <c r="H11" s="483"/>
      <c r="I11" s="484"/>
      <c r="J11" s="483">
        <v>198</v>
      </c>
      <c r="K11" s="483"/>
      <c r="L11" s="261">
        <v>2024</v>
      </c>
      <c r="M11" s="483"/>
      <c r="N11" s="485">
        <v>2.2400000000000002</v>
      </c>
      <c r="O11" s="486"/>
      <c r="P11" s="487"/>
      <c r="Q11" s="487"/>
      <c r="R11" s="487"/>
      <c r="S11" s="261"/>
      <c r="T11" s="594" t="e">
        <f>R11/S11</f>
        <v>#DIV/0!</v>
      </c>
      <c r="U11" s="487">
        <v>2223</v>
      </c>
      <c r="V11" s="261">
        <v>1311</v>
      </c>
      <c r="W11" s="594">
        <f t="shared" ref="W11:W14" si="0">U11/V11</f>
        <v>1.6956521739130435</v>
      </c>
      <c r="X11" s="487">
        <v>1850</v>
      </c>
      <c r="Y11" s="261">
        <v>1310</v>
      </c>
      <c r="Z11" s="594">
        <f t="shared" ref="Z11:Z13" si="1">X11/Y11</f>
        <v>1.4122137404580153</v>
      </c>
      <c r="AA11" s="603">
        <v>0.73199999999999998</v>
      </c>
      <c r="AB11" s="598"/>
      <c r="AC11" s="521"/>
      <c r="AD11" s="521"/>
      <c r="AE11" s="483"/>
      <c r="AF11" s="488"/>
    </row>
    <row r="12" spans="1:32" x14ac:dyDescent="0.3">
      <c r="A12" s="481">
        <f t="shared" ref="A12:A13" si="2">A11+1</f>
        <v>3</v>
      </c>
      <c r="B12" s="482"/>
      <c r="C12" s="647" t="s">
        <v>599</v>
      </c>
      <c r="D12" s="531" t="s">
        <v>595</v>
      </c>
      <c r="E12" s="263" t="s">
        <v>600</v>
      </c>
      <c r="F12" s="482"/>
      <c r="G12" s="263"/>
      <c r="H12" s="483"/>
      <c r="I12" s="484"/>
      <c r="J12" s="483">
        <v>190</v>
      </c>
      <c r="K12" s="483"/>
      <c r="L12" s="261">
        <v>2018</v>
      </c>
      <c r="M12" s="483"/>
      <c r="N12" s="485">
        <v>2.44</v>
      </c>
      <c r="O12" s="486"/>
      <c r="P12" s="487"/>
      <c r="Q12" s="487"/>
      <c r="R12" s="487"/>
      <c r="S12" s="261"/>
      <c r="T12" s="594" t="e">
        <f t="shared" ref="T12:T14" si="3">R12/S12</f>
        <v>#DIV/0!</v>
      </c>
      <c r="U12" s="487">
        <v>1733</v>
      </c>
      <c r="V12" s="261">
        <v>1147</v>
      </c>
      <c r="W12" s="594">
        <f t="shared" si="0"/>
        <v>1.5108979947689625</v>
      </c>
      <c r="X12" s="487">
        <v>2238</v>
      </c>
      <c r="Y12" s="261">
        <v>1140</v>
      </c>
      <c r="Z12" s="594">
        <f t="shared" si="1"/>
        <v>1.9631578947368422</v>
      </c>
      <c r="AA12" s="603">
        <v>0.95799999999999996</v>
      </c>
      <c r="AB12" s="598"/>
      <c r="AC12" s="521"/>
      <c r="AD12" s="521"/>
      <c r="AE12" s="483"/>
      <c r="AF12" s="488"/>
    </row>
    <row r="13" spans="1:32" x14ac:dyDescent="0.3">
      <c r="A13" s="481">
        <f t="shared" si="2"/>
        <v>4</v>
      </c>
      <c r="B13" s="482"/>
      <c r="C13" s="263" t="s">
        <v>601</v>
      </c>
      <c r="D13" s="531" t="s">
        <v>595</v>
      </c>
      <c r="E13" s="263" t="s">
        <v>602</v>
      </c>
      <c r="F13" s="482"/>
      <c r="G13" s="263"/>
      <c r="H13" s="483"/>
      <c r="I13" s="484"/>
      <c r="J13" s="483">
        <v>158</v>
      </c>
      <c r="K13" s="483"/>
      <c r="L13" s="261">
        <v>2024</v>
      </c>
      <c r="M13" s="483"/>
      <c r="N13" s="485">
        <v>0.73</v>
      </c>
      <c r="O13" s="486"/>
      <c r="P13" s="487"/>
      <c r="Q13" s="487"/>
      <c r="R13" s="487">
        <v>1762</v>
      </c>
      <c r="S13" s="261">
        <v>1161</v>
      </c>
      <c r="T13" s="594">
        <f t="shared" si="3"/>
        <v>1.5176571920757966</v>
      </c>
      <c r="U13" s="487">
        <v>1850</v>
      </c>
      <c r="V13" s="261">
        <v>1366</v>
      </c>
      <c r="W13" s="594">
        <f t="shared" si="0"/>
        <v>1.3543191800878478</v>
      </c>
      <c r="X13" s="487">
        <v>2175</v>
      </c>
      <c r="Y13" s="261">
        <v>1440</v>
      </c>
      <c r="Z13" s="594">
        <f t="shared" si="1"/>
        <v>1.5104166666666667</v>
      </c>
      <c r="AA13" s="603">
        <v>0.95599999999999996</v>
      </c>
      <c r="AB13" s="598"/>
      <c r="AC13" s="521"/>
      <c r="AD13" s="521"/>
      <c r="AE13" s="483"/>
      <c r="AF13" s="488"/>
    </row>
    <row r="14" spans="1:32" x14ac:dyDescent="0.3">
      <c r="A14" s="481">
        <v>5</v>
      </c>
      <c r="B14" s="482"/>
      <c r="C14" s="263" t="s">
        <v>603</v>
      </c>
      <c r="D14" s="531" t="s">
        <v>595</v>
      </c>
      <c r="E14" s="263" t="s">
        <v>604</v>
      </c>
      <c r="F14" s="482"/>
      <c r="G14" s="263"/>
      <c r="H14" s="483"/>
      <c r="I14" s="484"/>
      <c r="J14" s="483">
        <v>136</v>
      </c>
      <c r="K14" s="483"/>
      <c r="L14" s="261">
        <v>2025</v>
      </c>
      <c r="M14" s="483"/>
      <c r="N14" s="485">
        <v>4.93</v>
      </c>
      <c r="O14" s="486"/>
      <c r="P14" s="487"/>
      <c r="Q14" s="487"/>
      <c r="R14" s="487">
        <v>1530</v>
      </c>
      <c r="S14" s="261">
        <v>929</v>
      </c>
      <c r="T14" s="594">
        <f t="shared" si="3"/>
        <v>1.6469321851453176</v>
      </c>
      <c r="U14" s="487">
        <v>1672</v>
      </c>
      <c r="V14" s="261">
        <v>1343</v>
      </c>
      <c r="W14" s="594">
        <f t="shared" si="0"/>
        <v>1.2449739389426657</v>
      </c>
      <c r="X14" s="487"/>
      <c r="Y14" s="261"/>
      <c r="Z14" s="594"/>
      <c r="AA14" s="603">
        <v>0.86799999999999999</v>
      </c>
      <c r="AB14" s="598"/>
      <c r="AC14" s="521"/>
      <c r="AD14" s="521"/>
      <c r="AE14" s="483"/>
      <c r="AF14" s="488"/>
    </row>
    <row r="15" spans="1:32" x14ac:dyDescent="0.3">
      <c r="A15" s="481"/>
      <c r="B15" s="482"/>
      <c r="C15" s="263"/>
      <c r="D15" s="263"/>
      <c r="E15" s="263"/>
      <c r="F15" s="482"/>
      <c r="G15" s="263"/>
      <c r="H15" s="483"/>
      <c r="I15" s="484"/>
      <c r="J15" s="483"/>
      <c r="K15" s="483"/>
      <c r="L15" s="261"/>
      <c r="M15" s="483"/>
      <c r="N15" s="485"/>
      <c r="O15" s="486"/>
      <c r="P15" s="487"/>
      <c r="Q15" s="487"/>
      <c r="R15" s="487"/>
      <c r="S15" s="261"/>
      <c r="T15" s="595"/>
      <c r="U15" s="487"/>
      <c r="V15" s="261"/>
      <c r="W15" s="595"/>
      <c r="X15" s="487"/>
      <c r="Y15" s="261"/>
      <c r="Z15" s="595"/>
      <c r="AA15" s="603"/>
      <c r="AB15" s="598"/>
      <c r="AC15" s="521"/>
      <c r="AD15" s="521"/>
      <c r="AE15" s="483"/>
      <c r="AF15" s="488"/>
    </row>
    <row r="16" spans="1:32" x14ac:dyDescent="0.3">
      <c r="A16" s="481"/>
      <c r="B16" s="482"/>
      <c r="C16" s="263"/>
      <c r="D16" s="263"/>
      <c r="E16" s="263"/>
      <c r="F16" s="482"/>
      <c r="G16" s="263"/>
      <c r="H16" s="483"/>
      <c r="I16" s="484"/>
      <c r="J16" s="483"/>
      <c r="K16" s="483"/>
      <c r="L16" s="261"/>
      <c r="M16" s="483"/>
      <c r="N16" s="485"/>
      <c r="O16" s="486"/>
      <c r="P16" s="487"/>
      <c r="Q16" s="487"/>
      <c r="R16" s="487"/>
      <c r="S16" s="261"/>
      <c r="T16" s="595"/>
      <c r="U16" s="487"/>
      <c r="V16" s="261"/>
      <c r="W16" s="595"/>
      <c r="X16" s="487"/>
      <c r="Y16" s="261"/>
      <c r="Z16" s="595"/>
      <c r="AA16" s="603"/>
      <c r="AB16" s="598"/>
      <c r="AC16" s="521"/>
      <c r="AD16" s="521"/>
      <c r="AE16" s="483"/>
      <c r="AF16" s="488"/>
    </row>
    <row r="17" spans="1:32" x14ac:dyDescent="0.3">
      <c r="A17" s="481"/>
      <c r="B17" s="482"/>
      <c r="C17" s="263"/>
      <c r="D17" s="263"/>
      <c r="E17" s="263"/>
      <c r="F17" s="482"/>
      <c r="G17" s="263"/>
      <c r="H17" s="483"/>
      <c r="I17" s="484"/>
      <c r="J17" s="483"/>
      <c r="K17" s="483"/>
      <c r="L17" s="261"/>
      <c r="M17" s="483"/>
      <c r="N17" s="485"/>
      <c r="O17" s="486"/>
      <c r="P17" s="487"/>
      <c r="Q17" s="487"/>
      <c r="R17" s="487"/>
      <c r="S17" s="261"/>
      <c r="T17" s="595"/>
      <c r="U17" s="487"/>
      <c r="V17" s="261"/>
      <c r="W17" s="595"/>
      <c r="X17" s="487"/>
      <c r="Y17" s="261"/>
      <c r="Z17" s="595"/>
      <c r="AA17" s="603"/>
      <c r="AB17" s="599"/>
      <c r="AC17" s="483"/>
      <c r="AD17" s="483"/>
      <c r="AE17" s="483"/>
      <c r="AF17" s="488"/>
    </row>
    <row r="18" spans="1:32" x14ac:dyDescent="0.3">
      <c r="A18" s="481"/>
      <c r="B18" s="482"/>
      <c r="C18" s="263"/>
      <c r="D18" s="263"/>
      <c r="E18" s="263"/>
      <c r="F18" s="482"/>
      <c r="G18" s="263"/>
      <c r="H18" s="483"/>
      <c r="I18" s="484"/>
      <c r="J18" s="483"/>
      <c r="K18" s="483"/>
      <c r="L18" s="261"/>
      <c r="M18" s="483"/>
      <c r="N18" s="485"/>
      <c r="O18" s="486"/>
      <c r="P18" s="487"/>
      <c r="Q18" s="487"/>
      <c r="R18" s="487"/>
      <c r="S18" s="261"/>
      <c r="T18" s="595"/>
      <c r="U18" s="487"/>
      <c r="V18" s="261"/>
      <c r="W18" s="595"/>
      <c r="X18" s="487"/>
      <c r="Y18" s="261"/>
      <c r="Z18" s="595"/>
      <c r="AA18" s="603"/>
      <c r="AB18" s="599"/>
      <c r="AC18" s="483"/>
      <c r="AD18" s="483"/>
      <c r="AE18" s="483"/>
      <c r="AF18" s="488"/>
    </row>
    <row r="19" spans="1:32" x14ac:dyDescent="0.3">
      <c r="A19" s="481"/>
      <c r="B19" s="482"/>
      <c r="C19" s="263"/>
      <c r="D19" s="263"/>
      <c r="E19" s="263"/>
      <c r="F19" s="482"/>
      <c r="G19" s="263"/>
      <c r="H19" s="483"/>
      <c r="I19" s="484"/>
      <c r="J19" s="483"/>
      <c r="K19" s="483"/>
      <c r="L19" s="261"/>
      <c r="M19" s="483"/>
      <c r="N19" s="485"/>
      <c r="O19" s="486"/>
      <c r="P19" s="487"/>
      <c r="Q19" s="487"/>
      <c r="R19" s="487"/>
      <c r="S19" s="261"/>
      <c r="T19" s="595"/>
      <c r="U19" s="487"/>
      <c r="V19" s="261"/>
      <c r="W19" s="595"/>
      <c r="X19" s="487"/>
      <c r="Y19" s="261"/>
      <c r="Z19" s="595"/>
      <c r="AA19" s="603"/>
      <c r="AB19" s="599"/>
      <c r="AC19" s="483"/>
      <c r="AD19" s="483"/>
      <c r="AE19" s="483"/>
      <c r="AF19" s="488"/>
    </row>
    <row r="20" spans="1:32" x14ac:dyDescent="0.3">
      <c r="A20" s="481"/>
      <c r="B20" s="482"/>
      <c r="C20" s="263"/>
      <c r="D20" s="263"/>
      <c r="E20" s="263"/>
      <c r="F20" s="482"/>
      <c r="G20" s="263"/>
      <c r="H20" s="483"/>
      <c r="I20" s="484"/>
      <c r="J20" s="483"/>
      <c r="K20" s="483"/>
      <c r="L20" s="261"/>
      <c r="M20" s="483"/>
      <c r="N20" s="485"/>
      <c r="O20" s="486"/>
      <c r="P20" s="487"/>
      <c r="Q20" s="487"/>
      <c r="R20" s="487"/>
      <c r="S20" s="261"/>
      <c r="T20" s="595"/>
      <c r="U20" s="487"/>
      <c r="V20" s="261"/>
      <c r="W20" s="595"/>
      <c r="X20" s="487"/>
      <c r="Y20" s="261"/>
      <c r="Z20" s="595"/>
      <c r="AA20" s="603"/>
      <c r="AB20" s="599"/>
      <c r="AC20" s="483"/>
      <c r="AD20" s="483"/>
      <c r="AE20" s="483"/>
      <c r="AF20" s="488"/>
    </row>
    <row r="21" spans="1:32" x14ac:dyDescent="0.3">
      <c r="A21" s="481"/>
      <c r="B21" s="482"/>
      <c r="C21" s="263"/>
      <c r="D21" s="263"/>
      <c r="E21" s="263"/>
      <c r="F21" s="482"/>
      <c r="G21" s="263"/>
      <c r="H21" s="483"/>
      <c r="I21" s="484"/>
      <c r="J21" s="483"/>
      <c r="K21" s="483"/>
      <c r="L21" s="261"/>
      <c r="M21" s="483"/>
      <c r="N21" s="485"/>
      <c r="O21" s="486"/>
      <c r="P21" s="487"/>
      <c r="Q21" s="487"/>
      <c r="R21" s="487"/>
      <c r="S21" s="261"/>
      <c r="T21" s="595"/>
      <c r="U21" s="487"/>
      <c r="V21" s="261"/>
      <c r="W21" s="595"/>
      <c r="X21" s="487"/>
      <c r="Y21" s="261"/>
      <c r="Z21" s="595"/>
      <c r="AA21" s="603"/>
      <c r="AB21" s="599"/>
      <c r="AC21" s="483"/>
      <c r="AD21" s="483"/>
      <c r="AE21" s="483"/>
      <c r="AF21" s="488"/>
    </row>
    <row r="22" spans="1:32" x14ac:dyDescent="0.3">
      <c r="A22" s="481"/>
      <c r="B22" s="482"/>
      <c r="C22" s="263"/>
      <c r="D22" s="263"/>
      <c r="E22" s="263"/>
      <c r="F22" s="482"/>
      <c r="G22" s="263"/>
      <c r="H22" s="483"/>
      <c r="I22" s="484"/>
      <c r="J22" s="483"/>
      <c r="K22" s="483"/>
      <c r="L22" s="261"/>
      <c r="M22" s="483"/>
      <c r="N22" s="485"/>
      <c r="O22" s="486"/>
      <c r="P22" s="487"/>
      <c r="Q22" s="487"/>
      <c r="R22" s="487"/>
      <c r="S22" s="261"/>
      <c r="T22" s="595"/>
      <c r="U22" s="487"/>
      <c r="V22" s="261"/>
      <c r="W22" s="595"/>
      <c r="X22" s="487"/>
      <c r="Y22" s="261"/>
      <c r="Z22" s="595"/>
      <c r="AA22" s="603"/>
      <c r="AB22" s="599"/>
      <c r="AC22" s="483"/>
      <c r="AD22" s="483"/>
      <c r="AE22" s="483"/>
      <c r="AF22" s="488"/>
    </row>
    <row r="23" spans="1:32" x14ac:dyDescent="0.3">
      <c r="A23" s="481"/>
      <c r="B23" s="482"/>
      <c r="C23" s="263"/>
      <c r="D23" s="263"/>
      <c r="E23" s="263"/>
      <c r="F23" s="482"/>
      <c r="G23" s="263"/>
      <c r="H23" s="483"/>
      <c r="I23" s="484"/>
      <c r="J23" s="483"/>
      <c r="K23" s="483"/>
      <c r="L23" s="261"/>
      <c r="M23" s="483"/>
      <c r="N23" s="485"/>
      <c r="O23" s="486"/>
      <c r="P23" s="487"/>
      <c r="Q23" s="487"/>
      <c r="R23" s="487"/>
      <c r="S23" s="261"/>
      <c r="T23" s="595"/>
      <c r="U23" s="487"/>
      <c r="V23" s="261"/>
      <c r="W23" s="595"/>
      <c r="X23" s="487"/>
      <c r="Y23" s="261"/>
      <c r="Z23" s="595"/>
      <c r="AA23" s="603"/>
      <c r="AB23" s="599"/>
      <c r="AC23" s="483"/>
      <c r="AD23" s="483"/>
      <c r="AE23" s="483"/>
      <c r="AF23" s="488"/>
    </row>
    <row r="24" spans="1:32" x14ac:dyDescent="0.3">
      <c r="A24" s="481"/>
      <c r="B24" s="482"/>
      <c r="C24" s="263"/>
      <c r="D24" s="263"/>
      <c r="E24" s="263"/>
      <c r="F24" s="482"/>
      <c r="G24" s="263"/>
      <c r="H24" s="483"/>
      <c r="I24" s="484"/>
      <c r="J24" s="483"/>
      <c r="K24" s="483"/>
      <c r="L24" s="261"/>
      <c r="M24" s="483"/>
      <c r="N24" s="485"/>
      <c r="O24" s="486"/>
      <c r="P24" s="487"/>
      <c r="Q24" s="487"/>
      <c r="R24" s="487"/>
      <c r="S24" s="261"/>
      <c r="T24" s="595"/>
      <c r="U24" s="487"/>
      <c r="V24" s="261"/>
      <c r="W24" s="595"/>
      <c r="X24" s="487"/>
      <c r="Y24" s="261"/>
      <c r="Z24" s="595"/>
      <c r="AA24" s="603"/>
      <c r="AB24" s="599"/>
      <c r="AC24" s="483"/>
      <c r="AD24" s="483"/>
      <c r="AE24" s="483"/>
      <c r="AF24" s="488"/>
    </row>
    <row r="25" spans="1:32" x14ac:dyDescent="0.3">
      <c r="A25" s="481"/>
      <c r="B25" s="482"/>
      <c r="C25" s="263"/>
      <c r="D25" s="263"/>
      <c r="E25" s="263"/>
      <c r="F25" s="482"/>
      <c r="G25" s="263"/>
      <c r="H25" s="483"/>
      <c r="I25" s="484"/>
      <c r="J25" s="483"/>
      <c r="K25" s="483"/>
      <c r="L25" s="261"/>
      <c r="M25" s="483"/>
      <c r="N25" s="485"/>
      <c r="O25" s="486"/>
      <c r="P25" s="487"/>
      <c r="Q25" s="487"/>
      <c r="R25" s="487"/>
      <c r="S25" s="261"/>
      <c r="T25" s="595"/>
      <c r="U25" s="487"/>
      <c r="V25" s="261"/>
      <c r="W25" s="595"/>
      <c r="X25" s="487"/>
      <c r="Y25" s="261"/>
      <c r="Z25" s="595"/>
      <c r="AA25" s="603"/>
      <c r="AB25" s="599"/>
      <c r="AC25" s="483"/>
      <c r="AD25" s="483"/>
      <c r="AE25" s="483"/>
      <c r="AF25" s="488"/>
    </row>
    <row r="26" spans="1:32" ht="15" thickBot="1" x14ac:dyDescent="0.35">
      <c r="A26" s="489"/>
      <c r="B26" s="490"/>
      <c r="C26" s="491"/>
      <c r="D26" s="491"/>
      <c r="E26" s="491"/>
      <c r="F26" s="490"/>
      <c r="G26" s="491"/>
      <c r="H26" s="492"/>
      <c r="I26" s="493"/>
      <c r="J26" s="492"/>
      <c r="K26" s="492"/>
      <c r="L26" s="494"/>
      <c r="M26" s="492"/>
      <c r="N26" s="495"/>
      <c r="O26" s="496"/>
      <c r="P26" s="497"/>
      <c r="Q26" s="497"/>
      <c r="R26" s="497"/>
      <c r="S26" s="494"/>
      <c r="T26" s="596"/>
      <c r="U26" s="497"/>
      <c r="V26" s="494"/>
      <c r="W26" s="596"/>
      <c r="X26" s="497"/>
      <c r="Y26" s="494"/>
      <c r="Z26" s="596"/>
      <c r="AA26" s="604"/>
      <c r="AB26" s="600"/>
      <c r="AC26" s="492"/>
      <c r="AD26" s="492"/>
      <c r="AE26" s="492"/>
      <c r="AF26" s="498"/>
    </row>
    <row r="27" spans="1:32" ht="4.95" customHeight="1" thickBot="1" x14ac:dyDescent="0.35">
      <c r="A27" s="263"/>
      <c r="B27" s="482"/>
      <c r="C27" s="263"/>
      <c r="D27" s="263"/>
      <c r="E27" s="263"/>
      <c r="F27" s="482"/>
      <c r="G27" s="263"/>
      <c r="H27" s="483"/>
      <c r="I27" s="484"/>
      <c r="J27" s="483"/>
      <c r="K27" s="483"/>
      <c r="L27" s="261"/>
      <c r="M27" s="483"/>
      <c r="N27" s="485"/>
      <c r="O27" s="486"/>
      <c r="P27" s="487"/>
      <c r="Q27" s="487"/>
      <c r="R27" s="487"/>
      <c r="S27" s="487"/>
      <c r="T27" s="487"/>
      <c r="U27" s="484"/>
      <c r="V27" s="484"/>
      <c r="W27" s="483"/>
      <c r="X27" s="483"/>
      <c r="Y27" s="483"/>
      <c r="Z27" s="483"/>
      <c r="AA27" s="263"/>
    </row>
    <row r="28" spans="1:32" x14ac:dyDescent="0.3">
      <c r="A28" s="263"/>
      <c r="B28" s="482"/>
      <c r="C28" s="263"/>
      <c r="D28" s="263"/>
      <c r="E28" s="263"/>
      <c r="F28" s="482"/>
      <c r="G28" s="263"/>
      <c r="H28" s="483"/>
      <c r="I28" s="484"/>
      <c r="J28" s="483"/>
      <c r="K28" s="483"/>
      <c r="L28" s="261"/>
      <c r="M28" s="305"/>
      <c r="N28" s="281"/>
      <c r="O28" s="281"/>
      <c r="P28" s="612"/>
      <c r="Q28" s="499" t="s">
        <v>231</v>
      </c>
      <c r="R28" s="613" t="s">
        <v>324</v>
      </c>
      <c r="S28" s="500" t="s">
        <v>325</v>
      </c>
      <c r="T28" s="499" t="s">
        <v>275</v>
      </c>
      <c r="U28" s="613" t="s">
        <v>232</v>
      </c>
      <c r="V28" s="500" t="s">
        <v>325</v>
      </c>
      <c r="W28" s="614" t="s">
        <v>275</v>
      </c>
      <c r="X28" s="613" t="s">
        <v>314</v>
      </c>
      <c r="Y28" s="500" t="s">
        <v>325</v>
      </c>
      <c r="Z28" s="614" t="s">
        <v>275</v>
      </c>
      <c r="AA28" s="263"/>
    </row>
    <row r="29" spans="1:32" x14ac:dyDescent="0.3">
      <c r="A29" s="263"/>
      <c r="B29" s="482"/>
      <c r="C29" s="263"/>
      <c r="D29" s="263"/>
      <c r="E29" s="263"/>
      <c r="F29" s="482"/>
      <c r="G29" s="263"/>
      <c r="H29" s="483"/>
      <c r="I29" s="484"/>
      <c r="J29" s="483"/>
      <c r="K29" s="483"/>
      <c r="L29" s="261"/>
      <c r="M29" s="501" t="s">
        <v>240</v>
      </c>
      <c r="N29" s="502" t="s">
        <v>241</v>
      </c>
      <c r="O29" s="252"/>
      <c r="P29" s="615"/>
      <c r="Q29" s="80" t="e">
        <f t="shared" ref="Q29:Z29" si="4">AVERAGE(Q10:Q26)</f>
        <v>#DIV/0!</v>
      </c>
      <c r="R29" s="616">
        <f t="shared" si="4"/>
        <v>1646</v>
      </c>
      <c r="S29" s="617">
        <f t="shared" si="4"/>
        <v>1045</v>
      </c>
      <c r="T29" s="618" t="e">
        <f t="shared" si="4"/>
        <v>#DIV/0!</v>
      </c>
      <c r="U29" s="616">
        <f t="shared" si="4"/>
        <v>1886.4</v>
      </c>
      <c r="V29" s="617">
        <f t="shared" si="4"/>
        <v>1308.5999999999999</v>
      </c>
      <c r="W29" s="619">
        <f t="shared" si="4"/>
        <v>1.4451802854494806</v>
      </c>
      <c r="X29" s="616">
        <f t="shared" si="4"/>
        <v>2063.25</v>
      </c>
      <c r="Y29" s="617">
        <f t="shared" si="4"/>
        <v>1316.5</v>
      </c>
      <c r="Z29" s="619">
        <f t="shared" si="4"/>
        <v>1.5830023080235207</v>
      </c>
      <c r="AA29" s="263"/>
    </row>
    <row r="30" spans="1:32" x14ac:dyDescent="0.3">
      <c r="A30" s="263"/>
      <c r="B30" s="482"/>
      <c r="C30" s="263"/>
      <c r="D30" s="263"/>
      <c r="E30" s="263"/>
      <c r="F30" s="482"/>
      <c r="G30" s="263"/>
      <c r="H30" s="483"/>
      <c r="I30" s="484"/>
      <c r="J30" s="483"/>
      <c r="K30" s="483"/>
      <c r="L30" s="261"/>
      <c r="M30" s="503" t="s">
        <v>242</v>
      </c>
      <c r="N30" s="504" t="s">
        <v>243</v>
      </c>
      <c r="P30" s="620"/>
      <c r="Q30" s="505">
        <f t="shared" ref="Q30:Z30" si="5">Q7</f>
        <v>0</v>
      </c>
      <c r="R30" s="621">
        <f t="shared" si="5"/>
        <v>1568.6399999999999</v>
      </c>
      <c r="S30" s="617">
        <f t="shared" si="5"/>
        <v>745</v>
      </c>
      <c r="T30" s="618">
        <f t="shared" si="5"/>
        <v>2.1055570469798655</v>
      </c>
      <c r="U30" s="616">
        <f t="shared" si="5"/>
        <v>2441.5257675438597</v>
      </c>
      <c r="V30" s="617">
        <f t="shared" si="5"/>
        <v>1068.5999999999999</v>
      </c>
      <c r="W30" s="619">
        <f t="shared" si="5"/>
        <v>2.2847892265991576</v>
      </c>
      <c r="X30" s="616">
        <f t="shared" si="5"/>
        <v>0</v>
      </c>
      <c r="Y30" s="617">
        <f t="shared" si="5"/>
        <v>1179.5</v>
      </c>
      <c r="Z30" s="619">
        <f t="shared" si="5"/>
        <v>0</v>
      </c>
      <c r="AA30" s="263"/>
    </row>
    <row r="31" spans="1:32" x14ac:dyDescent="0.3">
      <c r="A31" s="263"/>
      <c r="B31" s="482"/>
      <c r="C31" s="263"/>
      <c r="D31" s="263"/>
      <c r="E31" s="263"/>
      <c r="F31" s="482"/>
      <c r="G31" s="263"/>
      <c r="H31" s="483"/>
      <c r="I31" s="484"/>
      <c r="J31" s="483"/>
      <c r="K31" s="483"/>
      <c r="L31" s="261"/>
      <c r="M31" s="503"/>
      <c r="N31" s="504"/>
      <c r="P31" s="620"/>
      <c r="Q31" s="505"/>
      <c r="R31" s="622"/>
      <c r="S31" s="623"/>
      <c r="T31" s="624"/>
      <c r="U31" s="625"/>
      <c r="V31" s="617"/>
      <c r="W31" s="626"/>
      <c r="X31" s="625"/>
      <c r="Y31" s="617"/>
      <c r="Z31" s="626"/>
      <c r="AA31" s="263"/>
    </row>
    <row r="32" spans="1:32" ht="15" thickBot="1" x14ac:dyDescent="0.35">
      <c r="A32" s="263"/>
      <c r="B32" s="482"/>
      <c r="C32" s="263"/>
      <c r="D32" s="263"/>
      <c r="E32" s="263"/>
      <c r="F32" s="482"/>
      <c r="G32" s="263"/>
      <c r="H32" s="483"/>
      <c r="I32" s="484"/>
      <c r="J32" s="483"/>
      <c r="K32" s="483"/>
      <c r="L32" s="261"/>
      <c r="M32" s="506" t="s">
        <v>244</v>
      </c>
      <c r="N32" s="507" t="s">
        <v>245</v>
      </c>
      <c r="O32" s="256"/>
      <c r="P32" s="627"/>
      <c r="Q32" s="508" t="e">
        <f>Q29-Q30</f>
        <v>#DIV/0!</v>
      </c>
      <c r="R32" s="645">
        <f>R29-R30</f>
        <v>77.360000000000127</v>
      </c>
      <c r="S32" s="628"/>
      <c r="T32" s="643" t="e">
        <f>T29-T30</f>
        <v>#DIV/0!</v>
      </c>
      <c r="U32" s="645">
        <f>U29-U30</f>
        <v>-555.12576754385964</v>
      </c>
      <c r="V32" s="628"/>
      <c r="W32" s="644">
        <f>W29-W30</f>
        <v>-0.83960894114967699</v>
      </c>
      <c r="X32" s="645">
        <f>X29-X30</f>
        <v>2063.25</v>
      </c>
      <c r="Y32" s="628"/>
      <c r="Z32" s="644">
        <f>Z29-Z30</f>
        <v>1.5830023080235207</v>
      </c>
      <c r="AA32" s="263"/>
    </row>
    <row r="33" spans="1:27" x14ac:dyDescent="0.3">
      <c r="A33" s="263"/>
      <c r="B33" s="482"/>
      <c r="C33" s="263"/>
      <c r="D33" s="263"/>
      <c r="E33" s="263"/>
      <c r="F33" s="482"/>
      <c r="G33" s="263"/>
      <c r="H33" s="483"/>
      <c r="I33" s="484"/>
      <c r="J33" s="483"/>
      <c r="K33" s="483"/>
      <c r="L33" s="261"/>
      <c r="M33" s="509" t="s">
        <v>246</v>
      </c>
      <c r="N33" s="485"/>
      <c r="O33" s="486"/>
      <c r="P33" s="487"/>
      <c r="Q33" s="487"/>
      <c r="R33" s="487"/>
      <c r="S33" s="487"/>
      <c r="T33" s="487"/>
      <c r="U33" s="484"/>
      <c r="V33" s="484"/>
      <c r="W33" s="483"/>
      <c r="X33" s="483"/>
      <c r="Y33" s="483"/>
      <c r="Z33" s="483"/>
      <c r="AA33" s="263"/>
    </row>
    <row r="34" spans="1:27" x14ac:dyDescent="0.3">
      <c r="A34" s="263"/>
      <c r="B34" s="482"/>
      <c r="C34" s="510"/>
      <c r="D34" s="510"/>
      <c r="E34" s="263"/>
      <c r="F34" s="482"/>
      <c r="G34" s="263"/>
      <c r="H34" s="483"/>
      <c r="I34" s="484"/>
      <c r="J34" s="483"/>
      <c r="K34" s="483"/>
      <c r="L34" s="261"/>
      <c r="N34" s="485"/>
      <c r="O34" s="486"/>
      <c r="P34" s="487"/>
      <c r="Q34" s="487"/>
      <c r="R34" s="487"/>
      <c r="S34" s="487"/>
      <c r="T34" s="487"/>
      <c r="U34" s="484"/>
      <c r="V34" s="484"/>
      <c r="W34" s="483"/>
      <c r="X34" s="483"/>
      <c r="Y34" s="483"/>
      <c r="Z34" s="483"/>
      <c r="AA34" s="263"/>
    </row>
    <row r="35" spans="1:27" x14ac:dyDescent="0.3">
      <c r="A35" s="263"/>
      <c r="B35" s="482"/>
      <c r="C35" s="263"/>
      <c r="D35" s="263"/>
      <c r="E35" s="263"/>
      <c r="F35" s="482"/>
      <c r="G35" s="263"/>
      <c r="H35" s="483"/>
      <c r="I35" s="484"/>
      <c r="J35" s="483"/>
      <c r="K35" s="483"/>
      <c r="L35" s="261"/>
      <c r="M35" s="483"/>
      <c r="N35" s="485"/>
      <c r="O35" s="486"/>
      <c r="P35" s="487"/>
      <c r="Q35" s="487"/>
      <c r="R35" s="487"/>
      <c r="S35" s="487"/>
      <c r="T35" s="487"/>
      <c r="U35" s="484"/>
      <c r="V35" s="484"/>
      <c r="W35" s="483"/>
      <c r="X35" s="483"/>
      <c r="Y35" s="483"/>
      <c r="Z35" s="483"/>
      <c r="AA35" s="263"/>
    </row>
    <row r="36" spans="1:27" x14ac:dyDescent="0.3">
      <c r="A36" s="263"/>
      <c r="B36" s="482"/>
      <c r="C36" s="263"/>
      <c r="D36" s="263"/>
      <c r="E36" s="263"/>
      <c r="F36" s="482"/>
      <c r="G36" s="263"/>
      <c r="H36" s="483"/>
      <c r="I36" s="484"/>
      <c r="J36" s="483"/>
      <c r="K36" s="483"/>
      <c r="L36" s="261"/>
      <c r="M36" s="483"/>
      <c r="N36" s="485"/>
      <c r="O36" s="486"/>
      <c r="P36" s="487"/>
      <c r="Q36" s="487"/>
      <c r="R36" s="487"/>
      <c r="S36" s="487"/>
      <c r="T36" s="487"/>
      <c r="U36" s="484"/>
      <c r="V36" s="484"/>
      <c r="W36" s="483"/>
      <c r="X36" s="483"/>
      <c r="Y36" s="483"/>
      <c r="Z36" s="483"/>
      <c r="AA36" s="263"/>
    </row>
    <row r="37" spans="1:27" x14ac:dyDescent="0.3">
      <c r="A37" s="263"/>
      <c r="B37" s="482"/>
      <c r="C37" s="263"/>
      <c r="D37" s="263"/>
      <c r="E37" s="263"/>
      <c r="F37" s="482"/>
      <c r="G37" s="263"/>
      <c r="H37" s="483"/>
      <c r="I37" s="484"/>
      <c r="J37" s="483"/>
      <c r="K37" s="483"/>
      <c r="L37" s="261"/>
      <c r="M37" s="483"/>
      <c r="N37" s="485"/>
      <c r="O37" s="486"/>
      <c r="P37" s="487"/>
      <c r="Q37" s="487"/>
      <c r="R37" s="487"/>
      <c r="S37" s="487"/>
      <c r="T37" s="487"/>
      <c r="U37" s="484"/>
      <c r="V37" s="484"/>
      <c r="W37" s="483"/>
      <c r="X37" s="483"/>
      <c r="Y37" s="483"/>
      <c r="Z37" s="483"/>
      <c r="AA37" s="263"/>
    </row>
    <row r="38" spans="1:27" x14ac:dyDescent="0.3">
      <c r="A38" s="263"/>
      <c r="B38" s="482"/>
      <c r="C38" s="263"/>
      <c r="D38" s="263"/>
      <c r="E38" s="263"/>
      <c r="F38" s="482"/>
      <c r="G38" s="263"/>
      <c r="H38" s="483"/>
      <c r="I38" s="484"/>
      <c r="J38" s="483"/>
      <c r="K38" s="483"/>
      <c r="L38" s="261"/>
      <c r="M38" s="483"/>
      <c r="N38" s="485"/>
      <c r="O38" s="486"/>
      <c r="P38" s="487"/>
      <c r="Q38" s="487"/>
      <c r="R38" s="487"/>
      <c r="S38" s="487"/>
      <c r="T38" s="487"/>
      <c r="U38" s="484"/>
      <c r="V38" s="484"/>
      <c r="W38" s="483"/>
      <c r="X38" s="483"/>
      <c r="Y38" s="483"/>
      <c r="Z38" s="483"/>
      <c r="AA38" s="263"/>
    </row>
    <row r="39" spans="1:27" x14ac:dyDescent="0.3">
      <c r="A39" s="263"/>
      <c r="B39" s="482"/>
      <c r="C39" s="263"/>
      <c r="D39" s="263"/>
      <c r="E39" s="263"/>
      <c r="F39" s="482"/>
      <c r="G39" s="263"/>
      <c r="H39" s="483"/>
      <c r="I39" s="484"/>
      <c r="J39" s="483"/>
      <c r="K39" s="483"/>
      <c r="L39" s="261"/>
      <c r="M39" s="483"/>
      <c r="N39" s="485"/>
      <c r="O39" s="486"/>
      <c r="P39" s="487"/>
      <c r="Q39" s="487"/>
      <c r="R39" s="487"/>
      <c r="S39" s="487"/>
      <c r="T39" s="487"/>
      <c r="U39" s="484"/>
      <c r="V39" s="484"/>
      <c r="W39" s="483"/>
      <c r="X39" s="483"/>
      <c r="Y39" s="483"/>
      <c r="Z39" s="483"/>
      <c r="AA39" s="263"/>
    </row>
    <row r="40" spans="1:27" x14ac:dyDescent="0.3">
      <c r="A40" s="263"/>
      <c r="B40" s="482"/>
      <c r="C40" s="263"/>
      <c r="D40" s="263"/>
      <c r="E40" s="263"/>
      <c r="F40" s="482"/>
      <c r="G40" s="263"/>
      <c r="H40" s="483"/>
      <c r="I40" s="484"/>
      <c r="J40" s="483"/>
      <c r="K40" s="483"/>
      <c r="L40" s="261"/>
      <c r="M40" s="483"/>
      <c r="N40" s="485"/>
      <c r="O40" s="486"/>
      <c r="P40" s="487"/>
      <c r="Q40" s="487"/>
      <c r="R40" s="487"/>
      <c r="S40" s="487"/>
      <c r="T40" s="487"/>
      <c r="U40" s="484"/>
      <c r="V40" s="484"/>
      <c r="W40" s="483"/>
      <c r="X40" s="483"/>
      <c r="Y40" s="483"/>
      <c r="Z40" s="483"/>
      <c r="AA40" s="263"/>
    </row>
    <row r="41" spans="1:27" x14ac:dyDescent="0.3">
      <c r="A41" s="263"/>
      <c r="B41" s="482"/>
      <c r="C41" s="263"/>
      <c r="D41" s="263"/>
      <c r="E41" s="263"/>
      <c r="F41" s="482"/>
      <c r="G41" s="263"/>
      <c r="H41" s="483"/>
      <c r="I41" s="484"/>
      <c r="J41" s="483"/>
      <c r="K41" s="483"/>
      <c r="L41" s="261"/>
      <c r="M41" s="483"/>
      <c r="N41" s="485"/>
      <c r="O41" s="486"/>
      <c r="P41" s="487"/>
      <c r="Q41" s="487"/>
      <c r="R41" s="487"/>
      <c r="S41" s="487"/>
      <c r="T41" s="487"/>
      <c r="U41" s="484"/>
      <c r="V41" s="484"/>
      <c r="W41" s="483"/>
      <c r="X41" s="483"/>
      <c r="Y41" s="483"/>
      <c r="Z41" s="483"/>
      <c r="AA41" s="263"/>
    </row>
    <row r="42" spans="1:27" x14ac:dyDescent="0.3">
      <c r="A42" s="263"/>
      <c r="B42" s="482"/>
      <c r="C42" s="263"/>
      <c r="D42" s="263"/>
      <c r="E42" s="263"/>
      <c r="F42" s="482"/>
      <c r="G42" s="263"/>
      <c r="H42" s="483"/>
      <c r="I42" s="484"/>
      <c r="J42" s="483"/>
      <c r="K42" s="483"/>
      <c r="L42" s="261"/>
      <c r="M42" s="483"/>
      <c r="N42" s="485"/>
      <c r="O42" s="486"/>
      <c r="P42" s="487"/>
      <c r="Q42" s="487"/>
      <c r="R42" s="487"/>
      <c r="S42" s="487"/>
      <c r="T42" s="487"/>
      <c r="U42" s="484"/>
      <c r="V42" s="484"/>
      <c r="W42" s="483"/>
      <c r="X42" s="483"/>
      <c r="Y42" s="483"/>
      <c r="Z42" s="483"/>
      <c r="AA42" s="263"/>
    </row>
    <row r="43" spans="1:27" x14ac:dyDescent="0.3">
      <c r="A43" s="263"/>
      <c r="B43" s="482"/>
      <c r="C43" s="263"/>
      <c r="D43" s="263"/>
      <c r="E43" s="263"/>
      <c r="F43" s="482"/>
      <c r="G43" s="263"/>
      <c r="H43" s="483"/>
      <c r="I43" s="484"/>
      <c r="J43" s="483"/>
      <c r="K43" s="483"/>
      <c r="L43" s="261"/>
      <c r="M43" s="483"/>
      <c r="N43" s="485"/>
      <c r="O43" s="486"/>
      <c r="P43" s="487"/>
      <c r="Q43" s="487"/>
      <c r="R43" s="487"/>
      <c r="S43" s="487"/>
      <c r="T43" s="487"/>
      <c r="U43" s="484"/>
      <c r="V43" s="484"/>
      <c r="W43" s="483"/>
      <c r="X43" s="483"/>
      <c r="Y43" s="483"/>
      <c r="Z43" s="483"/>
      <c r="AA43" s="263"/>
    </row>
    <row r="44" spans="1:27" x14ac:dyDescent="0.3">
      <c r="A44" s="263"/>
      <c r="B44" s="482"/>
      <c r="C44" s="263"/>
      <c r="D44" s="263"/>
      <c r="E44" s="263"/>
      <c r="F44" s="482"/>
      <c r="G44" s="263"/>
      <c r="H44" s="483"/>
      <c r="I44" s="484"/>
      <c r="J44" s="483"/>
      <c r="K44" s="483"/>
      <c r="L44" s="261"/>
      <c r="M44" s="483"/>
      <c r="N44" s="485"/>
      <c r="O44" s="486"/>
      <c r="P44" s="487"/>
      <c r="Q44" s="487"/>
      <c r="R44" s="487"/>
      <c r="S44" s="487"/>
      <c r="T44" s="487"/>
      <c r="U44" s="484"/>
      <c r="V44" s="484"/>
      <c r="W44" s="483"/>
      <c r="X44" s="483"/>
      <c r="Y44" s="483"/>
      <c r="Z44" s="483"/>
      <c r="AA44" s="263"/>
    </row>
  </sheetData>
  <conditionalFormatting sqref="Q32:R32 T32:U32 W32:X32 Z32">
    <cfRule type="cellIs" dxfId="1" priority="1" operator="lessThanOrEqual">
      <formula>0</formula>
    </cfRule>
    <cfRule type="cellIs" dxfId="0" priority="2" operator="greaterThan">
      <formula>0</formula>
    </cfRule>
  </conditionalFormatting>
  <hyperlinks>
    <hyperlink ref="D7" r:id="rId1" xr:uid="{395C4687-282B-4AA6-894E-8C47E735706F}"/>
    <hyperlink ref="D10" r:id="rId2" xr:uid="{71E8194C-575B-45DA-A62F-5E60F2E7C840}"/>
    <hyperlink ref="D12" r:id="rId3" xr:uid="{AEDC5102-CD93-4F43-A8F8-59A6464EDE11}"/>
    <hyperlink ref="D13" r:id="rId4" xr:uid="{9FC3DCB6-D38F-43C4-AFDB-890A9B44DB40}"/>
  </hyperlinks>
  <pageMargins left="0.7" right="0.7" top="0.75" bottom="0.75" header="0.3" footer="0.3"/>
  <pageSetup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BCC2-E7EC-4F2E-A63E-12D450F3862F}">
  <sheetPr>
    <tabColor theme="9" tint="-0.249977111117893"/>
  </sheetPr>
  <dimension ref="A1:AP115"/>
  <sheetViews>
    <sheetView zoomScaleNormal="100" workbookViewId="0">
      <pane ySplit="1" topLeftCell="A31" activePane="bottomLeft" state="frozen"/>
      <selection activeCell="B2" sqref="B2"/>
      <selection pane="bottomLeft"/>
    </sheetView>
  </sheetViews>
  <sheetFormatPr defaultColWidth="9.33203125" defaultRowHeight="13.2" outlineLevelRow="1" x14ac:dyDescent="0.25"/>
  <cols>
    <col min="1" max="1" width="9.33203125" style="15"/>
    <col min="2" max="2" width="21.33203125" style="15" customWidth="1"/>
    <col min="3" max="3" width="16" style="15" customWidth="1"/>
    <col min="4" max="4" width="16.44140625" style="15" customWidth="1"/>
    <col min="5" max="7" width="13" style="15" customWidth="1"/>
    <col min="8" max="8" width="2.33203125" style="15" customWidth="1"/>
    <col min="9" max="9" width="21.33203125" style="15" customWidth="1"/>
    <col min="10" max="10" width="16" style="15" customWidth="1"/>
    <col min="11" max="11" width="16.44140625" style="15" customWidth="1"/>
    <col min="12" max="14" width="13" style="15" customWidth="1"/>
    <col min="15" max="15" width="2.33203125" style="15" customWidth="1"/>
    <col min="16" max="16" width="21.33203125" style="15" customWidth="1"/>
    <col min="17" max="17" width="16" style="15" customWidth="1"/>
    <col min="18" max="18" width="16.44140625" style="15" customWidth="1"/>
    <col min="19" max="21" width="13" style="15" customWidth="1"/>
    <col min="22" max="22" width="2.33203125" style="15" customWidth="1"/>
    <col min="23" max="23" width="21.33203125" style="15" customWidth="1"/>
    <col min="24" max="24" width="16" style="15" customWidth="1"/>
    <col min="25" max="25" width="16.44140625" style="15" customWidth="1"/>
    <col min="26" max="28" width="13" style="15" customWidth="1"/>
    <col min="29" max="29" width="2.33203125" style="15" customWidth="1"/>
    <col min="30" max="30" width="21.33203125" style="15" customWidth="1"/>
    <col min="31" max="31" width="16" style="15" customWidth="1"/>
    <col min="32" max="32" width="16.44140625" style="15" customWidth="1"/>
    <col min="33" max="35" width="13" style="15" customWidth="1"/>
    <col min="36" max="36" width="2.33203125" style="15" customWidth="1"/>
    <col min="37" max="37" width="21.33203125" style="15" customWidth="1"/>
    <col min="38" max="38" width="16" style="15" customWidth="1"/>
    <col min="39" max="39" width="16.44140625" style="15" customWidth="1"/>
    <col min="40" max="42" width="13" style="15" customWidth="1"/>
    <col min="43" max="16384" width="9.33203125" style="15"/>
  </cols>
  <sheetData>
    <row r="1" spans="2:42" ht="17.399999999999999" x14ac:dyDescent="0.3">
      <c r="B1" s="14" t="s">
        <v>247</v>
      </c>
      <c r="D1" s="16"/>
      <c r="E1" s="17"/>
      <c r="I1" s="14" t="s">
        <v>248</v>
      </c>
      <c r="P1" s="14" t="s">
        <v>249</v>
      </c>
      <c r="W1" s="14" t="s">
        <v>250</v>
      </c>
      <c r="AD1" s="14" t="s">
        <v>251</v>
      </c>
      <c r="AK1" s="14" t="s">
        <v>252</v>
      </c>
    </row>
    <row r="2" spans="2:42" ht="15" x14ac:dyDescent="0.25">
      <c r="B2" s="18" t="s">
        <v>2</v>
      </c>
      <c r="C2" s="19"/>
      <c r="D2" s="20" t="s">
        <v>253</v>
      </c>
      <c r="E2" s="21"/>
      <c r="G2" s="22"/>
      <c r="I2" s="18" t="s">
        <v>2</v>
      </c>
      <c r="J2" s="19"/>
      <c r="K2" s="20" t="s">
        <v>253</v>
      </c>
      <c r="L2" s="21"/>
      <c r="M2" s="22"/>
      <c r="N2" s="22"/>
      <c r="P2" s="18" t="s">
        <v>2</v>
      </c>
      <c r="Q2" s="19"/>
      <c r="R2" s="20" t="s">
        <v>253</v>
      </c>
      <c r="S2" s="21"/>
      <c r="T2" s="22"/>
      <c r="U2" s="22"/>
      <c r="W2" s="18" t="s">
        <v>2</v>
      </c>
      <c r="X2" s="19"/>
      <c r="Y2" s="20" t="s">
        <v>253</v>
      </c>
      <c r="Z2" s="21"/>
      <c r="AA2" s="22"/>
      <c r="AB2" s="22"/>
      <c r="AD2" s="18" t="s">
        <v>2</v>
      </c>
      <c r="AE2" s="19"/>
      <c r="AF2" s="20" t="s">
        <v>253</v>
      </c>
      <c r="AG2" s="21"/>
      <c r="AH2" s="22"/>
      <c r="AI2" s="22"/>
      <c r="AK2" s="18" t="s">
        <v>2</v>
      </c>
      <c r="AL2" s="19"/>
      <c r="AM2" s="20" t="s">
        <v>253</v>
      </c>
      <c r="AN2" s="21"/>
      <c r="AO2" s="22"/>
      <c r="AP2" s="22"/>
    </row>
    <row r="3" spans="2:42" ht="15" x14ac:dyDescent="0.25">
      <c r="B3" s="23" t="s">
        <v>254</v>
      </c>
      <c r="C3" s="21"/>
      <c r="D3" s="20" t="s">
        <v>255</v>
      </c>
      <c r="E3" s="21"/>
      <c r="G3" s="24"/>
      <c r="I3" s="23" t="s">
        <v>254</v>
      </c>
      <c r="J3" s="21"/>
      <c r="K3" s="20" t="s">
        <v>255</v>
      </c>
      <c r="L3" s="21"/>
      <c r="M3" s="24"/>
      <c r="N3" s="24"/>
      <c r="P3" s="23" t="s">
        <v>254</v>
      </c>
      <c r="Q3" s="21"/>
      <c r="R3" s="20" t="s">
        <v>255</v>
      </c>
      <c r="S3" s="21"/>
      <c r="T3" s="24"/>
      <c r="U3" s="24"/>
      <c r="W3" s="23" t="s">
        <v>254</v>
      </c>
      <c r="X3" s="21"/>
      <c r="Y3" s="20" t="s">
        <v>255</v>
      </c>
      <c r="Z3" s="21"/>
      <c r="AA3" s="24"/>
      <c r="AB3" s="24"/>
      <c r="AD3" s="23" t="s">
        <v>254</v>
      </c>
      <c r="AE3" s="21"/>
      <c r="AF3" s="20" t="s">
        <v>255</v>
      </c>
      <c r="AG3" s="21"/>
      <c r="AH3" s="24"/>
      <c r="AI3" s="24"/>
      <c r="AK3" s="23" t="s">
        <v>254</v>
      </c>
      <c r="AL3" s="21"/>
      <c r="AM3" s="20" t="s">
        <v>255</v>
      </c>
      <c r="AN3" s="21"/>
      <c r="AO3" s="24"/>
      <c r="AP3" s="24"/>
    </row>
    <row r="4" spans="2:42" ht="15" x14ac:dyDescent="0.25">
      <c r="B4" s="18" t="s">
        <v>256</v>
      </c>
      <c r="C4" s="21"/>
      <c r="D4" s="20" t="s">
        <v>257</v>
      </c>
      <c r="E4" s="21"/>
      <c r="G4" s="22"/>
      <c r="I4" s="18" t="s">
        <v>256</v>
      </c>
      <c r="J4" s="21"/>
      <c r="K4" s="20" t="s">
        <v>257</v>
      </c>
      <c r="L4" s="21"/>
      <c r="M4" s="22"/>
      <c r="N4" s="22"/>
      <c r="P4" s="18" t="s">
        <v>256</v>
      </c>
      <c r="Q4" s="21"/>
      <c r="R4" s="20" t="s">
        <v>258</v>
      </c>
      <c r="S4" s="21"/>
      <c r="T4" s="22"/>
      <c r="U4" s="22"/>
      <c r="W4" s="18" t="s">
        <v>256</v>
      </c>
      <c r="X4" s="21"/>
      <c r="Y4" s="20" t="s">
        <v>258</v>
      </c>
      <c r="Z4" s="21"/>
      <c r="AA4" s="22"/>
      <c r="AB4" s="22"/>
      <c r="AD4" s="18" t="s">
        <v>256</v>
      </c>
      <c r="AE4" s="21"/>
      <c r="AF4" s="20" t="s">
        <v>258</v>
      </c>
      <c r="AG4" s="21"/>
      <c r="AH4" s="22"/>
      <c r="AI4" s="22"/>
      <c r="AK4" s="18" t="s">
        <v>256</v>
      </c>
      <c r="AL4" s="21"/>
      <c r="AM4" s="20" t="s">
        <v>257</v>
      </c>
      <c r="AN4" s="21"/>
      <c r="AO4" s="22"/>
      <c r="AP4" s="22"/>
    </row>
    <row r="5" spans="2:42" ht="15" x14ac:dyDescent="0.25">
      <c r="B5" s="18" t="s">
        <v>259</v>
      </c>
      <c r="C5" s="21"/>
      <c r="D5" s="20" t="s">
        <v>260</v>
      </c>
      <c r="E5" s="21"/>
      <c r="F5" s="25" t="s">
        <v>12</v>
      </c>
      <c r="G5" s="25"/>
      <c r="I5" s="18" t="s">
        <v>259</v>
      </c>
      <c r="J5" s="21"/>
      <c r="K5" s="20" t="s">
        <v>260</v>
      </c>
      <c r="L5" s="21"/>
      <c r="M5" s="25" t="s">
        <v>12</v>
      </c>
      <c r="N5" s="22"/>
      <c r="P5" s="18" t="s">
        <v>259</v>
      </c>
      <c r="Q5" s="21"/>
      <c r="R5" s="20" t="s">
        <v>260</v>
      </c>
      <c r="S5" s="21"/>
      <c r="T5" s="25" t="s">
        <v>12</v>
      </c>
      <c r="U5" s="25"/>
      <c r="W5" s="18" t="s">
        <v>259</v>
      </c>
      <c r="X5" s="21"/>
      <c r="Y5" s="20" t="s">
        <v>260</v>
      </c>
      <c r="Z5" s="21"/>
      <c r="AA5" s="25" t="s">
        <v>12</v>
      </c>
      <c r="AB5" s="25"/>
      <c r="AD5" s="18" t="s">
        <v>259</v>
      </c>
      <c r="AE5" s="21"/>
      <c r="AF5" s="20" t="s">
        <v>260</v>
      </c>
      <c r="AG5" s="21"/>
      <c r="AH5" s="25" t="s">
        <v>12</v>
      </c>
      <c r="AI5" s="25"/>
      <c r="AK5" s="18" t="s">
        <v>259</v>
      </c>
      <c r="AL5" s="21"/>
      <c r="AM5" s="20" t="s">
        <v>260</v>
      </c>
      <c r="AN5" s="21"/>
      <c r="AO5" s="25" t="s">
        <v>12</v>
      </c>
      <c r="AP5" s="25"/>
    </row>
    <row r="6" spans="2:42" ht="15" x14ac:dyDescent="0.25">
      <c r="B6" s="18" t="s">
        <v>261</v>
      </c>
      <c r="C6" s="21"/>
      <c r="D6" s="20" t="s">
        <v>262</v>
      </c>
      <c r="E6" s="26"/>
      <c r="F6" s="27" t="e">
        <f>E6/C2</f>
        <v>#DIV/0!</v>
      </c>
      <c r="G6" s="28"/>
      <c r="I6" s="18" t="s">
        <v>261</v>
      </c>
      <c r="J6" s="21"/>
      <c r="K6" s="20" t="s">
        <v>262</v>
      </c>
      <c r="L6" s="26"/>
      <c r="M6" s="27" t="e">
        <f>L6/J2</f>
        <v>#DIV/0!</v>
      </c>
      <c r="N6" s="28"/>
      <c r="P6" s="18" t="s">
        <v>261</v>
      </c>
      <c r="Q6" s="21"/>
      <c r="R6" s="20" t="s">
        <v>262</v>
      </c>
      <c r="S6" s="26"/>
      <c r="T6" s="27" t="e">
        <f>S6/Q2</f>
        <v>#DIV/0!</v>
      </c>
      <c r="U6" s="28"/>
      <c r="W6" s="18" t="s">
        <v>261</v>
      </c>
      <c r="X6" s="21"/>
      <c r="Y6" s="20" t="s">
        <v>262</v>
      </c>
      <c r="Z6" s="26"/>
      <c r="AA6" s="27" t="e">
        <f>Z6/X2</f>
        <v>#DIV/0!</v>
      </c>
      <c r="AB6" s="28"/>
      <c r="AD6" s="18" t="s">
        <v>261</v>
      </c>
      <c r="AE6" s="21"/>
      <c r="AF6" s="20" t="s">
        <v>262</v>
      </c>
      <c r="AG6" s="26"/>
      <c r="AH6" s="27" t="e">
        <f>AG6/AE2</f>
        <v>#DIV/0!</v>
      </c>
      <c r="AI6" s="28"/>
      <c r="AK6" s="18" t="s">
        <v>261</v>
      </c>
      <c r="AL6" s="21"/>
      <c r="AM6" s="20" t="s">
        <v>262</v>
      </c>
      <c r="AN6" s="26"/>
      <c r="AO6" s="27" t="e">
        <f>AN6/AL2</f>
        <v>#DIV/0!</v>
      </c>
      <c r="AP6" s="28"/>
    </row>
    <row r="7" spans="2:42" ht="15" x14ac:dyDescent="0.25">
      <c r="B7" s="18" t="s">
        <v>263</v>
      </c>
      <c r="C7" s="21"/>
      <c r="D7" s="20" t="s">
        <v>264</v>
      </c>
      <c r="E7" s="26"/>
      <c r="F7" s="27" t="e">
        <f>E7/C2</f>
        <v>#DIV/0!</v>
      </c>
      <c r="G7" s="28"/>
      <c r="I7" s="18" t="s">
        <v>263</v>
      </c>
      <c r="J7" s="21"/>
      <c r="K7" s="20" t="s">
        <v>264</v>
      </c>
      <c r="L7" s="26"/>
      <c r="M7" s="27" t="e">
        <f>L7/J2</f>
        <v>#DIV/0!</v>
      </c>
      <c r="N7" s="28"/>
      <c r="P7" s="18" t="s">
        <v>263</v>
      </c>
      <c r="Q7" s="21"/>
      <c r="R7" s="20" t="s">
        <v>264</v>
      </c>
      <c r="S7" s="26"/>
      <c r="T7" s="27" t="e">
        <f>S7/Q2</f>
        <v>#DIV/0!</v>
      </c>
      <c r="U7" s="28"/>
      <c r="W7" s="18" t="s">
        <v>263</v>
      </c>
      <c r="X7" s="21"/>
      <c r="Y7" s="20" t="s">
        <v>264</v>
      </c>
      <c r="Z7" s="26"/>
      <c r="AA7" s="27" t="e">
        <f>Z7/X2</f>
        <v>#DIV/0!</v>
      </c>
      <c r="AB7" s="28"/>
      <c r="AD7" s="18" t="s">
        <v>263</v>
      </c>
      <c r="AE7" s="21"/>
      <c r="AF7" s="20" t="s">
        <v>264</v>
      </c>
      <c r="AG7" s="26"/>
      <c r="AH7" s="27" t="e">
        <f>AG7/AE2</f>
        <v>#DIV/0!</v>
      </c>
      <c r="AI7" s="28"/>
      <c r="AK7" s="18" t="s">
        <v>263</v>
      </c>
      <c r="AL7" s="21"/>
      <c r="AM7" s="20" t="s">
        <v>264</v>
      </c>
      <c r="AN7" s="26"/>
      <c r="AO7" s="27" t="e">
        <f>AN7/AL2</f>
        <v>#DIV/0!</v>
      </c>
      <c r="AP7" s="28"/>
    </row>
    <row r="8" spans="2:42" ht="15" x14ac:dyDescent="0.25">
      <c r="B8" s="18" t="s">
        <v>265</v>
      </c>
      <c r="C8" s="21"/>
      <c r="D8" s="20" t="s">
        <v>112</v>
      </c>
      <c r="E8" s="29">
        <f>SUM(E6:E7)</f>
        <v>0</v>
      </c>
      <c r="F8" s="30" t="e">
        <f>SUM(F6:F7)</f>
        <v>#DIV/0!</v>
      </c>
      <c r="G8" s="28"/>
      <c r="I8" s="18" t="s">
        <v>265</v>
      </c>
      <c r="J8" s="21"/>
      <c r="K8" s="20" t="s">
        <v>112</v>
      </c>
      <c r="L8" s="29">
        <f>SUM(L6:L7)</f>
        <v>0</v>
      </c>
      <c r="M8" s="30" t="e">
        <f>SUM(M6:M7)</f>
        <v>#DIV/0!</v>
      </c>
      <c r="N8" s="28"/>
      <c r="P8" s="18" t="s">
        <v>265</v>
      </c>
      <c r="Q8" s="21"/>
      <c r="R8" s="20" t="s">
        <v>112</v>
      </c>
      <c r="S8" s="29">
        <f>SUM(S6:S7)</f>
        <v>0</v>
      </c>
      <c r="T8" s="30" t="e">
        <f>SUM(T6:T7)</f>
        <v>#DIV/0!</v>
      </c>
      <c r="U8" s="28"/>
      <c r="W8" s="18" t="s">
        <v>265</v>
      </c>
      <c r="X8" s="21"/>
      <c r="Y8" s="20" t="s">
        <v>112</v>
      </c>
      <c r="Z8" s="29">
        <f>SUM(Z6:Z7)</f>
        <v>0</v>
      </c>
      <c r="AA8" s="30" t="e">
        <f>SUM(AA6:AA7)</f>
        <v>#DIV/0!</v>
      </c>
      <c r="AB8" s="28"/>
      <c r="AD8" s="18" t="s">
        <v>265</v>
      </c>
      <c r="AE8" s="21"/>
      <c r="AF8" s="20" t="s">
        <v>112</v>
      </c>
      <c r="AG8" s="29">
        <f>SUM(AG6:AG7)</f>
        <v>0</v>
      </c>
      <c r="AH8" s="30" t="e">
        <f>SUM(AH6:AH7)</f>
        <v>#DIV/0!</v>
      </c>
      <c r="AI8" s="28"/>
      <c r="AK8" s="18" t="s">
        <v>265</v>
      </c>
      <c r="AL8" s="21"/>
      <c r="AM8" s="20" t="s">
        <v>112</v>
      </c>
      <c r="AN8" s="29">
        <f>SUM(AN6:AN7)</f>
        <v>0</v>
      </c>
      <c r="AO8" s="30" t="e">
        <f>SUM(AO6:AO7)</f>
        <v>#DIV/0!</v>
      </c>
      <c r="AP8" s="28"/>
    </row>
    <row r="9" spans="2:42" ht="15" x14ac:dyDescent="0.25">
      <c r="B9" s="18" t="s">
        <v>266</v>
      </c>
      <c r="C9" s="21"/>
      <c r="D9" s="20" t="s">
        <v>267</v>
      </c>
      <c r="E9" s="21"/>
      <c r="G9" s="28"/>
      <c r="I9" s="18" t="s">
        <v>266</v>
      </c>
      <c r="J9" s="21"/>
      <c r="K9" s="20" t="s">
        <v>267</v>
      </c>
      <c r="L9" s="21"/>
      <c r="M9" s="28"/>
      <c r="N9" s="28"/>
      <c r="P9" s="18" t="s">
        <v>266</v>
      </c>
      <c r="Q9" s="21"/>
      <c r="R9" s="20" t="s">
        <v>267</v>
      </c>
      <c r="S9" s="21"/>
      <c r="T9" s="28"/>
      <c r="U9" s="28"/>
      <c r="W9" s="18" t="s">
        <v>266</v>
      </c>
      <c r="X9" s="21"/>
      <c r="Y9" s="20" t="s">
        <v>267</v>
      </c>
      <c r="Z9" s="21"/>
      <c r="AA9" s="28"/>
      <c r="AB9" s="28"/>
      <c r="AD9" s="18" t="s">
        <v>266</v>
      </c>
      <c r="AE9" s="21"/>
      <c r="AF9" s="20" t="s">
        <v>267</v>
      </c>
      <c r="AG9" s="21"/>
      <c r="AH9" s="28"/>
      <c r="AI9" s="28"/>
      <c r="AK9" s="18" t="s">
        <v>266</v>
      </c>
      <c r="AL9" s="21"/>
      <c r="AM9" s="20" t="s">
        <v>267</v>
      </c>
      <c r="AN9" s="21"/>
      <c r="AO9" s="28"/>
      <c r="AP9" s="28"/>
    </row>
    <row r="10" spans="2:42" ht="15" x14ac:dyDescent="0.25">
      <c r="B10" s="18" t="s">
        <v>268</v>
      </c>
      <c r="C10" s="21"/>
      <c r="D10" s="20" t="s">
        <v>269</v>
      </c>
      <c r="E10" s="21"/>
      <c r="G10" s="31"/>
      <c r="I10" s="18" t="s">
        <v>268</v>
      </c>
      <c r="J10" s="21"/>
      <c r="K10" s="20" t="s">
        <v>269</v>
      </c>
      <c r="L10" s="21"/>
      <c r="M10" s="31"/>
      <c r="N10" s="31"/>
      <c r="P10" s="18" t="s">
        <v>268</v>
      </c>
      <c r="Q10" s="21"/>
      <c r="R10" s="20" t="s">
        <v>269</v>
      </c>
      <c r="S10" s="21"/>
      <c r="T10" s="31"/>
      <c r="U10" s="31"/>
      <c r="W10" s="18" t="s">
        <v>268</v>
      </c>
      <c r="X10" s="21"/>
      <c r="Y10" s="20" t="s">
        <v>269</v>
      </c>
      <c r="Z10" s="21"/>
      <c r="AA10" s="31"/>
      <c r="AB10" s="31"/>
      <c r="AD10" s="18" t="s">
        <v>268</v>
      </c>
      <c r="AE10" s="21"/>
      <c r="AF10" s="20" t="s">
        <v>269</v>
      </c>
      <c r="AG10" s="21"/>
      <c r="AH10" s="31"/>
      <c r="AI10" s="31"/>
      <c r="AK10" s="18" t="s">
        <v>268</v>
      </c>
      <c r="AL10" s="21"/>
      <c r="AM10" s="20" t="s">
        <v>269</v>
      </c>
      <c r="AN10" s="21"/>
      <c r="AO10" s="31"/>
      <c r="AP10" s="31"/>
    </row>
    <row r="11" spans="2:42" ht="15" x14ac:dyDescent="0.25">
      <c r="B11" s="18" t="s">
        <v>270</v>
      </c>
      <c r="C11" s="21"/>
      <c r="D11" s="20" t="s">
        <v>271</v>
      </c>
      <c r="E11" s="21"/>
      <c r="G11" s="32"/>
      <c r="I11" s="18" t="s">
        <v>270</v>
      </c>
      <c r="J11" s="21"/>
      <c r="K11" s="20" t="s">
        <v>271</v>
      </c>
      <c r="L11" s="21"/>
      <c r="M11" s="32"/>
      <c r="N11" s="32"/>
      <c r="P11" s="18" t="s">
        <v>270</v>
      </c>
      <c r="Q11" s="21"/>
      <c r="R11" s="20" t="s">
        <v>271</v>
      </c>
      <c r="S11" s="21"/>
      <c r="T11" s="32"/>
      <c r="U11" s="32"/>
      <c r="W11" s="18" t="s">
        <v>270</v>
      </c>
      <c r="X11" s="21"/>
      <c r="Y11" s="20" t="s">
        <v>271</v>
      </c>
      <c r="Z11" s="21"/>
      <c r="AA11" s="32"/>
      <c r="AB11" s="32"/>
      <c r="AD11" s="18" t="s">
        <v>270</v>
      </c>
      <c r="AE11" s="21"/>
      <c r="AF11" s="20" t="s">
        <v>271</v>
      </c>
      <c r="AG11" s="21"/>
      <c r="AH11" s="32"/>
      <c r="AI11" s="32"/>
      <c r="AK11" s="18" t="s">
        <v>270</v>
      </c>
      <c r="AL11" s="21"/>
      <c r="AM11" s="20" t="s">
        <v>271</v>
      </c>
      <c r="AN11" s="21"/>
      <c r="AO11" s="32"/>
      <c r="AP11" s="32"/>
    </row>
    <row r="12" spans="2:42" ht="15" x14ac:dyDescent="0.25">
      <c r="B12" s="18" t="s">
        <v>272</v>
      </c>
      <c r="C12" s="21">
        <v>0</v>
      </c>
      <c r="D12" s="20" t="s">
        <v>273</v>
      </c>
      <c r="E12" s="33">
        <f>IFERROR(C2/E11,0)</f>
        <v>0</v>
      </c>
      <c r="G12" s="32"/>
      <c r="I12" s="18" t="s">
        <v>272</v>
      </c>
      <c r="J12" s="21"/>
      <c r="K12" s="20" t="s">
        <v>273</v>
      </c>
      <c r="L12" s="33">
        <f>IFERROR(J2/L11,0)</f>
        <v>0</v>
      </c>
      <c r="M12" s="32"/>
      <c r="N12" s="32"/>
      <c r="P12" s="18" t="s">
        <v>272</v>
      </c>
      <c r="Q12" s="21"/>
      <c r="R12" s="20" t="s">
        <v>273</v>
      </c>
      <c r="S12" s="33">
        <f>IFERROR(Q2/S11,0)</f>
        <v>0</v>
      </c>
      <c r="T12" s="32"/>
      <c r="U12" s="32"/>
      <c r="W12" s="18" t="s">
        <v>272</v>
      </c>
      <c r="X12" s="21"/>
      <c r="Y12" s="20" t="s">
        <v>273</v>
      </c>
      <c r="Z12" s="33">
        <f>IFERROR(X2/Z11,0)</f>
        <v>0</v>
      </c>
      <c r="AA12" s="32"/>
      <c r="AB12" s="32"/>
      <c r="AD12" s="18" t="s">
        <v>272</v>
      </c>
      <c r="AE12" s="21"/>
      <c r="AF12" s="20" t="s">
        <v>273</v>
      </c>
      <c r="AG12" s="33">
        <f>IFERROR(AE2/AG11,0)</f>
        <v>0</v>
      </c>
      <c r="AH12" s="32"/>
      <c r="AI12" s="32"/>
      <c r="AK12" s="18" t="s">
        <v>272</v>
      </c>
      <c r="AL12" s="21"/>
      <c r="AM12" s="20" t="s">
        <v>273</v>
      </c>
      <c r="AN12" s="33">
        <f>IFERROR(AL2/AN11,0)</f>
        <v>0</v>
      </c>
      <c r="AO12" s="32"/>
      <c r="AP12" s="32"/>
    </row>
    <row r="13" spans="2:42" x14ac:dyDescent="0.25">
      <c r="B13" s="34"/>
      <c r="F13" s="32"/>
      <c r="G13" s="32"/>
      <c r="I13" s="34"/>
      <c r="M13" s="32"/>
      <c r="N13" s="32"/>
      <c r="P13" s="34"/>
      <c r="T13" s="32"/>
      <c r="U13" s="32"/>
      <c r="W13" s="32"/>
      <c r="X13" s="32"/>
      <c r="Y13" s="32"/>
      <c r="Z13" s="32"/>
      <c r="AA13" s="32"/>
      <c r="AB13" s="32"/>
      <c r="AD13" s="32"/>
      <c r="AE13" s="32"/>
      <c r="AF13" s="32"/>
      <c r="AG13" s="32"/>
      <c r="AH13" s="32"/>
      <c r="AI13" s="32"/>
      <c r="AK13" s="34"/>
      <c r="AO13" s="32"/>
      <c r="AP13" s="32"/>
    </row>
    <row r="14" spans="2:42" ht="12.75" customHeight="1" x14ac:dyDescent="0.25">
      <c r="B14" s="35" t="s">
        <v>231</v>
      </c>
      <c r="C14" s="35"/>
      <c r="D14" s="36"/>
      <c r="E14" s="36"/>
      <c r="F14" s="36"/>
      <c r="G14" s="36"/>
      <c r="I14" s="35" t="s">
        <v>231</v>
      </c>
      <c r="J14" s="35"/>
      <c r="K14" s="36"/>
      <c r="L14" s="36"/>
      <c r="M14" s="36"/>
      <c r="N14" s="36"/>
      <c r="O14" s="36"/>
      <c r="P14" s="35" t="s">
        <v>231</v>
      </c>
      <c r="Q14" s="35"/>
      <c r="R14" s="36"/>
      <c r="S14" s="36"/>
      <c r="T14" s="36"/>
      <c r="U14" s="36"/>
      <c r="W14" s="35" t="s">
        <v>231</v>
      </c>
      <c r="X14" s="35"/>
      <c r="Y14" s="36"/>
      <c r="Z14" s="36"/>
      <c r="AA14" s="36"/>
      <c r="AB14" s="36"/>
      <c r="AD14" s="35" t="s">
        <v>231</v>
      </c>
      <c r="AE14" s="35"/>
      <c r="AF14" s="36"/>
      <c r="AG14" s="36"/>
      <c r="AH14" s="36"/>
      <c r="AI14" s="36"/>
      <c r="AK14" s="35" t="s">
        <v>231</v>
      </c>
      <c r="AL14" s="35"/>
      <c r="AM14" s="36"/>
      <c r="AN14" s="36"/>
      <c r="AO14" s="36"/>
      <c r="AP14" s="36"/>
    </row>
    <row r="15" spans="2:42" ht="12.75" customHeight="1" x14ac:dyDescent="0.25">
      <c r="B15" s="37" t="s">
        <v>124</v>
      </c>
      <c r="C15" s="38" t="s">
        <v>2</v>
      </c>
      <c r="D15" s="38" t="s">
        <v>107</v>
      </c>
      <c r="E15" s="38" t="s">
        <v>274</v>
      </c>
      <c r="F15" s="39" t="s">
        <v>275</v>
      </c>
      <c r="G15" s="39" t="s">
        <v>276</v>
      </c>
      <c r="I15" s="37" t="s">
        <v>124</v>
      </c>
      <c r="J15" s="38" t="s">
        <v>2</v>
      </c>
      <c r="K15" s="38" t="s">
        <v>107</v>
      </c>
      <c r="L15" s="38" t="s">
        <v>274</v>
      </c>
      <c r="M15" s="39" t="s">
        <v>275</v>
      </c>
      <c r="N15" s="39" t="s">
        <v>276</v>
      </c>
      <c r="O15" s="40"/>
      <c r="P15" s="37" t="s">
        <v>124</v>
      </c>
      <c r="Q15" s="38" t="s">
        <v>2</v>
      </c>
      <c r="R15" s="38" t="s">
        <v>107</v>
      </c>
      <c r="S15" s="38" t="s">
        <v>274</v>
      </c>
      <c r="T15" s="39" t="s">
        <v>275</v>
      </c>
      <c r="U15" s="39" t="s">
        <v>276</v>
      </c>
      <c r="W15" s="37" t="s">
        <v>124</v>
      </c>
      <c r="X15" s="38" t="s">
        <v>2</v>
      </c>
      <c r="Y15" s="38" t="s">
        <v>107</v>
      </c>
      <c r="Z15" s="38" t="s">
        <v>274</v>
      </c>
      <c r="AA15" s="39" t="s">
        <v>275</v>
      </c>
      <c r="AB15" s="39" t="s">
        <v>276</v>
      </c>
      <c r="AD15" s="37" t="s">
        <v>124</v>
      </c>
      <c r="AE15" s="38" t="s">
        <v>2</v>
      </c>
      <c r="AF15" s="38" t="s">
        <v>107</v>
      </c>
      <c r="AG15" s="38" t="s">
        <v>274</v>
      </c>
      <c r="AH15" s="39" t="s">
        <v>275</v>
      </c>
      <c r="AI15" s="39" t="s">
        <v>276</v>
      </c>
      <c r="AK15" s="37" t="s">
        <v>124</v>
      </c>
      <c r="AL15" s="38" t="s">
        <v>2</v>
      </c>
      <c r="AM15" s="38" t="s">
        <v>107</v>
      </c>
      <c r="AN15" s="38" t="s">
        <v>274</v>
      </c>
      <c r="AO15" s="39" t="s">
        <v>275</v>
      </c>
      <c r="AP15" s="39" t="s">
        <v>276</v>
      </c>
    </row>
    <row r="16" spans="2:42" ht="12.75" customHeight="1" x14ac:dyDescent="0.25">
      <c r="B16" s="41" t="s">
        <v>277</v>
      </c>
      <c r="C16" s="42"/>
      <c r="D16" s="43"/>
      <c r="E16" s="44"/>
      <c r="F16" s="434">
        <f t="shared" ref="F16:F29" si="0">IFERROR(E16/D16,0)</f>
        <v>0</v>
      </c>
      <c r="G16" s="435" t="e">
        <f>C16/$C$2</f>
        <v>#DIV/0!</v>
      </c>
      <c r="I16" s="41"/>
      <c r="J16" s="42"/>
      <c r="K16" s="43"/>
      <c r="L16" s="44"/>
      <c r="M16" s="434">
        <f>IFERROR(L16/K16,0)</f>
        <v>0</v>
      </c>
      <c r="N16" s="435" t="e">
        <f>J16/J$2</f>
        <v>#DIV/0!</v>
      </c>
      <c r="O16" s="40"/>
      <c r="P16" s="41"/>
      <c r="Q16" s="42"/>
      <c r="R16" s="43"/>
      <c r="S16" s="44"/>
      <c r="T16" s="434">
        <f>IFERROR(S16/R16,0)</f>
        <v>0</v>
      </c>
      <c r="U16" s="435" t="e">
        <f>Q16/Q$2</f>
        <v>#DIV/0!</v>
      </c>
      <c r="W16" s="41"/>
      <c r="X16" s="42"/>
      <c r="Y16" s="43"/>
      <c r="Z16" s="44"/>
      <c r="AA16" s="434">
        <f>IFERROR(Z16/Y16,0)</f>
        <v>0</v>
      </c>
      <c r="AB16" s="435" t="e">
        <f t="shared" ref="AB16:AB26" si="1">X16/X$2</f>
        <v>#DIV/0!</v>
      </c>
      <c r="AD16" s="41"/>
      <c r="AE16" s="42"/>
      <c r="AF16" s="43"/>
      <c r="AG16" s="44"/>
      <c r="AH16" s="434">
        <f>IFERROR(AG16/AF16,0)</f>
        <v>0</v>
      </c>
      <c r="AI16" s="435" t="e">
        <f>AE16/AE$2</f>
        <v>#DIV/0!</v>
      </c>
      <c r="AK16" s="41"/>
      <c r="AL16" s="42"/>
      <c r="AM16" s="43"/>
      <c r="AN16" s="44"/>
      <c r="AO16" s="434">
        <f>IFERROR(AN16/AM16,0)</f>
        <v>0</v>
      </c>
      <c r="AP16" s="435" t="e">
        <f t="shared" ref="AP16:AP27" si="2">AL16/AL$2</f>
        <v>#DIV/0!</v>
      </c>
    </row>
    <row r="17" spans="1:42" ht="12.75" customHeight="1" x14ac:dyDescent="0.25">
      <c r="B17" s="41" t="s">
        <v>277</v>
      </c>
      <c r="C17" s="42"/>
      <c r="D17" s="43"/>
      <c r="E17" s="44"/>
      <c r="F17" s="434">
        <f t="shared" si="0"/>
        <v>0</v>
      </c>
      <c r="G17" s="435" t="e">
        <f t="shared" ref="G17:G27" si="3">C17/$C$2</f>
        <v>#DIV/0!</v>
      </c>
      <c r="I17" s="41"/>
      <c r="J17" s="42"/>
      <c r="K17" s="43"/>
      <c r="L17" s="44"/>
      <c r="M17" s="434">
        <f t="shared" ref="M17:M27" si="4">IFERROR(L17/K17,0)</f>
        <v>0</v>
      </c>
      <c r="N17" s="435" t="e">
        <f t="shared" ref="N17:N27" si="5">J17/J$2</f>
        <v>#DIV/0!</v>
      </c>
      <c r="O17" s="40"/>
      <c r="P17" s="41"/>
      <c r="Q17" s="42"/>
      <c r="R17" s="43"/>
      <c r="S17" s="44"/>
      <c r="T17" s="434">
        <f t="shared" ref="T17:T27" si="6">IFERROR(S17/R17,0)</f>
        <v>0</v>
      </c>
      <c r="U17" s="435" t="e">
        <f t="shared" ref="U17:U27" si="7">Q17/Q$2</f>
        <v>#DIV/0!</v>
      </c>
      <c r="W17" s="41"/>
      <c r="X17" s="42"/>
      <c r="Y17" s="43"/>
      <c r="Z17" s="44"/>
      <c r="AA17" s="434">
        <f t="shared" ref="AA17:AA27" si="8">IFERROR(Z17/Y17,0)</f>
        <v>0</v>
      </c>
      <c r="AB17" s="435" t="e">
        <f t="shared" si="1"/>
        <v>#DIV/0!</v>
      </c>
      <c r="AD17" s="41"/>
      <c r="AE17" s="42"/>
      <c r="AF17" s="43"/>
      <c r="AG17" s="44"/>
      <c r="AH17" s="434">
        <f t="shared" ref="AH17:AH27" si="9">IFERROR(AG17/AF17,0)</f>
        <v>0</v>
      </c>
      <c r="AI17" s="435" t="e">
        <f t="shared" ref="AI17:AI27" si="10">AE17/AE$2</f>
        <v>#DIV/0!</v>
      </c>
      <c r="AK17" s="41"/>
      <c r="AL17" s="42"/>
      <c r="AM17" s="43"/>
      <c r="AN17" s="44"/>
      <c r="AO17" s="434">
        <f t="shared" ref="AO17:AO27" si="11">IFERROR(AN17/AM17,0)</f>
        <v>0</v>
      </c>
      <c r="AP17" s="435" t="e">
        <f t="shared" si="2"/>
        <v>#DIV/0!</v>
      </c>
    </row>
    <row r="18" spans="1:42" ht="12.75" customHeight="1" x14ac:dyDescent="0.25">
      <c r="B18" s="41" t="s">
        <v>277</v>
      </c>
      <c r="C18" s="42"/>
      <c r="D18" s="43"/>
      <c r="E18" s="44"/>
      <c r="F18" s="434">
        <f t="shared" si="0"/>
        <v>0</v>
      </c>
      <c r="G18" s="435" t="e">
        <f t="shared" si="3"/>
        <v>#DIV/0!</v>
      </c>
      <c r="I18" s="41"/>
      <c r="J18" s="42"/>
      <c r="K18" s="43"/>
      <c r="L18" s="44"/>
      <c r="M18" s="434">
        <f t="shared" si="4"/>
        <v>0</v>
      </c>
      <c r="N18" s="435" t="e">
        <f t="shared" si="5"/>
        <v>#DIV/0!</v>
      </c>
      <c r="O18" s="40"/>
      <c r="P18" s="41"/>
      <c r="Q18" s="42"/>
      <c r="R18" s="43"/>
      <c r="S18" s="44"/>
      <c r="T18" s="434">
        <f t="shared" si="6"/>
        <v>0</v>
      </c>
      <c r="U18" s="435" t="e">
        <f t="shared" si="7"/>
        <v>#DIV/0!</v>
      </c>
      <c r="W18" s="41"/>
      <c r="X18" s="42"/>
      <c r="Y18" s="43"/>
      <c r="Z18" s="44"/>
      <c r="AA18" s="434">
        <f t="shared" si="8"/>
        <v>0</v>
      </c>
      <c r="AB18" s="435" t="e">
        <f t="shared" si="1"/>
        <v>#DIV/0!</v>
      </c>
      <c r="AD18" s="41"/>
      <c r="AE18" s="42"/>
      <c r="AF18" s="43"/>
      <c r="AG18" s="44"/>
      <c r="AH18" s="434">
        <f t="shared" si="9"/>
        <v>0</v>
      </c>
      <c r="AI18" s="435" t="e">
        <f t="shared" si="10"/>
        <v>#DIV/0!</v>
      </c>
      <c r="AK18" s="41"/>
      <c r="AL18" s="42"/>
      <c r="AM18" s="43"/>
      <c r="AN18" s="44"/>
      <c r="AO18" s="434">
        <f t="shared" si="11"/>
        <v>0</v>
      </c>
      <c r="AP18" s="435" t="e">
        <f t="shared" si="2"/>
        <v>#DIV/0!</v>
      </c>
    </row>
    <row r="19" spans="1:42" ht="12.75" customHeight="1" x14ac:dyDescent="0.25">
      <c r="B19" s="41" t="s">
        <v>277</v>
      </c>
      <c r="C19" s="42"/>
      <c r="D19" s="43"/>
      <c r="E19" s="44"/>
      <c r="F19" s="434">
        <f t="shared" si="0"/>
        <v>0</v>
      </c>
      <c r="G19" s="435" t="e">
        <f t="shared" si="3"/>
        <v>#DIV/0!</v>
      </c>
      <c r="I19" s="41"/>
      <c r="J19" s="42"/>
      <c r="K19" s="43"/>
      <c r="L19" s="44"/>
      <c r="M19" s="434">
        <f t="shared" si="4"/>
        <v>0</v>
      </c>
      <c r="N19" s="435" t="e">
        <f t="shared" si="5"/>
        <v>#DIV/0!</v>
      </c>
      <c r="O19" s="40"/>
      <c r="P19" s="41"/>
      <c r="Q19" s="42"/>
      <c r="R19" s="43"/>
      <c r="S19" s="44"/>
      <c r="T19" s="434">
        <f t="shared" si="6"/>
        <v>0</v>
      </c>
      <c r="U19" s="435" t="e">
        <f t="shared" si="7"/>
        <v>#DIV/0!</v>
      </c>
      <c r="W19" s="41"/>
      <c r="X19" s="42"/>
      <c r="Y19" s="43"/>
      <c r="Z19" s="44"/>
      <c r="AA19" s="434">
        <f t="shared" si="8"/>
        <v>0</v>
      </c>
      <c r="AB19" s="435" t="e">
        <f t="shared" si="1"/>
        <v>#DIV/0!</v>
      </c>
      <c r="AD19" s="41"/>
      <c r="AE19" s="42"/>
      <c r="AF19" s="43"/>
      <c r="AG19" s="44"/>
      <c r="AH19" s="434">
        <f t="shared" si="9"/>
        <v>0</v>
      </c>
      <c r="AI19" s="435" t="e">
        <f t="shared" si="10"/>
        <v>#DIV/0!</v>
      </c>
      <c r="AK19" s="41"/>
      <c r="AL19" s="42"/>
      <c r="AM19" s="43"/>
      <c r="AN19" s="44"/>
      <c r="AO19" s="434">
        <f t="shared" si="11"/>
        <v>0</v>
      </c>
      <c r="AP19" s="435" t="e">
        <f t="shared" si="2"/>
        <v>#DIV/0!</v>
      </c>
    </row>
    <row r="20" spans="1:42" ht="12.75" customHeight="1" x14ac:dyDescent="0.25">
      <c r="B20" s="41" t="s">
        <v>277</v>
      </c>
      <c r="C20" s="42"/>
      <c r="D20" s="43"/>
      <c r="E20" s="44"/>
      <c r="F20" s="434">
        <f t="shared" si="0"/>
        <v>0</v>
      </c>
      <c r="G20" s="435" t="e">
        <f t="shared" si="3"/>
        <v>#DIV/0!</v>
      </c>
      <c r="I20" s="41"/>
      <c r="J20" s="42"/>
      <c r="K20" s="43"/>
      <c r="L20" s="44"/>
      <c r="M20" s="434">
        <f t="shared" si="4"/>
        <v>0</v>
      </c>
      <c r="N20" s="435" t="e">
        <f t="shared" si="5"/>
        <v>#DIV/0!</v>
      </c>
      <c r="O20" s="40"/>
      <c r="P20" s="41"/>
      <c r="Q20" s="42"/>
      <c r="R20" s="43"/>
      <c r="S20" s="44"/>
      <c r="T20" s="434">
        <f t="shared" si="6"/>
        <v>0</v>
      </c>
      <c r="U20" s="435" t="e">
        <f t="shared" si="7"/>
        <v>#DIV/0!</v>
      </c>
      <c r="W20" s="41"/>
      <c r="X20" s="42"/>
      <c r="Y20" s="43"/>
      <c r="Z20" s="44"/>
      <c r="AA20" s="434">
        <f t="shared" si="8"/>
        <v>0</v>
      </c>
      <c r="AB20" s="435" t="e">
        <f t="shared" si="1"/>
        <v>#DIV/0!</v>
      </c>
      <c r="AD20" s="41"/>
      <c r="AE20" s="42"/>
      <c r="AF20" s="43"/>
      <c r="AG20" s="44"/>
      <c r="AH20" s="434">
        <f t="shared" si="9"/>
        <v>0</v>
      </c>
      <c r="AI20" s="435" t="e">
        <f t="shared" si="10"/>
        <v>#DIV/0!</v>
      </c>
      <c r="AK20" s="41"/>
      <c r="AL20" s="42"/>
      <c r="AM20" s="43"/>
      <c r="AN20" s="44"/>
      <c r="AO20" s="434">
        <f t="shared" si="11"/>
        <v>0</v>
      </c>
      <c r="AP20" s="435" t="e">
        <f t="shared" si="2"/>
        <v>#DIV/0!</v>
      </c>
    </row>
    <row r="21" spans="1:42" ht="12.75" customHeight="1" x14ac:dyDescent="0.25">
      <c r="B21" s="41" t="s">
        <v>277</v>
      </c>
      <c r="C21" s="42"/>
      <c r="D21" s="43"/>
      <c r="E21" s="44"/>
      <c r="F21" s="434">
        <f t="shared" si="0"/>
        <v>0</v>
      </c>
      <c r="G21" s="435" t="e">
        <f t="shared" si="3"/>
        <v>#DIV/0!</v>
      </c>
      <c r="I21" s="41"/>
      <c r="J21" s="42"/>
      <c r="K21" s="43"/>
      <c r="L21" s="44"/>
      <c r="M21" s="434">
        <f t="shared" si="4"/>
        <v>0</v>
      </c>
      <c r="N21" s="435" t="e">
        <f t="shared" si="5"/>
        <v>#DIV/0!</v>
      </c>
      <c r="O21" s="40"/>
      <c r="P21" s="41"/>
      <c r="Q21" s="42"/>
      <c r="R21" s="43"/>
      <c r="S21" s="44"/>
      <c r="T21" s="434">
        <f t="shared" si="6"/>
        <v>0</v>
      </c>
      <c r="U21" s="435" t="e">
        <f t="shared" si="7"/>
        <v>#DIV/0!</v>
      </c>
      <c r="W21" s="41"/>
      <c r="X21" s="42"/>
      <c r="Y21" s="43"/>
      <c r="Z21" s="44"/>
      <c r="AA21" s="434">
        <f t="shared" si="8"/>
        <v>0</v>
      </c>
      <c r="AB21" s="435" t="e">
        <f t="shared" si="1"/>
        <v>#DIV/0!</v>
      </c>
      <c r="AD21" s="41"/>
      <c r="AE21" s="42"/>
      <c r="AF21" s="43"/>
      <c r="AG21" s="44"/>
      <c r="AH21" s="434">
        <f t="shared" si="9"/>
        <v>0</v>
      </c>
      <c r="AI21" s="435" t="e">
        <f t="shared" si="10"/>
        <v>#DIV/0!</v>
      </c>
      <c r="AK21" s="41"/>
      <c r="AL21" s="42"/>
      <c r="AM21" s="43"/>
      <c r="AN21" s="44"/>
      <c r="AO21" s="434">
        <f t="shared" si="11"/>
        <v>0</v>
      </c>
      <c r="AP21" s="435" t="e">
        <f t="shared" si="2"/>
        <v>#DIV/0!</v>
      </c>
    </row>
    <row r="22" spans="1:42" ht="12.75" customHeight="1" x14ac:dyDescent="0.25">
      <c r="B22" s="41" t="s">
        <v>277</v>
      </c>
      <c r="C22" s="42"/>
      <c r="D22" s="43"/>
      <c r="E22" s="44"/>
      <c r="F22" s="434">
        <f t="shared" si="0"/>
        <v>0</v>
      </c>
      <c r="G22" s="435" t="e">
        <f t="shared" si="3"/>
        <v>#DIV/0!</v>
      </c>
      <c r="I22" s="41"/>
      <c r="J22" s="42"/>
      <c r="K22" s="43"/>
      <c r="L22" s="44"/>
      <c r="M22" s="434">
        <f t="shared" si="4"/>
        <v>0</v>
      </c>
      <c r="N22" s="435" t="e">
        <f t="shared" si="5"/>
        <v>#DIV/0!</v>
      </c>
      <c r="O22" s="40"/>
      <c r="P22" s="41"/>
      <c r="Q22" s="42"/>
      <c r="R22" s="43"/>
      <c r="S22" s="44"/>
      <c r="T22" s="434">
        <f t="shared" si="6"/>
        <v>0</v>
      </c>
      <c r="U22" s="435" t="e">
        <f t="shared" si="7"/>
        <v>#DIV/0!</v>
      </c>
      <c r="W22" s="41"/>
      <c r="X22" s="42"/>
      <c r="Y22" s="43"/>
      <c r="Z22" s="44"/>
      <c r="AA22" s="434">
        <f t="shared" si="8"/>
        <v>0</v>
      </c>
      <c r="AB22" s="435" t="e">
        <f t="shared" si="1"/>
        <v>#DIV/0!</v>
      </c>
      <c r="AD22" s="41"/>
      <c r="AE22" s="42"/>
      <c r="AF22" s="43"/>
      <c r="AG22" s="44"/>
      <c r="AH22" s="434">
        <f t="shared" si="9"/>
        <v>0</v>
      </c>
      <c r="AI22" s="435" t="e">
        <f t="shared" si="10"/>
        <v>#DIV/0!</v>
      </c>
      <c r="AK22" s="41"/>
      <c r="AL22" s="42"/>
      <c r="AM22" s="43"/>
      <c r="AN22" s="44"/>
      <c r="AO22" s="434">
        <f t="shared" si="11"/>
        <v>0</v>
      </c>
      <c r="AP22" s="435" t="e">
        <f t="shared" si="2"/>
        <v>#DIV/0!</v>
      </c>
    </row>
    <row r="23" spans="1:42" ht="12.75" customHeight="1" x14ac:dyDescent="0.25">
      <c r="B23" s="41" t="s">
        <v>277</v>
      </c>
      <c r="C23" s="42"/>
      <c r="D23" s="43"/>
      <c r="E23" s="44"/>
      <c r="F23" s="434">
        <f t="shared" si="0"/>
        <v>0</v>
      </c>
      <c r="G23" s="435" t="e">
        <f t="shared" si="3"/>
        <v>#DIV/0!</v>
      </c>
      <c r="I23" s="41"/>
      <c r="J23" s="42"/>
      <c r="K23" s="43"/>
      <c r="L23" s="44"/>
      <c r="M23" s="434">
        <f t="shared" si="4"/>
        <v>0</v>
      </c>
      <c r="N23" s="435" t="e">
        <f t="shared" si="5"/>
        <v>#DIV/0!</v>
      </c>
      <c r="O23" s="40"/>
      <c r="P23" s="41"/>
      <c r="Q23" s="42"/>
      <c r="R23" s="43"/>
      <c r="S23" s="44"/>
      <c r="T23" s="434">
        <f t="shared" si="6"/>
        <v>0</v>
      </c>
      <c r="U23" s="435" t="e">
        <f t="shared" si="7"/>
        <v>#DIV/0!</v>
      </c>
      <c r="W23" s="41"/>
      <c r="X23" s="42"/>
      <c r="Y23" s="43"/>
      <c r="Z23" s="44"/>
      <c r="AA23" s="434">
        <f t="shared" si="8"/>
        <v>0</v>
      </c>
      <c r="AB23" s="435" t="e">
        <f t="shared" si="1"/>
        <v>#DIV/0!</v>
      </c>
      <c r="AD23" s="41"/>
      <c r="AE23" s="42"/>
      <c r="AF23" s="43"/>
      <c r="AG23" s="44"/>
      <c r="AH23" s="434">
        <f t="shared" si="9"/>
        <v>0</v>
      </c>
      <c r="AI23" s="435" t="e">
        <f t="shared" si="10"/>
        <v>#DIV/0!</v>
      </c>
      <c r="AK23" s="41"/>
      <c r="AL23" s="42"/>
      <c r="AM23" s="43"/>
      <c r="AN23" s="44"/>
      <c r="AO23" s="434">
        <f t="shared" si="11"/>
        <v>0</v>
      </c>
      <c r="AP23" s="435" t="e">
        <f t="shared" si="2"/>
        <v>#DIV/0!</v>
      </c>
    </row>
    <row r="24" spans="1:42" ht="12.75" customHeight="1" x14ac:dyDescent="0.25">
      <c r="B24" s="41" t="s">
        <v>277</v>
      </c>
      <c r="C24" s="42"/>
      <c r="D24" s="43"/>
      <c r="E24" s="44"/>
      <c r="F24" s="434">
        <f t="shared" si="0"/>
        <v>0</v>
      </c>
      <c r="G24" s="435" t="e">
        <f t="shared" si="3"/>
        <v>#DIV/0!</v>
      </c>
      <c r="I24" s="41"/>
      <c r="J24" s="42"/>
      <c r="K24" s="43"/>
      <c r="L24" s="44"/>
      <c r="M24" s="434">
        <f t="shared" si="4"/>
        <v>0</v>
      </c>
      <c r="N24" s="435" t="e">
        <f t="shared" si="5"/>
        <v>#DIV/0!</v>
      </c>
      <c r="O24" s="40"/>
      <c r="P24" s="41"/>
      <c r="Q24" s="42"/>
      <c r="R24" s="43"/>
      <c r="S24" s="44"/>
      <c r="T24" s="434">
        <f t="shared" si="6"/>
        <v>0</v>
      </c>
      <c r="U24" s="435" t="e">
        <f t="shared" si="7"/>
        <v>#DIV/0!</v>
      </c>
      <c r="W24" s="41"/>
      <c r="X24" s="42"/>
      <c r="Y24" s="43"/>
      <c r="Z24" s="44"/>
      <c r="AA24" s="434">
        <f t="shared" si="8"/>
        <v>0</v>
      </c>
      <c r="AB24" s="435" t="e">
        <f t="shared" si="1"/>
        <v>#DIV/0!</v>
      </c>
      <c r="AD24" s="41"/>
      <c r="AE24" s="42"/>
      <c r="AF24" s="43"/>
      <c r="AG24" s="44"/>
      <c r="AH24" s="434">
        <f t="shared" si="9"/>
        <v>0</v>
      </c>
      <c r="AI24" s="435" t="e">
        <f t="shared" si="10"/>
        <v>#DIV/0!</v>
      </c>
      <c r="AK24" s="41"/>
      <c r="AL24" s="42"/>
      <c r="AM24" s="43"/>
      <c r="AN24" s="44"/>
      <c r="AO24" s="434">
        <f t="shared" si="11"/>
        <v>0</v>
      </c>
      <c r="AP24" s="435" t="e">
        <f t="shared" si="2"/>
        <v>#DIV/0!</v>
      </c>
    </row>
    <row r="25" spans="1:42" ht="12.75" customHeight="1" x14ac:dyDescent="0.25">
      <c r="B25" s="41" t="s">
        <v>277</v>
      </c>
      <c r="C25" s="42"/>
      <c r="D25" s="43"/>
      <c r="E25" s="44"/>
      <c r="F25" s="434">
        <f t="shared" si="0"/>
        <v>0</v>
      </c>
      <c r="G25" s="435" t="e">
        <f t="shared" si="3"/>
        <v>#DIV/0!</v>
      </c>
      <c r="I25" s="41"/>
      <c r="J25" s="42"/>
      <c r="K25" s="43"/>
      <c r="L25" s="44"/>
      <c r="M25" s="434">
        <f t="shared" si="4"/>
        <v>0</v>
      </c>
      <c r="N25" s="435" t="e">
        <f t="shared" si="5"/>
        <v>#DIV/0!</v>
      </c>
      <c r="O25" s="40"/>
      <c r="P25" s="41"/>
      <c r="Q25" s="42"/>
      <c r="R25" s="43"/>
      <c r="S25" s="44"/>
      <c r="T25" s="434">
        <f t="shared" si="6"/>
        <v>0</v>
      </c>
      <c r="U25" s="435" t="e">
        <f t="shared" si="7"/>
        <v>#DIV/0!</v>
      </c>
      <c r="W25" s="41"/>
      <c r="X25" s="42"/>
      <c r="Y25" s="43"/>
      <c r="Z25" s="44"/>
      <c r="AA25" s="434">
        <f t="shared" si="8"/>
        <v>0</v>
      </c>
      <c r="AB25" s="435" t="e">
        <f t="shared" si="1"/>
        <v>#DIV/0!</v>
      </c>
      <c r="AD25" s="41"/>
      <c r="AE25" s="42"/>
      <c r="AF25" s="43"/>
      <c r="AG25" s="44"/>
      <c r="AH25" s="434">
        <f t="shared" si="9"/>
        <v>0</v>
      </c>
      <c r="AI25" s="435" t="e">
        <f t="shared" si="10"/>
        <v>#DIV/0!</v>
      </c>
      <c r="AK25" s="41"/>
      <c r="AL25" s="42"/>
      <c r="AM25" s="43"/>
      <c r="AN25" s="44"/>
      <c r="AO25" s="434">
        <f t="shared" si="11"/>
        <v>0</v>
      </c>
      <c r="AP25" s="435" t="e">
        <f t="shared" si="2"/>
        <v>#DIV/0!</v>
      </c>
    </row>
    <row r="26" spans="1:42" ht="12.75" customHeight="1" x14ac:dyDescent="0.25">
      <c r="B26" s="41" t="s">
        <v>277</v>
      </c>
      <c r="C26" s="42"/>
      <c r="D26" s="43"/>
      <c r="E26" s="44"/>
      <c r="F26" s="434">
        <f t="shared" si="0"/>
        <v>0</v>
      </c>
      <c r="G26" s="435" t="e">
        <f t="shared" si="3"/>
        <v>#DIV/0!</v>
      </c>
      <c r="I26" s="41"/>
      <c r="J26" s="42"/>
      <c r="K26" s="43"/>
      <c r="L26" s="44"/>
      <c r="M26" s="434">
        <f t="shared" si="4"/>
        <v>0</v>
      </c>
      <c r="N26" s="435" t="e">
        <f t="shared" si="5"/>
        <v>#DIV/0!</v>
      </c>
      <c r="O26" s="40"/>
      <c r="P26" s="41"/>
      <c r="Q26" s="42"/>
      <c r="R26" s="43"/>
      <c r="S26" s="44"/>
      <c r="T26" s="434">
        <f t="shared" si="6"/>
        <v>0</v>
      </c>
      <c r="U26" s="435" t="e">
        <f t="shared" si="7"/>
        <v>#DIV/0!</v>
      </c>
      <c r="W26" s="41"/>
      <c r="X26" s="42"/>
      <c r="Y26" s="43"/>
      <c r="Z26" s="44"/>
      <c r="AA26" s="434">
        <f t="shared" si="8"/>
        <v>0</v>
      </c>
      <c r="AB26" s="435" t="e">
        <f t="shared" si="1"/>
        <v>#DIV/0!</v>
      </c>
      <c r="AD26" s="41"/>
      <c r="AE26" s="42"/>
      <c r="AF26" s="43"/>
      <c r="AG26" s="44"/>
      <c r="AH26" s="434">
        <f t="shared" si="9"/>
        <v>0</v>
      </c>
      <c r="AI26" s="435" t="e">
        <f t="shared" si="10"/>
        <v>#DIV/0!</v>
      </c>
      <c r="AK26" s="41"/>
      <c r="AL26" s="42"/>
      <c r="AM26" s="43"/>
      <c r="AN26" s="44"/>
      <c r="AO26" s="434">
        <f t="shared" si="11"/>
        <v>0</v>
      </c>
      <c r="AP26" s="435" t="e">
        <f t="shared" si="2"/>
        <v>#DIV/0!</v>
      </c>
    </row>
    <row r="27" spans="1:42" ht="12.75" customHeight="1" x14ac:dyDescent="0.25">
      <c r="B27" s="41" t="s">
        <v>277</v>
      </c>
      <c r="C27" s="42"/>
      <c r="D27" s="43"/>
      <c r="E27" s="44"/>
      <c r="F27" s="434">
        <f t="shared" si="0"/>
        <v>0</v>
      </c>
      <c r="G27" s="435" t="e">
        <f t="shared" si="3"/>
        <v>#DIV/0!</v>
      </c>
      <c r="I27" s="41"/>
      <c r="J27" s="42"/>
      <c r="K27" s="43"/>
      <c r="L27" s="44"/>
      <c r="M27" s="434">
        <f t="shared" si="4"/>
        <v>0</v>
      </c>
      <c r="N27" s="435" t="e">
        <f t="shared" si="5"/>
        <v>#DIV/0!</v>
      </c>
      <c r="O27" s="40"/>
      <c r="P27" s="41"/>
      <c r="Q27" s="42"/>
      <c r="R27" s="43"/>
      <c r="S27" s="44"/>
      <c r="T27" s="434">
        <f t="shared" si="6"/>
        <v>0</v>
      </c>
      <c r="U27" s="435" t="e">
        <f t="shared" si="7"/>
        <v>#DIV/0!</v>
      </c>
      <c r="W27" s="41"/>
      <c r="X27" s="42"/>
      <c r="Y27" s="43"/>
      <c r="Z27" s="44"/>
      <c r="AA27" s="434">
        <f t="shared" si="8"/>
        <v>0</v>
      </c>
      <c r="AB27" s="435" t="e">
        <f>X27/X$2</f>
        <v>#DIV/0!</v>
      </c>
      <c r="AD27" s="41"/>
      <c r="AE27" s="42"/>
      <c r="AF27" s="43"/>
      <c r="AG27" s="44"/>
      <c r="AH27" s="434">
        <f t="shared" si="9"/>
        <v>0</v>
      </c>
      <c r="AI27" s="435" t="e">
        <f t="shared" si="10"/>
        <v>#DIV/0!</v>
      </c>
      <c r="AK27" s="41"/>
      <c r="AL27" s="42"/>
      <c r="AM27" s="43"/>
      <c r="AN27" s="44"/>
      <c r="AO27" s="434">
        <f t="shared" si="11"/>
        <v>0</v>
      </c>
      <c r="AP27" s="435" t="e">
        <f t="shared" si="2"/>
        <v>#DIV/0!</v>
      </c>
    </row>
    <row r="28" spans="1:42" s="45" customFormat="1" ht="12.75" customHeight="1" x14ac:dyDescent="0.25">
      <c r="B28" s="46" t="s">
        <v>112</v>
      </c>
      <c r="C28" s="47">
        <f>SUBTOTAL(9,C16:C27)</f>
        <v>0</v>
      </c>
      <c r="D28" s="48">
        <f>SUMPRODUCT(D16:D27,C16:C27)</f>
        <v>0</v>
      </c>
      <c r="E28" s="49">
        <f>SUMPRODUCT(E16:E27,C16:C27)</f>
        <v>0</v>
      </c>
      <c r="F28" s="50">
        <f t="shared" si="0"/>
        <v>0</v>
      </c>
      <c r="G28" s="51"/>
      <c r="I28" s="46" t="s">
        <v>112</v>
      </c>
      <c r="J28" s="47">
        <f>SUBTOTAL(9,J16:J27)</f>
        <v>0</v>
      </c>
      <c r="K28" s="48">
        <f>SUMPRODUCT(K16:K27,J16:J27)</f>
        <v>0</v>
      </c>
      <c r="L28" s="49">
        <f>SUMPRODUCT(L16:L27,J16:J27)</f>
        <v>0</v>
      </c>
      <c r="M28" s="50">
        <f>IFERROR(L28/K28,0)</f>
        <v>0</v>
      </c>
      <c r="N28" s="51"/>
      <c r="O28" s="52"/>
      <c r="P28" s="46" t="s">
        <v>112</v>
      </c>
      <c r="Q28" s="47">
        <f>SUBTOTAL(9,Q16:Q27)</f>
        <v>0</v>
      </c>
      <c r="R28" s="48">
        <f>SUMPRODUCT(R16:R27,Q16:Q27)</f>
        <v>0</v>
      </c>
      <c r="S28" s="49">
        <f>SUMPRODUCT(S16:S27,Q16:Q27)</f>
        <v>0</v>
      </c>
      <c r="T28" s="50">
        <f>IFERROR(S28/R28,0)</f>
        <v>0</v>
      </c>
      <c r="U28" s="51"/>
      <c r="W28" s="46" t="s">
        <v>112</v>
      </c>
      <c r="X28" s="47">
        <f>SUBTOTAL(9,X16:X27)</f>
        <v>0</v>
      </c>
      <c r="Y28" s="48">
        <f>SUMPRODUCT(Y16:Y27,X16:X27)</f>
        <v>0</v>
      </c>
      <c r="Z28" s="49">
        <f>SUMPRODUCT(Z16:Z27,X16:X27)</f>
        <v>0</v>
      </c>
      <c r="AA28" s="50">
        <f>IFERROR(Z28/Y28,0)</f>
        <v>0</v>
      </c>
      <c r="AB28" s="51"/>
      <c r="AD28" s="46" t="s">
        <v>112</v>
      </c>
      <c r="AE28" s="47">
        <f>SUBTOTAL(9,AE16:AE27)</f>
        <v>0</v>
      </c>
      <c r="AF28" s="48">
        <f>SUMPRODUCT(AF16:AF27,AE16:AE27)</f>
        <v>0</v>
      </c>
      <c r="AG28" s="49">
        <f>SUMPRODUCT(AG16:AG27,AE16:AE27)</f>
        <v>0</v>
      </c>
      <c r="AH28" s="50">
        <f>IFERROR(AG28/AF28,0)</f>
        <v>0</v>
      </c>
      <c r="AI28" s="51"/>
      <c r="AK28" s="46" t="s">
        <v>112</v>
      </c>
      <c r="AL28" s="47">
        <f>SUBTOTAL(9,AL16:AL27)</f>
        <v>0</v>
      </c>
      <c r="AM28" s="48">
        <f>SUMPRODUCT(AM16:AM27,AL16:AL27)</f>
        <v>0</v>
      </c>
      <c r="AN28" s="49">
        <f>SUMPRODUCT(AN16:AN27,AL16:AL27)</f>
        <v>0</v>
      </c>
      <c r="AO28" s="50">
        <f>IFERROR(AN28/AM28,0)</f>
        <v>0</v>
      </c>
      <c r="AP28" s="51"/>
    </row>
    <row r="29" spans="1:42" s="45" customFormat="1" ht="12.75" customHeight="1" x14ac:dyDescent="0.25">
      <c r="B29" s="53" t="s">
        <v>278</v>
      </c>
      <c r="C29" s="54"/>
      <c r="D29" s="48">
        <f>IFERROR(D28/C28,0)</f>
        <v>0</v>
      </c>
      <c r="E29" s="49">
        <f>IFERROR(E28/C28,0)</f>
        <v>0</v>
      </c>
      <c r="F29" s="50">
        <f t="shared" si="0"/>
        <v>0</v>
      </c>
      <c r="G29" s="51"/>
      <c r="I29" s="53" t="s">
        <v>278</v>
      </c>
      <c r="J29" s="54"/>
      <c r="K29" s="48">
        <f>IFERROR(K28/J28,0)</f>
        <v>0</v>
      </c>
      <c r="L29" s="49">
        <f>IFERROR(L28/J28,0)</f>
        <v>0</v>
      </c>
      <c r="M29" s="50">
        <f>IFERROR(L29/K29,0)</f>
        <v>0</v>
      </c>
      <c r="N29" s="51"/>
      <c r="O29" s="52"/>
      <c r="P29" s="53" t="s">
        <v>278</v>
      </c>
      <c r="Q29" s="54"/>
      <c r="R29" s="48">
        <f>IFERROR(R28/Q28,0)</f>
        <v>0</v>
      </c>
      <c r="S29" s="49">
        <f>IFERROR(S28/Q28,0)</f>
        <v>0</v>
      </c>
      <c r="T29" s="50">
        <f>IFERROR(S29/R29,0)</f>
        <v>0</v>
      </c>
      <c r="U29" s="51"/>
      <c r="W29" s="53" t="s">
        <v>278</v>
      </c>
      <c r="X29" s="54"/>
      <c r="Y29" s="48">
        <f>IFERROR(Y28/X28,0)</f>
        <v>0</v>
      </c>
      <c r="Z29" s="49">
        <f>IFERROR(Z28/X28,0)</f>
        <v>0</v>
      </c>
      <c r="AA29" s="50">
        <f>IFERROR(Z29/Y29,0)</f>
        <v>0</v>
      </c>
      <c r="AB29" s="51"/>
      <c r="AD29" s="53" t="s">
        <v>278</v>
      </c>
      <c r="AE29" s="54"/>
      <c r="AF29" s="48">
        <f>IFERROR(AF28/AE28,0)</f>
        <v>0</v>
      </c>
      <c r="AG29" s="49">
        <f>IFERROR(AG28/AE28,0)</f>
        <v>0</v>
      </c>
      <c r="AH29" s="50">
        <f>IFERROR(AG29/AF29,0)</f>
        <v>0</v>
      </c>
      <c r="AI29" s="51"/>
      <c r="AK29" s="53" t="s">
        <v>278</v>
      </c>
      <c r="AL29" s="54"/>
      <c r="AM29" s="48">
        <f>IFERROR(AM28/AL28,0)</f>
        <v>0</v>
      </c>
      <c r="AN29" s="49">
        <f>IFERROR(AN28/AL28,0)</f>
        <v>0</v>
      </c>
      <c r="AO29" s="50">
        <f>IFERROR(AN29/AM29,0)</f>
        <v>0</v>
      </c>
      <c r="AP29" s="51"/>
    </row>
    <row r="30" spans="1:42" x14ac:dyDescent="0.25">
      <c r="G30" s="55"/>
      <c r="N30" s="55"/>
      <c r="U30" s="55"/>
      <c r="AB30" s="55"/>
      <c r="AI30" s="55"/>
      <c r="AP30" s="55"/>
    </row>
    <row r="31" spans="1:42" x14ac:dyDescent="0.25">
      <c r="A31" s="15" t="s">
        <v>279</v>
      </c>
      <c r="B31" s="35" t="s">
        <v>280</v>
      </c>
      <c r="C31" s="35"/>
      <c r="D31" s="36"/>
      <c r="E31" s="36"/>
      <c r="F31" s="36"/>
      <c r="G31" s="56"/>
      <c r="I31" s="35" t="s">
        <v>280</v>
      </c>
      <c r="J31" s="35"/>
      <c r="K31" s="36"/>
      <c r="L31" s="36"/>
      <c r="M31" s="36"/>
      <c r="N31" s="56"/>
      <c r="O31" s="36"/>
      <c r="P31" s="35" t="s">
        <v>280</v>
      </c>
      <c r="Q31" s="35"/>
      <c r="R31" s="36"/>
      <c r="S31" s="36"/>
      <c r="T31" s="36"/>
      <c r="U31" s="56"/>
      <c r="W31" s="35" t="s">
        <v>280</v>
      </c>
      <c r="X31" s="35"/>
      <c r="Y31" s="36"/>
      <c r="Z31" s="36"/>
      <c r="AA31" s="36"/>
      <c r="AB31" s="56"/>
      <c r="AD31" s="35" t="s">
        <v>280</v>
      </c>
      <c r="AE31" s="35"/>
      <c r="AF31" s="36"/>
      <c r="AG31" s="36"/>
      <c r="AH31" s="36"/>
      <c r="AI31" s="56"/>
      <c r="AK31" s="35" t="s">
        <v>280</v>
      </c>
      <c r="AL31" s="35"/>
      <c r="AM31" s="36"/>
      <c r="AN31" s="36"/>
      <c r="AO31" s="36"/>
      <c r="AP31" s="56"/>
    </row>
    <row r="32" spans="1:42" x14ac:dyDescent="0.25">
      <c r="B32" s="37" t="s">
        <v>124</v>
      </c>
      <c r="C32" s="38" t="s">
        <v>2</v>
      </c>
      <c r="D32" s="38" t="s">
        <v>107</v>
      </c>
      <c r="E32" s="38" t="s">
        <v>274</v>
      </c>
      <c r="F32" s="57" t="s">
        <v>275</v>
      </c>
      <c r="G32" s="58" t="s">
        <v>276</v>
      </c>
      <c r="I32" s="37" t="s">
        <v>124</v>
      </c>
      <c r="J32" s="38" t="s">
        <v>2</v>
      </c>
      <c r="K32" s="38" t="s">
        <v>107</v>
      </c>
      <c r="L32" s="38" t="s">
        <v>274</v>
      </c>
      <c r="M32" s="57" t="s">
        <v>275</v>
      </c>
      <c r="N32" s="58" t="s">
        <v>276</v>
      </c>
      <c r="O32" s="40"/>
      <c r="P32" s="37" t="s">
        <v>124</v>
      </c>
      <c r="Q32" s="38" t="s">
        <v>2</v>
      </c>
      <c r="R32" s="38" t="s">
        <v>107</v>
      </c>
      <c r="S32" s="38" t="s">
        <v>274</v>
      </c>
      <c r="T32" s="57" t="s">
        <v>275</v>
      </c>
      <c r="U32" s="58" t="s">
        <v>276</v>
      </c>
      <c r="W32" s="37" t="s">
        <v>124</v>
      </c>
      <c r="X32" s="38" t="s">
        <v>2</v>
      </c>
      <c r="Y32" s="38" t="s">
        <v>107</v>
      </c>
      <c r="Z32" s="38" t="s">
        <v>274</v>
      </c>
      <c r="AA32" s="57" t="s">
        <v>275</v>
      </c>
      <c r="AB32" s="58" t="s">
        <v>276</v>
      </c>
      <c r="AD32" s="37" t="s">
        <v>124</v>
      </c>
      <c r="AE32" s="38" t="s">
        <v>2</v>
      </c>
      <c r="AF32" s="38" t="s">
        <v>107</v>
      </c>
      <c r="AG32" s="38" t="s">
        <v>274</v>
      </c>
      <c r="AH32" s="57" t="s">
        <v>275</v>
      </c>
      <c r="AI32" s="58" t="s">
        <v>276</v>
      </c>
      <c r="AK32" s="37" t="s">
        <v>124</v>
      </c>
      <c r="AL32" s="38" t="s">
        <v>2</v>
      </c>
      <c r="AM32" s="38" t="s">
        <v>107</v>
      </c>
      <c r="AN32" s="38" t="s">
        <v>274</v>
      </c>
      <c r="AO32" s="57" t="s">
        <v>275</v>
      </c>
      <c r="AP32" s="58" t="s">
        <v>276</v>
      </c>
    </row>
    <row r="33" spans="2:42" x14ac:dyDescent="0.25">
      <c r="B33" s="41" t="s">
        <v>281</v>
      </c>
      <c r="C33" s="42"/>
      <c r="D33" s="43"/>
      <c r="E33" s="44"/>
      <c r="F33" s="434">
        <f>IFERROR(E33/D33,0)</f>
        <v>0</v>
      </c>
      <c r="G33" s="435" t="e">
        <f>C33/$C$2</f>
        <v>#DIV/0!</v>
      </c>
      <c r="I33" s="41"/>
      <c r="J33" s="42"/>
      <c r="K33" s="43"/>
      <c r="L33" s="44"/>
      <c r="M33" s="434">
        <f>IFERROR(L33/K33,0)</f>
        <v>0</v>
      </c>
      <c r="N33" s="435" t="e">
        <f t="shared" ref="N33:N56" si="12">J33/J$2</f>
        <v>#DIV/0!</v>
      </c>
      <c r="O33" s="40"/>
      <c r="P33" s="41"/>
      <c r="Q33" s="42"/>
      <c r="R33" s="43"/>
      <c r="S33" s="44"/>
      <c r="T33" s="434">
        <f>IFERROR(S33/R33,0)</f>
        <v>0</v>
      </c>
      <c r="U33" s="435" t="e">
        <f t="shared" ref="U33:U48" si="13">Q33/Q$2</f>
        <v>#DIV/0!</v>
      </c>
      <c r="W33" s="41"/>
      <c r="X33" s="42"/>
      <c r="Y33" s="43"/>
      <c r="Z33" s="44"/>
      <c r="AA33" s="434">
        <f>IFERROR(Z33/Y33,0)</f>
        <v>0</v>
      </c>
      <c r="AB33" s="435" t="e">
        <f t="shared" ref="AB33:AB48" si="14">X33/X$2</f>
        <v>#DIV/0!</v>
      </c>
      <c r="AD33" s="41"/>
      <c r="AE33" s="42"/>
      <c r="AF33" s="43"/>
      <c r="AG33" s="44"/>
      <c r="AH33" s="434">
        <f>IFERROR(AG33/AF33,0)</f>
        <v>0</v>
      </c>
      <c r="AI33" s="435" t="e">
        <f t="shared" ref="AI33:AI48" si="15">AE33/AE$2</f>
        <v>#DIV/0!</v>
      </c>
      <c r="AK33" s="41"/>
      <c r="AL33" s="42"/>
      <c r="AM33" s="43"/>
      <c r="AN33" s="44"/>
      <c r="AO33" s="434">
        <f>IFERROR(AN33/AM33,0)</f>
        <v>0</v>
      </c>
      <c r="AP33" s="435" t="e">
        <f>AL33/AL$2</f>
        <v>#DIV/0!</v>
      </c>
    </row>
    <row r="34" spans="2:42" x14ac:dyDescent="0.25">
      <c r="B34" s="41" t="s">
        <v>281</v>
      </c>
      <c r="C34" s="42"/>
      <c r="D34" s="43"/>
      <c r="E34" s="44"/>
      <c r="F34" s="434">
        <f t="shared" ref="F34:F56" si="16">IFERROR(E34/D34,0)</f>
        <v>0</v>
      </c>
      <c r="G34" s="435" t="e">
        <f t="shared" ref="G34:G44" si="17">C34/$C$2</f>
        <v>#DIV/0!</v>
      </c>
      <c r="I34" s="41"/>
      <c r="J34" s="42"/>
      <c r="K34" s="43"/>
      <c r="L34" s="44"/>
      <c r="M34" s="434">
        <f t="shared" ref="M34:M56" si="18">IFERROR(L34/K34,0)</f>
        <v>0</v>
      </c>
      <c r="N34" s="435" t="e">
        <f t="shared" si="12"/>
        <v>#DIV/0!</v>
      </c>
      <c r="O34" s="40"/>
      <c r="P34" s="41"/>
      <c r="Q34" s="42"/>
      <c r="R34" s="43"/>
      <c r="S34" s="44"/>
      <c r="T34" s="434">
        <f t="shared" ref="T34:T56" si="19">IFERROR(S34/R34,0)</f>
        <v>0</v>
      </c>
      <c r="U34" s="435" t="e">
        <f t="shared" si="13"/>
        <v>#DIV/0!</v>
      </c>
      <c r="W34" s="41"/>
      <c r="X34" s="42"/>
      <c r="Y34" s="43"/>
      <c r="Z34" s="44"/>
      <c r="AA34" s="434">
        <f t="shared" ref="AA34:AA56" si="20">IFERROR(Z34/Y34,0)</f>
        <v>0</v>
      </c>
      <c r="AB34" s="435" t="e">
        <f t="shared" si="14"/>
        <v>#DIV/0!</v>
      </c>
      <c r="AD34" s="41"/>
      <c r="AE34" s="42"/>
      <c r="AF34" s="43"/>
      <c r="AG34" s="44"/>
      <c r="AH34" s="434">
        <f t="shared" ref="AH34:AH56" si="21">IFERROR(AG34/AF34,0)</f>
        <v>0</v>
      </c>
      <c r="AI34" s="435" t="e">
        <f t="shared" si="15"/>
        <v>#DIV/0!</v>
      </c>
      <c r="AK34" s="41"/>
      <c r="AL34" s="42"/>
      <c r="AM34" s="43"/>
      <c r="AN34" s="44"/>
      <c r="AO34" s="434">
        <f t="shared" ref="AO34:AO56" si="22">IFERROR(AN34/AM34,0)</f>
        <v>0</v>
      </c>
      <c r="AP34" s="435" t="e">
        <f t="shared" ref="AP34:AP56" si="23">AL34/AL$2</f>
        <v>#DIV/0!</v>
      </c>
    </row>
    <row r="35" spans="2:42" x14ac:dyDescent="0.25">
      <c r="B35" s="41" t="s">
        <v>281</v>
      </c>
      <c r="C35" s="42"/>
      <c r="D35" s="43"/>
      <c r="E35" s="44"/>
      <c r="F35" s="434">
        <f t="shared" si="16"/>
        <v>0</v>
      </c>
      <c r="G35" s="435" t="e">
        <f t="shared" si="17"/>
        <v>#DIV/0!</v>
      </c>
      <c r="I35" s="41"/>
      <c r="J35" s="42"/>
      <c r="K35" s="43"/>
      <c r="L35" s="44"/>
      <c r="M35" s="434">
        <f t="shared" si="18"/>
        <v>0</v>
      </c>
      <c r="N35" s="435" t="e">
        <f t="shared" si="12"/>
        <v>#DIV/0!</v>
      </c>
      <c r="O35" s="40"/>
      <c r="P35" s="41"/>
      <c r="Q35" s="42"/>
      <c r="R35" s="43"/>
      <c r="S35" s="44"/>
      <c r="T35" s="434">
        <f t="shared" si="19"/>
        <v>0</v>
      </c>
      <c r="U35" s="435" t="e">
        <f t="shared" si="13"/>
        <v>#DIV/0!</v>
      </c>
      <c r="W35" s="41"/>
      <c r="X35" s="42"/>
      <c r="Y35" s="43"/>
      <c r="Z35" s="44"/>
      <c r="AA35" s="434">
        <f t="shared" si="20"/>
        <v>0</v>
      </c>
      <c r="AB35" s="435" t="e">
        <f t="shared" si="14"/>
        <v>#DIV/0!</v>
      </c>
      <c r="AD35" s="41"/>
      <c r="AE35" s="42"/>
      <c r="AF35" s="43"/>
      <c r="AG35" s="44"/>
      <c r="AH35" s="434">
        <f t="shared" si="21"/>
        <v>0</v>
      </c>
      <c r="AI35" s="435" t="e">
        <f t="shared" si="15"/>
        <v>#DIV/0!</v>
      </c>
      <c r="AK35" s="41"/>
      <c r="AL35" s="42"/>
      <c r="AM35" s="43"/>
      <c r="AN35" s="44"/>
      <c r="AO35" s="434">
        <f t="shared" si="22"/>
        <v>0</v>
      </c>
      <c r="AP35" s="435" t="e">
        <f t="shared" si="23"/>
        <v>#DIV/0!</v>
      </c>
    </row>
    <row r="36" spans="2:42" x14ac:dyDescent="0.25">
      <c r="B36" s="41" t="s">
        <v>281</v>
      </c>
      <c r="C36" s="42"/>
      <c r="D36" s="43"/>
      <c r="E36" s="44"/>
      <c r="F36" s="434">
        <f t="shared" si="16"/>
        <v>0</v>
      </c>
      <c r="G36" s="435" t="e">
        <f t="shared" si="17"/>
        <v>#DIV/0!</v>
      </c>
      <c r="I36" s="41"/>
      <c r="J36" s="42"/>
      <c r="K36" s="43"/>
      <c r="L36" s="44"/>
      <c r="M36" s="434">
        <f t="shared" si="18"/>
        <v>0</v>
      </c>
      <c r="N36" s="435" t="e">
        <f t="shared" si="12"/>
        <v>#DIV/0!</v>
      </c>
      <c r="O36" s="40"/>
      <c r="P36" s="41"/>
      <c r="Q36" s="42"/>
      <c r="R36" s="43"/>
      <c r="S36" s="44"/>
      <c r="T36" s="434">
        <f t="shared" si="19"/>
        <v>0</v>
      </c>
      <c r="U36" s="435" t="e">
        <f t="shared" si="13"/>
        <v>#DIV/0!</v>
      </c>
      <c r="W36" s="41"/>
      <c r="X36" s="42"/>
      <c r="Y36" s="43"/>
      <c r="Z36" s="44"/>
      <c r="AA36" s="434">
        <f t="shared" si="20"/>
        <v>0</v>
      </c>
      <c r="AB36" s="435" t="e">
        <f t="shared" si="14"/>
        <v>#DIV/0!</v>
      </c>
      <c r="AD36" s="41"/>
      <c r="AE36" s="42"/>
      <c r="AF36" s="43"/>
      <c r="AG36" s="44"/>
      <c r="AH36" s="434">
        <f t="shared" si="21"/>
        <v>0</v>
      </c>
      <c r="AI36" s="435" t="e">
        <f t="shared" si="15"/>
        <v>#DIV/0!</v>
      </c>
      <c r="AK36" s="41"/>
      <c r="AL36" s="42"/>
      <c r="AM36" s="43"/>
      <c r="AN36" s="44"/>
      <c r="AO36" s="434">
        <f t="shared" si="22"/>
        <v>0</v>
      </c>
      <c r="AP36" s="435" t="e">
        <f t="shared" si="23"/>
        <v>#DIV/0!</v>
      </c>
    </row>
    <row r="37" spans="2:42" x14ac:dyDescent="0.25">
      <c r="B37" s="41" t="s">
        <v>281</v>
      </c>
      <c r="C37" s="42"/>
      <c r="D37" s="43"/>
      <c r="E37" s="44"/>
      <c r="F37" s="434">
        <f t="shared" si="16"/>
        <v>0</v>
      </c>
      <c r="G37" s="435" t="e">
        <f t="shared" si="17"/>
        <v>#DIV/0!</v>
      </c>
      <c r="I37" s="41"/>
      <c r="J37" s="42"/>
      <c r="K37" s="43"/>
      <c r="L37" s="44"/>
      <c r="M37" s="434">
        <f t="shared" si="18"/>
        <v>0</v>
      </c>
      <c r="N37" s="435" t="e">
        <f t="shared" si="12"/>
        <v>#DIV/0!</v>
      </c>
      <c r="O37" s="40"/>
      <c r="P37" s="41"/>
      <c r="Q37" s="42"/>
      <c r="R37" s="43"/>
      <c r="S37" s="44"/>
      <c r="T37" s="434">
        <f t="shared" si="19"/>
        <v>0</v>
      </c>
      <c r="U37" s="435" t="e">
        <f t="shared" si="13"/>
        <v>#DIV/0!</v>
      </c>
      <c r="W37" s="41"/>
      <c r="X37" s="42"/>
      <c r="Y37" s="43"/>
      <c r="Z37" s="44"/>
      <c r="AA37" s="434">
        <f t="shared" si="20"/>
        <v>0</v>
      </c>
      <c r="AB37" s="435" t="e">
        <f t="shared" si="14"/>
        <v>#DIV/0!</v>
      </c>
      <c r="AD37" s="41"/>
      <c r="AE37" s="42"/>
      <c r="AF37" s="43"/>
      <c r="AG37" s="44"/>
      <c r="AH37" s="434">
        <f t="shared" si="21"/>
        <v>0</v>
      </c>
      <c r="AI37" s="435" t="e">
        <f t="shared" si="15"/>
        <v>#DIV/0!</v>
      </c>
      <c r="AK37" s="41"/>
      <c r="AL37" s="42"/>
      <c r="AM37" s="43"/>
      <c r="AN37" s="44"/>
      <c r="AO37" s="434">
        <f t="shared" si="22"/>
        <v>0</v>
      </c>
      <c r="AP37" s="435" t="e">
        <f t="shared" si="23"/>
        <v>#DIV/0!</v>
      </c>
    </row>
    <row r="38" spans="2:42" x14ac:dyDescent="0.25">
      <c r="B38" s="41" t="s">
        <v>281</v>
      </c>
      <c r="C38" s="42"/>
      <c r="D38" s="43"/>
      <c r="E38" s="44"/>
      <c r="F38" s="434">
        <f t="shared" si="16"/>
        <v>0</v>
      </c>
      <c r="G38" s="435" t="e">
        <f t="shared" si="17"/>
        <v>#DIV/0!</v>
      </c>
      <c r="I38" s="41"/>
      <c r="J38" s="42"/>
      <c r="K38" s="43"/>
      <c r="L38" s="44"/>
      <c r="M38" s="434">
        <f t="shared" si="18"/>
        <v>0</v>
      </c>
      <c r="N38" s="435" t="e">
        <f t="shared" si="12"/>
        <v>#DIV/0!</v>
      </c>
      <c r="O38" s="40"/>
      <c r="P38" s="41"/>
      <c r="Q38" s="42"/>
      <c r="R38" s="43"/>
      <c r="S38" s="44"/>
      <c r="T38" s="434">
        <f t="shared" si="19"/>
        <v>0</v>
      </c>
      <c r="U38" s="435" t="e">
        <f t="shared" si="13"/>
        <v>#DIV/0!</v>
      </c>
      <c r="W38" s="41"/>
      <c r="X38" s="42"/>
      <c r="Y38" s="43"/>
      <c r="Z38" s="44"/>
      <c r="AA38" s="434">
        <f t="shared" si="20"/>
        <v>0</v>
      </c>
      <c r="AB38" s="435" t="e">
        <f t="shared" si="14"/>
        <v>#DIV/0!</v>
      </c>
      <c r="AD38" s="41"/>
      <c r="AE38" s="42"/>
      <c r="AF38" s="43"/>
      <c r="AG38" s="44"/>
      <c r="AH38" s="434">
        <f t="shared" si="21"/>
        <v>0</v>
      </c>
      <c r="AI38" s="435" t="e">
        <f t="shared" si="15"/>
        <v>#DIV/0!</v>
      </c>
      <c r="AK38" s="41"/>
      <c r="AL38" s="42"/>
      <c r="AM38" s="43"/>
      <c r="AN38" s="44"/>
      <c r="AO38" s="434">
        <f t="shared" si="22"/>
        <v>0</v>
      </c>
      <c r="AP38" s="435" t="e">
        <f t="shared" si="23"/>
        <v>#DIV/0!</v>
      </c>
    </row>
    <row r="39" spans="2:42" x14ac:dyDescent="0.25">
      <c r="B39" s="41" t="s">
        <v>281</v>
      </c>
      <c r="C39" s="42"/>
      <c r="D39" s="43"/>
      <c r="E39" s="44"/>
      <c r="F39" s="434">
        <f t="shared" si="16"/>
        <v>0</v>
      </c>
      <c r="G39" s="435" t="e">
        <f t="shared" si="17"/>
        <v>#DIV/0!</v>
      </c>
      <c r="I39" s="41"/>
      <c r="J39" s="42"/>
      <c r="K39" s="43"/>
      <c r="L39" s="44"/>
      <c r="M39" s="434">
        <f t="shared" si="18"/>
        <v>0</v>
      </c>
      <c r="N39" s="435" t="e">
        <f t="shared" si="12"/>
        <v>#DIV/0!</v>
      </c>
      <c r="O39" s="40"/>
      <c r="P39" s="41"/>
      <c r="Q39" s="42"/>
      <c r="R39" s="43"/>
      <c r="S39" s="44"/>
      <c r="T39" s="434">
        <f t="shared" si="19"/>
        <v>0</v>
      </c>
      <c r="U39" s="435" t="e">
        <f t="shared" si="13"/>
        <v>#DIV/0!</v>
      </c>
      <c r="W39" s="41"/>
      <c r="X39" s="42"/>
      <c r="Y39" s="43"/>
      <c r="Z39" s="44"/>
      <c r="AA39" s="434">
        <f t="shared" si="20"/>
        <v>0</v>
      </c>
      <c r="AB39" s="435" t="e">
        <f t="shared" si="14"/>
        <v>#DIV/0!</v>
      </c>
      <c r="AD39" s="41"/>
      <c r="AE39" s="42"/>
      <c r="AF39" s="43"/>
      <c r="AG39" s="44"/>
      <c r="AH39" s="434">
        <f t="shared" si="21"/>
        <v>0</v>
      </c>
      <c r="AI39" s="435" t="e">
        <f t="shared" si="15"/>
        <v>#DIV/0!</v>
      </c>
      <c r="AK39" s="41"/>
      <c r="AL39" s="42"/>
      <c r="AM39" s="43"/>
      <c r="AN39" s="44"/>
      <c r="AO39" s="434">
        <f t="shared" si="22"/>
        <v>0</v>
      </c>
      <c r="AP39" s="435" t="e">
        <f t="shared" si="23"/>
        <v>#DIV/0!</v>
      </c>
    </row>
    <row r="40" spans="2:42" x14ac:dyDescent="0.25">
      <c r="B40" s="41" t="s">
        <v>281</v>
      </c>
      <c r="C40" s="42"/>
      <c r="D40" s="43"/>
      <c r="E40" s="44"/>
      <c r="F40" s="434">
        <f t="shared" si="16"/>
        <v>0</v>
      </c>
      <c r="G40" s="435" t="e">
        <f t="shared" si="17"/>
        <v>#DIV/0!</v>
      </c>
      <c r="I40" s="41"/>
      <c r="J40" s="42"/>
      <c r="K40" s="43"/>
      <c r="L40" s="44"/>
      <c r="M40" s="434">
        <f t="shared" si="18"/>
        <v>0</v>
      </c>
      <c r="N40" s="435" t="e">
        <f t="shared" si="12"/>
        <v>#DIV/0!</v>
      </c>
      <c r="O40" s="40"/>
      <c r="P40" s="41"/>
      <c r="Q40" s="42"/>
      <c r="R40" s="43"/>
      <c r="S40" s="44"/>
      <c r="T40" s="434">
        <f t="shared" si="19"/>
        <v>0</v>
      </c>
      <c r="U40" s="435" t="e">
        <f t="shared" si="13"/>
        <v>#DIV/0!</v>
      </c>
      <c r="W40" s="41"/>
      <c r="X40" s="42"/>
      <c r="Y40" s="43"/>
      <c r="Z40" s="44"/>
      <c r="AA40" s="434">
        <f t="shared" si="20"/>
        <v>0</v>
      </c>
      <c r="AB40" s="435" t="e">
        <f t="shared" si="14"/>
        <v>#DIV/0!</v>
      </c>
      <c r="AD40" s="41"/>
      <c r="AE40" s="42"/>
      <c r="AF40" s="43"/>
      <c r="AG40" s="44"/>
      <c r="AH40" s="434">
        <f t="shared" si="21"/>
        <v>0</v>
      </c>
      <c r="AI40" s="435" t="e">
        <f t="shared" si="15"/>
        <v>#DIV/0!</v>
      </c>
      <c r="AK40" s="41"/>
      <c r="AL40" s="42"/>
      <c r="AM40" s="43"/>
      <c r="AN40" s="44"/>
      <c r="AO40" s="434">
        <f t="shared" si="22"/>
        <v>0</v>
      </c>
      <c r="AP40" s="435" t="e">
        <f t="shared" si="23"/>
        <v>#DIV/0!</v>
      </c>
    </row>
    <row r="41" spans="2:42" x14ac:dyDescent="0.25">
      <c r="B41" s="41" t="s">
        <v>281</v>
      </c>
      <c r="C41" s="42"/>
      <c r="D41" s="43"/>
      <c r="E41" s="44"/>
      <c r="F41" s="434">
        <f t="shared" si="16"/>
        <v>0</v>
      </c>
      <c r="G41" s="435" t="e">
        <f t="shared" si="17"/>
        <v>#DIV/0!</v>
      </c>
      <c r="I41" s="41"/>
      <c r="J41" s="42"/>
      <c r="K41" s="43"/>
      <c r="L41" s="44"/>
      <c r="M41" s="434">
        <f t="shared" si="18"/>
        <v>0</v>
      </c>
      <c r="N41" s="435" t="e">
        <f t="shared" si="12"/>
        <v>#DIV/0!</v>
      </c>
      <c r="O41" s="40"/>
      <c r="P41" s="41"/>
      <c r="Q41" s="42"/>
      <c r="R41" s="43"/>
      <c r="S41" s="44"/>
      <c r="T41" s="434">
        <f t="shared" si="19"/>
        <v>0</v>
      </c>
      <c r="U41" s="435" t="e">
        <f t="shared" si="13"/>
        <v>#DIV/0!</v>
      </c>
      <c r="W41" s="41"/>
      <c r="X41" s="42"/>
      <c r="Y41" s="43"/>
      <c r="Z41" s="44"/>
      <c r="AA41" s="434">
        <f t="shared" si="20"/>
        <v>0</v>
      </c>
      <c r="AB41" s="435" t="e">
        <f t="shared" si="14"/>
        <v>#DIV/0!</v>
      </c>
      <c r="AD41" s="41"/>
      <c r="AE41" s="42"/>
      <c r="AF41" s="43"/>
      <c r="AG41" s="44"/>
      <c r="AH41" s="434">
        <f t="shared" si="21"/>
        <v>0</v>
      </c>
      <c r="AI41" s="435" t="e">
        <f t="shared" si="15"/>
        <v>#DIV/0!</v>
      </c>
      <c r="AK41" s="41"/>
      <c r="AL41" s="42"/>
      <c r="AM41" s="43"/>
      <c r="AN41" s="44"/>
      <c r="AO41" s="434">
        <f t="shared" si="22"/>
        <v>0</v>
      </c>
      <c r="AP41" s="435" t="e">
        <f t="shared" si="23"/>
        <v>#DIV/0!</v>
      </c>
    </row>
    <row r="42" spans="2:42" x14ac:dyDescent="0.25">
      <c r="B42" s="41" t="s">
        <v>281</v>
      </c>
      <c r="C42" s="42"/>
      <c r="D42" s="43"/>
      <c r="E42" s="44"/>
      <c r="F42" s="434">
        <f t="shared" si="16"/>
        <v>0</v>
      </c>
      <c r="G42" s="435" t="e">
        <f t="shared" si="17"/>
        <v>#DIV/0!</v>
      </c>
      <c r="I42" s="41"/>
      <c r="J42" s="42"/>
      <c r="K42" s="43"/>
      <c r="L42" s="44"/>
      <c r="M42" s="434">
        <f t="shared" si="18"/>
        <v>0</v>
      </c>
      <c r="N42" s="435" t="e">
        <f t="shared" si="12"/>
        <v>#DIV/0!</v>
      </c>
      <c r="O42" s="40"/>
      <c r="P42" s="41"/>
      <c r="Q42" s="42"/>
      <c r="R42" s="43"/>
      <c r="S42" s="44"/>
      <c r="T42" s="434">
        <f t="shared" si="19"/>
        <v>0</v>
      </c>
      <c r="U42" s="435" t="e">
        <f t="shared" si="13"/>
        <v>#DIV/0!</v>
      </c>
      <c r="W42" s="41"/>
      <c r="X42" s="42"/>
      <c r="Y42" s="43"/>
      <c r="Z42" s="44"/>
      <c r="AA42" s="434">
        <f t="shared" si="20"/>
        <v>0</v>
      </c>
      <c r="AB42" s="435" t="e">
        <f t="shared" si="14"/>
        <v>#DIV/0!</v>
      </c>
      <c r="AD42" s="41"/>
      <c r="AE42" s="42"/>
      <c r="AF42" s="43"/>
      <c r="AG42" s="44"/>
      <c r="AH42" s="434">
        <f t="shared" si="21"/>
        <v>0</v>
      </c>
      <c r="AI42" s="435" t="e">
        <f t="shared" si="15"/>
        <v>#DIV/0!</v>
      </c>
      <c r="AK42" s="41"/>
      <c r="AL42" s="42"/>
      <c r="AM42" s="43"/>
      <c r="AN42" s="44"/>
      <c r="AO42" s="434">
        <f t="shared" si="22"/>
        <v>0</v>
      </c>
      <c r="AP42" s="435" t="e">
        <f t="shared" si="23"/>
        <v>#DIV/0!</v>
      </c>
    </row>
    <row r="43" spans="2:42" x14ac:dyDescent="0.25">
      <c r="B43" s="41" t="s">
        <v>281</v>
      </c>
      <c r="C43" s="42"/>
      <c r="D43" s="43"/>
      <c r="E43" s="44"/>
      <c r="F43" s="434">
        <f t="shared" si="16"/>
        <v>0</v>
      </c>
      <c r="G43" s="435" t="e">
        <f t="shared" si="17"/>
        <v>#DIV/0!</v>
      </c>
      <c r="I43" s="41"/>
      <c r="J43" s="42"/>
      <c r="K43" s="43"/>
      <c r="L43" s="44"/>
      <c r="M43" s="434">
        <f t="shared" si="18"/>
        <v>0</v>
      </c>
      <c r="N43" s="435" t="e">
        <f t="shared" si="12"/>
        <v>#DIV/0!</v>
      </c>
      <c r="O43" s="40"/>
      <c r="P43" s="41"/>
      <c r="Q43" s="42"/>
      <c r="R43" s="43"/>
      <c r="S43" s="44"/>
      <c r="T43" s="434">
        <f t="shared" si="19"/>
        <v>0</v>
      </c>
      <c r="U43" s="435" t="e">
        <f t="shared" si="13"/>
        <v>#DIV/0!</v>
      </c>
      <c r="W43" s="41"/>
      <c r="X43" s="42"/>
      <c r="Y43" s="43"/>
      <c r="Z43" s="44"/>
      <c r="AA43" s="434">
        <f t="shared" si="20"/>
        <v>0</v>
      </c>
      <c r="AB43" s="435" t="e">
        <f t="shared" si="14"/>
        <v>#DIV/0!</v>
      </c>
      <c r="AD43" s="41"/>
      <c r="AE43" s="42"/>
      <c r="AF43" s="43"/>
      <c r="AG43" s="44"/>
      <c r="AH43" s="434">
        <f t="shared" si="21"/>
        <v>0</v>
      </c>
      <c r="AI43" s="435" t="e">
        <f t="shared" si="15"/>
        <v>#DIV/0!</v>
      </c>
      <c r="AK43" s="41"/>
      <c r="AL43" s="42"/>
      <c r="AM43" s="43"/>
      <c r="AN43" s="44"/>
      <c r="AO43" s="434">
        <f t="shared" si="22"/>
        <v>0</v>
      </c>
      <c r="AP43" s="435" t="e">
        <f t="shared" si="23"/>
        <v>#DIV/0!</v>
      </c>
    </row>
    <row r="44" spans="2:42" x14ac:dyDescent="0.25">
      <c r="B44" s="41" t="s">
        <v>281</v>
      </c>
      <c r="C44" s="42"/>
      <c r="D44" s="43"/>
      <c r="E44" s="44"/>
      <c r="F44" s="434">
        <f t="shared" si="16"/>
        <v>0</v>
      </c>
      <c r="G44" s="435" t="e">
        <f t="shared" si="17"/>
        <v>#DIV/0!</v>
      </c>
      <c r="I44" s="41"/>
      <c r="J44" s="42"/>
      <c r="K44" s="43"/>
      <c r="L44" s="44"/>
      <c r="M44" s="434">
        <f t="shared" si="18"/>
        <v>0</v>
      </c>
      <c r="N44" s="435" t="e">
        <f t="shared" si="12"/>
        <v>#DIV/0!</v>
      </c>
      <c r="O44" s="40"/>
      <c r="P44" s="41"/>
      <c r="Q44" s="42"/>
      <c r="R44" s="43"/>
      <c r="S44" s="44"/>
      <c r="T44" s="434">
        <f t="shared" si="19"/>
        <v>0</v>
      </c>
      <c r="U44" s="435" t="e">
        <f t="shared" si="13"/>
        <v>#DIV/0!</v>
      </c>
      <c r="W44" s="41"/>
      <c r="X44" s="42"/>
      <c r="Y44" s="43"/>
      <c r="Z44" s="44"/>
      <c r="AA44" s="434">
        <f t="shared" si="20"/>
        <v>0</v>
      </c>
      <c r="AB44" s="435" t="e">
        <f t="shared" si="14"/>
        <v>#DIV/0!</v>
      </c>
      <c r="AD44" s="41"/>
      <c r="AE44" s="42"/>
      <c r="AF44" s="43"/>
      <c r="AG44" s="44"/>
      <c r="AH44" s="434">
        <f t="shared" si="21"/>
        <v>0</v>
      </c>
      <c r="AI44" s="435" t="e">
        <f t="shared" si="15"/>
        <v>#DIV/0!</v>
      </c>
      <c r="AK44" s="41"/>
      <c r="AL44" s="42"/>
      <c r="AM44" s="43"/>
      <c r="AN44" s="44"/>
      <c r="AO44" s="434">
        <f t="shared" si="22"/>
        <v>0</v>
      </c>
      <c r="AP44" s="435" t="e">
        <f t="shared" si="23"/>
        <v>#DIV/0!</v>
      </c>
    </row>
    <row r="45" spans="2:42" outlineLevel="1" x14ac:dyDescent="0.25">
      <c r="B45" s="41" t="s">
        <v>281</v>
      </c>
      <c r="C45" s="42"/>
      <c r="D45" s="43"/>
      <c r="E45" s="44"/>
      <c r="F45" s="434">
        <f t="shared" si="16"/>
        <v>0</v>
      </c>
      <c r="G45" s="435" t="e">
        <f t="shared" ref="G45:G56" si="24">C45/C$2</f>
        <v>#DIV/0!</v>
      </c>
      <c r="I45" s="41"/>
      <c r="J45" s="42"/>
      <c r="K45" s="43"/>
      <c r="L45" s="44"/>
      <c r="M45" s="434">
        <f t="shared" si="18"/>
        <v>0</v>
      </c>
      <c r="N45" s="435" t="e">
        <f t="shared" si="12"/>
        <v>#DIV/0!</v>
      </c>
      <c r="O45" s="40"/>
      <c r="P45" s="41"/>
      <c r="Q45" s="42"/>
      <c r="R45" s="43"/>
      <c r="S45" s="44"/>
      <c r="T45" s="434">
        <f t="shared" si="19"/>
        <v>0</v>
      </c>
      <c r="U45" s="435" t="e">
        <f t="shared" si="13"/>
        <v>#DIV/0!</v>
      </c>
      <c r="W45" s="41"/>
      <c r="X45" s="42"/>
      <c r="Y45" s="43"/>
      <c r="Z45" s="44"/>
      <c r="AA45" s="434">
        <f t="shared" si="20"/>
        <v>0</v>
      </c>
      <c r="AB45" s="435" t="e">
        <f t="shared" si="14"/>
        <v>#DIV/0!</v>
      </c>
      <c r="AD45" s="41"/>
      <c r="AE45" s="42"/>
      <c r="AF45" s="43"/>
      <c r="AG45" s="44"/>
      <c r="AH45" s="434">
        <f t="shared" si="21"/>
        <v>0</v>
      </c>
      <c r="AI45" s="435" t="e">
        <f t="shared" si="15"/>
        <v>#DIV/0!</v>
      </c>
      <c r="AK45" s="41"/>
      <c r="AL45" s="42"/>
      <c r="AM45" s="43"/>
      <c r="AN45" s="44"/>
      <c r="AO45" s="434">
        <f t="shared" si="22"/>
        <v>0</v>
      </c>
      <c r="AP45" s="435" t="e">
        <f t="shared" si="23"/>
        <v>#DIV/0!</v>
      </c>
    </row>
    <row r="46" spans="2:42" outlineLevel="1" x14ac:dyDescent="0.25">
      <c r="B46" s="41" t="s">
        <v>281</v>
      </c>
      <c r="C46" s="42"/>
      <c r="D46" s="43"/>
      <c r="E46" s="44"/>
      <c r="F46" s="434">
        <f t="shared" si="16"/>
        <v>0</v>
      </c>
      <c r="G46" s="435" t="e">
        <f t="shared" si="24"/>
        <v>#DIV/0!</v>
      </c>
      <c r="I46" s="41"/>
      <c r="J46" s="42"/>
      <c r="K46" s="43"/>
      <c r="L46" s="44"/>
      <c r="M46" s="434">
        <f t="shared" si="18"/>
        <v>0</v>
      </c>
      <c r="N46" s="435" t="e">
        <f t="shared" si="12"/>
        <v>#DIV/0!</v>
      </c>
      <c r="O46" s="40"/>
      <c r="P46" s="41"/>
      <c r="Q46" s="42"/>
      <c r="R46" s="43"/>
      <c r="S46" s="44"/>
      <c r="T46" s="434">
        <f t="shared" si="19"/>
        <v>0</v>
      </c>
      <c r="U46" s="435" t="e">
        <f t="shared" si="13"/>
        <v>#DIV/0!</v>
      </c>
      <c r="W46" s="41"/>
      <c r="X46" s="42"/>
      <c r="Y46" s="43"/>
      <c r="Z46" s="44"/>
      <c r="AA46" s="434">
        <f t="shared" si="20"/>
        <v>0</v>
      </c>
      <c r="AB46" s="435" t="e">
        <f t="shared" si="14"/>
        <v>#DIV/0!</v>
      </c>
      <c r="AD46" s="41"/>
      <c r="AE46" s="42"/>
      <c r="AF46" s="43"/>
      <c r="AG46" s="44"/>
      <c r="AH46" s="434">
        <f t="shared" si="21"/>
        <v>0</v>
      </c>
      <c r="AI46" s="435" t="e">
        <f t="shared" si="15"/>
        <v>#DIV/0!</v>
      </c>
      <c r="AK46" s="41"/>
      <c r="AL46" s="42"/>
      <c r="AM46" s="43"/>
      <c r="AN46" s="44"/>
      <c r="AO46" s="434">
        <f t="shared" si="22"/>
        <v>0</v>
      </c>
      <c r="AP46" s="435" t="e">
        <f t="shared" si="23"/>
        <v>#DIV/0!</v>
      </c>
    </row>
    <row r="47" spans="2:42" outlineLevel="1" x14ac:dyDescent="0.25">
      <c r="B47" s="41" t="s">
        <v>281</v>
      </c>
      <c r="C47" s="42"/>
      <c r="D47" s="43"/>
      <c r="E47" s="44"/>
      <c r="F47" s="434">
        <f t="shared" si="16"/>
        <v>0</v>
      </c>
      <c r="G47" s="435" t="e">
        <f t="shared" si="24"/>
        <v>#DIV/0!</v>
      </c>
      <c r="I47" s="41"/>
      <c r="J47" s="42"/>
      <c r="K47" s="43"/>
      <c r="L47" s="44"/>
      <c r="M47" s="434">
        <f t="shared" si="18"/>
        <v>0</v>
      </c>
      <c r="N47" s="435" t="e">
        <f t="shared" si="12"/>
        <v>#DIV/0!</v>
      </c>
      <c r="O47" s="40"/>
      <c r="P47" s="41"/>
      <c r="Q47" s="42"/>
      <c r="R47" s="43"/>
      <c r="S47" s="44"/>
      <c r="T47" s="434">
        <f t="shared" si="19"/>
        <v>0</v>
      </c>
      <c r="U47" s="435" t="e">
        <f t="shared" si="13"/>
        <v>#DIV/0!</v>
      </c>
      <c r="W47" s="41"/>
      <c r="X47" s="42"/>
      <c r="Y47" s="43"/>
      <c r="Z47" s="44"/>
      <c r="AA47" s="434">
        <f t="shared" si="20"/>
        <v>0</v>
      </c>
      <c r="AB47" s="435" t="e">
        <f t="shared" si="14"/>
        <v>#DIV/0!</v>
      </c>
      <c r="AD47" s="41"/>
      <c r="AE47" s="42"/>
      <c r="AF47" s="43"/>
      <c r="AG47" s="44"/>
      <c r="AH47" s="434">
        <f t="shared" si="21"/>
        <v>0</v>
      </c>
      <c r="AI47" s="435" t="e">
        <f t="shared" si="15"/>
        <v>#DIV/0!</v>
      </c>
      <c r="AK47" s="41"/>
      <c r="AL47" s="42"/>
      <c r="AM47" s="43"/>
      <c r="AN47" s="44"/>
      <c r="AO47" s="434">
        <f t="shared" si="22"/>
        <v>0</v>
      </c>
      <c r="AP47" s="435" t="e">
        <f t="shared" si="23"/>
        <v>#DIV/0!</v>
      </c>
    </row>
    <row r="48" spans="2:42" outlineLevel="1" x14ac:dyDescent="0.25">
      <c r="B48" s="41" t="s">
        <v>281</v>
      </c>
      <c r="C48" s="42"/>
      <c r="D48" s="43"/>
      <c r="E48" s="44"/>
      <c r="F48" s="434">
        <f t="shared" si="16"/>
        <v>0</v>
      </c>
      <c r="G48" s="435" t="e">
        <f t="shared" si="24"/>
        <v>#DIV/0!</v>
      </c>
      <c r="I48" s="41"/>
      <c r="J48" s="42"/>
      <c r="K48" s="43"/>
      <c r="L48" s="44"/>
      <c r="M48" s="434">
        <f t="shared" si="18"/>
        <v>0</v>
      </c>
      <c r="N48" s="435" t="e">
        <f t="shared" si="12"/>
        <v>#DIV/0!</v>
      </c>
      <c r="O48" s="40"/>
      <c r="P48" s="41"/>
      <c r="Q48" s="42"/>
      <c r="R48" s="43"/>
      <c r="S48" s="44"/>
      <c r="T48" s="434">
        <f t="shared" si="19"/>
        <v>0</v>
      </c>
      <c r="U48" s="435" t="e">
        <f t="shared" si="13"/>
        <v>#DIV/0!</v>
      </c>
      <c r="W48" s="41"/>
      <c r="X48" s="42"/>
      <c r="Y48" s="43"/>
      <c r="Z48" s="44"/>
      <c r="AA48" s="434">
        <f t="shared" si="20"/>
        <v>0</v>
      </c>
      <c r="AB48" s="435" t="e">
        <f t="shared" si="14"/>
        <v>#DIV/0!</v>
      </c>
      <c r="AD48" s="41"/>
      <c r="AE48" s="42"/>
      <c r="AF48" s="43"/>
      <c r="AG48" s="44"/>
      <c r="AH48" s="434">
        <f t="shared" si="21"/>
        <v>0</v>
      </c>
      <c r="AI48" s="435" t="e">
        <f t="shared" si="15"/>
        <v>#DIV/0!</v>
      </c>
      <c r="AK48" s="41"/>
      <c r="AL48" s="42"/>
      <c r="AM48" s="43"/>
      <c r="AN48" s="44"/>
      <c r="AO48" s="434">
        <f t="shared" si="22"/>
        <v>0</v>
      </c>
      <c r="AP48" s="435" t="e">
        <f t="shared" si="23"/>
        <v>#DIV/0!</v>
      </c>
    </row>
    <row r="49" spans="1:42" outlineLevel="1" x14ac:dyDescent="0.25">
      <c r="B49" s="41" t="s">
        <v>281</v>
      </c>
      <c r="C49" s="42"/>
      <c r="D49" s="43"/>
      <c r="E49" s="44"/>
      <c r="F49" s="434">
        <f t="shared" si="16"/>
        <v>0</v>
      </c>
      <c r="G49" s="435" t="e">
        <f t="shared" si="24"/>
        <v>#DIV/0!</v>
      </c>
      <c r="I49" s="41"/>
      <c r="J49" s="42"/>
      <c r="K49" s="43"/>
      <c r="L49" s="44"/>
      <c r="M49" s="434">
        <f t="shared" si="18"/>
        <v>0</v>
      </c>
      <c r="N49" s="435" t="e">
        <f t="shared" si="12"/>
        <v>#DIV/0!</v>
      </c>
      <c r="O49" s="40"/>
      <c r="P49" s="41"/>
      <c r="Q49" s="42"/>
      <c r="R49" s="43"/>
      <c r="S49" s="44"/>
      <c r="T49" s="434">
        <f t="shared" si="19"/>
        <v>0</v>
      </c>
      <c r="U49" s="435" t="e">
        <f>Q49/Q$2</f>
        <v>#DIV/0!</v>
      </c>
      <c r="W49" s="41"/>
      <c r="X49" s="42"/>
      <c r="Y49" s="43"/>
      <c r="Z49" s="44"/>
      <c r="AA49" s="434">
        <f t="shared" si="20"/>
        <v>0</v>
      </c>
      <c r="AB49" s="435" t="e">
        <f>X49/X$2</f>
        <v>#DIV/0!</v>
      </c>
      <c r="AD49" s="41"/>
      <c r="AE49" s="42"/>
      <c r="AF49" s="43"/>
      <c r="AG49" s="44"/>
      <c r="AH49" s="434">
        <f t="shared" si="21"/>
        <v>0</v>
      </c>
      <c r="AI49" s="435" t="e">
        <f>AE49/AE$2</f>
        <v>#DIV/0!</v>
      </c>
      <c r="AK49" s="41"/>
      <c r="AL49" s="42"/>
      <c r="AM49" s="43"/>
      <c r="AN49" s="44"/>
      <c r="AO49" s="434">
        <f t="shared" si="22"/>
        <v>0</v>
      </c>
      <c r="AP49" s="435" t="e">
        <f t="shared" si="23"/>
        <v>#DIV/0!</v>
      </c>
    </row>
    <row r="50" spans="1:42" outlineLevel="1" x14ac:dyDescent="0.25">
      <c r="B50" s="41" t="s">
        <v>281</v>
      </c>
      <c r="C50" s="42"/>
      <c r="D50" s="43"/>
      <c r="E50" s="44"/>
      <c r="F50" s="434">
        <f t="shared" si="16"/>
        <v>0</v>
      </c>
      <c r="G50" s="435" t="e">
        <f t="shared" si="24"/>
        <v>#DIV/0!</v>
      </c>
      <c r="I50" s="41"/>
      <c r="J50" s="42"/>
      <c r="K50" s="43"/>
      <c r="L50" s="44"/>
      <c r="M50" s="434">
        <f t="shared" si="18"/>
        <v>0</v>
      </c>
      <c r="N50" s="435" t="e">
        <f t="shared" si="12"/>
        <v>#DIV/0!</v>
      </c>
      <c r="O50" s="40"/>
      <c r="P50" s="41"/>
      <c r="Q50" s="42"/>
      <c r="R50" s="43"/>
      <c r="S50" s="44"/>
      <c r="T50" s="434">
        <f t="shared" si="19"/>
        <v>0</v>
      </c>
      <c r="U50" s="435" t="e">
        <f t="shared" ref="U50:U56" si="25">Q50/Q$2</f>
        <v>#DIV/0!</v>
      </c>
      <c r="W50" s="41"/>
      <c r="X50" s="42"/>
      <c r="Y50" s="43"/>
      <c r="Z50" s="44"/>
      <c r="AA50" s="434">
        <f t="shared" si="20"/>
        <v>0</v>
      </c>
      <c r="AB50" s="435" t="e">
        <f t="shared" ref="AB50:AB56" si="26">X50/X$2</f>
        <v>#DIV/0!</v>
      </c>
      <c r="AD50" s="41"/>
      <c r="AE50" s="42"/>
      <c r="AF50" s="43"/>
      <c r="AG50" s="44"/>
      <c r="AH50" s="434">
        <f t="shared" si="21"/>
        <v>0</v>
      </c>
      <c r="AI50" s="435" t="e">
        <f t="shared" ref="AI50:AI56" si="27">AE50/AE$2</f>
        <v>#DIV/0!</v>
      </c>
      <c r="AK50" s="41"/>
      <c r="AL50" s="42"/>
      <c r="AM50" s="43"/>
      <c r="AN50" s="44"/>
      <c r="AO50" s="434">
        <f t="shared" si="22"/>
        <v>0</v>
      </c>
      <c r="AP50" s="435" t="e">
        <f t="shared" si="23"/>
        <v>#DIV/0!</v>
      </c>
    </row>
    <row r="51" spans="1:42" outlineLevel="1" x14ac:dyDescent="0.25">
      <c r="B51" s="41" t="s">
        <v>281</v>
      </c>
      <c r="C51" s="42"/>
      <c r="D51" s="43"/>
      <c r="E51" s="44"/>
      <c r="F51" s="434">
        <f t="shared" si="16"/>
        <v>0</v>
      </c>
      <c r="G51" s="435" t="e">
        <f t="shared" si="24"/>
        <v>#DIV/0!</v>
      </c>
      <c r="I51" s="41"/>
      <c r="J51" s="42"/>
      <c r="K51" s="43"/>
      <c r="L51" s="44"/>
      <c r="M51" s="434">
        <f t="shared" si="18"/>
        <v>0</v>
      </c>
      <c r="N51" s="435" t="e">
        <f t="shared" si="12"/>
        <v>#DIV/0!</v>
      </c>
      <c r="O51" s="40"/>
      <c r="P51" s="41"/>
      <c r="Q51" s="42"/>
      <c r="R51" s="43"/>
      <c r="S51" s="44"/>
      <c r="T51" s="434">
        <f t="shared" si="19"/>
        <v>0</v>
      </c>
      <c r="U51" s="435" t="e">
        <f t="shared" si="25"/>
        <v>#DIV/0!</v>
      </c>
      <c r="W51" s="41"/>
      <c r="X51" s="42"/>
      <c r="Y51" s="43"/>
      <c r="Z51" s="44"/>
      <c r="AA51" s="434">
        <f t="shared" si="20"/>
        <v>0</v>
      </c>
      <c r="AB51" s="435" t="e">
        <f t="shared" si="26"/>
        <v>#DIV/0!</v>
      </c>
      <c r="AD51" s="41"/>
      <c r="AE51" s="42"/>
      <c r="AF51" s="43"/>
      <c r="AG51" s="44"/>
      <c r="AH51" s="434">
        <f t="shared" si="21"/>
        <v>0</v>
      </c>
      <c r="AI51" s="435" t="e">
        <f t="shared" si="27"/>
        <v>#DIV/0!</v>
      </c>
      <c r="AK51" s="41"/>
      <c r="AL51" s="42"/>
      <c r="AM51" s="43"/>
      <c r="AN51" s="44"/>
      <c r="AO51" s="434">
        <f t="shared" si="22"/>
        <v>0</v>
      </c>
      <c r="AP51" s="435" t="e">
        <f t="shared" si="23"/>
        <v>#DIV/0!</v>
      </c>
    </row>
    <row r="52" spans="1:42" outlineLevel="1" x14ac:dyDescent="0.25">
      <c r="B52" s="41" t="s">
        <v>281</v>
      </c>
      <c r="C52" s="42"/>
      <c r="D52" s="43"/>
      <c r="E52" s="44"/>
      <c r="F52" s="434">
        <f t="shared" si="16"/>
        <v>0</v>
      </c>
      <c r="G52" s="435" t="e">
        <f t="shared" si="24"/>
        <v>#DIV/0!</v>
      </c>
      <c r="I52" s="41"/>
      <c r="J52" s="42"/>
      <c r="K52" s="43"/>
      <c r="L52" s="44"/>
      <c r="M52" s="434">
        <f t="shared" si="18"/>
        <v>0</v>
      </c>
      <c r="N52" s="435" t="e">
        <f t="shared" si="12"/>
        <v>#DIV/0!</v>
      </c>
      <c r="O52" s="40"/>
      <c r="P52" s="41"/>
      <c r="Q52" s="42"/>
      <c r="R52" s="43"/>
      <c r="S52" s="44"/>
      <c r="T52" s="434">
        <f t="shared" si="19"/>
        <v>0</v>
      </c>
      <c r="U52" s="435" t="e">
        <f t="shared" si="25"/>
        <v>#DIV/0!</v>
      </c>
      <c r="W52" s="41"/>
      <c r="X52" s="42"/>
      <c r="Y52" s="43"/>
      <c r="Z52" s="44"/>
      <c r="AA52" s="434">
        <f t="shared" si="20"/>
        <v>0</v>
      </c>
      <c r="AB52" s="435" t="e">
        <f t="shared" si="26"/>
        <v>#DIV/0!</v>
      </c>
      <c r="AD52" s="41"/>
      <c r="AE52" s="42"/>
      <c r="AF52" s="43"/>
      <c r="AG52" s="44"/>
      <c r="AH52" s="434">
        <f t="shared" si="21"/>
        <v>0</v>
      </c>
      <c r="AI52" s="435" t="e">
        <f t="shared" si="27"/>
        <v>#DIV/0!</v>
      </c>
      <c r="AK52" s="41"/>
      <c r="AL52" s="42"/>
      <c r="AM52" s="43"/>
      <c r="AN52" s="44"/>
      <c r="AO52" s="434">
        <f t="shared" si="22"/>
        <v>0</v>
      </c>
      <c r="AP52" s="435" t="e">
        <f t="shared" si="23"/>
        <v>#DIV/0!</v>
      </c>
    </row>
    <row r="53" spans="1:42" outlineLevel="1" x14ac:dyDescent="0.25">
      <c r="B53" s="41" t="s">
        <v>281</v>
      </c>
      <c r="C53" s="42"/>
      <c r="D53" s="43"/>
      <c r="E53" s="44"/>
      <c r="F53" s="434">
        <f t="shared" si="16"/>
        <v>0</v>
      </c>
      <c r="G53" s="435" t="e">
        <f t="shared" si="24"/>
        <v>#DIV/0!</v>
      </c>
      <c r="I53" s="41"/>
      <c r="J53" s="42"/>
      <c r="K53" s="43"/>
      <c r="L53" s="44"/>
      <c r="M53" s="434">
        <f t="shared" si="18"/>
        <v>0</v>
      </c>
      <c r="N53" s="435" t="e">
        <f t="shared" si="12"/>
        <v>#DIV/0!</v>
      </c>
      <c r="O53" s="40"/>
      <c r="P53" s="41"/>
      <c r="Q53" s="42"/>
      <c r="R53" s="43"/>
      <c r="S53" s="44"/>
      <c r="T53" s="434">
        <f t="shared" si="19"/>
        <v>0</v>
      </c>
      <c r="U53" s="435" t="e">
        <f t="shared" si="25"/>
        <v>#DIV/0!</v>
      </c>
      <c r="W53" s="41"/>
      <c r="X53" s="42"/>
      <c r="Y53" s="43"/>
      <c r="Z53" s="44"/>
      <c r="AA53" s="434">
        <f t="shared" si="20"/>
        <v>0</v>
      </c>
      <c r="AB53" s="435" t="e">
        <f t="shared" si="26"/>
        <v>#DIV/0!</v>
      </c>
      <c r="AD53" s="41"/>
      <c r="AE53" s="42"/>
      <c r="AF53" s="43"/>
      <c r="AG53" s="44"/>
      <c r="AH53" s="434">
        <f t="shared" si="21"/>
        <v>0</v>
      </c>
      <c r="AI53" s="435" t="e">
        <f t="shared" si="27"/>
        <v>#DIV/0!</v>
      </c>
      <c r="AK53" s="41"/>
      <c r="AL53" s="42"/>
      <c r="AM53" s="43"/>
      <c r="AN53" s="44"/>
      <c r="AO53" s="434">
        <f t="shared" si="22"/>
        <v>0</v>
      </c>
      <c r="AP53" s="435" t="e">
        <f t="shared" si="23"/>
        <v>#DIV/0!</v>
      </c>
    </row>
    <row r="54" spans="1:42" outlineLevel="1" x14ac:dyDescent="0.25">
      <c r="B54" s="41" t="s">
        <v>281</v>
      </c>
      <c r="C54" s="42"/>
      <c r="D54" s="43"/>
      <c r="E54" s="44"/>
      <c r="F54" s="434">
        <f t="shared" si="16"/>
        <v>0</v>
      </c>
      <c r="G54" s="435" t="e">
        <f t="shared" si="24"/>
        <v>#DIV/0!</v>
      </c>
      <c r="I54" s="41"/>
      <c r="J54" s="42"/>
      <c r="K54" s="43"/>
      <c r="L54" s="44"/>
      <c r="M54" s="434">
        <f t="shared" si="18"/>
        <v>0</v>
      </c>
      <c r="N54" s="435" t="e">
        <f t="shared" si="12"/>
        <v>#DIV/0!</v>
      </c>
      <c r="O54" s="40"/>
      <c r="P54" s="41"/>
      <c r="Q54" s="42"/>
      <c r="R54" s="43"/>
      <c r="S54" s="44"/>
      <c r="T54" s="434">
        <f t="shared" si="19"/>
        <v>0</v>
      </c>
      <c r="U54" s="435" t="e">
        <f t="shared" si="25"/>
        <v>#DIV/0!</v>
      </c>
      <c r="W54" s="41"/>
      <c r="X54" s="42"/>
      <c r="Y54" s="43"/>
      <c r="Z54" s="44"/>
      <c r="AA54" s="434">
        <f t="shared" si="20"/>
        <v>0</v>
      </c>
      <c r="AB54" s="435" t="e">
        <f t="shared" si="26"/>
        <v>#DIV/0!</v>
      </c>
      <c r="AD54" s="41"/>
      <c r="AE54" s="42"/>
      <c r="AF54" s="43"/>
      <c r="AG54" s="44"/>
      <c r="AH54" s="434">
        <f t="shared" si="21"/>
        <v>0</v>
      </c>
      <c r="AI54" s="435" t="e">
        <f t="shared" si="27"/>
        <v>#DIV/0!</v>
      </c>
      <c r="AK54" s="41"/>
      <c r="AL54" s="42"/>
      <c r="AM54" s="43"/>
      <c r="AN54" s="44"/>
      <c r="AO54" s="434">
        <f t="shared" si="22"/>
        <v>0</v>
      </c>
      <c r="AP54" s="435" t="e">
        <f t="shared" si="23"/>
        <v>#DIV/0!</v>
      </c>
    </row>
    <row r="55" spans="1:42" outlineLevel="1" x14ac:dyDescent="0.25">
      <c r="B55" s="41" t="s">
        <v>281</v>
      </c>
      <c r="C55" s="42"/>
      <c r="D55" s="43"/>
      <c r="E55" s="44"/>
      <c r="F55" s="434">
        <f t="shared" si="16"/>
        <v>0</v>
      </c>
      <c r="G55" s="435" t="e">
        <f t="shared" si="24"/>
        <v>#DIV/0!</v>
      </c>
      <c r="I55" s="41"/>
      <c r="J55" s="42"/>
      <c r="K55" s="43"/>
      <c r="L55" s="44"/>
      <c r="M55" s="434">
        <f t="shared" si="18"/>
        <v>0</v>
      </c>
      <c r="N55" s="435" t="e">
        <f t="shared" si="12"/>
        <v>#DIV/0!</v>
      </c>
      <c r="O55" s="40"/>
      <c r="P55" s="41"/>
      <c r="Q55" s="42"/>
      <c r="R55" s="43"/>
      <c r="S55" s="44"/>
      <c r="T55" s="434">
        <f t="shared" si="19"/>
        <v>0</v>
      </c>
      <c r="U55" s="435" t="e">
        <f t="shared" si="25"/>
        <v>#DIV/0!</v>
      </c>
      <c r="W55" s="41"/>
      <c r="X55" s="42"/>
      <c r="Y55" s="43"/>
      <c r="Z55" s="44"/>
      <c r="AA55" s="434">
        <f t="shared" si="20"/>
        <v>0</v>
      </c>
      <c r="AB55" s="435" t="e">
        <f t="shared" si="26"/>
        <v>#DIV/0!</v>
      </c>
      <c r="AD55" s="41"/>
      <c r="AE55" s="42"/>
      <c r="AF55" s="43"/>
      <c r="AG55" s="44"/>
      <c r="AH55" s="434">
        <f t="shared" si="21"/>
        <v>0</v>
      </c>
      <c r="AI55" s="435" t="e">
        <f t="shared" si="27"/>
        <v>#DIV/0!</v>
      </c>
      <c r="AK55" s="41"/>
      <c r="AL55" s="42"/>
      <c r="AM55" s="43"/>
      <c r="AN55" s="44"/>
      <c r="AO55" s="434">
        <f t="shared" si="22"/>
        <v>0</v>
      </c>
      <c r="AP55" s="435" t="e">
        <f t="shared" si="23"/>
        <v>#DIV/0!</v>
      </c>
    </row>
    <row r="56" spans="1:42" outlineLevel="1" x14ac:dyDescent="0.25">
      <c r="B56" s="41" t="s">
        <v>281</v>
      </c>
      <c r="C56" s="42"/>
      <c r="D56" s="43"/>
      <c r="E56" s="44"/>
      <c r="F56" s="434">
        <f t="shared" si="16"/>
        <v>0</v>
      </c>
      <c r="G56" s="435" t="e">
        <f t="shared" si="24"/>
        <v>#DIV/0!</v>
      </c>
      <c r="I56" s="41"/>
      <c r="J56" s="42"/>
      <c r="K56" s="43"/>
      <c r="L56" s="44"/>
      <c r="M56" s="434">
        <f t="shared" si="18"/>
        <v>0</v>
      </c>
      <c r="N56" s="435" t="e">
        <f t="shared" si="12"/>
        <v>#DIV/0!</v>
      </c>
      <c r="O56" s="40"/>
      <c r="P56" s="41"/>
      <c r="Q56" s="42"/>
      <c r="R56" s="43"/>
      <c r="S56" s="44"/>
      <c r="T56" s="434">
        <f t="shared" si="19"/>
        <v>0</v>
      </c>
      <c r="U56" s="435" t="e">
        <f t="shared" si="25"/>
        <v>#DIV/0!</v>
      </c>
      <c r="W56" s="41"/>
      <c r="X56" s="42"/>
      <c r="Y56" s="43"/>
      <c r="Z56" s="44"/>
      <c r="AA56" s="434">
        <f t="shared" si="20"/>
        <v>0</v>
      </c>
      <c r="AB56" s="435" t="e">
        <f t="shared" si="26"/>
        <v>#DIV/0!</v>
      </c>
      <c r="AD56" s="41"/>
      <c r="AE56" s="42"/>
      <c r="AF56" s="43"/>
      <c r="AG56" s="44"/>
      <c r="AH56" s="434">
        <f t="shared" si="21"/>
        <v>0</v>
      </c>
      <c r="AI56" s="435" t="e">
        <f t="shared" si="27"/>
        <v>#DIV/0!</v>
      </c>
      <c r="AK56" s="41"/>
      <c r="AL56" s="42"/>
      <c r="AM56" s="43"/>
      <c r="AN56" s="44"/>
      <c r="AO56" s="434">
        <f t="shared" si="22"/>
        <v>0</v>
      </c>
      <c r="AP56" s="435" t="e">
        <f t="shared" si="23"/>
        <v>#DIV/0!</v>
      </c>
    </row>
    <row r="57" spans="1:42" s="45" customFormat="1" x14ac:dyDescent="0.25">
      <c r="B57" s="46" t="s">
        <v>112</v>
      </c>
      <c r="C57" s="47">
        <f>SUBTOTAL(9,C33:C56)</f>
        <v>0</v>
      </c>
      <c r="D57" s="48">
        <f>SUMPRODUCT(D33:D56,C33:C56)</f>
        <v>0</v>
      </c>
      <c r="E57" s="49">
        <f>SUMPRODUCT(E33:E56,C33:C56)</f>
        <v>0</v>
      </c>
      <c r="F57" s="50">
        <f>IFERROR(E57/D57,0)</f>
        <v>0</v>
      </c>
      <c r="G57" s="51"/>
      <c r="I57" s="46" t="s">
        <v>112</v>
      </c>
      <c r="J57" s="47">
        <f>SUBTOTAL(9,J33:J56)</f>
        <v>0</v>
      </c>
      <c r="K57" s="48">
        <f>SUMPRODUCT(K33:K56,J33:J56)</f>
        <v>0</v>
      </c>
      <c r="L57" s="49">
        <f>SUMPRODUCT(L33:L56,J33:J56)</f>
        <v>0</v>
      </c>
      <c r="M57" s="50">
        <f>IFERROR(L57/K57,0)</f>
        <v>0</v>
      </c>
      <c r="N57" s="51"/>
      <c r="O57" s="52"/>
      <c r="P57" s="46" t="s">
        <v>112</v>
      </c>
      <c r="Q57" s="47">
        <f>SUBTOTAL(9,Q33:Q56)</f>
        <v>0</v>
      </c>
      <c r="R57" s="48">
        <f>SUMPRODUCT(R33:R56,Q33:Q56)</f>
        <v>0</v>
      </c>
      <c r="S57" s="49">
        <f>SUMPRODUCT(S33:S56,Q33:Q56)</f>
        <v>0</v>
      </c>
      <c r="T57" s="50">
        <f>IFERROR(S57/R57,0)</f>
        <v>0</v>
      </c>
      <c r="U57" s="51"/>
      <c r="W57" s="46" t="s">
        <v>112</v>
      </c>
      <c r="X57" s="47">
        <f>SUBTOTAL(9,X33:X56)</f>
        <v>0</v>
      </c>
      <c r="Y57" s="48">
        <f>SUMPRODUCT(Y33:Y56,X33:X56)</f>
        <v>0</v>
      </c>
      <c r="Z57" s="49">
        <f>SUMPRODUCT(Z33:Z56,X33:X56)</f>
        <v>0</v>
      </c>
      <c r="AA57" s="50">
        <f>IFERROR(Z57/Y57,0)</f>
        <v>0</v>
      </c>
      <c r="AB57" s="51"/>
      <c r="AD57" s="46" t="s">
        <v>112</v>
      </c>
      <c r="AE57" s="47">
        <f>SUBTOTAL(9,AE33:AE56)</f>
        <v>0</v>
      </c>
      <c r="AF57" s="48">
        <f>SUMPRODUCT(AF33:AF56,AE33:AE56)</f>
        <v>0</v>
      </c>
      <c r="AG57" s="49">
        <f>SUMPRODUCT(AG33:AG56,AE33:AE56)</f>
        <v>0</v>
      </c>
      <c r="AH57" s="50">
        <f>IFERROR(AG57/AF57,0)</f>
        <v>0</v>
      </c>
      <c r="AI57" s="51"/>
      <c r="AK57" s="46" t="s">
        <v>112</v>
      </c>
      <c r="AL57" s="47">
        <f>SUBTOTAL(9,AL33:AL56)</f>
        <v>0</v>
      </c>
      <c r="AM57" s="48">
        <f>SUMPRODUCT(AM33:AM56,AL33:AL56)</f>
        <v>0</v>
      </c>
      <c r="AN57" s="49">
        <f>SUMPRODUCT(AN33:AN56,AL33:AL56)</f>
        <v>0</v>
      </c>
      <c r="AO57" s="50">
        <f>IFERROR(AN57/AM57,0)</f>
        <v>0</v>
      </c>
      <c r="AP57" s="51"/>
    </row>
    <row r="58" spans="1:42" s="45" customFormat="1" x14ac:dyDescent="0.25">
      <c r="A58" s="59"/>
      <c r="B58" s="53" t="s">
        <v>278</v>
      </c>
      <c r="C58" s="54"/>
      <c r="D58" s="48">
        <f>IFERROR(D57/C57,0)</f>
        <v>0</v>
      </c>
      <c r="E58" s="49">
        <f>IFERROR(E57/C57,0)</f>
        <v>0</v>
      </c>
      <c r="F58" s="50">
        <f>IFERROR(E58/D58,0)</f>
        <v>0</v>
      </c>
      <c r="G58" s="51"/>
      <c r="I58" s="53" t="s">
        <v>278</v>
      </c>
      <c r="J58" s="54"/>
      <c r="K58" s="48">
        <f>IFERROR(K57/J57,0)</f>
        <v>0</v>
      </c>
      <c r="L58" s="49">
        <f>IFERROR(L57/J57,0)</f>
        <v>0</v>
      </c>
      <c r="M58" s="50">
        <f>IFERROR(L58/K58,0)</f>
        <v>0</v>
      </c>
      <c r="N58" s="51"/>
      <c r="O58" s="52"/>
      <c r="P58" s="53" t="s">
        <v>278</v>
      </c>
      <c r="Q58" s="54"/>
      <c r="R58" s="48">
        <f>IFERROR(R57/Q57,0)</f>
        <v>0</v>
      </c>
      <c r="S58" s="49">
        <f>IFERROR(S57/Q57,0)</f>
        <v>0</v>
      </c>
      <c r="T58" s="50">
        <f>IFERROR(S58/R58,0)</f>
        <v>0</v>
      </c>
      <c r="U58" s="51"/>
      <c r="W58" s="53" t="s">
        <v>278</v>
      </c>
      <c r="X58" s="54"/>
      <c r="Y58" s="48">
        <f>IFERROR(Y57/X57,0)</f>
        <v>0</v>
      </c>
      <c r="Z58" s="49">
        <f>IFERROR(Z57/X57,0)</f>
        <v>0</v>
      </c>
      <c r="AA58" s="50">
        <f>IFERROR(Z58/Y58,0)</f>
        <v>0</v>
      </c>
      <c r="AB58" s="51"/>
      <c r="AD58" s="53" t="s">
        <v>278</v>
      </c>
      <c r="AE58" s="54"/>
      <c r="AF58" s="48">
        <f>IFERROR(AF57/AE57,0)</f>
        <v>0</v>
      </c>
      <c r="AG58" s="49">
        <f>IFERROR(AG57/AE57,0)</f>
        <v>0</v>
      </c>
      <c r="AH58" s="50">
        <f>IFERROR(AG58/AF58,0)</f>
        <v>0</v>
      </c>
      <c r="AI58" s="51"/>
      <c r="AK58" s="53" t="s">
        <v>278</v>
      </c>
      <c r="AL58" s="54"/>
      <c r="AM58" s="48">
        <f>IFERROR(AM57/AL57,0)</f>
        <v>0</v>
      </c>
      <c r="AN58" s="49">
        <f>IFERROR(AN57/AL57,0)</f>
        <v>0</v>
      </c>
      <c r="AO58" s="50">
        <f>IFERROR(AN58/AM58,0)</f>
        <v>0</v>
      </c>
      <c r="AP58" s="51"/>
    </row>
    <row r="59" spans="1:42" x14ac:dyDescent="0.25">
      <c r="A59" s="49">
        <f>+A58-E58</f>
        <v>0</v>
      </c>
      <c r="B59" s="35" t="s">
        <v>282</v>
      </c>
      <c r="C59" s="60"/>
      <c r="D59" s="61"/>
      <c r="E59" s="62"/>
      <c r="F59" s="436"/>
      <c r="G59" s="63"/>
      <c r="I59" s="35" t="s">
        <v>282</v>
      </c>
      <c r="J59" s="60"/>
      <c r="K59" s="61"/>
      <c r="L59" s="62"/>
      <c r="M59" s="436"/>
      <c r="N59" s="63"/>
      <c r="O59" s="40"/>
      <c r="P59" s="35" t="s">
        <v>282</v>
      </c>
      <c r="Q59" s="60"/>
      <c r="R59" s="61"/>
      <c r="S59" s="62"/>
      <c r="T59" s="436"/>
      <c r="U59" s="63"/>
      <c r="W59" s="35" t="s">
        <v>282</v>
      </c>
      <c r="X59" s="60"/>
      <c r="Y59" s="61"/>
      <c r="Z59" s="62"/>
      <c r="AA59" s="436"/>
      <c r="AB59" s="63"/>
      <c r="AD59" s="35" t="s">
        <v>282</v>
      </c>
      <c r="AE59" s="60"/>
      <c r="AF59" s="61"/>
      <c r="AG59" s="62"/>
      <c r="AH59" s="436"/>
      <c r="AI59" s="63"/>
      <c r="AK59" s="35" t="s">
        <v>282</v>
      </c>
      <c r="AL59" s="60"/>
      <c r="AM59" s="61"/>
      <c r="AN59" s="62"/>
      <c r="AO59" s="436"/>
      <c r="AP59" s="63"/>
    </row>
    <row r="60" spans="1:42" x14ac:dyDescent="0.25">
      <c r="B60" s="37" t="s">
        <v>124</v>
      </c>
      <c r="C60" s="38" t="s">
        <v>2</v>
      </c>
      <c r="D60" s="38" t="s">
        <v>107</v>
      </c>
      <c r="E60" s="38" t="s">
        <v>274</v>
      </c>
      <c r="F60" s="57" t="s">
        <v>275</v>
      </c>
      <c r="G60" s="58" t="s">
        <v>276</v>
      </c>
      <c r="I60" s="37" t="s">
        <v>124</v>
      </c>
      <c r="J60" s="38" t="s">
        <v>2</v>
      </c>
      <c r="K60" s="38" t="s">
        <v>107</v>
      </c>
      <c r="L60" s="38" t="s">
        <v>274</v>
      </c>
      <c r="M60" s="57" t="s">
        <v>275</v>
      </c>
      <c r="N60" s="58" t="s">
        <v>276</v>
      </c>
      <c r="P60" s="37" t="s">
        <v>124</v>
      </c>
      <c r="Q60" s="38" t="s">
        <v>2</v>
      </c>
      <c r="R60" s="38" t="s">
        <v>107</v>
      </c>
      <c r="S60" s="38" t="s">
        <v>274</v>
      </c>
      <c r="T60" s="57" t="s">
        <v>275</v>
      </c>
      <c r="U60" s="58" t="s">
        <v>276</v>
      </c>
      <c r="W60" s="37" t="s">
        <v>124</v>
      </c>
      <c r="X60" s="38" t="s">
        <v>2</v>
      </c>
      <c r="Y60" s="38" t="s">
        <v>107</v>
      </c>
      <c r="Z60" s="38" t="s">
        <v>274</v>
      </c>
      <c r="AA60" s="57" t="s">
        <v>275</v>
      </c>
      <c r="AB60" s="58" t="s">
        <v>276</v>
      </c>
      <c r="AD60" s="37" t="s">
        <v>124</v>
      </c>
      <c r="AE60" s="38" t="s">
        <v>2</v>
      </c>
      <c r="AF60" s="38" t="s">
        <v>107</v>
      </c>
      <c r="AG60" s="38" t="s">
        <v>274</v>
      </c>
      <c r="AH60" s="57" t="s">
        <v>275</v>
      </c>
      <c r="AI60" s="58" t="s">
        <v>276</v>
      </c>
      <c r="AK60" s="37" t="s">
        <v>124</v>
      </c>
      <c r="AL60" s="38" t="s">
        <v>2</v>
      </c>
      <c r="AM60" s="38" t="s">
        <v>107</v>
      </c>
      <c r="AN60" s="38" t="s">
        <v>274</v>
      </c>
      <c r="AO60" s="57" t="s">
        <v>275</v>
      </c>
      <c r="AP60" s="58" t="s">
        <v>276</v>
      </c>
    </row>
    <row r="61" spans="1:42" x14ac:dyDescent="0.25">
      <c r="B61" s="41" t="s">
        <v>100</v>
      </c>
      <c r="C61" s="42"/>
      <c r="D61" s="43"/>
      <c r="E61" s="44"/>
      <c r="F61" s="434">
        <f>IFERROR(E61/D61,0)</f>
        <v>0</v>
      </c>
      <c r="G61" s="435" t="e">
        <f>C61/$C$2</f>
        <v>#DIV/0!</v>
      </c>
      <c r="I61" s="41"/>
      <c r="J61" s="42"/>
      <c r="K61" s="43"/>
      <c r="L61" s="44"/>
      <c r="M61" s="434">
        <f>IFERROR(L61/K61,0)</f>
        <v>0</v>
      </c>
      <c r="N61" s="435" t="e">
        <f t="shared" ref="N61:N84" si="28">J61/J$2</f>
        <v>#DIV/0!</v>
      </c>
      <c r="P61" s="41"/>
      <c r="Q61" s="42"/>
      <c r="R61" s="43"/>
      <c r="S61" s="44"/>
      <c r="T61" s="434">
        <f>IFERROR(S61/R61,0)</f>
        <v>0</v>
      </c>
      <c r="U61" s="435" t="e">
        <f t="shared" ref="U61:U84" si="29">Q61/Q$2</f>
        <v>#DIV/0!</v>
      </c>
      <c r="W61" s="41"/>
      <c r="X61" s="42"/>
      <c r="Y61" s="43"/>
      <c r="Z61" s="44"/>
      <c r="AA61" s="434">
        <f>IFERROR(Z61/Y61,0)</f>
        <v>0</v>
      </c>
      <c r="AB61" s="435" t="e">
        <f t="shared" ref="AB61:AB84" si="30">X61/X$2</f>
        <v>#DIV/0!</v>
      </c>
      <c r="AD61" s="41"/>
      <c r="AE61" s="42"/>
      <c r="AF61" s="43"/>
      <c r="AG61" s="44"/>
      <c r="AH61" s="434">
        <f>IFERROR(AG61/AF61,0)</f>
        <v>0</v>
      </c>
      <c r="AI61" s="435" t="e">
        <f t="shared" ref="AI61:AI84" si="31">AE61/AE$2</f>
        <v>#DIV/0!</v>
      </c>
      <c r="AK61" s="41"/>
      <c r="AL61" s="42"/>
      <c r="AM61" s="43"/>
      <c r="AN61" s="44"/>
      <c r="AO61" s="434">
        <f>IFERROR(AN61/AM61,0)</f>
        <v>0</v>
      </c>
      <c r="AP61" s="435" t="e">
        <f>AL61/AL$2</f>
        <v>#DIV/0!</v>
      </c>
    </row>
    <row r="62" spans="1:42" x14ac:dyDescent="0.25">
      <c r="B62" s="41" t="s">
        <v>100</v>
      </c>
      <c r="C62" s="42"/>
      <c r="D62" s="43"/>
      <c r="E62" s="44"/>
      <c r="F62" s="434">
        <f t="shared" ref="F62:F84" si="32">IFERROR(E62/D62,0)</f>
        <v>0</v>
      </c>
      <c r="G62" s="435" t="e">
        <f t="shared" ref="G62:G84" si="33">C62/$C$2</f>
        <v>#DIV/0!</v>
      </c>
      <c r="I62" s="41"/>
      <c r="J62" s="42"/>
      <c r="K62" s="43"/>
      <c r="L62" s="44"/>
      <c r="M62" s="434">
        <f t="shared" ref="M62:M84" si="34">IFERROR(L62/K62,0)</f>
        <v>0</v>
      </c>
      <c r="N62" s="435" t="e">
        <f t="shared" si="28"/>
        <v>#DIV/0!</v>
      </c>
      <c r="O62" s="36"/>
      <c r="P62" s="41"/>
      <c r="Q62" s="42"/>
      <c r="R62" s="43"/>
      <c r="S62" s="44"/>
      <c r="T62" s="434">
        <f t="shared" ref="T62:T84" si="35">IFERROR(S62/R62,0)</f>
        <v>0</v>
      </c>
      <c r="U62" s="435" t="e">
        <f t="shared" si="29"/>
        <v>#DIV/0!</v>
      </c>
      <c r="W62" s="41"/>
      <c r="X62" s="42"/>
      <c r="Y62" s="43"/>
      <c r="Z62" s="44"/>
      <c r="AA62" s="434">
        <f t="shared" ref="AA62:AA84" si="36">IFERROR(Z62/Y62,0)</f>
        <v>0</v>
      </c>
      <c r="AB62" s="435" t="e">
        <f t="shared" si="30"/>
        <v>#DIV/0!</v>
      </c>
      <c r="AD62" s="41"/>
      <c r="AE62" s="42"/>
      <c r="AF62" s="43"/>
      <c r="AG62" s="44"/>
      <c r="AH62" s="434">
        <f t="shared" ref="AH62:AH84" si="37">IFERROR(AG62/AF62,0)</f>
        <v>0</v>
      </c>
      <c r="AI62" s="435" t="e">
        <f t="shared" si="31"/>
        <v>#DIV/0!</v>
      </c>
      <c r="AK62" s="41"/>
      <c r="AL62" s="42"/>
      <c r="AM62" s="43"/>
      <c r="AN62" s="44"/>
      <c r="AO62" s="434">
        <f t="shared" ref="AO62:AO84" si="38">IFERROR(AN62/AM62,0)</f>
        <v>0</v>
      </c>
      <c r="AP62" s="435" t="e">
        <f t="shared" ref="AP62:AP84" si="39">AL62/AL$2</f>
        <v>#DIV/0!</v>
      </c>
    </row>
    <row r="63" spans="1:42" x14ac:dyDescent="0.25">
      <c r="B63" s="41" t="s">
        <v>100</v>
      </c>
      <c r="C63" s="42"/>
      <c r="D63" s="43"/>
      <c r="E63" s="44"/>
      <c r="F63" s="434">
        <f t="shared" si="32"/>
        <v>0</v>
      </c>
      <c r="G63" s="435" t="e">
        <f t="shared" si="33"/>
        <v>#DIV/0!</v>
      </c>
      <c r="I63" s="41"/>
      <c r="J63" s="42"/>
      <c r="K63" s="43"/>
      <c r="L63" s="44"/>
      <c r="M63" s="434">
        <f t="shared" si="34"/>
        <v>0</v>
      </c>
      <c r="N63" s="435" t="e">
        <f t="shared" si="28"/>
        <v>#DIV/0!</v>
      </c>
      <c r="O63" s="36"/>
      <c r="P63" s="41"/>
      <c r="Q63" s="42"/>
      <c r="R63" s="43"/>
      <c r="S63" s="44"/>
      <c r="T63" s="434">
        <f t="shared" si="35"/>
        <v>0</v>
      </c>
      <c r="U63" s="435" t="e">
        <f t="shared" si="29"/>
        <v>#DIV/0!</v>
      </c>
      <c r="W63" s="41"/>
      <c r="X63" s="42"/>
      <c r="Y63" s="43"/>
      <c r="Z63" s="44"/>
      <c r="AA63" s="434">
        <f t="shared" si="36"/>
        <v>0</v>
      </c>
      <c r="AB63" s="435" t="e">
        <f t="shared" si="30"/>
        <v>#DIV/0!</v>
      </c>
      <c r="AD63" s="41"/>
      <c r="AE63" s="42"/>
      <c r="AF63" s="43"/>
      <c r="AG63" s="44"/>
      <c r="AH63" s="434">
        <f t="shared" si="37"/>
        <v>0</v>
      </c>
      <c r="AI63" s="435" t="e">
        <f t="shared" si="31"/>
        <v>#DIV/0!</v>
      </c>
      <c r="AK63" s="41"/>
      <c r="AL63" s="42"/>
      <c r="AM63" s="43"/>
      <c r="AN63" s="44"/>
      <c r="AO63" s="434">
        <f t="shared" si="38"/>
        <v>0</v>
      </c>
      <c r="AP63" s="435" t="e">
        <f t="shared" si="39"/>
        <v>#DIV/0!</v>
      </c>
    </row>
    <row r="64" spans="1:42" x14ac:dyDescent="0.25">
      <c r="B64" s="41" t="s">
        <v>100</v>
      </c>
      <c r="C64" s="42"/>
      <c r="D64" s="43"/>
      <c r="E64" s="44"/>
      <c r="F64" s="434">
        <f t="shared" si="32"/>
        <v>0</v>
      </c>
      <c r="G64" s="435" t="e">
        <f t="shared" si="33"/>
        <v>#DIV/0!</v>
      </c>
      <c r="I64" s="41"/>
      <c r="J64" s="42"/>
      <c r="K64" s="43"/>
      <c r="L64" s="44"/>
      <c r="M64" s="434">
        <f t="shared" si="34"/>
        <v>0</v>
      </c>
      <c r="N64" s="435" t="e">
        <f t="shared" si="28"/>
        <v>#DIV/0!</v>
      </c>
      <c r="O64" s="36"/>
      <c r="P64" s="41"/>
      <c r="Q64" s="42"/>
      <c r="R64" s="43"/>
      <c r="S64" s="44"/>
      <c r="T64" s="434">
        <f t="shared" si="35"/>
        <v>0</v>
      </c>
      <c r="U64" s="435" t="e">
        <f t="shared" si="29"/>
        <v>#DIV/0!</v>
      </c>
      <c r="W64" s="41"/>
      <c r="X64" s="42"/>
      <c r="Y64" s="43"/>
      <c r="Z64" s="44"/>
      <c r="AA64" s="434">
        <f t="shared" si="36"/>
        <v>0</v>
      </c>
      <c r="AB64" s="435" t="e">
        <f t="shared" si="30"/>
        <v>#DIV/0!</v>
      </c>
      <c r="AD64" s="41"/>
      <c r="AE64" s="42"/>
      <c r="AF64" s="43"/>
      <c r="AG64" s="44"/>
      <c r="AH64" s="434">
        <f t="shared" si="37"/>
        <v>0</v>
      </c>
      <c r="AI64" s="435" t="e">
        <f t="shared" si="31"/>
        <v>#DIV/0!</v>
      </c>
      <c r="AK64" s="41"/>
      <c r="AL64" s="42"/>
      <c r="AM64" s="43"/>
      <c r="AN64" s="44"/>
      <c r="AO64" s="434">
        <f t="shared" si="38"/>
        <v>0</v>
      </c>
      <c r="AP64" s="435" t="e">
        <f t="shared" si="39"/>
        <v>#DIV/0!</v>
      </c>
    </row>
    <row r="65" spans="2:42" x14ac:dyDescent="0.25">
      <c r="B65" s="41" t="s">
        <v>100</v>
      </c>
      <c r="C65" s="42"/>
      <c r="D65" s="43"/>
      <c r="E65" s="44"/>
      <c r="F65" s="434">
        <f t="shared" si="32"/>
        <v>0</v>
      </c>
      <c r="G65" s="435" t="e">
        <f t="shared" si="33"/>
        <v>#DIV/0!</v>
      </c>
      <c r="I65" s="41"/>
      <c r="J65" s="42"/>
      <c r="K65" s="43"/>
      <c r="L65" s="44"/>
      <c r="M65" s="434">
        <f t="shared" si="34"/>
        <v>0</v>
      </c>
      <c r="N65" s="435" t="e">
        <f t="shared" si="28"/>
        <v>#DIV/0!</v>
      </c>
      <c r="O65" s="36"/>
      <c r="P65" s="41"/>
      <c r="Q65" s="42"/>
      <c r="R65" s="43"/>
      <c r="S65" s="44"/>
      <c r="T65" s="434">
        <f t="shared" si="35"/>
        <v>0</v>
      </c>
      <c r="U65" s="435" t="e">
        <f t="shared" si="29"/>
        <v>#DIV/0!</v>
      </c>
      <c r="W65" s="41"/>
      <c r="X65" s="42"/>
      <c r="Y65" s="43"/>
      <c r="Z65" s="44"/>
      <c r="AA65" s="434">
        <f t="shared" si="36"/>
        <v>0</v>
      </c>
      <c r="AB65" s="435" t="e">
        <f t="shared" si="30"/>
        <v>#DIV/0!</v>
      </c>
      <c r="AD65" s="41"/>
      <c r="AE65" s="42"/>
      <c r="AF65" s="43"/>
      <c r="AG65" s="44"/>
      <c r="AH65" s="434">
        <f t="shared" si="37"/>
        <v>0</v>
      </c>
      <c r="AI65" s="435" t="e">
        <f t="shared" si="31"/>
        <v>#DIV/0!</v>
      </c>
      <c r="AK65" s="41"/>
      <c r="AL65" s="42"/>
      <c r="AM65" s="43"/>
      <c r="AN65" s="44"/>
      <c r="AO65" s="434">
        <f t="shared" si="38"/>
        <v>0</v>
      </c>
      <c r="AP65" s="435" t="e">
        <f t="shared" si="39"/>
        <v>#DIV/0!</v>
      </c>
    </row>
    <row r="66" spans="2:42" x14ac:dyDescent="0.25">
      <c r="B66" s="41" t="s">
        <v>100</v>
      </c>
      <c r="C66" s="42"/>
      <c r="D66" s="43"/>
      <c r="E66" s="44"/>
      <c r="F66" s="434">
        <f t="shared" si="32"/>
        <v>0</v>
      </c>
      <c r="G66" s="435" t="e">
        <f t="shared" si="33"/>
        <v>#DIV/0!</v>
      </c>
      <c r="I66" s="41"/>
      <c r="J66" s="42"/>
      <c r="K66" s="43"/>
      <c r="L66" s="44"/>
      <c r="M66" s="434">
        <f t="shared" si="34"/>
        <v>0</v>
      </c>
      <c r="N66" s="435" t="e">
        <f t="shared" si="28"/>
        <v>#DIV/0!</v>
      </c>
      <c r="O66" s="36"/>
      <c r="P66" s="41"/>
      <c r="Q66" s="42"/>
      <c r="R66" s="43"/>
      <c r="S66" s="44"/>
      <c r="T66" s="434">
        <f t="shared" si="35"/>
        <v>0</v>
      </c>
      <c r="U66" s="435" t="e">
        <f t="shared" si="29"/>
        <v>#DIV/0!</v>
      </c>
      <c r="W66" s="41"/>
      <c r="X66" s="42"/>
      <c r="Y66" s="43"/>
      <c r="Z66" s="44"/>
      <c r="AA66" s="434">
        <f t="shared" si="36"/>
        <v>0</v>
      </c>
      <c r="AB66" s="435" t="e">
        <f t="shared" si="30"/>
        <v>#DIV/0!</v>
      </c>
      <c r="AD66" s="41"/>
      <c r="AE66" s="42"/>
      <c r="AF66" s="43"/>
      <c r="AG66" s="44"/>
      <c r="AH66" s="434">
        <f t="shared" si="37"/>
        <v>0</v>
      </c>
      <c r="AI66" s="435" t="e">
        <f t="shared" si="31"/>
        <v>#DIV/0!</v>
      </c>
      <c r="AK66" s="41"/>
      <c r="AL66" s="42"/>
      <c r="AM66" s="43"/>
      <c r="AN66" s="44"/>
      <c r="AO66" s="434">
        <f t="shared" si="38"/>
        <v>0</v>
      </c>
      <c r="AP66" s="435" t="e">
        <f t="shared" si="39"/>
        <v>#DIV/0!</v>
      </c>
    </row>
    <row r="67" spans="2:42" x14ac:dyDescent="0.25">
      <c r="B67" s="41" t="s">
        <v>100</v>
      </c>
      <c r="C67" s="42"/>
      <c r="D67" s="43"/>
      <c r="E67" s="44"/>
      <c r="F67" s="434">
        <f t="shared" si="32"/>
        <v>0</v>
      </c>
      <c r="G67" s="435" t="e">
        <f t="shared" si="33"/>
        <v>#DIV/0!</v>
      </c>
      <c r="I67" s="41"/>
      <c r="J67" s="42"/>
      <c r="K67" s="43"/>
      <c r="L67" s="44"/>
      <c r="M67" s="434">
        <f t="shared" si="34"/>
        <v>0</v>
      </c>
      <c r="N67" s="435" t="e">
        <f t="shared" si="28"/>
        <v>#DIV/0!</v>
      </c>
      <c r="O67" s="36"/>
      <c r="P67" s="41"/>
      <c r="Q67" s="42"/>
      <c r="R67" s="43"/>
      <c r="S67" s="44"/>
      <c r="T67" s="434">
        <f t="shared" si="35"/>
        <v>0</v>
      </c>
      <c r="U67" s="435" t="e">
        <f t="shared" si="29"/>
        <v>#DIV/0!</v>
      </c>
      <c r="W67" s="41"/>
      <c r="X67" s="42"/>
      <c r="Y67" s="43"/>
      <c r="Z67" s="44"/>
      <c r="AA67" s="434">
        <f t="shared" si="36"/>
        <v>0</v>
      </c>
      <c r="AB67" s="435" t="e">
        <f t="shared" si="30"/>
        <v>#DIV/0!</v>
      </c>
      <c r="AD67" s="41"/>
      <c r="AE67" s="42"/>
      <c r="AF67" s="43"/>
      <c r="AG67" s="44"/>
      <c r="AH67" s="434">
        <f t="shared" si="37"/>
        <v>0</v>
      </c>
      <c r="AI67" s="435" t="e">
        <f t="shared" si="31"/>
        <v>#DIV/0!</v>
      </c>
      <c r="AK67" s="41"/>
      <c r="AL67" s="42"/>
      <c r="AM67" s="43"/>
      <c r="AN67" s="44"/>
      <c r="AO67" s="434">
        <f t="shared" si="38"/>
        <v>0</v>
      </c>
      <c r="AP67" s="435" t="e">
        <f t="shared" si="39"/>
        <v>#DIV/0!</v>
      </c>
    </row>
    <row r="68" spans="2:42" x14ac:dyDescent="0.25">
      <c r="B68" s="41" t="s">
        <v>100</v>
      </c>
      <c r="C68" s="42"/>
      <c r="D68" s="43"/>
      <c r="E68" s="44"/>
      <c r="F68" s="434">
        <f t="shared" si="32"/>
        <v>0</v>
      </c>
      <c r="G68" s="435" t="e">
        <f t="shared" si="33"/>
        <v>#DIV/0!</v>
      </c>
      <c r="I68" s="41"/>
      <c r="J68" s="42"/>
      <c r="K68" s="43"/>
      <c r="L68" s="44"/>
      <c r="M68" s="434">
        <f t="shared" si="34"/>
        <v>0</v>
      </c>
      <c r="N68" s="435" t="e">
        <f t="shared" si="28"/>
        <v>#DIV/0!</v>
      </c>
      <c r="O68" s="36"/>
      <c r="P68" s="41"/>
      <c r="Q68" s="42"/>
      <c r="R68" s="43"/>
      <c r="S68" s="44"/>
      <c r="T68" s="434">
        <f t="shared" si="35"/>
        <v>0</v>
      </c>
      <c r="U68" s="435" t="e">
        <f t="shared" si="29"/>
        <v>#DIV/0!</v>
      </c>
      <c r="W68" s="41"/>
      <c r="X68" s="42"/>
      <c r="Y68" s="43"/>
      <c r="Z68" s="44"/>
      <c r="AA68" s="434">
        <f t="shared" si="36"/>
        <v>0</v>
      </c>
      <c r="AB68" s="435" t="e">
        <f t="shared" si="30"/>
        <v>#DIV/0!</v>
      </c>
      <c r="AD68" s="41"/>
      <c r="AE68" s="42"/>
      <c r="AF68" s="43"/>
      <c r="AG68" s="44"/>
      <c r="AH68" s="434">
        <f t="shared" si="37"/>
        <v>0</v>
      </c>
      <c r="AI68" s="435" t="e">
        <f t="shared" si="31"/>
        <v>#DIV/0!</v>
      </c>
      <c r="AK68" s="41"/>
      <c r="AL68" s="42"/>
      <c r="AM68" s="43"/>
      <c r="AN68" s="44"/>
      <c r="AO68" s="434">
        <f t="shared" si="38"/>
        <v>0</v>
      </c>
      <c r="AP68" s="435" t="e">
        <f t="shared" si="39"/>
        <v>#DIV/0!</v>
      </c>
    </row>
    <row r="69" spans="2:42" x14ac:dyDescent="0.25">
      <c r="B69" s="41" t="s">
        <v>100</v>
      </c>
      <c r="C69" s="42"/>
      <c r="D69" s="43"/>
      <c r="E69" s="44"/>
      <c r="F69" s="434">
        <f t="shared" si="32"/>
        <v>0</v>
      </c>
      <c r="G69" s="435" t="e">
        <f t="shared" si="33"/>
        <v>#DIV/0!</v>
      </c>
      <c r="I69" s="41"/>
      <c r="J69" s="42"/>
      <c r="K69" s="43"/>
      <c r="L69" s="44"/>
      <c r="M69" s="434">
        <f t="shared" si="34"/>
        <v>0</v>
      </c>
      <c r="N69" s="435" t="e">
        <f t="shared" si="28"/>
        <v>#DIV/0!</v>
      </c>
      <c r="O69" s="36"/>
      <c r="P69" s="41"/>
      <c r="Q69" s="42"/>
      <c r="R69" s="43"/>
      <c r="S69" s="44"/>
      <c r="T69" s="434">
        <f t="shared" si="35"/>
        <v>0</v>
      </c>
      <c r="U69" s="435" t="e">
        <f t="shared" si="29"/>
        <v>#DIV/0!</v>
      </c>
      <c r="W69" s="41"/>
      <c r="X69" s="42"/>
      <c r="Y69" s="43"/>
      <c r="Z69" s="44"/>
      <c r="AA69" s="434">
        <f t="shared" si="36"/>
        <v>0</v>
      </c>
      <c r="AB69" s="435" t="e">
        <f t="shared" si="30"/>
        <v>#DIV/0!</v>
      </c>
      <c r="AD69" s="41"/>
      <c r="AE69" s="42"/>
      <c r="AF69" s="43"/>
      <c r="AG69" s="44"/>
      <c r="AH69" s="434">
        <f t="shared" si="37"/>
        <v>0</v>
      </c>
      <c r="AI69" s="435" t="e">
        <f t="shared" si="31"/>
        <v>#DIV/0!</v>
      </c>
      <c r="AK69" s="41"/>
      <c r="AL69" s="42"/>
      <c r="AM69" s="43"/>
      <c r="AN69" s="44"/>
      <c r="AO69" s="434">
        <f t="shared" si="38"/>
        <v>0</v>
      </c>
      <c r="AP69" s="435" t="e">
        <f t="shared" si="39"/>
        <v>#DIV/0!</v>
      </c>
    </row>
    <row r="70" spans="2:42" x14ac:dyDescent="0.25">
      <c r="B70" s="41" t="s">
        <v>100</v>
      </c>
      <c r="C70" s="42"/>
      <c r="D70" s="43"/>
      <c r="E70" s="44"/>
      <c r="F70" s="434">
        <f t="shared" si="32"/>
        <v>0</v>
      </c>
      <c r="G70" s="435" t="e">
        <f t="shared" si="33"/>
        <v>#DIV/0!</v>
      </c>
      <c r="I70" s="41"/>
      <c r="J70" s="42"/>
      <c r="K70" s="43"/>
      <c r="L70" s="44"/>
      <c r="M70" s="434">
        <f t="shared" si="34"/>
        <v>0</v>
      </c>
      <c r="N70" s="435" t="e">
        <f t="shared" si="28"/>
        <v>#DIV/0!</v>
      </c>
      <c r="O70" s="36"/>
      <c r="P70" s="41"/>
      <c r="Q70" s="42"/>
      <c r="R70" s="43"/>
      <c r="S70" s="44"/>
      <c r="T70" s="434">
        <f t="shared" si="35"/>
        <v>0</v>
      </c>
      <c r="U70" s="435" t="e">
        <f t="shared" si="29"/>
        <v>#DIV/0!</v>
      </c>
      <c r="W70" s="41"/>
      <c r="X70" s="42"/>
      <c r="Y70" s="43"/>
      <c r="Z70" s="44"/>
      <c r="AA70" s="434">
        <f t="shared" si="36"/>
        <v>0</v>
      </c>
      <c r="AB70" s="435" t="e">
        <f t="shared" si="30"/>
        <v>#DIV/0!</v>
      </c>
      <c r="AD70" s="41"/>
      <c r="AE70" s="42"/>
      <c r="AF70" s="43"/>
      <c r="AG70" s="44"/>
      <c r="AH70" s="434">
        <f t="shared" si="37"/>
        <v>0</v>
      </c>
      <c r="AI70" s="435" t="e">
        <f t="shared" si="31"/>
        <v>#DIV/0!</v>
      </c>
      <c r="AK70" s="41"/>
      <c r="AL70" s="42"/>
      <c r="AM70" s="43"/>
      <c r="AN70" s="44"/>
      <c r="AO70" s="434">
        <f t="shared" si="38"/>
        <v>0</v>
      </c>
      <c r="AP70" s="435" t="e">
        <f t="shared" si="39"/>
        <v>#DIV/0!</v>
      </c>
    </row>
    <row r="71" spans="2:42" x14ac:dyDescent="0.25">
      <c r="B71" s="41" t="s">
        <v>100</v>
      </c>
      <c r="C71" s="42"/>
      <c r="D71" s="43"/>
      <c r="E71" s="44"/>
      <c r="F71" s="434">
        <f t="shared" si="32"/>
        <v>0</v>
      </c>
      <c r="G71" s="435" t="e">
        <f t="shared" si="33"/>
        <v>#DIV/0!</v>
      </c>
      <c r="I71" s="41"/>
      <c r="J71" s="42"/>
      <c r="K71" s="43"/>
      <c r="L71" s="44"/>
      <c r="M71" s="434">
        <f t="shared" si="34"/>
        <v>0</v>
      </c>
      <c r="N71" s="435" t="e">
        <f t="shared" si="28"/>
        <v>#DIV/0!</v>
      </c>
      <c r="O71" s="36"/>
      <c r="P71" s="41"/>
      <c r="Q71" s="42"/>
      <c r="R71" s="43"/>
      <c r="S71" s="44"/>
      <c r="T71" s="434">
        <f t="shared" si="35"/>
        <v>0</v>
      </c>
      <c r="U71" s="435" t="e">
        <f t="shared" si="29"/>
        <v>#DIV/0!</v>
      </c>
      <c r="W71" s="41"/>
      <c r="X71" s="42"/>
      <c r="Y71" s="43"/>
      <c r="Z71" s="44"/>
      <c r="AA71" s="434">
        <f t="shared" si="36"/>
        <v>0</v>
      </c>
      <c r="AB71" s="435" t="e">
        <f t="shared" si="30"/>
        <v>#DIV/0!</v>
      </c>
      <c r="AD71" s="41"/>
      <c r="AE71" s="42"/>
      <c r="AF71" s="43"/>
      <c r="AG71" s="44"/>
      <c r="AH71" s="434">
        <f t="shared" si="37"/>
        <v>0</v>
      </c>
      <c r="AI71" s="435" t="e">
        <f t="shared" si="31"/>
        <v>#DIV/0!</v>
      </c>
      <c r="AK71" s="41"/>
      <c r="AL71" s="42"/>
      <c r="AM71" s="43"/>
      <c r="AN71" s="44"/>
      <c r="AO71" s="434">
        <f t="shared" si="38"/>
        <v>0</v>
      </c>
      <c r="AP71" s="435" t="e">
        <f t="shared" si="39"/>
        <v>#DIV/0!</v>
      </c>
    </row>
    <row r="72" spans="2:42" x14ac:dyDescent="0.25">
      <c r="B72" s="41" t="s">
        <v>100</v>
      </c>
      <c r="C72" s="42"/>
      <c r="D72" s="43"/>
      <c r="E72" s="44"/>
      <c r="F72" s="434">
        <f t="shared" si="32"/>
        <v>0</v>
      </c>
      <c r="G72" s="435" t="e">
        <f t="shared" si="33"/>
        <v>#DIV/0!</v>
      </c>
      <c r="I72" s="41"/>
      <c r="J72" s="42"/>
      <c r="K72" s="43"/>
      <c r="L72" s="44"/>
      <c r="M72" s="434">
        <f t="shared" si="34"/>
        <v>0</v>
      </c>
      <c r="N72" s="435" t="e">
        <f t="shared" si="28"/>
        <v>#DIV/0!</v>
      </c>
      <c r="O72" s="36"/>
      <c r="P72" s="41"/>
      <c r="Q72" s="42"/>
      <c r="R72" s="43"/>
      <c r="S72" s="44"/>
      <c r="T72" s="434">
        <f t="shared" si="35"/>
        <v>0</v>
      </c>
      <c r="U72" s="435" t="e">
        <f t="shared" si="29"/>
        <v>#DIV/0!</v>
      </c>
      <c r="W72" s="41"/>
      <c r="X72" s="42"/>
      <c r="Y72" s="43"/>
      <c r="Z72" s="44"/>
      <c r="AA72" s="434">
        <f t="shared" si="36"/>
        <v>0</v>
      </c>
      <c r="AB72" s="435" t="e">
        <f t="shared" si="30"/>
        <v>#DIV/0!</v>
      </c>
      <c r="AD72" s="41"/>
      <c r="AE72" s="42"/>
      <c r="AF72" s="43"/>
      <c r="AG72" s="44"/>
      <c r="AH72" s="434">
        <f t="shared" si="37"/>
        <v>0</v>
      </c>
      <c r="AI72" s="435" t="e">
        <f t="shared" si="31"/>
        <v>#DIV/0!</v>
      </c>
      <c r="AK72" s="41"/>
      <c r="AL72" s="42"/>
      <c r="AM72" s="43"/>
      <c r="AN72" s="44"/>
      <c r="AO72" s="434">
        <f t="shared" si="38"/>
        <v>0</v>
      </c>
      <c r="AP72" s="435" t="e">
        <f t="shared" si="39"/>
        <v>#DIV/0!</v>
      </c>
    </row>
    <row r="73" spans="2:42" outlineLevel="1" x14ac:dyDescent="0.25">
      <c r="B73" s="41" t="s">
        <v>100</v>
      </c>
      <c r="C73" s="42"/>
      <c r="D73" s="43"/>
      <c r="E73" s="44"/>
      <c r="F73" s="434">
        <f t="shared" si="32"/>
        <v>0</v>
      </c>
      <c r="G73" s="435" t="e">
        <f t="shared" si="33"/>
        <v>#DIV/0!</v>
      </c>
      <c r="I73" s="41"/>
      <c r="J73" s="42"/>
      <c r="K73" s="43"/>
      <c r="L73" s="44"/>
      <c r="M73" s="434">
        <f t="shared" si="34"/>
        <v>0</v>
      </c>
      <c r="N73" s="435" t="e">
        <f t="shared" si="28"/>
        <v>#DIV/0!</v>
      </c>
      <c r="O73" s="36"/>
      <c r="P73" s="41"/>
      <c r="Q73" s="42"/>
      <c r="R73" s="43"/>
      <c r="S73" s="44"/>
      <c r="T73" s="434">
        <f t="shared" si="35"/>
        <v>0</v>
      </c>
      <c r="U73" s="435" t="e">
        <f t="shared" si="29"/>
        <v>#DIV/0!</v>
      </c>
      <c r="W73" s="41"/>
      <c r="X73" s="42"/>
      <c r="Y73" s="43"/>
      <c r="Z73" s="44"/>
      <c r="AA73" s="434">
        <f t="shared" si="36"/>
        <v>0</v>
      </c>
      <c r="AB73" s="435" t="e">
        <f t="shared" si="30"/>
        <v>#DIV/0!</v>
      </c>
      <c r="AD73" s="41"/>
      <c r="AE73" s="42"/>
      <c r="AF73" s="43"/>
      <c r="AG73" s="44"/>
      <c r="AH73" s="434">
        <f t="shared" si="37"/>
        <v>0</v>
      </c>
      <c r="AI73" s="435" t="e">
        <f t="shared" si="31"/>
        <v>#DIV/0!</v>
      </c>
      <c r="AK73" s="41"/>
      <c r="AL73" s="42"/>
      <c r="AM73" s="43"/>
      <c r="AN73" s="44"/>
      <c r="AO73" s="434">
        <f t="shared" si="38"/>
        <v>0</v>
      </c>
      <c r="AP73" s="435" t="e">
        <f t="shared" si="39"/>
        <v>#DIV/0!</v>
      </c>
    </row>
    <row r="74" spans="2:42" outlineLevel="1" x14ac:dyDescent="0.25">
      <c r="B74" s="41" t="s">
        <v>100</v>
      </c>
      <c r="C74" s="42"/>
      <c r="D74" s="43"/>
      <c r="E74" s="44"/>
      <c r="F74" s="434">
        <f t="shared" si="32"/>
        <v>0</v>
      </c>
      <c r="G74" s="435" t="e">
        <f t="shared" si="33"/>
        <v>#DIV/0!</v>
      </c>
      <c r="I74" s="41"/>
      <c r="J74" s="42"/>
      <c r="K74" s="43"/>
      <c r="L74" s="44"/>
      <c r="M74" s="434">
        <f t="shared" si="34"/>
        <v>0</v>
      </c>
      <c r="N74" s="435" t="e">
        <f t="shared" si="28"/>
        <v>#DIV/0!</v>
      </c>
      <c r="O74" s="36"/>
      <c r="P74" s="41"/>
      <c r="Q74" s="42"/>
      <c r="R74" s="43"/>
      <c r="S74" s="44"/>
      <c r="T74" s="434">
        <f t="shared" si="35"/>
        <v>0</v>
      </c>
      <c r="U74" s="435" t="e">
        <f t="shared" si="29"/>
        <v>#DIV/0!</v>
      </c>
      <c r="W74" s="41"/>
      <c r="X74" s="42"/>
      <c r="Y74" s="43"/>
      <c r="Z74" s="44"/>
      <c r="AA74" s="434">
        <f t="shared" si="36"/>
        <v>0</v>
      </c>
      <c r="AB74" s="435" t="e">
        <f t="shared" si="30"/>
        <v>#DIV/0!</v>
      </c>
      <c r="AD74" s="41"/>
      <c r="AE74" s="42"/>
      <c r="AF74" s="43"/>
      <c r="AG74" s="44"/>
      <c r="AH74" s="434">
        <f t="shared" si="37"/>
        <v>0</v>
      </c>
      <c r="AI74" s="435" t="e">
        <f t="shared" si="31"/>
        <v>#DIV/0!</v>
      </c>
      <c r="AK74" s="41"/>
      <c r="AL74" s="42"/>
      <c r="AM74" s="43"/>
      <c r="AN74" s="44"/>
      <c r="AO74" s="434">
        <f t="shared" si="38"/>
        <v>0</v>
      </c>
      <c r="AP74" s="435" t="e">
        <f t="shared" si="39"/>
        <v>#DIV/0!</v>
      </c>
    </row>
    <row r="75" spans="2:42" outlineLevel="1" x14ac:dyDescent="0.25">
      <c r="B75" s="41" t="s">
        <v>100</v>
      </c>
      <c r="C75" s="42"/>
      <c r="D75" s="43"/>
      <c r="E75" s="44"/>
      <c r="F75" s="434">
        <f t="shared" si="32"/>
        <v>0</v>
      </c>
      <c r="G75" s="435" t="e">
        <f t="shared" si="33"/>
        <v>#DIV/0!</v>
      </c>
      <c r="I75" s="41"/>
      <c r="J75" s="42"/>
      <c r="K75" s="43"/>
      <c r="L75" s="44"/>
      <c r="M75" s="434">
        <f t="shared" si="34"/>
        <v>0</v>
      </c>
      <c r="N75" s="435" t="e">
        <f t="shared" si="28"/>
        <v>#DIV/0!</v>
      </c>
      <c r="O75" s="36"/>
      <c r="P75" s="41"/>
      <c r="Q75" s="42"/>
      <c r="R75" s="43"/>
      <c r="S75" s="44"/>
      <c r="T75" s="434">
        <f t="shared" si="35"/>
        <v>0</v>
      </c>
      <c r="U75" s="435" t="e">
        <f t="shared" si="29"/>
        <v>#DIV/0!</v>
      </c>
      <c r="W75" s="41"/>
      <c r="X75" s="42"/>
      <c r="Y75" s="43"/>
      <c r="Z75" s="44"/>
      <c r="AA75" s="434">
        <f t="shared" si="36"/>
        <v>0</v>
      </c>
      <c r="AB75" s="435" t="e">
        <f t="shared" si="30"/>
        <v>#DIV/0!</v>
      </c>
      <c r="AD75" s="41"/>
      <c r="AE75" s="42"/>
      <c r="AF75" s="43"/>
      <c r="AG75" s="44"/>
      <c r="AH75" s="434">
        <f t="shared" si="37"/>
        <v>0</v>
      </c>
      <c r="AI75" s="435" t="e">
        <f t="shared" si="31"/>
        <v>#DIV/0!</v>
      </c>
      <c r="AK75" s="41"/>
      <c r="AL75" s="42"/>
      <c r="AM75" s="43"/>
      <c r="AN75" s="44"/>
      <c r="AO75" s="434">
        <f t="shared" si="38"/>
        <v>0</v>
      </c>
      <c r="AP75" s="435" t="e">
        <f t="shared" si="39"/>
        <v>#DIV/0!</v>
      </c>
    </row>
    <row r="76" spans="2:42" outlineLevel="1" x14ac:dyDescent="0.25">
      <c r="B76" s="41" t="s">
        <v>100</v>
      </c>
      <c r="C76" s="42"/>
      <c r="D76" s="43"/>
      <c r="E76" s="44"/>
      <c r="F76" s="434">
        <f t="shared" si="32"/>
        <v>0</v>
      </c>
      <c r="G76" s="435" t="e">
        <f t="shared" si="33"/>
        <v>#DIV/0!</v>
      </c>
      <c r="I76" s="41"/>
      <c r="J76" s="42"/>
      <c r="K76" s="43"/>
      <c r="L76" s="44"/>
      <c r="M76" s="434">
        <f t="shared" si="34"/>
        <v>0</v>
      </c>
      <c r="N76" s="435" t="e">
        <f t="shared" si="28"/>
        <v>#DIV/0!</v>
      </c>
      <c r="O76" s="36"/>
      <c r="P76" s="41"/>
      <c r="Q76" s="42"/>
      <c r="R76" s="43"/>
      <c r="S76" s="44"/>
      <c r="T76" s="434">
        <f t="shared" si="35"/>
        <v>0</v>
      </c>
      <c r="U76" s="435" t="e">
        <f t="shared" si="29"/>
        <v>#DIV/0!</v>
      </c>
      <c r="W76" s="41"/>
      <c r="X76" s="42"/>
      <c r="Y76" s="43"/>
      <c r="Z76" s="44"/>
      <c r="AA76" s="434">
        <f t="shared" si="36"/>
        <v>0</v>
      </c>
      <c r="AB76" s="435" t="e">
        <f t="shared" si="30"/>
        <v>#DIV/0!</v>
      </c>
      <c r="AD76" s="41"/>
      <c r="AE76" s="42"/>
      <c r="AF76" s="43"/>
      <c r="AG76" s="44"/>
      <c r="AH76" s="434">
        <f t="shared" si="37"/>
        <v>0</v>
      </c>
      <c r="AI76" s="435" t="e">
        <f t="shared" si="31"/>
        <v>#DIV/0!</v>
      </c>
      <c r="AK76" s="41"/>
      <c r="AL76" s="42"/>
      <c r="AM76" s="43"/>
      <c r="AN76" s="44"/>
      <c r="AO76" s="434">
        <f t="shared" si="38"/>
        <v>0</v>
      </c>
      <c r="AP76" s="435" t="e">
        <f t="shared" si="39"/>
        <v>#DIV/0!</v>
      </c>
    </row>
    <row r="77" spans="2:42" outlineLevel="1" x14ac:dyDescent="0.25">
      <c r="B77" s="41" t="s">
        <v>100</v>
      </c>
      <c r="C77" s="42"/>
      <c r="D77" s="43"/>
      <c r="E77" s="44"/>
      <c r="F77" s="434">
        <f t="shared" si="32"/>
        <v>0</v>
      </c>
      <c r="G77" s="435" t="e">
        <f t="shared" si="33"/>
        <v>#DIV/0!</v>
      </c>
      <c r="I77" s="41"/>
      <c r="J77" s="42"/>
      <c r="K77" s="43"/>
      <c r="L77" s="44"/>
      <c r="M77" s="434">
        <f t="shared" si="34"/>
        <v>0</v>
      </c>
      <c r="N77" s="435" t="e">
        <f t="shared" si="28"/>
        <v>#DIV/0!</v>
      </c>
      <c r="O77" s="36"/>
      <c r="P77" s="41"/>
      <c r="Q77" s="42"/>
      <c r="R77" s="43"/>
      <c r="S77" s="44"/>
      <c r="T77" s="434">
        <f t="shared" si="35"/>
        <v>0</v>
      </c>
      <c r="U77" s="435" t="e">
        <f t="shared" si="29"/>
        <v>#DIV/0!</v>
      </c>
      <c r="W77" s="41"/>
      <c r="X77" s="42"/>
      <c r="Y77" s="43"/>
      <c r="Z77" s="44"/>
      <c r="AA77" s="434">
        <f t="shared" si="36"/>
        <v>0</v>
      </c>
      <c r="AB77" s="435" t="e">
        <f t="shared" si="30"/>
        <v>#DIV/0!</v>
      </c>
      <c r="AD77" s="41"/>
      <c r="AE77" s="42"/>
      <c r="AF77" s="43"/>
      <c r="AG77" s="44"/>
      <c r="AH77" s="434">
        <f t="shared" si="37"/>
        <v>0</v>
      </c>
      <c r="AI77" s="435" t="e">
        <f t="shared" si="31"/>
        <v>#DIV/0!</v>
      </c>
      <c r="AK77" s="41"/>
      <c r="AL77" s="42"/>
      <c r="AM77" s="43"/>
      <c r="AN77" s="44"/>
      <c r="AO77" s="434">
        <f t="shared" si="38"/>
        <v>0</v>
      </c>
      <c r="AP77" s="435" t="e">
        <f t="shared" si="39"/>
        <v>#DIV/0!</v>
      </c>
    </row>
    <row r="78" spans="2:42" outlineLevel="1" x14ac:dyDescent="0.25">
      <c r="B78" s="41" t="s">
        <v>100</v>
      </c>
      <c r="C78" s="42"/>
      <c r="D78" s="43"/>
      <c r="E78" s="44"/>
      <c r="F78" s="434">
        <f t="shared" si="32"/>
        <v>0</v>
      </c>
      <c r="G78" s="435" t="e">
        <f t="shared" si="33"/>
        <v>#DIV/0!</v>
      </c>
      <c r="I78" s="41"/>
      <c r="J78" s="42"/>
      <c r="K78" s="43"/>
      <c r="L78" s="44"/>
      <c r="M78" s="434">
        <f t="shared" si="34"/>
        <v>0</v>
      </c>
      <c r="N78" s="435" t="e">
        <f t="shared" si="28"/>
        <v>#DIV/0!</v>
      </c>
      <c r="O78" s="36"/>
      <c r="P78" s="41"/>
      <c r="Q78" s="42"/>
      <c r="R78" s="43"/>
      <c r="S78" s="44"/>
      <c r="T78" s="434">
        <f t="shared" si="35"/>
        <v>0</v>
      </c>
      <c r="U78" s="435" t="e">
        <f t="shared" si="29"/>
        <v>#DIV/0!</v>
      </c>
      <c r="W78" s="41"/>
      <c r="X78" s="42"/>
      <c r="Y78" s="43"/>
      <c r="Z78" s="44"/>
      <c r="AA78" s="434">
        <f t="shared" si="36"/>
        <v>0</v>
      </c>
      <c r="AB78" s="435" t="e">
        <f t="shared" si="30"/>
        <v>#DIV/0!</v>
      </c>
      <c r="AD78" s="41"/>
      <c r="AE78" s="42"/>
      <c r="AF78" s="43"/>
      <c r="AG78" s="44"/>
      <c r="AH78" s="434">
        <f t="shared" si="37"/>
        <v>0</v>
      </c>
      <c r="AI78" s="435" t="e">
        <f t="shared" si="31"/>
        <v>#DIV/0!</v>
      </c>
      <c r="AK78" s="41"/>
      <c r="AL78" s="42"/>
      <c r="AM78" s="43"/>
      <c r="AN78" s="44"/>
      <c r="AO78" s="434">
        <f t="shared" si="38"/>
        <v>0</v>
      </c>
      <c r="AP78" s="435" t="e">
        <f t="shared" si="39"/>
        <v>#DIV/0!</v>
      </c>
    </row>
    <row r="79" spans="2:42" outlineLevel="1" x14ac:dyDescent="0.25">
      <c r="B79" s="41" t="s">
        <v>100</v>
      </c>
      <c r="C79" s="42"/>
      <c r="D79" s="43"/>
      <c r="E79" s="44"/>
      <c r="F79" s="434">
        <f t="shared" si="32"/>
        <v>0</v>
      </c>
      <c r="G79" s="435" t="e">
        <f t="shared" si="33"/>
        <v>#DIV/0!</v>
      </c>
      <c r="I79" s="41"/>
      <c r="J79" s="42"/>
      <c r="K79" s="43"/>
      <c r="L79" s="44"/>
      <c r="M79" s="434">
        <f t="shared" si="34"/>
        <v>0</v>
      </c>
      <c r="N79" s="435" t="e">
        <f t="shared" si="28"/>
        <v>#DIV/0!</v>
      </c>
      <c r="O79" s="36"/>
      <c r="P79" s="41"/>
      <c r="Q79" s="42"/>
      <c r="R79" s="43"/>
      <c r="S79" s="44"/>
      <c r="T79" s="434">
        <f t="shared" si="35"/>
        <v>0</v>
      </c>
      <c r="U79" s="435" t="e">
        <f t="shared" si="29"/>
        <v>#DIV/0!</v>
      </c>
      <c r="W79" s="41"/>
      <c r="X79" s="42"/>
      <c r="Y79" s="43"/>
      <c r="Z79" s="44"/>
      <c r="AA79" s="434">
        <f t="shared" si="36"/>
        <v>0</v>
      </c>
      <c r="AB79" s="435" t="e">
        <f t="shared" si="30"/>
        <v>#DIV/0!</v>
      </c>
      <c r="AD79" s="41"/>
      <c r="AE79" s="42"/>
      <c r="AF79" s="43"/>
      <c r="AG79" s="44"/>
      <c r="AH79" s="434">
        <f t="shared" si="37"/>
        <v>0</v>
      </c>
      <c r="AI79" s="435" t="e">
        <f t="shared" si="31"/>
        <v>#DIV/0!</v>
      </c>
      <c r="AK79" s="41"/>
      <c r="AL79" s="42"/>
      <c r="AM79" s="43"/>
      <c r="AN79" s="44"/>
      <c r="AO79" s="434">
        <f t="shared" si="38"/>
        <v>0</v>
      </c>
      <c r="AP79" s="435" t="e">
        <f t="shared" si="39"/>
        <v>#DIV/0!</v>
      </c>
    </row>
    <row r="80" spans="2:42" outlineLevel="1" x14ac:dyDescent="0.25">
      <c r="B80" s="41" t="s">
        <v>100</v>
      </c>
      <c r="C80" s="42"/>
      <c r="D80" s="43"/>
      <c r="E80" s="44"/>
      <c r="F80" s="434">
        <f t="shared" si="32"/>
        <v>0</v>
      </c>
      <c r="G80" s="435" t="e">
        <f t="shared" si="33"/>
        <v>#DIV/0!</v>
      </c>
      <c r="I80" s="41"/>
      <c r="J80" s="42"/>
      <c r="K80" s="43"/>
      <c r="L80" s="44"/>
      <c r="M80" s="434">
        <f t="shared" si="34"/>
        <v>0</v>
      </c>
      <c r="N80" s="435" t="e">
        <f t="shared" si="28"/>
        <v>#DIV/0!</v>
      </c>
      <c r="O80" s="36"/>
      <c r="P80" s="41"/>
      <c r="Q80" s="42"/>
      <c r="R80" s="43"/>
      <c r="S80" s="44"/>
      <c r="T80" s="434">
        <f t="shared" si="35"/>
        <v>0</v>
      </c>
      <c r="U80" s="435" t="e">
        <f t="shared" si="29"/>
        <v>#DIV/0!</v>
      </c>
      <c r="W80" s="41"/>
      <c r="X80" s="42"/>
      <c r="Y80" s="43"/>
      <c r="Z80" s="44"/>
      <c r="AA80" s="434">
        <f t="shared" si="36"/>
        <v>0</v>
      </c>
      <c r="AB80" s="435" t="e">
        <f t="shared" si="30"/>
        <v>#DIV/0!</v>
      </c>
      <c r="AD80" s="41"/>
      <c r="AE80" s="42"/>
      <c r="AF80" s="43"/>
      <c r="AG80" s="44"/>
      <c r="AH80" s="434">
        <f t="shared" si="37"/>
        <v>0</v>
      </c>
      <c r="AI80" s="435" t="e">
        <f t="shared" si="31"/>
        <v>#DIV/0!</v>
      </c>
      <c r="AK80" s="41"/>
      <c r="AL80" s="42"/>
      <c r="AM80" s="43"/>
      <c r="AN80" s="44"/>
      <c r="AO80" s="434">
        <f t="shared" si="38"/>
        <v>0</v>
      </c>
      <c r="AP80" s="435" t="e">
        <f t="shared" si="39"/>
        <v>#DIV/0!</v>
      </c>
    </row>
    <row r="81" spans="1:42" outlineLevel="1" x14ac:dyDescent="0.25">
      <c r="B81" s="41" t="s">
        <v>100</v>
      </c>
      <c r="C81" s="42"/>
      <c r="D81" s="43"/>
      <c r="E81" s="44"/>
      <c r="F81" s="434">
        <f t="shared" si="32"/>
        <v>0</v>
      </c>
      <c r="G81" s="435" t="e">
        <f t="shared" si="33"/>
        <v>#DIV/0!</v>
      </c>
      <c r="I81" s="41"/>
      <c r="J81" s="42"/>
      <c r="K81" s="43"/>
      <c r="L81" s="44"/>
      <c r="M81" s="434">
        <f t="shared" si="34"/>
        <v>0</v>
      </c>
      <c r="N81" s="435" t="e">
        <f t="shared" si="28"/>
        <v>#DIV/0!</v>
      </c>
      <c r="O81" s="40"/>
      <c r="P81" s="41"/>
      <c r="Q81" s="42"/>
      <c r="R81" s="43"/>
      <c r="S81" s="44"/>
      <c r="T81" s="434">
        <f t="shared" si="35"/>
        <v>0</v>
      </c>
      <c r="U81" s="435" t="e">
        <f t="shared" si="29"/>
        <v>#DIV/0!</v>
      </c>
      <c r="W81" s="41"/>
      <c r="X81" s="42"/>
      <c r="Y81" s="43"/>
      <c r="Z81" s="44"/>
      <c r="AA81" s="434">
        <f t="shared" si="36"/>
        <v>0</v>
      </c>
      <c r="AB81" s="435" t="e">
        <f t="shared" si="30"/>
        <v>#DIV/0!</v>
      </c>
      <c r="AD81" s="41"/>
      <c r="AE81" s="42"/>
      <c r="AF81" s="43"/>
      <c r="AG81" s="44"/>
      <c r="AH81" s="434">
        <f t="shared" si="37"/>
        <v>0</v>
      </c>
      <c r="AI81" s="435" t="e">
        <f t="shared" si="31"/>
        <v>#DIV/0!</v>
      </c>
      <c r="AK81" s="41"/>
      <c r="AL81" s="42"/>
      <c r="AM81" s="43"/>
      <c r="AN81" s="44"/>
      <c r="AO81" s="434">
        <f t="shared" si="38"/>
        <v>0</v>
      </c>
      <c r="AP81" s="435" t="e">
        <f t="shared" si="39"/>
        <v>#DIV/0!</v>
      </c>
    </row>
    <row r="82" spans="1:42" outlineLevel="1" x14ac:dyDescent="0.25">
      <c r="B82" s="41" t="s">
        <v>100</v>
      </c>
      <c r="C82" s="42"/>
      <c r="D82" s="43"/>
      <c r="E82" s="44"/>
      <c r="F82" s="434">
        <f t="shared" si="32"/>
        <v>0</v>
      </c>
      <c r="G82" s="435" t="e">
        <f t="shared" si="33"/>
        <v>#DIV/0!</v>
      </c>
      <c r="I82" s="41"/>
      <c r="J82" s="42"/>
      <c r="K82" s="43"/>
      <c r="L82" s="44"/>
      <c r="M82" s="434">
        <f t="shared" si="34"/>
        <v>0</v>
      </c>
      <c r="N82" s="435" t="e">
        <f t="shared" si="28"/>
        <v>#DIV/0!</v>
      </c>
      <c r="O82" s="40"/>
      <c r="P82" s="41"/>
      <c r="Q82" s="42"/>
      <c r="R82" s="43"/>
      <c r="S82" s="44"/>
      <c r="T82" s="434">
        <f t="shared" si="35"/>
        <v>0</v>
      </c>
      <c r="U82" s="435" t="e">
        <f t="shared" si="29"/>
        <v>#DIV/0!</v>
      </c>
      <c r="W82" s="41"/>
      <c r="X82" s="42"/>
      <c r="Y82" s="43"/>
      <c r="Z82" s="44"/>
      <c r="AA82" s="434">
        <f t="shared" si="36"/>
        <v>0</v>
      </c>
      <c r="AB82" s="435" t="e">
        <f t="shared" si="30"/>
        <v>#DIV/0!</v>
      </c>
      <c r="AD82" s="41"/>
      <c r="AE82" s="42"/>
      <c r="AF82" s="43"/>
      <c r="AG82" s="44"/>
      <c r="AH82" s="434">
        <f t="shared" si="37"/>
        <v>0</v>
      </c>
      <c r="AI82" s="435" t="e">
        <f t="shared" si="31"/>
        <v>#DIV/0!</v>
      </c>
      <c r="AK82" s="41"/>
      <c r="AL82" s="42"/>
      <c r="AM82" s="43"/>
      <c r="AN82" s="44"/>
      <c r="AO82" s="434">
        <f t="shared" si="38"/>
        <v>0</v>
      </c>
      <c r="AP82" s="435" t="e">
        <f t="shared" si="39"/>
        <v>#DIV/0!</v>
      </c>
    </row>
    <row r="83" spans="1:42" outlineLevel="1" x14ac:dyDescent="0.25">
      <c r="B83" s="41" t="s">
        <v>100</v>
      </c>
      <c r="C83" s="42"/>
      <c r="D83" s="43"/>
      <c r="E83" s="44"/>
      <c r="F83" s="434">
        <f t="shared" si="32"/>
        <v>0</v>
      </c>
      <c r="G83" s="435" t="e">
        <f t="shared" si="33"/>
        <v>#DIV/0!</v>
      </c>
      <c r="I83" s="41"/>
      <c r="J83" s="42"/>
      <c r="K83" s="43"/>
      <c r="L83" s="44"/>
      <c r="M83" s="434">
        <f t="shared" si="34"/>
        <v>0</v>
      </c>
      <c r="N83" s="435" t="e">
        <f t="shared" si="28"/>
        <v>#DIV/0!</v>
      </c>
      <c r="O83" s="40"/>
      <c r="P83" s="41"/>
      <c r="Q83" s="42"/>
      <c r="R83" s="43"/>
      <c r="S83" s="44"/>
      <c r="T83" s="434">
        <f t="shared" si="35"/>
        <v>0</v>
      </c>
      <c r="U83" s="435" t="e">
        <f t="shared" si="29"/>
        <v>#DIV/0!</v>
      </c>
      <c r="W83" s="41"/>
      <c r="X83" s="42"/>
      <c r="Y83" s="43"/>
      <c r="Z83" s="44"/>
      <c r="AA83" s="434">
        <f t="shared" si="36"/>
        <v>0</v>
      </c>
      <c r="AB83" s="435" t="e">
        <f t="shared" si="30"/>
        <v>#DIV/0!</v>
      </c>
      <c r="AD83" s="41"/>
      <c r="AE83" s="42"/>
      <c r="AF83" s="43"/>
      <c r="AG83" s="44"/>
      <c r="AH83" s="434">
        <f t="shared" si="37"/>
        <v>0</v>
      </c>
      <c r="AI83" s="435" t="e">
        <f t="shared" si="31"/>
        <v>#DIV/0!</v>
      </c>
      <c r="AK83" s="41"/>
      <c r="AL83" s="42"/>
      <c r="AM83" s="43"/>
      <c r="AN83" s="44"/>
      <c r="AO83" s="434">
        <f t="shared" si="38"/>
        <v>0</v>
      </c>
      <c r="AP83" s="435" t="e">
        <f t="shared" si="39"/>
        <v>#DIV/0!</v>
      </c>
    </row>
    <row r="84" spans="1:42" outlineLevel="1" x14ac:dyDescent="0.25">
      <c r="B84" s="41" t="s">
        <v>100</v>
      </c>
      <c r="C84" s="42"/>
      <c r="D84" s="43"/>
      <c r="E84" s="44"/>
      <c r="F84" s="434">
        <f t="shared" si="32"/>
        <v>0</v>
      </c>
      <c r="G84" s="435" t="e">
        <f t="shared" si="33"/>
        <v>#DIV/0!</v>
      </c>
      <c r="I84" s="41"/>
      <c r="J84" s="42"/>
      <c r="K84" s="43"/>
      <c r="L84" s="44"/>
      <c r="M84" s="434">
        <f t="shared" si="34"/>
        <v>0</v>
      </c>
      <c r="N84" s="435" t="e">
        <f t="shared" si="28"/>
        <v>#DIV/0!</v>
      </c>
      <c r="O84" s="40"/>
      <c r="P84" s="41"/>
      <c r="Q84" s="42"/>
      <c r="R84" s="43"/>
      <c r="S84" s="44"/>
      <c r="T84" s="434">
        <f t="shared" si="35"/>
        <v>0</v>
      </c>
      <c r="U84" s="435" t="e">
        <f t="shared" si="29"/>
        <v>#DIV/0!</v>
      </c>
      <c r="W84" s="41"/>
      <c r="X84" s="42"/>
      <c r="Y84" s="43"/>
      <c r="Z84" s="44"/>
      <c r="AA84" s="434">
        <f t="shared" si="36"/>
        <v>0</v>
      </c>
      <c r="AB84" s="435" t="e">
        <f t="shared" si="30"/>
        <v>#DIV/0!</v>
      </c>
      <c r="AD84" s="41"/>
      <c r="AE84" s="42"/>
      <c r="AF84" s="43"/>
      <c r="AG84" s="44"/>
      <c r="AH84" s="434">
        <f t="shared" si="37"/>
        <v>0</v>
      </c>
      <c r="AI84" s="435" t="e">
        <f t="shared" si="31"/>
        <v>#DIV/0!</v>
      </c>
      <c r="AK84" s="41"/>
      <c r="AL84" s="42"/>
      <c r="AM84" s="43"/>
      <c r="AN84" s="44"/>
      <c r="AO84" s="434">
        <f t="shared" si="38"/>
        <v>0</v>
      </c>
      <c r="AP84" s="435" t="e">
        <f t="shared" si="39"/>
        <v>#DIV/0!</v>
      </c>
    </row>
    <row r="85" spans="1:42" s="45" customFormat="1" x14ac:dyDescent="0.25">
      <c r="B85" s="46" t="s">
        <v>112</v>
      </c>
      <c r="C85" s="47">
        <f>SUBTOTAL(9,C61:C84)</f>
        <v>0</v>
      </c>
      <c r="D85" s="48">
        <f>SUMPRODUCT(D61:D84,C61:C84)</f>
        <v>0</v>
      </c>
      <c r="E85" s="49">
        <f>SUMPRODUCT(E61:E84,C61:C84)</f>
        <v>0</v>
      </c>
      <c r="F85" s="50">
        <f>IFERROR(E85/D85,0)</f>
        <v>0</v>
      </c>
      <c r="G85" s="51"/>
      <c r="I85" s="46" t="s">
        <v>112</v>
      </c>
      <c r="J85" s="47">
        <f>SUBTOTAL(9,J61:J84)</f>
        <v>0</v>
      </c>
      <c r="K85" s="48">
        <f>SUMPRODUCT(K61:K84,J61:J84)</f>
        <v>0</v>
      </c>
      <c r="L85" s="49">
        <f>SUMPRODUCT(L61:L84,J61:J84)</f>
        <v>0</v>
      </c>
      <c r="M85" s="50">
        <f>IFERROR(L85/K85,0)</f>
        <v>0</v>
      </c>
      <c r="N85" s="51"/>
      <c r="O85" s="52"/>
      <c r="P85" s="46" t="s">
        <v>112</v>
      </c>
      <c r="Q85" s="47">
        <f>SUBTOTAL(9,Q61:Q84)</f>
        <v>0</v>
      </c>
      <c r="R85" s="48">
        <f>SUMPRODUCT(R61:R84,Q61:Q84)</f>
        <v>0</v>
      </c>
      <c r="S85" s="49">
        <f>SUMPRODUCT(S61:S84,Q61:Q84)</f>
        <v>0</v>
      </c>
      <c r="T85" s="50">
        <f>IFERROR(S85/R85,0)</f>
        <v>0</v>
      </c>
      <c r="U85" s="51"/>
      <c r="W85" s="46" t="s">
        <v>112</v>
      </c>
      <c r="X85" s="47">
        <f>SUBTOTAL(9,X61:X84)</f>
        <v>0</v>
      </c>
      <c r="Y85" s="48">
        <f>SUMPRODUCT(Y61:Y84,X61:X84)</f>
        <v>0</v>
      </c>
      <c r="Z85" s="49">
        <f>SUMPRODUCT(Z61:Z84,X61:X84)</f>
        <v>0</v>
      </c>
      <c r="AA85" s="50">
        <f>IFERROR(Z85/Y85,0)</f>
        <v>0</v>
      </c>
      <c r="AB85" s="51"/>
      <c r="AD85" s="46" t="s">
        <v>112</v>
      </c>
      <c r="AE85" s="47">
        <f>SUBTOTAL(9,AE61:AE84)</f>
        <v>0</v>
      </c>
      <c r="AF85" s="48">
        <f>SUMPRODUCT(AF61:AF84,AE61:AE84)</f>
        <v>0</v>
      </c>
      <c r="AG85" s="49">
        <f>SUMPRODUCT(AG61:AG84,AE61:AE84)</f>
        <v>0</v>
      </c>
      <c r="AH85" s="50">
        <f>IFERROR(AG85/AF85,0)</f>
        <v>0</v>
      </c>
      <c r="AI85" s="51"/>
      <c r="AK85" s="46" t="s">
        <v>112</v>
      </c>
      <c r="AL85" s="47">
        <f>SUBTOTAL(9,AL61:AL84)</f>
        <v>0</v>
      </c>
      <c r="AM85" s="48">
        <f>SUMPRODUCT(AM61:AM84,AL61:AL84)</f>
        <v>0</v>
      </c>
      <c r="AN85" s="49">
        <f>SUMPRODUCT(AN61:AN84,AL61:AL84)</f>
        <v>0</v>
      </c>
      <c r="AO85" s="50">
        <f>IFERROR(AN85/AM85,0)</f>
        <v>0</v>
      </c>
      <c r="AP85" s="51"/>
    </row>
    <row r="86" spans="1:42" s="45" customFormat="1" x14ac:dyDescent="0.25">
      <c r="A86" s="64"/>
      <c r="B86" s="53" t="s">
        <v>278</v>
      </c>
      <c r="C86" s="54"/>
      <c r="D86" s="48">
        <f>IFERROR(D85/C85,0)</f>
        <v>0</v>
      </c>
      <c r="E86" s="49">
        <f>IFERROR(E85/C85,0)</f>
        <v>0</v>
      </c>
      <c r="F86" s="50">
        <f>IFERROR(E86/D86,0)</f>
        <v>0</v>
      </c>
      <c r="G86" s="51"/>
      <c r="I86" s="53" t="s">
        <v>278</v>
      </c>
      <c r="J86" s="54"/>
      <c r="K86" s="48">
        <f>IFERROR(K85/J85,0)</f>
        <v>0</v>
      </c>
      <c r="L86" s="49">
        <f>IFERROR(L85/J85,0)</f>
        <v>0</v>
      </c>
      <c r="M86" s="50">
        <f>IFERROR(L86/K86,0)</f>
        <v>0</v>
      </c>
      <c r="N86" s="51"/>
      <c r="O86" s="52"/>
      <c r="P86" s="53" t="s">
        <v>278</v>
      </c>
      <c r="Q86" s="54"/>
      <c r="R86" s="48">
        <f>IFERROR(R85/Q85,0)</f>
        <v>0</v>
      </c>
      <c r="S86" s="49">
        <f>IFERROR(S85/Q85,0)</f>
        <v>0</v>
      </c>
      <c r="T86" s="50">
        <f>IFERROR(S86/R86,0)</f>
        <v>0</v>
      </c>
      <c r="U86" s="51"/>
      <c r="W86" s="53" t="s">
        <v>278</v>
      </c>
      <c r="X86" s="54"/>
      <c r="Y86" s="48">
        <f>IFERROR(Y85/X85,0)</f>
        <v>0</v>
      </c>
      <c r="Z86" s="49">
        <f>IFERROR(Z85/X85,0)</f>
        <v>0</v>
      </c>
      <c r="AA86" s="50">
        <f>IFERROR(Z86/Y86,0)</f>
        <v>0</v>
      </c>
      <c r="AB86" s="51"/>
      <c r="AD86" s="53" t="s">
        <v>278</v>
      </c>
      <c r="AE86" s="54"/>
      <c r="AF86" s="48">
        <f>IFERROR(AF85/AE85,0)</f>
        <v>0</v>
      </c>
      <c r="AG86" s="49">
        <f>IFERROR(AG85/AE85,0)</f>
        <v>0</v>
      </c>
      <c r="AH86" s="50">
        <f>IFERROR(AG86/AF86,0)</f>
        <v>0</v>
      </c>
      <c r="AI86" s="51"/>
      <c r="AK86" s="53" t="s">
        <v>278</v>
      </c>
      <c r="AL86" s="54"/>
      <c r="AM86" s="48">
        <f>IFERROR(AM85/AL85,0)</f>
        <v>0</v>
      </c>
      <c r="AN86" s="49">
        <f>IFERROR(AN85/AL85,0)</f>
        <v>0</v>
      </c>
      <c r="AO86" s="50">
        <f>IFERROR(AN86/AM86,0)</f>
        <v>0</v>
      </c>
      <c r="AP86" s="51"/>
    </row>
    <row r="87" spans="1:42" x14ac:dyDescent="0.25">
      <c r="A87" s="49">
        <f>+A86-E86</f>
        <v>0</v>
      </c>
      <c r="B87" s="35" t="s">
        <v>283</v>
      </c>
      <c r="C87" s="60"/>
      <c r="D87" s="61"/>
      <c r="E87" s="62"/>
      <c r="F87" s="436"/>
      <c r="G87" s="63"/>
      <c r="I87" s="35" t="s">
        <v>283</v>
      </c>
      <c r="J87" s="60"/>
      <c r="K87" s="61"/>
      <c r="L87" s="62"/>
      <c r="M87" s="436"/>
      <c r="N87" s="63"/>
      <c r="O87" s="40"/>
      <c r="P87" s="35" t="s">
        <v>283</v>
      </c>
      <c r="Q87" s="60"/>
      <c r="R87" s="61"/>
      <c r="S87" s="62"/>
      <c r="T87" s="436"/>
      <c r="U87" s="63"/>
      <c r="W87" s="35" t="s">
        <v>283</v>
      </c>
      <c r="X87" s="60"/>
      <c r="Y87" s="61"/>
      <c r="Z87" s="62"/>
      <c r="AA87" s="436"/>
      <c r="AB87" s="63"/>
      <c r="AD87" s="35" t="s">
        <v>283</v>
      </c>
      <c r="AE87" s="60"/>
      <c r="AF87" s="61"/>
      <c r="AG87" s="62"/>
      <c r="AH87" s="436"/>
      <c r="AI87" s="63"/>
      <c r="AK87" s="35" t="s">
        <v>283</v>
      </c>
      <c r="AL87" s="60"/>
      <c r="AM87" s="61"/>
      <c r="AN87" s="62"/>
      <c r="AO87" s="436"/>
      <c r="AP87" s="63"/>
    </row>
    <row r="88" spans="1:42" x14ac:dyDescent="0.25">
      <c r="B88" s="37" t="s">
        <v>124</v>
      </c>
      <c r="C88" s="38" t="s">
        <v>2</v>
      </c>
      <c r="D88" s="38" t="s">
        <v>107</v>
      </c>
      <c r="E88" s="38" t="s">
        <v>274</v>
      </c>
      <c r="F88" s="57" t="s">
        <v>275</v>
      </c>
      <c r="G88" s="58" t="s">
        <v>276</v>
      </c>
      <c r="I88" s="37" t="s">
        <v>124</v>
      </c>
      <c r="J88" s="38" t="s">
        <v>2</v>
      </c>
      <c r="K88" s="38" t="s">
        <v>107</v>
      </c>
      <c r="L88" s="38" t="s">
        <v>274</v>
      </c>
      <c r="M88" s="57" t="s">
        <v>275</v>
      </c>
      <c r="N88" s="58" t="s">
        <v>276</v>
      </c>
      <c r="O88" s="40"/>
      <c r="P88" s="37" t="s">
        <v>124</v>
      </c>
      <c r="Q88" s="38" t="s">
        <v>2</v>
      </c>
      <c r="R88" s="38" t="s">
        <v>107</v>
      </c>
      <c r="S88" s="38" t="s">
        <v>274</v>
      </c>
      <c r="T88" s="57" t="s">
        <v>275</v>
      </c>
      <c r="U88" s="58" t="s">
        <v>276</v>
      </c>
      <c r="W88" s="37" t="s">
        <v>124</v>
      </c>
      <c r="X88" s="38" t="s">
        <v>2</v>
      </c>
      <c r="Y88" s="38" t="s">
        <v>107</v>
      </c>
      <c r="Z88" s="38" t="s">
        <v>274</v>
      </c>
      <c r="AA88" s="57" t="s">
        <v>275</v>
      </c>
      <c r="AB88" s="58" t="s">
        <v>276</v>
      </c>
      <c r="AD88" s="37" t="s">
        <v>124</v>
      </c>
      <c r="AE88" s="38" t="s">
        <v>2</v>
      </c>
      <c r="AF88" s="38" t="s">
        <v>107</v>
      </c>
      <c r="AG88" s="38" t="s">
        <v>274</v>
      </c>
      <c r="AH88" s="57" t="s">
        <v>275</v>
      </c>
      <c r="AI88" s="58" t="s">
        <v>276</v>
      </c>
      <c r="AK88" s="37" t="s">
        <v>124</v>
      </c>
      <c r="AL88" s="38" t="s">
        <v>2</v>
      </c>
      <c r="AM88" s="38" t="s">
        <v>107</v>
      </c>
      <c r="AN88" s="38" t="s">
        <v>274</v>
      </c>
      <c r="AO88" s="57" t="s">
        <v>275</v>
      </c>
      <c r="AP88" s="58" t="s">
        <v>276</v>
      </c>
    </row>
    <row r="89" spans="1:42" x14ac:dyDescent="0.25">
      <c r="B89" s="41" t="s">
        <v>284</v>
      </c>
      <c r="C89" s="42"/>
      <c r="D89" s="43"/>
      <c r="E89" s="44"/>
      <c r="F89" s="434">
        <f t="shared" ref="F89:F100" si="40">IFERROR(E89/D89,0)</f>
        <v>0</v>
      </c>
      <c r="G89" s="435" t="e">
        <f>C89/$C$2</f>
        <v>#DIV/0!</v>
      </c>
      <c r="I89" s="41"/>
      <c r="J89" s="42"/>
      <c r="K89" s="43"/>
      <c r="L89" s="44"/>
      <c r="M89" s="434">
        <f>IFERROR(L89/K89,0)</f>
        <v>0</v>
      </c>
      <c r="N89" s="435" t="e">
        <f t="shared" ref="N89:N100" si="41">J89/J$2</f>
        <v>#DIV/0!</v>
      </c>
      <c r="O89" s="40"/>
      <c r="P89" s="41"/>
      <c r="Q89" s="42"/>
      <c r="R89" s="43"/>
      <c r="S89" s="44"/>
      <c r="T89" s="434">
        <f>IFERROR(S89/R89,0)</f>
        <v>0</v>
      </c>
      <c r="U89" s="435" t="e">
        <f t="shared" ref="U89:U100" si="42">Q89/Q$2</f>
        <v>#DIV/0!</v>
      </c>
      <c r="W89" s="41"/>
      <c r="X89" s="42"/>
      <c r="Y89" s="43"/>
      <c r="Z89" s="44"/>
      <c r="AA89" s="434">
        <f>IFERROR(Z89/Y89,0)</f>
        <v>0</v>
      </c>
      <c r="AB89" s="435" t="e">
        <f t="shared" ref="AB89:AB100" si="43">X89/X$2</f>
        <v>#DIV/0!</v>
      </c>
      <c r="AD89" s="41"/>
      <c r="AE89" s="42"/>
      <c r="AF89" s="43"/>
      <c r="AG89" s="44"/>
      <c r="AH89" s="434">
        <f>IFERROR(AG89/AF89,0)</f>
        <v>0</v>
      </c>
      <c r="AI89" s="435" t="e">
        <f t="shared" ref="AI89:AI100" si="44">AE89/AE$2</f>
        <v>#DIV/0!</v>
      </c>
      <c r="AK89" s="41"/>
      <c r="AL89" s="42"/>
      <c r="AM89" s="43"/>
      <c r="AN89" s="44"/>
      <c r="AO89" s="434">
        <f>IFERROR(AN89/AM89,0)</f>
        <v>0</v>
      </c>
      <c r="AP89" s="435" t="e">
        <f>AL89/AL$2</f>
        <v>#DIV/0!</v>
      </c>
    </row>
    <row r="90" spans="1:42" x14ac:dyDescent="0.25">
      <c r="B90" s="41" t="s">
        <v>284</v>
      </c>
      <c r="C90" s="42"/>
      <c r="D90" s="43"/>
      <c r="E90" s="44"/>
      <c r="F90" s="434">
        <f t="shared" si="40"/>
        <v>0</v>
      </c>
      <c r="G90" s="435" t="e">
        <f t="shared" ref="G90:G100" si="45">C90/$C$2</f>
        <v>#DIV/0!</v>
      </c>
      <c r="I90" s="41"/>
      <c r="J90" s="42"/>
      <c r="K90" s="43"/>
      <c r="L90" s="44"/>
      <c r="M90" s="434">
        <f t="shared" ref="M90:M100" si="46">IFERROR(L90/K90,0)</f>
        <v>0</v>
      </c>
      <c r="N90" s="435" t="e">
        <f t="shared" si="41"/>
        <v>#DIV/0!</v>
      </c>
      <c r="O90" s="40"/>
      <c r="P90" s="41"/>
      <c r="Q90" s="42"/>
      <c r="R90" s="43"/>
      <c r="S90" s="44"/>
      <c r="T90" s="434">
        <f t="shared" ref="T90:T100" si="47">IFERROR(S90/R90,0)</f>
        <v>0</v>
      </c>
      <c r="U90" s="435" t="e">
        <f t="shared" si="42"/>
        <v>#DIV/0!</v>
      </c>
      <c r="W90" s="41"/>
      <c r="X90" s="42"/>
      <c r="Y90" s="43"/>
      <c r="Z90" s="44"/>
      <c r="AA90" s="434">
        <f t="shared" ref="AA90:AA100" si="48">IFERROR(Z90/Y90,0)</f>
        <v>0</v>
      </c>
      <c r="AB90" s="435" t="e">
        <f t="shared" si="43"/>
        <v>#DIV/0!</v>
      </c>
      <c r="AD90" s="41"/>
      <c r="AE90" s="42"/>
      <c r="AF90" s="43"/>
      <c r="AG90" s="44"/>
      <c r="AH90" s="434">
        <f t="shared" ref="AH90:AH100" si="49">IFERROR(AG90/AF90,0)</f>
        <v>0</v>
      </c>
      <c r="AI90" s="435" t="e">
        <f t="shared" si="44"/>
        <v>#DIV/0!</v>
      </c>
      <c r="AK90" s="41"/>
      <c r="AL90" s="42"/>
      <c r="AM90" s="43"/>
      <c r="AN90" s="44"/>
      <c r="AO90" s="434">
        <f t="shared" ref="AO90:AO100" si="50">IFERROR(AN90/AM90,0)</f>
        <v>0</v>
      </c>
      <c r="AP90" s="435" t="e">
        <f t="shared" ref="AP90:AP100" si="51">AL90/AL$2</f>
        <v>#DIV/0!</v>
      </c>
    </row>
    <row r="91" spans="1:42" x14ac:dyDescent="0.25">
      <c r="B91" s="41" t="s">
        <v>284</v>
      </c>
      <c r="C91" s="42"/>
      <c r="D91" s="43"/>
      <c r="E91" s="44"/>
      <c r="F91" s="434">
        <f t="shared" si="40"/>
        <v>0</v>
      </c>
      <c r="G91" s="435" t="e">
        <f t="shared" si="45"/>
        <v>#DIV/0!</v>
      </c>
      <c r="I91" s="41"/>
      <c r="J91" s="42"/>
      <c r="K91" s="43"/>
      <c r="L91" s="44"/>
      <c r="M91" s="434">
        <f t="shared" si="46"/>
        <v>0</v>
      </c>
      <c r="N91" s="435" t="e">
        <f t="shared" si="41"/>
        <v>#DIV/0!</v>
      </c>
      <c r="O91" s="40"/>
      <c r="P91" s="41"/>
      <c r="Q91" s="42"/>
      <c r="R91" s="43"/>
      <c r="S91" s="44"/>
      <c r="T91" s="434">
        <f t="shared" si="47"/>
        <v>0</v>
      </c>
      <c r="U91" s="435" t="e">
        <f t="shared" si="42"/>
        <v>#DIV/0!</v>
      </c>
      <c r="W91" s="41"/>
      <c r="X91" s="42"/>
      <c r="Y91" s="43"/>
      <c r="Z91" s="44"/>
      <c r="AA91" s="434">
        <f t="shared" si="48"/>
        <v>0</v>
      </c>
      <c r="AB91" s="435" t="e">
        <f t="shared" si="43"/>
        <v>#DIV/0!</v>
      </c>
      <c r="AD91" s="41"/>
      <c r="AE91" s="42"/>
      <c r="AF91" s="43"/>
      <c r="AG91" s="44"/>
      <c r="AH91" s="434">
        <f t="shared" si="49"/>
        <v>0</v>
      </c>
      <c r="AI91" s="435" t="e">
        <f t="shared" si="44"/>
        <v>#DIV/0!</v>
      </c>
      <c r="AK91" s="41"/>
      <c r="AL91" s="42"/>
      <c r="AM91" s="43"/>
      <c r="AN91" s="44"/>
      <c r="AO91" s="434">
        <f t="shared" si="50"/>
        <v>0</v>
      </c>
      <c r="AP91" s="435" t="e">
        <f t="shared" si="51"/>
        <v>#DIV/0!</v>
      </c>
    </row>
    <row r="92" spans="1:42" x14ac:dyDescent="0.25">
      <c r="B92" s="41" t="s">
        <v>284</v>
      </c>
      <c r="C92" s="42"/>
      <c r="D92" s="43"/>
      <c r="E92" s="44"/>
      <c r="F92" s="434">
        <f t="shared" si="40"/>
        <v>0</v>
      </c>
      <c r="G92" s="435" t="e">
        <f t="shared" si="45"/>
        <v>#DIV/0!</v>
      </c>
      <c r="I92" s="41"/>
      <c r="J92" s="42"/>
      <c r="K92" s="43"/>
      <c r="L92" s="44"/>
      <c r="M92" s="434">
        <f t="shared" si="46"/>
        <v>0</v>
      </c>
      <c r="N92" s="435" t="e">
        <f t="shared" si="41"/>
        <v>#DIV/0!</v>
      </c>
      <c r="O92" s="40"/>
      <c r="P92" s="41"/>
      <c r="Q92" s="42"/>
      <c r="R92" s="43"/>
      <c r="S92" s="44"/>
      <c r="T92" s="434">
        <f t="shared" si="47"/>
        <v>0</v>
      </c>
      <c r="U92" s="435" t="e">
        <f t="shared" si="42"/>
        <v>#DIV/0!</v>
      </c>
      <c r="W92" s="41"/>
      <c r="X92" s="42"/>
      <c r="Y92" s="43"/>
      <c r="Z92" s="44"/>
      <c r="AA92" s="434">
        <f t="shared" si="48"/>
        <v>0</v>
      </c>
      <c r="AB92" s="435" t="e">
        <f t="shared" si="43"/>
        <v>#DIV/0!</v>
      </c>
      <c r="AD92" s="41"/>
      <c r="AE92" s="42"/>
      <c r="AF92" s="43"/>
      <c r="AG92" s="44"/>
      <c r="AH92" s="434">
        <f t="shared" si="49"/>
        <v>0</v>
      </c>
      <c r="AI92" s="435" t="e">
        <f t="shared" si="44"/>
        <v>#DIV/0!</v>
      </c>
      <c r="AK92" s="41"/>
      <c r="AL92" s="42"/>
      <c r="AM92" s="43"/>
      <c r="AN92" s="44"/>
      <c r="AO92" s="434">
        <f t="shared" si="50"/>
        <v>0</v>
      </c>
      <c r="AP92" s="435" t="e">
        <f t="shared" si="51"/>
        <v>#DIV/0!</v>
      </c>
    </row>
    <row r="93" spans="1:42" x14ac:dyDescent="0.25">
      <c r="B93" s="41" t="s">
        <v>284</v>
      </c>
      <c r="C93" s="42"/>
      <c r="D93" s="43"/>
      <c r="E93" s="44"/>
      <c r="F93" s="434">
        <f t="shared" si="40"/>
        <v>0</v>
      </c>
      <c r="G93" s="435" t="e">
        <f t="shared" si="45"/>
        <v>#DIV/0!</v>
      </c>
      <c r="I93" s="41"/>
      <c r="J93" s="42"/>
      <c r="K93" s="43"/>
      <c r="L93" s="44"/>
      <c r="M93" s="434">
        <f t="shared" si="46"/>
        <v>0</v>
      </c>
      <c r="N93" s="435" t="e">
        <f t="shared" si="41"/>
        <v>#DIV/0!</v>
      </c>
      <c r="O93" s="40"/>
      <c r="P93" s="41"/>
      <c r="Q93" s="42"/>
      <c r="R93" s="43"/>
      <c r="S93" s="44"/>
      <c r="T93" s="434">
        <f t="shared" si="47"/>
        <v>0</v>
      </c>
      <c r="U93" s="435" t="e">
        <f t="shared" si="42"/>
        <v>#DIV/0!</v>
      </c>
      <c r="W93" s="41"/>
      <c r="X93" s="42"/>
      <c r="Y93" s="43"/>
      <c r="Z93" s="44"/>
      <c r="AA93" s="434">
        <f t="shared" si="48"/>
        <v>0</v>
      </c>
      <c r="AB93" s="435" t="e">
        <f t="shared" si="43"/>
        <v>#DIV/0!</v>
      </c>
      <c r="AD93" s="41"/>
      <c r="AE93" s="42"/>
      <c r="AF93" s="43"/>
      <c r="AG93" s="44"/>
      <c r="AH93" s="434">
        <f t="shared" si="49"/>
        <v>0</v>
      </c>
      <c r="AI93" s="435" t="e">
        <f t="shared" si="44"/>
        <v>#DIV/0!</v>
      </c>
      <c r="AK93" s="41"/>
      <c r="AL93" s="42"/>
      <c r="AM93" s="43"/>
      <c r="AN93" s="44"/>
      <c r="AO93" s="434">
        <f t="shared" si="50"/>
        <v>0</v>
      </c>
      <c r="AP93" s="435" t="e">
        <f t="shared" si="51"/>
        <v>#DIV/0!</v>
      </c>
    </row>
    <row r="94" spans="1:42" x14ac:dyDescent="0.25">
      <c r="B94" s="41" t="s">
        <v>284</v>
      </c>
      <c r="C94" s="42"/>
      <c r="D94" s="43"/>
      <c r="E94" s="44"/>
      <c r="F94" s="434">
        <f t="shared" si="40"/>
        <v>0</v>
      </c>
      <c r="G94" s="435" t="e">
        <f t="shared" si="45"/>
        <v>#DIV/0!</v>
      </c>
      <c r="I94" s="41"/>
      <c r="J94" s="42"/>
      <c r="K94" s="43"/>
      <c r="L94" s="44"/>
      <c r="M94" s="434">
        <f t="shared" si="46"/>
        <v>0</v>
      </c>
      <c r="N94" s="435" t="e">
        <f t="shared" si="41"/>
        <v>#DIV/0!</v>
      </c>
      <c r="O94" s="40"/>
      <c r="P94" s="41"/>
      <c r="Q94" s="42"/>
      <c r="R94" s="43"/>
      <c r="S94" s="44"/>
      <c r="T94" s="434">
        <f t="shared" si="47"/>
        <v>0</v>
      </c>
      <c r="U94" s="435" t="e">
        <f t="shared" si="42"/>
        <v>#DIV/0!</v>
      </c>
      <c r="W94" s="41"/>
      <c r="X94" s="42"/>
      <c r="Y94" s="43"/>
      <c r="Z94" s="44"/>
      <c r="AA94" s="434">
        <f t="shared" si="48"/>
        <v>0</v>
      </c>
      <c r="AB94" s="435" t="e">
        <f t="shared" si="43"/>
        <v>#DIV/0!</v>
      </c>
      <c r="AD94" s="41"/>
      <c r="AE94" s="42"/>
      <c r="AF94" s="43"/>
      <c r="AG94" s="44"/>
      <c r="AH94" s="434">
        <f t="shared" si="49"/>
        <v>0</v>
      </c>
      <c r="AI94" s="435" t="e">
        <f t="shared" si="44"/>
        <v>#DIV/0!</v>
      </c>
      <c r="AK94" s="41"/>
      <c r="AL94" s="42"/>
      <c r="AM94" s="43"/>
      <c r="AN94" s="44"/>
      <c r="AO94" s="434">
        <f t="shared" si="50"/>
        <v>0</v>
      </c>
      <c r="AP94" s="435" t="e">
        <f t="shared" si="51"/>
        <v>#DIV/0!</v>
      </c>
    </row>
    <row r="95" spans="1:42" x14ac:dyDescent="0.25">
      <c r="B95" s="41" t="s">
        <v>284</v>
      </c>
      <c r="C95" s="42"/>
      <c r="D95" s="43"/>
      <c r="E95" s="44"/>
      <c r="F95" s="434">
        <f t="shared" si="40"/>
        <v>0</v>
      </c>
      <c r="G95" s="435" t="e">
        <f t="shared" si="45"/>
        <v>#DIV/0!</v>
      </c>
      <c r="I95" s="41"/>
      <c r="J95" s="42"/>
      <c r="K95" s="43"/>
      <c r="L95" s="44"/>
      <c r="M95" s="434">
        <f t="shared" si="46"/>
        <v>0</v>
      </c>
      <c r="N95" s="435" t="e">
        <f t="shared" si="41"/>
        <v>#DIV/0!</v>
      </c>
      <c r="O95" s="40"/>
      <c r="P95" s="41"/>
      <c r="Q95" s="42"/>
      <c r="R95" s="43"/>
      <c r="S95" s="44"/>
      <c r="T95" s="434">
        <f t="shared" si="47"/>
        <v>0</v>
      </c>
      <c r="U95" s="435" t="e">
        <f t="shared" si="42"/>
        <v>#DIV/0!</v>
      </c>
      <c r="W95" s="41"/>
      <c r="X95" s="42"/>
      <c r="Y95" s="43"/>
      <c r="Z95" s="44"/>
      <c r="AA95" s="434">
        <f t="shared" si="48"/>
        <v>0</v>
      </c>
      <c r="AB95" s="435" t="e">
        <f t="shared" si="43"/>
        <v>#DIV/0!</v>
      </c>
      <c r="AD95" s="41"/>
      <c r="AE95" s="42"/>
      <c r="AF95" s="43"/>
      <c r="AG95" s="44"/>
      <c r="AH95" s="434">
        <f t="shared" si="49"/>
        <v>0</v>
      </c>
      <c r="AI95" s="435" t="e">
        <f t="shared" si="44"/>
        <v>#DIV/0!</v>
      </c>
      <c r="AK95" s="41"/>
      <c r="AL95" s="42"/>
      <c r="AM95" s="43"/>
      <c r="AN95" s="44"/>
      <c r="AO95" s="434">
        <f t="shared" si="50"/>
        <v>0</v>
      </c>
      <c r="AP95" s="435" t="e">
        <f t="shared" si="51"/>
        <v>#DIV/0!</v>
      </c>
    </row>
    <row r="96" spans="1:42" x14ac:dyDescent="0.25">
      <c r="B96" s="41" t="s">
        <v>284</v>
      </c>
      <c r="C96" s="42"/>
      <c r="D96" s="43"/>
      <c r="E96" s="44"/>
      <c r="F96" s="434">
        <f t="shared" si="40"/>
        <v>0</v>
      </c>
      <c r="G96" s="435" t="e">
        <f t="shared" si="45"/>
        <v>#DIV/0!</v>
      </c>
      <c r="I96" s="41"/>
      <c r="J96" s="42"/>
      <c r="K96" s="43"/>
      <c r="L96" s="44"/>
      <c r="M96" s="434">
        <f t="shared" si="46"/>
        <v>0</v>
      </c>
      <c r="N96" s="435" t="e">
        <f t="shared" si="41"/>
        <v>#DIV/0!</v>
      </c>
      <c r="O96" s="40"/>
      <c r="P96" s="41"/>
      <c r="Q96" s="42"/>
      <c r="R96" s="43"/>
      <c r="S96" s="44"/>
      <c r="T96" s="434">
        <f t="shared" si="47"/>
        <v>0</v>
      </c>
      <c r="U96" s="435" t="e">
        <f t="shared" si="42"/>
        <v>#DIV/0!</v>
      </c>
      <c r="W96" s="41"/>
      <c r="X96" s="42"/>
      <c r="Y96" s="43"/>
      <c r="Z96" s="44"/>
      <c r="AA96" s="434">
        <f t="shared" si="48"/>
        <v>0</v>
      </c>
      <c r="AB96" s="435" t="e">
        <f t="shared" si="43"/>
        <v>#DIV/0!</v>
      </c>
      <c r="AD96" s="41"/>
      <c r="AE96" s="42"/>
      <c r="AF96" s="43"/>
      <c r="AG96" s="44"/>
      <c r="AH96" s="434">
        <f t="shared" si="49"/>
        <v>0</v>
      </c>
      <c r="AI96" s="435" t="e">
        <f t="shared" si="44"/>
        <v>#DIV/0!</v>
      </c>
      <c r="AK96" s="41"/>
      <c r="AL96" s="42"/>
      <c r="AM96" s="43"/>
      <c r="AN96" s="44"/>
      <c r="AO96" s="434">
        <f t="shared" si="50"/>
        <v>0</v>
      </c>
      <c r="AP96" s="435" t="e">
        <f t="shared" si="51"/>
        <v>#DIV/0!</v>
      </c>
    </row>
    <row r="97" spans="1:42" x14ac:dyDescent="0.25">
      <c r="B97" s="41" t="s">
        <v>284</v>
      </c>
      <c r="C97" s="42"/>
      <c r="D97" s="43"/>
      <c r="E97" s="44"/>
      <c r="F97" s="434">
        <f t="shared" si="40"/>
        <v>0</v>
      </c>
      <c r="G97" s="435" t="e">
        <f t="shared" si="45"/>
        <v>#DIV/0!</v>
      </c>
      <c r="I97" s="41"/>
      <c r="J97" s="42"/>
      <c r="K97" s="43"/>
      <c r="L97" s="44"/>
      <c r="M97" s="434">
        <f>IFERROR(L97/K97,0)</f>
        <v>0</v>
      </c>
      <c r="N97" s="435" t="e">
        <f t="shared" si="41"/>
        <v>#DIV/0!</v>
      </c>
      <c r="P97" s="41"/>
      <c r="Q97" s="42"/>
      <c r="R97" s="43"/>
      <c r="S97" s="44"/>
      <c r="T97" s="434">
        <f t="shared" si="47"/>
        <v>0</v>
      </c>
      <c r="U97" s="435" t="e">
        <f t="shared" si="42"/>
        <v>#DIV/0!</v>
      </c>
      <c r="W97" s="41"/>
      <c r="X97" s="42"/>
      <c r="Y97" s="43"/>
      <c r="Z97" s="44"/>
      <c r="AA97" s="434">
        <f t="shared" si="48"/>
        <v>0</v>
      </c>
      <c r="AB97" s="435" t="e">
        <f t="shared" si="43"/>
        <v>#DIV/0!</v>
      </c>
      <c r="AD97" s="41"/>
      <c r="AE97" s="42"/>
      <c r="AF97" s="43"/>
      <c r="AG97" s="44"/>
      <c r="AH97" s="434">
        <f t="shared" si="49"/>
        <v>0</v>
      </c>
      <c r="AI97" s="435" t="e">
        <f t="shared" si="44"/>
        <v>#DIV/0!</v>
      </c>
      <c r="AK97" s="41"/>
      <c r="AL97" s="42"/>
      <c r="AM97" s="43"/>
      <c r="AN97" s="44"/>
      <c r="AO97" s="434">
        <f t="shared" si="50"/>
        <v>0</v>
      </c>
      <c r="AP97" s="435" t="e">
        <f t="shared" si="51"/>
        <v>#DIV/0!</v>
      </c>
    </row>
    <row r="98" spans="1:42" x14ac:dyDescent="0.25">
      <c r="B98" s="41" t="s">
        <v>284</v>
      </c>
      <c r="C98" s="42"/>
      <c r="D98" s="43"/>
      <c r="E98" s="44"/>
      <c r="F98" s="434">
        <f t="shared" si="40"/>
        <v>0</v>
      </c>
      <c r="G98" s="435" t="e">
        <f t="shared" si="45"/>
        <v>#DIV/0!</v>
      </c>
      <c r="I98" s="41"/>
      <c r="J98" s="42"/>
      <c r="K98" s="43"/>
      <c r="L98" s="44"/>
      <c r="M98" s="434">
        <f t="shared" si="46"/>
        <v>0</v>
      </c>
      <c r="N98" s="435" t="e">
        <f t="shared" si="41"/>
        <v>#DIV/0!</v>
      </c>
      <c r="P98" s="41"/>
      <c r="Q98" s="42"/>
      <c r="R98" s="43"/>
      <c r="S98" s="44"/>
      <c r="T98" s="434">
        <f t="shared" si="47"/>
        <v>0</v>
      </c>
      <c r="U98" s="435" t="e">
        <f t="shared" si="42"/>
        <v>#DIV/0!</v>
      </c>
      <c r="W98" s="41"/>
      <c r="X98" s="42"/>
      <c r="Y98" s="43"/>
      <c r="Z98" s="44"/>
      <c r="AA98" s="434">
        <f t="shared" si="48"/>
        <v>0</v>
      </c>
      <c r="AB98" s="435" t="e">
        <f t="shared" si="43"/>
        <v>#DIV/0!</v>
      </c>
      <c r="AD98" s="41"/>
      <c r="AE98" s="42"/>
      <c r="AF98" s="43"/>
      <c r="AG98" s="44"/>
      <c r="AH98" s="434">
        <f t="shared" si="49"/>
        <v>0</v>
      </c>
      <c r="AI98" s="435" t="e">
        <f t="shared" si="44"/>
        <v>#DIV/0!</v>
      </c>
      <c r="AK98" s="41"/>
      <c r="AL98" s="42"/>
      <c r="AM98" s="43"/>
      <c r="AN98" s="44"/>
      <c r="AO98" s="434">
        <f t="shared" si="50"/>
        <v>0</v>
      </c>
      <c r="AP98" s="435" t="e">
        <f t="shared" si="51"/>
        <v>#DIV/0!</v>
      </c>
    </row>
    <row r="99" spans="1:42" x14ac:dyDescent="0.25">
      <c r="B99" s="41" t="s">
        <v>284</v>
      </c>
      <c r="C99" s="42"/>
      <c r="D99" s="43"/>
      <c r="E99" s="44"/>
      <c r="F99" s="434">
        <f t="shared" si="40"/>
        <v>0</v>
      </c>
      <c r="G99" s="435" t="e">
        <f t="shared" si="45"/>
        <v>#DIV/0!</v>
      </c>
      <c r="I99" s="41"/>
      <c r="J99" s="42"/>
      <c r="K99" s="43"/>
      <c r="L99" s="44"/>
      <c r="M99" s="434">
        <f t="shared" si="46"/>
        <v>0</v>
      </c>
      <c r="N99" s="435" t="e">
        <f t="shared" si="41"/>
        <v>#DIV/0!</v>
      </c>
      <c r="P99" s="41"/>
      <c r="Q99" s="42"/>
      <c r="R99" s="43"/>
      <c r="S99" s="44"/>
      <c r="T99" s="434">
        <f t="shared" si="47"/>
        <v>0</v>
      </c>
      <c r="U99" s="435" t="e">
        <f t="shared" si="42"/>
        <v>#DIV/0!</v>
      </c>
      <c r="W99" s="41"/>
      <c r="X99" s="42"/>
      <c r="Y99" s="43"/>
      <c r="Z99" s="44"/>
      <c r="AA99" s="434">
        <f t="shared" si="48"/>
        <v>0</v>
      </c>
      <c r="AB99" s="435" t="e">
        <f t="shared" si="43"/>
        <v>#DIV/0!</v>
      </c>
      <c r="AD99" s="41"/>
      <c r="AE99" s="42"/>
      <c r="AF99" s="43"/>
      <c r="AG99" s="44"/>
      <c r="AH99" s="434">
        <f t="shared" si="49"/>
        <v>0</v>
      </c>
      <c r="AI99" s="435" t="e">
        <f t="shared" si="44"/>
        <v>#DIV/0!</v>
      </c>
      <c r="AK99" s="41"/>
      <c r="AL99" s="42"/>
      <c r="AM99" s="43"/>
      <c r="AN99" s="44"/>
      <c r="AO99" s="434">
        <f t="shared" si="50"/>
        <v>0</v>
      </c>
      <c r="AP99" s="435" t="e">
        <f t="shared" si="51"/>
        <v>#DIV/0!</v>
      </c>
    </row>
    <row r="100" spans="1:42" x14ac:dyDescent="0.25">
      <c r="B100" s="41" t="s">
        <v>284</v>
      </c>
      <c r="C100" s="42"/>
      <c r="D100" s="43"/>
      <c r="E100" s="44"/>
      <c r="F100" s="434">
        <f t="shared" si="40"/>
        <v>0</v>
      </c>
      <c r="G100" s="435" t="e">
        <f t="shared" si="45"/>
        <v>#DIV/0!</v>
      </c>
      <c r="I100" s="41"/>
      <c r="J100" s="42"/>
      <c r="K100" s="43"/>
      <c r="L100" s="44"/>
      <c r="M100" s="434">
        <f t="shared" si="46"/>
        <v>0</v>
      </c>
      <c r="N100" s="435" t="e">
        <f t="shared" si="41"/>
        <v>#DIV/0!</v>
      </c>
      <c r="P100" s="41"/>
      <c r="Q100" s="42"/>
      <c r="R100" s="43"/>
      <c r="S100" s="44"/>
      <c r="T100" s="434">
        <f t="shared" si="47"/>
        <v>0</v>
      </c>
      <c r="U100" s="435" t="e">
        <f t="shared" si="42"/>
        <v>#DIV/0!</v>
      </c>
      <c r="W100" s="41"/>
      <c r="X100" s="42"/>
      <c r="Y100" s="43"/>
      <c r="Z100" s="44"/>
      <c r="AA100" s="434">
        <f t="shared" si="48"/>
        <v>0</v>
      </c>
      <c r="AB100" s="435" t="e">
        <f t="shared" si="43"/>
        <v>#DIV/0!</v>
      </c>
      <c r="AD100" s="41"/>
      <c r="AE100" s="42"/>
      <c r="AF100" s="43"/>
      <c r="AG100" s="44"/>
      <c r="AH100" s="434">
        <f t="shared" si="49"/>
        <v>0</v>
      </c>
      <c r="AI100" s="435" t="e">
        <f t="shared" si="44"/>
        <v>#DIV/0!</v>
      </c>
      <c r="AK100" s="41"/>
      <c r="AL100" s="42"/>
      <c r="AM100" s="43"/>
      <c r="AN100" s="44"/>
      <c r="AO100" s="434">
        <f t="shared" si="50"/>
        <v>0</v>
      </c>
      <c r="AP100" s="435" t="e">
        <f t="shared" si="51"/>
        <v>#DIV/0!</v>
      </c>
    </row>
    <row r="101" spans="1:42" s="45" customFormat="1" x14ac:dyDescent="0.25">
      <c r="B101" s="46" t="s">
        <v>112</v>
      </c>
      <c r="C101" s="47">
        <f>SUBTOTAL(9,C89:C100)</f>
        <v>0</v>
      </c>
      <c r="D101" s="48">
        <f>SUMPRODUCT(D89:D100,C89:C100)</f>
        <v>0</v>
      </c>
      <c r="E101" s="49">
        <f>SUMPRODUCT(E89:E100,C89:C100)</f>
        <v>0</v>
      </c>
      <c r="F101" s="50">
        <f>IFERROR(E101/D101,0)</f>
        <v>0</v>
      </c>
      <c r="G101" s="65"/>
      <c r="I101" s="46" t="s">
        <v>112</v>
      </c>
      <c r="J101" s="47">
        <f>SUBTOTAL(9,J89:J100)</f>
        <v>0</v>
      </c>
      <c r="K101" s="48">
        <f>SUMPRODUCT(K89:K100,J89:J100)</f>
        <v>0</v>
      </c>
      <c r="L101" s="49">
        <f>SUMPRODUCT(L89:L100,J89:J100)</f>
        <v>0</v>
      </c>
      <c r="M101" s="50">
        <f>IFERROR(L101/K101,0)</f>
        <v>0</v>
      </c>
      <c r="N101" s="65"/>
      <c r="P101" s="46" t="s">
        <v>112</v>
      </c>
      <c r="Q101" s="47">
        <f>SUBTOTAL(9,Q89:Q100)</f>
        <v>0</v>
      </c>
      <c r="R101" s="48">
        <f>SUMPRODUCT(R89:R100,Q89:Q100)</f>
        <v>0</v>
      </c>
      <c r="S101" s="49">
        <f>SUMPRODUCT(S89:S100,Q89:Q100)</f>
        <v>0</v>
      </c>
      <c r="T101" s="50">
        <f>IFERROR(S101/R101,0)</f>
        <v>0</v>
      </c>
      <c r="U101" s="65"/>
      <c r="W101" s="46" t="s">
        <v>112</v>
      </c>
      <c r="X101" s="47">
        <f>SUBTOTAL(9,X89:X100)</f>
        <v>0</v>
      </c>
      <c r="Y101" s="48">
        <f>SUMPRODUCT(Y89:Y100,X89:X100)</f>
        <v>0</v>
      </c>
      <c r="Z101" s="49">
        <f>SUMPRODUCT(Z89:Z100,X89:X100)</f>
        <v>0</v>
      </c>
      <c r="AA101" s="50">
        <f>IFERROR(Z101/Y101,0)</f>
        <v>0</v>
      </c>
      <c r="AB101" s="65"/>
      <c r="AD101" s="46" t="s">
        <v>112</v>
      </c>
      <c r="AE101" s="47">
        <f>SUBTOTAL(9,AE89:AE100)</f>
        <v>0</v>
      </c>
      <c r="AF101" s="48">
        <f>SUMPRODUCT(AF89:AF100,AE89:AE100)</f>
        <v>0</v>
      </c>
      <c r="AG101" s="49">
        <f>SUMPRODUCT(AG89:AG100,AE89:AE100)</f>
        <v>0</v>
      </c>
      <c r="AH101" s="50">
        <f>IFERROR(AG101/AF101,0)</f>
        <v>0</v>
      </c>
      <c r="AI101" s="65"/>
      <c r="AK101" s="46" t="s">
        <v>112</v>
      </c>
      <c r="AL101" s="47">
        <f>SUBTOTAL(9,AL89:AL100)</f>
        <v>0</v>
      </c>
      <c r="AM101" s="48">
        <f>SUMPRODUCT(AM89:AM100,AL89:AL100)</f>
        <v>0</v>
      </c>
      <c r="AN101" s="49">
        <f>SUMPRODUCT(AN89:AN100,AL89:AL100)</f>
        <v>0</v>
      </c>
      <c r="AO101" s="50">
        <f>IFERROR(AN101/AM101,0)</f>
        <v>0</v>
      </c>
      <c r="AP101" s="65"/>
    </row>
    <row r="102" spans="1:42" s="45" customFormat="1" x14ac:dyDescent="0.25">
      <c r="A102" s="64"/>
      <c r="B102" s="53" t="s">
        <v>278</v>
      </c>
      <c r="C102" s="54"/>
      <c r="D102" s="48">
        <f>IFERROR(D101/C101,)</f>
        <v>0</v>
      </c>
      <c r="E102" s="49">
        <f>IFERROR(E101/C101,0)</f>
        <v>0</v>
      </c>
      <c r="F102" s="50">
        <f>IFERROR(E102/D102,0)</f>
        <v>0</v>
      </c>
      <c r="G102" s="65"/>
      <c r="I102" s="53" t="s">
        <v>278</v>
      </c>
      <c r="J102" s="54"/>
      <c r="K102" s="48">
        <f>IFERROR(K101/J101,)</f>
        <v>0</v>
      </c>
      <c r="L102" s="49">
        <f>IFERROR(L101/J101,0)</f>
        <v>0</v>
      </c>
      <c r="M102" s="50">
        <f>IFERROR(L102/K102,0)</f>
        <v>0</v>
      </c>
      <c r="N102" s="65"/>
      <c r="P102" s="53" t="s">
        <v>278</v>
      </c>
      <c r="Q102" s="54"/>
      <c r="R102" s="48">
        <f>IFERROR(R101/Q101,)</f>
        <v>0</v>
      </c>
      <c r="S102" s="49">
        <f>IFERROR(S101/Q101,0)</f>
        <v>0</v>
      </c>
      <c r="T102" s="50">
        <f>IFERROR(S102/R102,0)</f>
        <v>0</v>
      </c>
      <c r="U102" s="65"/>
      <c r="W102" s="53" t="s">
        <v>278</v>
      </c>
      <c r="X102" s="54"/>
      <c r="Y102" s="48">
        <f>IFERROR(Y101/X101,)</f>
        <v>0</v>
      </c>
      <c r="Z102" s="49">
        <f>IFERROR(Z101/X101,0)</f>
        <v>0</v>
      </c>
      <c r="AA102" s="50">
        <f>IFERROR(Z102/Y102,0)</f>
        <v>0</v>
      </c>
      <c r="AB102" s="65"/>
      <c r="AD102" s="53" t="s">
        <v>278</v>
      </c>
      <c r="AE102" s="54"/>
      <c r="AF102" s="48">
        <f>IFERROR(AF101/AE101,)</f>
        <v>0</v>
      </c>
      <c r="AG102" s="49">
        <f>IFERROR(AG101/AE101,0)</f>
        <v>0</v>
      </c>
      <c r="AH102" s="50">
        <f>IFERROR(AG102/AF102,0)</f>
        <v>0</v>
      </c>
      <c r="AI102" s="65"/>
      <c r="AK102" s="53" t="s">
        <v>278</v>
      </c>
      <c r="AL102" s="54"/>
      <c r="AM102" s="48">
        <f>IFERROR(AM101/AL101,)</f>
        <v>0</v>
      </c>
      <c r="AN102" s="49">
        <f>IFERROR(AN101/AL101,0)</f>
        <v>0</v>
      </c>
      <c r="AO102" s="50">
        <f>IFERROR(AN102/AM102,0)</f>
        <v>0</v>
      </c>
      <c r="AP102" s="65"/>
    </row>
    <row r="103" spans="1:42" ht="14.4" x14ac:dyDescent="0.3">
      <c r="A103" s="49">
        <f>+A102-E102</f>
        <v>0</v>
      </c>
      <c r="F103" s="66"/>
      <c r="M103" s="66"/>
      <c r="T103" s="66"/>
      <c r="AA103" s="66"/>
      <c r="AH103" s="66"/>
      <c r="AO103" s="66"/>
    </row>
    <row r="104" spans="1:42" x14ac:dyDescent="0.25">
      <c r="B104" s="67" t="s">
        <v>285</v>
      </c>
      <c r="C104" s="39" t="s">
        <v>2</v>
      </c>
      <c r="D104" s="39" t="s">
        <v>286</v>
      </c>
      <c r="E104" s="39" t="s">
        <v>287</v>
      </c>
      <c r="F104" s="57" t="s">
        <v>275</v>
      </c>
      <c r="G104" s="39" t="s">
        <v>276</v>
      </c>
      <c r="I104" s="67" t="s">
        <v>285</v>
      </c>
      <c r="J104" s="39" t="s">
        <v>2</v>
      </c>
      <c r="K104" s="39" t="s">
        <v>286</v>
      </c>
      <c r="L104" s="39" t="s">
        <v>287</v>
      </c>
      <c r="M104" s="57" t="s">
        <v>275</v>
      </c>
      <c r="N104" s="39" t="s">
        <v>276</v>
      </c>
      <c r="P104" s="67" t="s">
        <v>285</v>
      </c>
      <c r="Q104" s="39" t="s">
        <v>2</v>
      </c>
      <c r="R104" s="39" t="s">
        <v>286</v>
      </c>
      <c r="S104" s="39" t="s">
        <v>287</v>
      </c>
      <c r="T104" s="57" t="s">
        <v>275</v>
      </c>
      <c r="U104" s="39" t="s">
        <v>276</v>
      </c>
      <c r="W104" s="67" t="s">
        <v>285</v>
      </c>
      <c r="X104" s="39" t="s">
        <v>2</v>
      </c>
      <c r="Y104" s="39" t="s">
        <v>286</v>
      </c>
      <c r="Z104" s="39" t="s">
        <v>287</v>
      </c>
      <c r="AA104" s="57" t="s">
        <v>275</v>
      </c>
      <c r="AB104" s="39" t="s">
        <v>276</v>
      </c>
      <c r="AD104" s="67" t="s">
        <v>285</v>
      </c>
      <c r="AE104" s="39" t="s">
        <v>2</v>
      </c>
      <c r="AF104" s="39" t="s">
        <v>286</v>
      </c>
      <c r="AG104" s="39" t="s">
        <v>287</v>
      </c>
      <c r="AH104" s="57" t="s">
        <v>275</v>
      </c>
      <c r="AI104" s="39" t="s">
        <v>276</v>
      </c>
      <c r="AK104" s="67" t="s">
        <v>285</v>
      </c>
      <c r="AL104" s="39" t="s">
        <v>2</v>
      </c>
      <c r="AM104" s="39" t="s">
        <v>286</v>
      </c>
      <c r="AN104" s="39" t="s">
        <v>287</v>
      </c>
      <c r="AO104" s="57" t="s">
        <v>275</v>
      </c>
      <c r="AP104" s="39" t="s">
        <v>276</v>
      </c>
    </row>
    <row r="105" spans="1:42" x14ac:dyDescent="0.25">
      <c r="B105" s="68" t="s">
        <v>288</v>
      </c>
      <c r="C105" s="69">
        <f>+C28</f>
        <v>0</v>
      </c>
      <c r="D105" s="70">
        <f>D29</f>
        <v>0</v>
      </c>
      <c r="E105" s="71">
        <f>E29</f>
        <v>0</v>
      </c>
      <c r="F105" s="437">
        <f>IFERROR(E105/D105,0)</f>
        <v>0</v>
      </c>
      <c r="G105" s="438" t="e">
        <f>C105/C2</f>
        <v>#DIV/0!</v>
      </c>
      <c r="I105" s="68" t="s">
        <v>288</v>
      </c>
      <c r="J105" s="69">
        <f>+J28</f>
        <v>0</v>
      </c>
      <c r="K105" s="70">
        <f>K29</f>
        <v>0</v>
      </c>
      <c r="L105" s="71">
        <f>L29</f>
        <v>0</v>
      </c>
      <c r="M105" s="437">
        <f>IFERROR(L105/K105,0)</f>
        <v>0</v>
      </c>
      <c r="N105" s="438" t="e">
        <f>J105/J2</f>
        <v>#DIV/0!</v>
      </c>
      <c r="P105" s="68" t="s">
        <v>288</v>
      </c>
      <c r="Q105" s="69">
        <f>+Q28</f>
        <v>0</v>
      </c>
      <c r="R105" s="70">
        <f>R29</f>
        <v>0</v>
      </c>
      <c r="S105" s="71">
        <f>S29</f>
        <v>0</v>
      </c>
      <c r="T105" s="437">
        <f>IFERROR(S105/R105,0)</f>
        <v>0</v>
      </c>
      <c r="U105" s="438" t="e">
        <f>Q105/Q2</f>
        <v>#DIV/0!</v>
      </c>
      <c r="W105" s="68" t="s">
        <v>288</v>
      </c>
      <c r="X105" s="69">
        <f>+X28</f>
        <v>0</v>
      </c>
      <c r="Y105" s="70">
        <f>Y29</f>
        <v>0</v>
      </c>
      <c r="Z105" s="71">
        <f>Z29</f>
        <v>0</v>
      </c>
      <c r="AA105" s="437">
        <f>IFERROR(Z105/Y105,0)</f>
        <v>0</v>
      </c>
      <c r="AB105" s="438" t="e">
        <f>X105/X2</f>
        <v>#DIV/0!</v>
      </c>
      <c r="AD105" s="68" t="s">
        <v>288</v>
      </c>
      <c r="AE105" s="69">
        <f>+AE28</f>
        <v>0</v>
      </c>
      <c r="AF105" s="70">
        <f>AF29</f>
        <v>0</v>
      </c>
      <c r="AG105" s="71">
        <f>AG29</f>
        <v>0</v>
      </c>
      <c r="AH105" s="437">
        <f>IFERROR(AG105/AF105,0)</f>
        <v>0</v>
      </c>
      <c r="AI105" s="438" t="e">
        <f>AE105/AE2</f>
        <v>#DIV/0!</v>
      </c>
      <c r="AK105" s="68" t="s">
        <v>288</v>
      </c>
      <c r="AL105" s="69">
        <f>+AL28</f>
        <v>0</v>
      </c>
      <c r="AM105" s="70">
        <f>AM29</f>
        <v>0</v>
      </c>
      <c r="AN105" s="71">
        <f>AN29</f>
        <v>0</v>
      </c>
      <c r="AO105" s="437">
        <f>IFERROR(AN105/AM105,0)</f>
        <v>0</v>
      </c>
      <c r="AP105" s="438" t="e">
        <f>AL105/AL2</f>
        <v>#DIV/0!</v>
      </c>
    </row>
    <row r="106" spans="1:42" x14ac:dyDescent="0.25">
      <c r="B106" s="68" t="s">
        <v>289</v>
      </c>
      <c r="C106" s="69">
        <f>C57</f>
        <v>0</v>
      </c>
      <c r="D106" s="70">
        <f>D58</f>
        <v>0</v>
      </c>
      <c r="E106" s="71">
        <f>E58</f>
        <v>0</v>
      </c>
      <c r="F106" s="437">
        <f>IFERROR(E106/D106,0)</f>
        <v>0</v>
      </c>
      <c r="G106" s="438" t="e">
        <f>C106/C2</f>
        <v>#DIV/0!</v>
      </c>
      <c r="I106" s="68" t="s">
        <v>289</v>
      </c>
      <c r="J106" s="69">
        <f>J57</f>
        <v>0</v>
      </c>
      <c r="K106" s="70">
        <f>K58</f>
        <v>0</v>
      </c>
      <c r="L106" s="71">
        <f>L58</f>
        <v>0</v>
      </c>
      <c r="M106" s="437">
        <f>IFERROR(L106/K106,0)</f>
        <v>0</v>
      </c>
      <c r="N106" s="438" t="e">
        <f>J106/J2</f>
        <v>#DIV/0!</v>
      </c>
      <c r="P106" s="68" t="s">
        <v>289</v>
      </c>
      <c r="Q106" s="69">
        <f>Q57</f>
        <v>0</v>
      </c>
      <c r="R106" s="70">
        <f>R58</f>
        <v>0</v>
      </c>
      <c r="S106" s="71">
        <f>S58</f>
        <v>0</v>
      </c>
      <c r="T106" s="437">
        <f>IFERROR(S106/R106,0)</f>
        <v>0</v>
      </c>
      <c r="U106" s="438" t="e">
        <f>Q106/Q2</f>
        <v>#DIV/0!</v>
      </c>
      <c r="W106" s="68" t="s">
        <v>289</v>
      </c>
      <c r="X106" s="69">
        <f>X57</f>
        <v>0</v>
      </c>
      <c r="Y106" s="70">
        <f>Y58</f>
        <v>0</v>
      </c>
      <c r="Z106" s="71">
        <f>Z58</f>
        <v>0</v>
      </c>
      <c r="AA106" s="437">
        <f>IFERROR(Z106/Y106,0)</f>
        <v>0</v>
      </c>
      <c r="AB106" s="438" t="e">
        <f>X106/X2</f>
        <v>#DIV/0!</v>
      </c>
      <c r="AD106" s="68" t="s">
        <v>289</v>
      </c>
      <c r="AE106" s="69">
        <f>AE57</f>
        <v>0</v>
      </c>
      <c r="AF106" s="70">
        <f>AF58</f>
        <v>0</v>
      </c>
      <c r="AG106" s="71">
        <f>AG58</f>
        <v>0</v>
      </c>
      <c r="AH106" s="437">
        <f>IFERROR(AG106/AF106,0)</f>
        <v>0</v>
      </c>
      <c r="AI106" s="438" t="e">
        <f>AE106/AE2</f>
        <v>#DIV/0!</v>
      </c>
      <c r="AK106" s="68" t="s">
        <v>289</v>
      </c>
      <c r="AL106" s="69">
        <f>AL57</f>
        <v>0</v>
      </c>
      <c r="AM106" s="70">
        <f>AM58</f>
        <v>0</v>
      </c>
      <c r="AN106" s="71">
        <f>AN58</f>
        <v>0</v>
      </c>
      <c r="AO106" s="437">
        <f>IFERROR(AN106/AM106,0)</f>
        <v>0</v>
      </c>
      <c r="AP106" s="438" t="e">
        <f>AL106/AL2</f>
        <v>#DIV/0!</v>
      </c>
    </row>
    <row r="107" spans="1:42" x14ac:dyDescent="0.25">
      <c r="B107" s="68" t="s">
        <v>290</v>
      </c>
      <c r="C107" s="69">
        <f>C85</f>
        <v>0</v>
      </c>
      <c r="D107" s="70">
        <f>D86</f>
        <v>0</v>
      </c>
      <c r="E107" s="71">
        <f>E86</f>
        <v>0</v>
      </c>
      <c r="F107" s="437">
        <f>IFERROR(E107/D107,0)</f>
        <v>0</v>
      </c>
      <c r="G107" s="438" t="e">
        <f>C107/C2</f>
        <v>#DIV/0!</v>
      </c>
      <c r="I107" s="68" t="s">
        <v>290</v>
      </c>
      <c r="J107" s="69">
        <f>J85</f>
        <v>0</v>
      </c>
      <c r="K107" s="70">
        <f>K86</f>
        <v>0</v>
      </c>
      <c r="L107" s="71">
        <f>L86</f>
        <v>0</v>
      </c>
      <c r="M107" s="437">
        <f>IFERROR(L107/K107,0)</f>
        <v>0</v>
      </c>
      <c r="N107" s="438" t="e">
        <f>J107/J2</f>
        <v>#DIV/0!</v>
      </c>
      <c r="P107" s="68" t="s">
        <v>290</v>
      </c>
      <c r="Q107" s="69">
        <f>Q85</f>
        <v>0</v>
      </c>
      <c r="R107" s="70">
        <f>R86</f>
        <v>0</v>
      </c>
      <c r="S107" s="71">
        <f>S86</f>
        <v>0</v>
      </c>
      <c r="T107" s="437">
        <f>IFERROR(S107/R107,0)</f>
        <v>0</v>
      </c>
      <c r="U107" s="438" t="e">
        <f>Q107/Q2</f>
        <v>#DIV/0!</v>
      </c>
      <c r="W107" s="68" t="s">
        <v>290</v>
      </c>
      <c r="X107" s="69">
        <f>X85</f>
        <v>0</v>
      </c>
      <c r="Y107" s="70">
        <f>Y86</f>
        <v>0</v>
      </c>
      <c r="Z107" s="71">
        <f>Z86</f>
        <v>0</v>
      </c>
      <c r="AA107" s="437">
        <f>IFERROR(Z107/Y107,0)</f>
        <v>0</v>
      </c>
      <c r="AB107" s="438" t="e">
        <f>X107/X2</f>
        <v>#DIV/0!</v>
      </c>
      <c r="AD107" s="68" t="s">
        <v>290</v>
      </c>
      <c r="AE107" s="69">
        <f>AE85</f>
        <v>0</v>
      </c>
      <c r="AF107" s="70">
        <f>AF86</f>
        <v>0</v>
      </c>
      <c r="AG107" s="71">
        <f>AG86</f>
        <v>0</v>
      </c>
      <c r="AH107" s="437">
        <f>IFERROR(AG107/AF107,0)</f>
        <v>0</v>
      </c>
      <c r="AI107" s="438" t="e">
        <f>AE107/AE2</f>
        <v>#DIV/0!</v>
      </c>
      <c r="AK107" s="68" t="s">
        <v>290</v>
      </c>
      <c r="AL107" s="69">
        <f>AL85</f>
        <v>0</v>
      </c>
      <c r="AM107" s="70">
        <f>AM86</f>
        <v>0</v>
      </c>
      <c r="AN107" s="71">
        <f>AN86</f>
        <v>0</v>
      </c>
      <c r="AO107" s="437">
        <f>IFERROR(AN107/AM107,0)</f>
        <v>0</v>
      </c>
      <c r="AP107" s="438" t="e">
        <f>AL107/AL2</f>
        <v>#DIV/0!</v>
      </c>
    </row>
    <row r="108" spans="1:42" x14ac:dyDescent="0.25">
      <c r="B108" s="68" t="s">
        <v>291</v>
      </c>
      <c r="C108" s="69">
        <f>C101</f>
        <v>0</v>
      </c>
      <c r="D108" s="70">
        <f>D102</f>
        <v>0</v>
      </c>
      <c r="E108" s="71">
        <f>E102</f>
        <v>0</v>
      </c>
      <c r="F108" s="437">
        <f>IFERROR(E108/D108,0)</f>
        <v>0</v>
      </c>
      <c r="G108" s="438" t="e">
        <f>C108/C2</f>
        <v>#DIV/0!</v>
      </c>
      <c r="I108" s="68" t="s">
        <v>291</v>
      </c>
      <c r="J108" s="69">
        <f>J101</f>
        <v>0</v>
      </c>
      <c r="K108" s="70">
        <f>K102</f>
        <v>0</v>
      </c>
      <c r="L108" s="71">
        <f>L102</f>
        <v>0</v>
      </c>
      <c r="M108" s="437">
        <f>IFERROR(L108/K108,0)</f>
        <v>0</v>
      </c>
      <c r="N108" s="438" t="e">
        <f>J108/J2</f>
        <v>#DIV/0!</v>
      </c>
      <c r="P108" s="68" t="s">
        <v>291</v>
      </c>
      <c r="Q108" s="69">
        <f>Q101</f>
        <v>0</v>
      </c>
      <c r="R108" s="70">
        <f>R102</f>
        <v>0</v>
      </c>
      <c r="S108" s="71">
        <f>S102</f>
        <v>0</v>
      </c>
      <c r="T108" s="437">
        <f>IFERROR(S108/R108,0)</f>
        <v>0</v>
      </c>
      <c r="U108" s="438" t="e">
        <f>Q108/Q2</f>
        <v>#DIV/0!</v>
      </c>
      <c r="W108" s="68" t="s">
        <v>291</v>
      </c>
      <c r="X108" s="69">
        <f>X101</f>
        <v>0</v>
      </c>
      <c r="Y108" s="70">
        <f>Y102</f>
        <v>0</v>
      </c>
      <c r="Z108" s="71">
        <f>Z102</f>
        <v>0</v>
      </c>
      <c r="AA108" s="437">
        <f>IFERROR(Z108/Y108,0)</f>
        <v>0</v>
      </c>
      <c r="AB108" s="438" t="e">
        <f>X108/X2</f>
        <v>#DIV/0!</v>
      </c>
      <c r="AD108" s="68" t="s">
        <v>291</v>
      </c>
      <c r="AE108" s="69">
        <f>AE101</f>
        <v>0</v>
      </c>
      <c r="AF108" s="70">
        <f>AF102</f>
        <v>0</v>
      </c>
      <c r="AG108" s="71">
        <f>AG102</f>
        <v>0</v>
      </c>
      <c r="AH108" s="437">
        <f>IFERROR(AG108/AF108,0)</f>
        <v>0</v>
      </c>
      <c r="AI108" s="438" t="e">
        <f>AE108/AE2</f>
        <v>#DIV/0!</v>
      </c>
      <c r="AK108" s="68" t="s">
        <v>291</v>
      </c>
      <c r="AL108" s="69">
        <f>AL101</f>
        <v>0</v>
      </c>
      <c r="AM108" s="70">
        <f>AM102</f>
        <v>0</v>
      </c>
      <c r="AN108" s="71">
        <f>AN102</f>
        <v>0</v>
      </c>
      <c r="AO108" s="437">
        <f>IFERROR(AN108/AM108,0)</f>
        <v>0</v>
      </c>
      <c r="AP108" s="438" t="e">
        <f>AL108/AL2</f>
        <v>#DIV/0!</v>
      </c>
    </row>
    <row r="109" spans="1:42" ht="13.8" thickBot="1" x14ac:dyDescent="0.3">
      <c r="B109" s="72" t="s">
        <v>292</v>
      </c>
      <c r="C109" s="73">
        <f>SUM(C105:C108)</f>
        <v>0</v>
      </c>
      <c r="D109" s="74">
        <f>IFERROR(SUMPRODUCT(D105:D108,C105:C108)/C109,0)</f>
        <v>0</v>
      </c>
      <c r="E109" s="75">
        <f>IFERROR(SUMPRODUCT(E105:E108,C105:C108)/C109,0)</f>
        <v>0</v>
      </c>
      <c r="F109" s="76">
        <f>IFERROR(SUMPRODUCT(F105:F108,C105:C108)/C109,0)</f>
        <v>0</v>
      </c>
      <c r="G109" s="77" t="e">
        <f>SUM(G105:G108)</f>
        <v>#DIV/0!</v>
      </c>
      <c r="I109" s="72" t="s">
        <v>292</v>
      </c>
      <c r="J109" s="73">
        <f>SUM(J105:J108)</f>
        <v>0</v>
      </c>
      <c r="K109" s="74">
        <f>IFERROR(SUMPRODUCT(K105:K108,J105:J108)/J109,0)</f>
        <v>0</v>
      </c>
      <c r="L109" s="75">
        <f>IFERROR(SUMPRODUCT(L105:L108,J105:J108)/J109,0)</f>
        <v>0</v>
      </c>
      <c r="M109" s="76">
        <f>IFERROR(SUMPRODUCT(M105:M108,J105:J108)/J109,0)</f>
        <v>0</v>
      </c>
      <c r="N109" s="77" t="e">
        <f>SUM(N105:N108)</f>
        <v>#DIV/0!</v>
      </c>
      <c r="P109" s="72" t="s">
        <v>292</v>
      </c>
      <c r="Q109" s="73">
        <f>SUM(Q105:Q108)</f>
        <v>0</v>
      </c>
      <c r="R109" s="74">
        <f>IFERROR(SUMPRODUCT(R105:R108,Q105:Q108)/Q109,0)</f>
        <v>0</v>
      </c>
      <c r="S109" s="75">
        <f>IFERROR(SUMPRODUCT(S105:S108,Q105:Q108)/Q109,0)</f>
        <v>0</v>
      </c>
      <c r="T109" s="76">
        <f>IFERROR(SUMPRODUCT(T105:T108,Q105:Q108)/Q109,0)</f>
        <v>0</v>
      </c>
      <c r="U109" s="77" t="e">
        <f>SUM(U105:U108)</f>
        <v>#DIV/0!</v>
      </c>
      <c r="W109" s="72" t="s">
        <v>292</v>
      </c>
      <c r="X109" s="73">
        <f>SUM(X105:X108)</f>
        <v>0</v>
      </c>
      <c r="Y109" s="74">
        <f>IFERROR(SUMPRODUCT(Y105:Y108,X105:X108)/X109,0)</f>
        <v>0</v>
      </c>
      <c r="Z109" s="75">
        <f>IFERROR(SUMPRODUCT(Z105:Z108,X105:X108)/X109,0)</f>
        <v>0</v>
      </c>
      <c r="AA109" s="76">
        <f>IFERROR(SUMPRODUCT(AA105:AA108,X105:X108)/X109,0)</f>
        <v>0</v>
      </c>
      <c r="AB109" s="77" t="e">
        <f>SUM(AB105:AB108)</f>
        <v>#DIV/0!</v>
      </c>
      <c r="AD109" s="72" t="s">
        <v>292</v>
      </c>
      <c r="AE109" s="73">
        <f>SUM(AE105:AE108)</f>
        <v>0</v>
      </c>
      <c r="AF109" s="74">
        <f>IFERROR(SUMPRODUCT(AF105:AF108,AE105:AE108)/AE109,0)</f>
        <v>0</v>
      </c>
      <c r="AG109" s="75">
        <f>IFERROR(SUMPRODUCT(AG105:AG108,AE105:AE108)/AE109,0)</f>
        <v>0</v>
      </c>
      <c r="AH109" s="76">
        <f>IFERROR(SUMPRODUCT(AH105:AH108,AE105:AE108)/AE109,0)</f>
        <v>0</v>
      </c>
      <c r="AI109" s="77" t="e">
        <f>SUM(AI105:AI108)</f>
        <v>#DIV/0!</v>
      </c>
      <c r="AK109" s="72" t="s">
        <v>292</v>
      </c>
      <c r="AL109" s="73">
        <f>SUM(AL105:AL108)</f>
        <v>0</v>
      </c>
      <c r="AM109" s="74">
        <f>IFERROR(SUMPRODUCT(AM105:AM108,AL105:AL108)/AL109,0)</f>
        <v>0</v>
      </c>
      <c r="AN109" s="75">
        <f>IFERROR(SUMPRODUCT(AN105:AN108,AL105:AL108)/AL109,0)</f>
        <v>0</v>
      </c>
      <c r="AO109" s="76">
        <f>IFERROR(SUMPRODUCT(AO105:AO108,AL105:AL108)/AL109,0)</f>
        <v>0</v>
      </c>
      <c r="AP109" s="77" t="e">
        <f>SUM(AP105:AP108)</f>
        <v>#DIV/0!</v>
      </c>
    </row>
    <row r="110" spans="1:42" x14ac:dyDescent="0.25">
      <c r="B110" s="666" t="s">
        <v>293</v>
      </c>
      <c r="C110" s="667"/>
      <c r="D110" s="667"/>
      <c r="E110" s="667"/>
      <c r="F110" s="667"/>
      <c r="G110" s="668"/>
      <c r="I110" s="666" t="s">
        <v>293</v>
      </c>
      <c r="J110" s="667"/>
      <c r="K110" s="667"/>
      <c r="L110" s="667"/>
      <c r="M110" s="667"/>
      <c r="N110" s="668"/>
      <c r="P110" s="666" t="s">
        <v>293</v>
      </c>
      <c r="Q110" s="667"/>
      <c r="R110" s="667"/>
      <c r="S110" s="667"/>
      <c r="T110" s="667"/>
      <c r="U110" s="668"/>
      <c r="W110" s="666" t="s">
        <v>293</v>
      </c>
      <c r="X110" s="667"/>
      <c r="Y110" s="667"/>
      <c r="Z110" s="667"/>
      <c r="AA110" s="667"/>
      <c r="AB110" s="668"/>
      <c r="AD110" s="666" t="s">
        <v>293</v>
      </c>
      <c r="AE110" s="667"/>
      <c r="AF110" s="667"/>
      <c r="AG110" s="667"/>
      <c r="AH110" s="667"/>
      <c r="AI110" s="668"/>
      <c r="AK110" s="666" t="s">
        <v>293</v>
      </c>
      <c r="AL110" s="667"/>
      <c r="AM110" s="667"/>
      <c r="AN110" s="667"/>
      <c r="AO110" s="667"/>
      <c r="AP110" s="668"/>
    </row>
    <row r="111" spans="1:42" x14ac:dyDescent="0.25">
      <c r="B111" s="669"/>
      <c r="C111" s="670"/>
      <c r="D111" s="670"/>
      <c r="E111" s="670"/>
      <c r="F111" s="670"/>
      <c r="G111" s="671"/>
      <c r="I111" s="669"/>
      <c r="J111" s="670"/>
      <c r="K111" s="670"/>
      <c r="L111" s="670"/>
      <c r="M111" s="670"/>
      <c r="N111" s="671"/>
      <c r="P111" s="669"/>
      <c r="Q111" s="670"/>
      <c r="R111" s="670"/>
      <c r="S111" s="670"/>
      <c r="T111" s="670"/>
      <c r="U111" s="671"/>
      <c r="W111" s="669"/>
      <c r="X111" s="670"/>
      <c r="Y111" s="670"/>
      <c r="Z111" s="670"/>
      <c r="AA111" s="670"/>
      <c r="AB111" s="671"/>
      <c r="AD111" s="669"/>
      <c r="AE111" s="670"/>
      <c r="AF111" s="670"/>
      <c r="AG111" s="670"/>
      <c r="AH111" s="670"/>
      <c r="AI111" s="671"/>
      <c r="AK111" s="669"/>
      <c r="AL111" s="670"/>
      <c r="AM111" s="670"/>
      <c r="AN111" s="670"/>
      <c r="AO111" s="670"/>
      <c r="AP111" s="671"/>
    </row>
    <row r="112" spans="1:42" x14ac:dyDescent="0.25">
      <c r="B112" s="669"/>
      <c r="C112" s="670"/>
      <c r="D112" s="670"/>
      <c r="E112" s="670"/>
      <c r="F112" s="670"/>
      <c r="G112" s="671"/>
      <c r="I112" s="669"/>
      <c r="J112" s="670"/>
      <c r="K112" s="670"/>
      <c r="L112" s="670"/>
      <c r="M112" s="670"/>
      <c r="N112" s="671"/>
      <c r="P112" s="669"/>
      <c r="Q112" s="670"/>
      <c r="R112" s="670"/>
      <c r="S112" s="670"/>
      <c r="T112" s="670"/>
      <c r="U112" s="671"/>
      <c r="W112" s="669"/>
      <c r="X112" s="670"/>
      <c r="Y112" s="670"/>
      <c r="Z112" s="670"/>
      <c r="AA112" s="670"/>
      <c r="AB112" s="671"/>
      <c r="AD112" s="669"/>
      <c r="AE112" s="670"/>
      <c r="AF112" s="670"/>
      <c r="AG112" s="670"/>
      <c r="AH112" s="670"/>
      <c r="AI112" s="671"/>
      <c r="AK112" s="669"/>
      <c r="AL112" s="670"/>
      <c r="AM112" s="670"/>
      <c r="AN112" s="670"/>
      <c r="AO112" s="670"/>
      <c r="AP112" s="671"/>
    </row>
    <row r="113" spans="2:42" x14ac:dyDescent="0.25">
      <c r="B113" s="669"/>
      <c r="C113" s="670"/>
      <c r="D113" s="670"/>
      <c r="E113" s="670"/>
      <c r="F113" s="670"/>
      <c r="G113" s="671"/>
      <c r="I113" s="669"/>
      <c r="J113" s="670"/>
      <c r="K113" s="670"/>
      <c r="L113" s="670"/>
      <c r="M113" s="670"/>
      <c r="N113" s="671"/>
      <c r="P113" s="669"/>
      <c r="Q113" s="670"/>
      <c r="R113" s="670"/>
      <c r="S113" s="670"/>
      <c r="T113" s="670"/>
      <c r="U113" s="671"/>
      <c r="W113" s="669"/>
      <c r="X113" s="670"/>
      <c r="Y113" s="670"/>
      <c r="Z113" s="670"/>
      <c r="AA113" s="670"/>
      <c r="AB113" s="671"/>
      <c r="AD113" s="669"/>
      <c r="AE113" s="670"/>
      <c r="AF113" s="670"/>
      <c r="AG113" s="670"/>
      <c r="AH113" s="670"/>
      <c r="AI113" s="671"/>
      <c r="AK113" s="669"/>
      <c r="AL113" s="670"/>
      <c r="AM113" s="670"/>
      <c r="AN113" s="670"/>
      <c r="AO113" s="670"/>
      <c r="AP113" s="671"/>
    </row>
    <row r="114" spans="2:42" x14ac:dyDescent="0.25">
      <c r="B114" s="669"/>
      <c r="C114" s="670"/>
      <c r="D114" s="670"/>
      <c r="E114" s="670"/>
      <c r="F114" s="670"/>
      <c r="G114" s="671"/>
      <c r="I114" s="669"/>
      <c r="J114" s="670"/>
      <c r="K114" s="670"/>
      <c r="L114" s="670"/>
      <c r="M114" s="670"/>
      <c r="N114" s="671"/>
      <c r="P114" s="669"/>
      <c r="Q114" s="670"/>
      <c r="R114" s="670"/>
      <c r="S114" s="670"/>
      <c r="T114" s="670"/>
      <c r="U114" s="671"/>
      <c r="W114" s="669"/>
      <c r="X114" s="670"/>
      <c r="Y114" s="670"/>
      <c r="Z114" s="670"/>
      <c r="AA114" s="670"/>
      <c r="AB114" s="671"/>
      <c r="AD114" s="669"/>
      <c r="AE114" s="670"/>
      <c r="AF114" s="670"/>
      <c r="AG114" s="670"/>
      <c r="AH114" s="670"/>
      <c r="AI114" s="671"/>
      <c r="AK114" s="669"/>
      <c r="AL114" s="670"/>
      <c r="AM114" s="670"/>
      <c r="AN114" s="670"/>
      <c r="AO114" s="670"/>
      <c r="AP114" s="671"/>
    </row>
    <row r="115" spans="2:42" ht="13.8" thickBot="1" x14ac:dyDescent="0.3">
      <c r="B115" s="672"/>
      <c r="C115" s="673"/>
      <c r="D115" s="673"/>
      <c r="E115" s="673"/>
      <c r="F115" s="673"/>
      <c r="G115" s="674"/>
      <c r="I115" s="672"/>
      <c r="J115" s="673"/>
      <c r="K115" s="673"/>
      <c r="L115" s="673"/>
      <c r="M115" s="673"/>
      <c r="N115" s="674"/>
      <c r="P115" s="672"/>
      <c r="Q115" s="673"/>
      <c r="R115" s="673"/>
      <c r="S115" s="673"/>
      <c r="T115" s="673"/>
      <c r="U115" s="674"/>
      <c r="W115" s="672"/>
      <c r="X115" s="673"/>
      <c r="Y115" s="673"/>
      <c r="Z115" s="673"/>
      <c r="AA115" s="673"/>
      <c r="AB115" s="674"/>
      <c r="AD115" s="672"/>
      <c r="AE115" s="673"/>
      <c r="AF115" s="673"/>
      <c r="AG115" s="673"/>
      <c r="AH115" s="673"/>
      <c r="AI115" s="674"/>
      <c r="AK115" s="672"/>
      <c r="AL115" s="673"/>
      <c r="AM115" s="673"/>
      <c r="AN115" s="673"/>
      <c r="AO115" s="673"/>
      <c r="AP115" s="674"/>
    </row>
  </sheetData>
  <mergeCells count="6">
    <mergeCell ref="AK110:AP115"/>
    <mergeCell ref="B110:G115"/>
    <mergeCell ref="I110:N115"/>
    <mergeCell ref="P110:U115"/>
    <mergeCell ref="W110:AB115"/>
    <mergeCell ref="AD110:AI1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7935E4330C741961168552F0B6B29" ma:contentTypeVersion="15" ma:contentTypeDescription="Create a new document." ma:contentTypeScope="" ma:versionID="3c0014108a53d08018f4ea0d3480af49">
  <xsd:schema xmlns:xsd="http://www.w3.org/2001/XMLSchema" xmlns:xs="http://www.w3.org/2001/XMLSchema" xmlns:p="http://schemas.microsoft.com/office/2006/metadata/properties" xmlns:ns2="ad4533d6-bdea-4645-9570-fd22df110271" xmlns:ns3="1ae70799-0d70-4b12-8b56-98b16a28bfc2" targetNamespace="http://schemas.microsoft.com/office/2006/metadata/properties" ma:root="true" ma:fieldsID="6c8ecc1090d014dffe3851cadb461492" ns2:_="" ns3:_="">
    <xsd:import namespace="ad4533d6-bdea-4645-9570-fd22df110271"/>
    <xsd:import namespace="1ae70799-0d70-4b12-8b56-98b16a28b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533d6-bdea-4645-9570-fd22df110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bfcd883-4b63-4c6b-8b2e-5c5612006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70799-0d70-4b12-8b56-98b16a28bfc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f537da-6288-430b-a2f0-65308976a17a}" ma:internalName="TaxCatchAll" ma:showField="CatchAllData" ma:web="1ae70799-0d70-4b12-8b56-98b16a28b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e70799-0d70-4b12-8b56-98b16a28bfc2" xsi:nil="true"/>
    <lcf76f155ced4ddcb4097134ff3c332f xmlns="ad4533d6-bdea-4645-9570-fd22df1102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B4DA6E-2A9F-4134-B372-39157B2137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911459-7CDF-43B8-B2BE-E83C9A886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533d6-bdea-4645-9570-fd22df110271"/>
    <ds:schemaRef ds:uri="1ae70799-0d70-4b12-8b56-98b16a28b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85741A-5576-4E9C-B516-7E1174345F81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1ae70799-0d70-4b12-8b56-98b16a28bfc2"/>
    <ds:schemaRef ds:uri="ad4533d6-bdea-4645-9570-fd22df1102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CFS-Main Page</vt:lpstr>
      <vt:lpstr>Rent</vt:lpstr>
      <vt:lpstr>Sources &amp; Usage</vt:lpstr>
      <vt:lpstr>Loan</vt:lpstr>
      <vt:lpstr>Historical Analysis</vt:lpstr>
      <vt:lpstr>Rent Comp</vt:lpstr>
      <vt:lpstr>Quick Comps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ARSHEY MOHAN</dc:creator>
  <cp:keywords/>
  <dc:description/>
  <cp:lastModifiedBy>Kartik Singh Negi</cp:lastModifiedBy>
  <cp:revision/>
  <dcterms:created xsi:type="dcterms:W3CDTF">2015-06-05T18:17:20Z</dcterms:created>
  <dcterms:modified xsi:type="dcterms:W3CDTF">2026-04-17T21:30:41Z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0x010100A947935E4330C741961168552F0B6B29</vt:lpwstr>
  </property>
  <property fmtid="{D5CDD505-2E9C-101B-9397-08002B2CF9AE}" pid="3" name="MediaServiceImageTags">
    <vt:lpwstr/>
  </property>
</Properties>
</file>