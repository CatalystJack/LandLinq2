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gallagherandmohan-my.sharepoint.com/personal/ksnegi_gallaghermohan_com/Documents/Catalyst/Analyst Database/"/>
    </mc:Choice>
  </mc:AlternateContent>
  <xr:revisionPtr revIDLastSave="0" documentId="8_{EDA41774-586C-4E43-80E3-820B1A889C82}" xr6:coauthVersionLast="47" xr6:coauthVersionMax="47" xr10:uidLastSave="{00000000-0000-0000-0000-000000000000}"/>
  <bookViews>
    <workbookView xWindow="28680" yWindow="-120" windowWidth="29040" windowHeight="15720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39" l="1"/>
  <c r="S8" i="39"/>
  <c r="T8" i="39" s="1"/>
  <c r="S10" i="39"/>
  <c r="T10" i="39" s="1"/>
  <c r="R10" i="39"/>
  <c r="O10" i="39"/>
  <c r="S9" i="39"/>
  <c r="T9" i="39" s="1"/>
  <c r="R9" i="39"/>
  <c r="O9" i="39"/>
  <c r="R8" i="39"/>
  <c r="O8" i="39"/>
  <c r="R32" i="38"/>
  <c r="Q32" i="38"/>
  <c r="R23" i="38"/>
  <c r="Q23" i="38"/>
  <c r="M17" i="39"/>
  <c r="P69" i="35" l="1"/>
  <c r="P68" i="35"/>
  <c r="P67" i="35"/>
  <c r="N67" i="35"/>
  <c r="Q67" i="35" s="1"/>
  <c r="M69" i="35"/>
  <c r="M68" i="35"/>
  <c r="M67" i="35"/>
  <c r="G9" i="38"/>
  <c r="N69" i="35" s="1"/>
  <c r="Q69" i="35" s="1"/>
  <c r="G8" i="38"/>
  <c r="N68" i="35" s="1"/>
  <c r="G7" i="38"/>
  <c r="O32" i="38"/>
  <c r="S31" i="38"/>
  <c r="S30" i="38"/>
  <c r="S29" i="38"/>
  <c r="S28" i="38"/>
  <c r="S27" i="38"/>
  <c r="O23" i="38"/>
  <c r="S22" i="38"/>
  <c r="S21" i="38"/>
  <c r="S20" i="38"/>
  <c r="S19" i="38"/>
  <c r="S18" i="38"/>
  <c r="M56" i="39"/>
  <c r="M55" i="39"/>
  <c r="L54" i="39"/>
  <c r="Q68" i="35" l="1"/>
  <c r="Q70" i="35" s="1"/>
  <c r="N70" i="35"/>
  <c r="P70" i="35" s="1"/>
  <c r="S13" i="38"/>
  <c r="S12" i="38"/>
  <c r="S11" i="38"/>
  <c r="S10" i="38"/>
  <c r="S9" i="38"/>
  <c r="O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O70" i="35" l="1"/>
  <c r="F67" i="35" s="1"/>
  <c r="P29" i="38"/>
  <c r="P20" i="38"/>
  <c r="P28" i="38"/>
  <c r="S23" i="38"/>
  <c r="P19" i="38"/>
  <c r="P31" i="38"/>
  <c r="P22" i="38"/>
  <c r="P30" i="38"/>
  <c r="P27" i="38"/>
  <c r="P32" i="38" s="1"/>
  <c r="P18" i="38"/>
  <c r="P23" i="38" s="1"/>
  <c r="S32" i="38"/>
  <c r="P21" i="38"/>
  <c r="P11" i="38"/>
  <c r="P13" i="38"/>
  <c r="Q14" i="38"/>
  <c r="P9" i="38"/>
  <c r="P14" i="38" s="1"/>
  <c r="P10" i="38"/>
  <c r="P12" i="38"/>
  <c r="R14" i="38"/>
  <c r="M41" i="39"/>
  <c r="M35" i="39"/>
  <c r="S14" i="38" l="1"/>
  <c r="N37" i="35" l="1"/>
  <c r="G15" i="38" l="1"/>
  <c r="M29" i="39" l="1"/>
  <c r="M30" i="39"/>
  <c r="K52" i="39"/>
  <c r="M52" i="39" s="1"/>
  <c r="N52" i="39" s="1"/>
  <c r="D11" i="39"/>
  <c r="D70" i="35"/>
  <c r="D49" i="35"/>
  <c r="D46" i="35"/>
  <c r="D8" i="35"/>
  <c r="K57" i="39"/>
  <c r="M57" i="39" s="1"/>
  <c r="K50" i="39"/>
  <c r="M50" i="39" s="1"/>
  <c r="N50" i="39" s="1"/>
  <c r="K49" i="39"/>
  <c r="M49" i="39" s="1"/>
  <c r="N56" i="39"/>
  <c r="K54" i="39"/>
  <c r="M54" i="39" s="1"/>
  <c r="N54" i="39" s="1"/>
  <c r="K53" i="39"/>
  <c r="M53" i="39" s="1"/>
  <c r="N53" i="39" s="1"/>
  <c r="K51" i="39"/>
  <c r="M51" i="39" s="1"/>
  <c r="N51" i="39" s="1"/>
  <c r="N55" i="39"/>
  <c r="N43" i="39"/>
  <c r="M19" i="39"/>
  <c r="N19" i="39" s="1"/>
  <c r="N42" i="39"/>
  <c r="N35" i="39"/>
  <c r="N34" i="39"/>
  <c r="M44" i="39"/>
  <c r="M26" i="39"/>
  <c r="N40" i="39"/>
  <c r="N38" i="39"/>
  <c r="N18" i="39"/>
  <c r="N29" i="39"/>
  <c r="M20" i="39"/>
  <c r="N20" i="39" s="1"/>
  <c r="N41" i="39"/>
  <c r="N31" i="39"/>
  <c r="N39" i="39"/>
  <c r="N30" i="39"/>
  <c r="N36" i="39"/>
  <c r="N22" i="39"/>
  <c r="N37" i="39"/>
  <c r="N16" i="39"/>
  <c r="N28" i="39"/>
  <c r="N27" i="39"/>
  <c r="N21" i="39"/>
  <c r="N23" i="39"/>
  <c r="D61" i="35"/>
  <c r="G12" i="39"/>
  <c r="D54" i="35"/>
  <c r="D22" i="35"/>
  <c r="N49" i="39" l="1"/>
  <c r="M58" i="39"/>
  <c r="N58" i="39" s="1"/>
  <c r="D14" i="39" s="1"/>
  <c r="N57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G21" i="38"/>
  <c r="J21" i="38" s="1" a="1"/>
  <c r="J21" i="38" s="1"/>
  <c r="G20" i="38"/>
  <c r="I20" i="38" s="1" a="1"/>
  <c r="I20" i="38" s="1"/>
  <c r="G19" i="38"/>
  <c r="J19" i="38" s="1" a="1"/>
  <c r="J19" i="38" s="1"/>
  <c r="G18" i="38"/>
  <c r="J18" i="38" s="1" a="1"/>
  <c r="J18" i="38" s="1"/>
  <c r="G17" i="38"/>
  <c r="J17" i="38" s="1" a="1"/>
  <c r="J17" i="38" s="1"/>
  <c r="K14" i="38"/>
  <c r="K13" i="38"/>
  <c r="K12" i="38"/>
  <c r="K11" i="38"/>
  <c r="K10" i="38"/>
  <c r="K9" i="38"/>
  <c r="K8" i="38"/>
  <c r="K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J20" i="38" a="1"/>
  <c r="J20" i="38" s="1"/>
  <c r="K20" i="38" s="1"/>
  <c r="I18" i="38" a="1"/>
  <c r="I18" i="38" s="1"/>
  <c r="K18" i="38" s="1"/>
  <c r="I15" i="38"/>
  <c r="I21" i="38" a="1"/>
  <c r="I21" i="38" s="1"/>
  <c r="K21" i="38" s="1"/>
  <c r="I19" i="38" a="1"/>
  <c r="I19" i="38" s="1"/>
  <c r="K19" i="38" s="1"/>
  <c r="I17" i="38" a="1"/>
  <c r="I17" i="38" s="1"/>
  <c r="G22" i="38"/>
  <c r="H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H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H19" i="38"/>
  <c r="F41" i="35"/>
  <c r="F29" i="35"/>
  <c r="E64" i="35"/>
  <c r="F19" i="35"/>
  <c r="F56" i="35"/>
  <c r="F52" i="35"/>
  <c r="H21" i="38"/>
  <c r="H20" i="38"/>
  <c r="F42" i="35"/>
  <c r="F36" i="35"/>
  <c r="F20" i="35"/>
  <c r="H18" i="38"/>
  <c r="I22" i="38"/>
  <c r="K17" i="38"/>
  <c r="J22" i="38"/>
  <c r="E78" i="35"/>
  <c r="J15" i="38" l="1"/>
  <c r="V39" i="35" s="1"/>
  <c r="K22" i="38"/>
  <c r="F64" i="35"/>
  <c r="F78" i="35"/>
  <c r="H22" i="38"/>
  <c r="D9" i="39" l="1"/>
  <c r="K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<sst xmlns="http://schemas.openxmlformats.org/spreadsheetml/2006/main" count="914" uniqueCount="472">
  <si>
    <t>Global Assumptions</t>
  </si>
  <si>
    <t>Property Name</t>
  </si>
  <si>
    <t>5527 Farrington Rd</t>
  </si>
  <si>
    <t>Project Type</t>
  </si>
  <si>
    <t>3-Story Walk-Up</t>
  </si>
  <si>
    <t>Market</t>
  </si>
  <si>
    <t>Raleigh-Durham</t>
  </si>
  <si>
    <t>Submarket</t>
  </si>
  <si>
    <t>Southwest Durham</t>
  </si>
  <si>
    <t>Address</t>
  </si>
  <si>
    <t>City, State</t>
  </si>
  <si>
    <t>Chapel Hill, NC</t>
  </si>
  <si>
    <t>ZIP Code</t>
  </si>
  <si>
    <t>County</t>
  </si>
  <si>
    <t>Durham</t>
  </si>
  <si>
    <t>Circuit Breaker</t>
  </si>
  <si>
    <t>Off</t>
  </si>
  <si>
    <t>Underwriting Notes &amp; Assumptions</t>
  </si>
  <si>
    <t>Rent Comps</t>
  </si>
  <si>
    <t>1. Rent comps were not available on HelloData. We have used Zillow to extract rent comps.</t>
  </si>
  <si>
    <t>Expenses</t>
  </si>
  <si>
    <t>1. We have changed the Impact Fees assumption to $6750/unit as per the new prompt shared by Austin. We have used Gemini as we had the Pro subscription for it.</t>
  </si>
  <si>
    <t>2. We have taken the BTR ( Non - Costal) assumption for Insurance costs.</t>
  </si>
  <si>
    <t>Taxes</t>
  </si>
  <si>
    <t>1. We have taken the millage rate of our parcels as per the 2025 Tax bill.</t>
  </si>
  <si>
    <t>2. Our parcel comes under Special district (DCFR) which allows it to be charged lower taxes compared to the comps.</t>
  </si>
  <si>
    <t>Land Costs</t>
  </si>
  <si>
    <t>1. We've taken the total Land costs as $5 MM as mentioned in the Broker Notes ($4.5M-$5M) on Landlinq.</t>
  </si>
  <si>
    <t>Question to the team Catalyst</t>
  </si>
  <si>
    <t>Unit Mix (Vetting Model Only)</t>
  </si>
  <si>
    <t>Total Units</t>
  </si>
  <si>
    <t>Floorplan</t>
  </si>
  <si>
    <t>Type</t>
  </si>
  <si>
    <t>Box Size</t>
  </si>
  <si>
    <t>Garage</t>
  </si>
  <si>
    <t>Story</t>
  </si>
  <si>
    <t>#</t>
  </si>
  <si>
    <t>%</t>
  </si>
  <si>
    <t xml:space="preserve">SF </t>
  </si>
  <si>
    <t xml:space="preserve">$ </t>
  </si>
  <si>
    <t>PSF</t>
  </si>
  <si>
    <t>2 BR / 2.5 BA</t>
  </si>
  <si>
    <t>Townhouse</t>
  </si>
  <si>
    <t>20 x 33</t>
  </si>
  <si>
    <t>1) 5101 Marcella Ct</t>
  </si>
  <si>
    <t>3 BR / 3.5 BA</t>
  </si>
  <si>
    <t>20 x 36</t>
  </si>
  <si>
    <t>SF</t>
  </si>
  <si>
    <t>Rent</t>
  </si>
  <si>
    <t>Rent PSF</t>
  </si>
  <si>
    <t>Townhome</t>
  </si>
  <si>
    <t>4 BR / 3.5 BA</t>
  </si>
  <si>
    <t>20 x 40</t>
  </si>
  <si>
    <t>Studio</t>
  </si>
  <si>
    <t>Year Built</t>
  </si>
  <si>
    <t>1 BR</t>
  </si>
  <si>
    <t>Vacancy</t>
  </si>
  <si>
    <t>2 BR</t>
  </si>
  <si>
    <t>Developer</t>
  </si>
  <si>
    <t>3 BR</t>
  </si>
  <si>
    <t>Owner</t>
  </si>
  <si>
    <t>MORROW MATTHEW P</t>
  </si>
  <si>
    <t>TH</t>
  </si>
  <si>
    <t>Link to Website</t>
  </si>
  <si>
    <t>Link</t>
  </si>
  <si>
    <t>Total</t>
  </si>
  <si>
    <t>2) 1213 Bradburn Dr</t>
  </si>
  <si>
    <t>1 Bedroom</t>
  </si>
  <si>
    <t>2 Bedroom</t>
  </si>
  <si>
    <t>3 Bedroom</t>
  </si>
  <si>
    <t>SAVAGE WILLIAM H SAVAGE HELEN P</t>
  </si>
  <si>
    <t>3) 1013 Regalia Rd</t>
  </si>
  <si>
    <t>KAUR TARINDER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</si>
  <si>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</si>
  <si>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</si>
  <si>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</si>
  <si>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</si>
  <si>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</si>
  <si>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</si>
  <si>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</si>
  <si>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</si>
  <si>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</si>
  <si>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</si>
  <si>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</si>
  <si>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</si>
  <si>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</si>
  <si>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</si>
  <si>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</si>
  <si>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</si>
  <si>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</si>
  <si>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</si>
  <si>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</si>
  <si>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</si>
  <si>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</si>
  <si>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</si>
  <si>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</si>
  <si>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</si>
  <si>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</si>
  <si>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</si>
  <si>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</si>
  <si>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</si>
  <si>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</si>
  <si>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</si>
  <si>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</si>
  <si>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</si>
  <si>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</si>
  <si>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</si>
  <si>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</si>
  <si>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</si>
  <si>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</si>
  <si>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</si>
  <si>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</si>
  <si>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</si>
  <si>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</si>
  <si>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</si>
  <si>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</si>
  <si>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</si>
  <si>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</si>
  <si>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</si>
  <si>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</si>
  <si>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</si>
  <si>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</si>
  <si>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</si>
  <si>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</si>
  <si>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</si>
  <si>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</si>
  <si>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</si>
  <si>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</si>
  <si>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</si>
  <si>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</si>
  <si>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</si>
  <si>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</si>
  <si>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</si>
  <si>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</si>
  <si>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</si>
  <si>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</si>
  <si>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</si>
  <si>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</si>
  <si>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</si>
  <si>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</si>
  <si>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</si>
  <si>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</si>
  <si>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</si>
  <si>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</si>
  <si>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</si>
  <si>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</si>
  <si>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</si>
  <si>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</si>
  <si>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</si>
  <si>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</si>
  <si>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</si>
  <si>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</si>
  <si>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</si>
  <si>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</si>
  <si>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</si>
  <si>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</si>
  <si>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</si>
  <si>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</si>
  <si>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</si>
  <si>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</si>
  <si>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</si>
  <si>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</si>
  <si>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</si>
  <si>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</si>
  <si>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</si>
  <si>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</si>
  <si>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</si>
  <si>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</si>
  <si>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</si>
  <si>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</si>
  <si>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</si>
  <si>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Vertical Pricing:</t>
  </si>
  <si>
    <t>Per SF</t>
  </si>
  <si>
    <t>Construction Costs</t>
  </si>
  <si>
    <t>Cost Escalation</t>
  </si>
  <si>
    <t>Offsite Improvements</t>
  </si>
  <si>
    <t>Sitework</t>
  </si>
  <si>
    <t>Total / Average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</si>
  <si>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</si>
  <si>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</si>
  <si>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</si>
  <si>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</si>
  <si>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</si>
  <si>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</si>
  <si>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</si>
  <si>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</si>
  <si>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</si>
  <si>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</si>
  <si>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</si>
  <si>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</si>
  <si>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</si>
  <si>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</si>
  <si>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</si>
  <si>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</si>
  <si>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</si>
  <si>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</si>
  <si>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</si>
  <si>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</si>
  <si>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</si>
  <si>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</si>
  <si>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</si>
  <si>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</si>
  <si>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</si>
  <si>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</si>
  <si>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</si>
  <si>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</si>
  <si>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</si>
  <si>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1013 Regalia Rd</t>
  </si>
  <si>
    <t>Gross Potential Rent</t>
  </si>
  <si>
    <t>Assessed Value / Unit</t>
  </si>
  <si>
    <t>1213 Bradburn Dr</t>
  </si>
  <si>
    <t>Concessions</t>
  </si>
  <si>
    <t>5101 Marcella Ct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</si>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</sst>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  <numFmt numFmtId="181" formatCode="0.00000%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7"/>
      <color rgb="FF373A3C"/>
      <name val="Segoe UI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90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165" fontId="7" fillId="0" borderId="0" xfId="2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0" fontId="3" fillId="0" borderId="2" xfId="0" applyFont="1" applyBorder="1"/>
    <xf numFmtId="3" fontId="3" fillId="0" borderId="2" xfId="0" applyNumberFormat="1" applyFont="1" applyBorder="1" applyAlignment="1">
      <alignment horizontal="center"/>
    </xf>
    <xf numFmtId="169" fontId="3" fillId="0" borderId="2" xfId="0" applyNumberFormat="1" applyFont="1" applyBorder="1" applyAlignment="1">
      <alignment horizontal="center"/>
    </xf>
    <xf numFmtId="164" fontId="7" fillId="11" borderId="0" xfId="1" applyNumberFormat="1" applyFont="1" applyFill="1"/>
    <xf numFmtId="0" fontId="24" fillId="10" borderId="0" xfId="3" applyFill="1" applyAlignment="1">
      <alignment horizontal="center"/>
    </xf>
    <xf numFmtId="0" fontId="24" fillId="7" borderId="13" xfId="3" applyFill="1" applyBorder="1" applyAlignment="1">
      <alignment horizontal="left"/>
    </xf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0" fillId="0" borderId="18" xfId="0" applyBorder="1"/>
    <xf numFmtId="0" fontId="0" fillId="0" borderId="19" xfId="0" applyBorder="1"/>
    <xf numFmtId="0" fontId="3" fillId="2" borderId="18" xfId="0" applyFont="1" applyFill="1" applyBorder="1"/>
    <xf numFmtId="0" fontId="3" fillId="2" borderId="0" xfId="0" applyFont="1" applyFill="1"/>
    <xf numFmtId="0" fontId="3" fillId="2" borderId="19" xfId="0" applyFont="1" applyFill="1" applyBorder="1"/>
    <xf numFmtId="0" fontId="0" fillId="0" borderId="18" xfId="0" applyBorder="1" applyAlignment="1">
      <alignment horizontal="left" indent="1"/>
    </xf>
    <xf numFmtId="0" fontId="3" fillId="12" borderId="18" xfId="0" applyFont="1" applyFill="1" applyBorder="1" applyAlignment="1">
      <alignment horizontal="left" indent="1"/>
    </xf>
    <xf numFmtId="0" fontId="0" fillId="12" borderId="18" xfId="0" applyFill="1" applyBorder="1" applyAlignment="1">
      <alignment horizontal="left" indent="1"/>
    </xf>
    <xf numFmtId="0" fontId="3" fillId="0" borderId="18" xfId="0" applyFont="1" applyBorder="1" applyAlignment="1">
      <alignment horizontal="left" indent="1"/>
    </xf>
    <xf numFmtId="0" fontId="0" fillId="12" borderId="20" xfId="0" applyFill="1" applyBorder="1" applyAlignment="1">
      <alignment horizontal="left" indent="1"/>
    </xf>
    <xf numFmtId="0" fontId="0" fillId="0" borderId="21" xfId="0" applyBorder="1"/>
    <xf numFmtId="1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81" fontId="7" fillId="12" borderId="0" xfId="2" applyNumberFormat="1" applyFont="1" applyFill="1" applyAlignment="1">
      <alignment horizontal="center"/>
    </xf>
    <xf numFmtId="0" fontId="24" fillId="0" borderId="0" xfId="3"/>
    <xf numFmtId="0" fontId="25" fillId="0" borderId="0" xfId="0" applyFont="1"/>
    <xf numFmtId="0" fontId="25" fillId="0" borderId="0" xfId="0" applyFont="1" applyAlignment="1">
      <alignment horizontal="left"/>
    </xf>
    <xf numFmtId="181" fontId="0" fillId="0" borderId="0" xfId="2" applyNumberFormat="1" applyFont="1" applyAlignment="1">
      <alignment horizontal="center"/>
    </xf>
    <xf numFmtId="0" fontId="24" fillId="10" borderId="8" xfId="3" applyFill="1" applyBorder="1" applyAlignment="1">
      <alignment horizontal="center"/>
    </xf>
    <xf numFmtId="0" fontId="26" fillId="0" borderId="0" xfId="0" applyFont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illow.com/homedetails/1213-Bradburn-Dr-Durham-NC-27713/305927743_zpid/" TargetMode="External"/><Relationship Id="rId2" Type="http://schemas.openxmlformats.org/officeDocument/2006/relationships/hyperlink" Target="https://www.zillow.com/homedetails/1013-Regalia-Rd-Durham-NC-27713/452816974_zpid/" TargetMode="External"/><Relationship Id="rId1" Type="http://schemas.openxmlformats.org/officeDocument/2006/relationships/hyperlink" Target="https://www.zillow.com/homedetails/5101-Marcella-Ct-Durham-NC-27707/70921232_zpid/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roperty.spatialest.com/nc/durham-tax/" TargetMode="External"/><Relationship Id="rId2" Type="http://schemas.openxmlformats.org/officeDocument/2006/relationships/hyperlink" Target="https://property.spatialest.com/nc/durham-tax/" TargetMode="External"/><Relationship Id="rId1" Type="http://schemas.openxmlformats.org/officeDocument/2006/relationships/hyperlink" Target="https://property.spatialest.com/nc/durham-tax/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R34"/>
  <sheetViews>
    <sheetView showGridLines="0" tabSelected="1" zoomScale="90" zoomScaleNormal="90" workbookViewId="0">
      <selection activeCell="B5" sqref="B5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3" s="142" customFormat="1" ht="25.9">
      <c r="A1" s="145" t="str">
        <f>TEXT(C7,"")</f>
        <v>5527 Farrington Rd</v>
      </c>
    </row>
    <row r="2" spans="1:3" s="142" customFormat="1" ht="19.899999999999999">
      <c r="A2" s="146" t="s">
        <v>0</v>
      </c>
    </row>
    <row r="6" spans="1:3">
      <c r="B6" s="123" t="s">
        <v>0</v>
      </c>
      <c r="C6" s="163"/>
    </row>
    <row r="7" spans="1:3">
      <c r="B7" s="56" t="s">
        <v>1</v>
      </c>
      <c r="C7" s="164" t="s">
        <v>2</v>
      </c>
    </row>
    <row r="8" spans="1:3">
      <c r="B8" s="56" t="s">
        <v>3</v>
      </c>
      <c r="C8" s="164" t="s">
        <v>4</v>
      </c>
    </row>
    <row r="9" spans="1:3">
      <c r="B9" s="56" t="s">
        <v>5</v>
      </c>
      <c r="C9" s="164" t="s">
        <v>6</v>
      </c>
    </row>
    <row r="10" spans="1:3">
      <c r="B10" s="56" t="s">
        <v>7</v>
      </c>
      <c r="C10" s="164" t="s">
        <v>8</v>
      </c>
    </row>
    <row r="11" spans="1:3">
      <c r="B11" s="56" t="s">
        <v>9</v>
      </c>
      <c r="C11" s="164" t="s">
        <v>2</v>
      </c>
    </row>
    <row r="12" spans="1:3">
      <c r="B12" s="56" t="s">
        <v>10</v>
      </c>
      <c r="C12" s="164" t="s">
        <v>11</v>
      </c>
    </row>
    <row r="13" spans="1:3">
      <c r="B13" s="56" t="s">
        <v>12</v>
      </c>
      <c r="C13" s="164">
        <v>27517</v>
      </c>
    </row>
    <row r="14" spans="1:3">
      <c r="B14" s="56" t="s">
        <v>13</v>
      </c>
      <c r="C14" s="164" t="s">
        <v>14</v>
      </c>
    </row>
    <row r="15" spans="1:3">
      <c r="B15" s="56"/>
      <c r="C15" s="57"/>
    </row>
    <row r="16" spans="1:3">
      <c r="B16" s="59" t="s">
        <v>15</v>
      </c>
      <c r="C16" s="165" t="s">
        <v>16</v>
      </c>
    </row>
    <row r="18" spans="2:18" ht="15" thickBot="1"/>
    <row r="19" spans="2:18">
      <c r="B19" s="267" t="s">
        <v>17</v>
      </c>
      <c r="C19" s="268"/>
      <c r="D19" s="268"/>
      <c r="E19" s="268"/>
      <c r="F19" s="268"/>
      <c r="G19" s="268"/>
      <c r="H19" s="268"/>
      <c r="I19" s="268"/>
      <c r="J19" s="268"/>
      <c r="K19" s="268"/>
      <c r="L19" s="268"/>
      <c r="M19" s="268"/>
      <c r="N19" s="268"/>
      <c r="O19" s="268"/>
      <c r="P19" s="268"/>
      <c r="Q19" s="268"/>
      <c r="R19" s="269"/>
    </row>
    <row r="20" spans="2:18">
      <c r="B20" s="270"/>
      <c r="R20" s="271"/>
    </row>
    <row r="21" spans="2:18">
      <c r="B21" s="272" t="s">
        <v>18</v>
      </c>
      <c r="C21" s="273"/>
      <c r="D21" s="273"/>
      <c r="E21" s="273"/>
      <c r="F21" s="273"/>
      <c r="G21" s="273"/>
      <c r="H21" s="273"/>
      <c r="I21" s="273"/>
      <c r="J21" s="273"/>
      <c r="K21" s="273"/>
      <c r="L21" s="273"/>
      <c r="M21" s="273"/>
      <c r="N21" s="273"/>
      <c r="O21" s="273"/>
      <c r="P21" s="273"/>
      <c r="Q21" s="273"/>
      <c r="R21" s="274"/>
    </row>
    <row r="22" spans="2:18">
      <c r="B22" s="275" t="s">
        <v>19</v>
      </c>
      <c r="R22" s="271"/>
    </row>
    <row r="23" spans="2:18">
      <c r="B23" s="276" t="s">
        <v>20</v>
      </c>
      <c r="R23" s="271"/>
    </row>
    <row r="24" spans="2:18">
      <c r="B24" s="277" t="s">
        <v>21</v>
      </c>
      <c r="R24" s="271"/>
    </row>
    <row r="25" spans="2:18">
      <c r="B25" s="277" t="s">
        <v>22</v>
      </c>
      <c r="R25" s="271"/>
    </row>
    <row r="26" spans="2:18">
      <c r="B26" s="278" t="s">
        <v>23</v>
      </c>
      <c r="R26" s="271"/>
    </row>
    <row r="27" spans="2:18">
      <c r="B27" s="277" t="s">
        <v>24</v>
      </c>
      <c r="R27" s="271"/>
    </row>
    <row r="28" spans="2:18">
      <c r="B28" s="275" t="s">
        <v>25</v>
      </c>
      <c r="R28" s="271"/>
    </row>
    <row r="29" spans="2:18">
      <c r="B29" s="278" t="s">
        <v>26</v>
      </c>
      <c r="R29" s="271"/>
    </row>
    <row r="30" spans="2:18">
      <c r="B30" s="275" t="s">
        <v>27</v>
      </c>
      <c r="R30" s="271"/>
    </row>
    <row r="31" spans="2:18">
      <c r="B31" s="275"/>
      <c r="R31" s="271"/>
    </row>
    <row r="32" spans="2:18">
      <c r="B32" s="272" t="s">
        <v>28</v>
      </c>
      <c r="C32" s="273"/>
      <c r="D32" s="273"/>
      <c r="E32" s="273"/>
      <c r="F32" s="273"/>
      <c r="G32" s="273"/>
      <c r="H32" s="273"/>
      <c r="I32" s="273"/>
      <c r="J32" s="273"/>
      <c r="K32" s="273"/>
      <c r="L32" s="273"/>
      <c r="M32" s="273"/>
      <c r="N32" s="273"/>
      <c r="O32" s="273"/>
      <c r="P32" s="273"/>
      <c r="Q32" s="273"/>
      <c r="R32" s="274"/>
    </row>
    <row r="33" spans="2:18">
      <c r="B33" s="275"/>
      <c r="R33" s="271"/>
    </row>
    <row r="34" spans="2:18" ht="15" thickBot="1">
      <c r="B34" s="27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80"/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V35"/>
  <sheetViews>
    <sheetView showGridLines="0" zoomScale="90" zoomScaleNormal="90" workbookViewId="0">
      <pane ySplit="6" topLeftCell="A7" activePane="bottomLeft" state="frozen"/>
      <selection pane="bottomLeft" activeCell="B5" sqref="B5"/>
      <selection activeCell="B5" sqref="B5"/>
    </sheetView>
  </sheetViews>
  <sheetFormatPr defaultColWidth="9.140625" defaultRowHeight="14.45"/>
  <cols>
    <col min="1" max="1" width="1.7109375" customWidth="1"/>
    <col min="2" max="2" width="12.7109375" style="208" customWidth="1"/>
    <col min="3" max="11" width="12.7109375" customWidth="1"/>
    <col min="12" max="13" width="1.7109375" customWidth="1"/>
    <col min="14" max="19" width="10.7109375" customWidth="1"/>
    <col min="20" max="20" width="1.7109375" customWidth="1"/>
    <col min="21" max="21" width="15.7109375" style="208" customWidth="1"/>
    <col min="22" max="22" width="32.7109375" style="208" bestFit="1" customWidth="1"/>
  </cols>
  <sheetData>
    <row r="1" spans="1:22" s="142" customFormat="1" ht="25.9">
      <c r="A1" s="145" t="str">
        <f>TEXT(Global!$C$7,"")</f>
        <v>5527 Farrington Rd</v>
      </c>
      <c r="B1" s="205"/>
      <c r="U1" s="205"/>
      <c r="V1" s="205"/>
    </row>
    <row r="2" spans="1:22" s="142" customFormat="1" ht="19.899999999999999">
      <c r="A2" s="146" t="s">
        <v>29</v>
      </c>
      <c r="B2" s="205"/>
      <c r="U2" s="205"/>
      <c r="V2" s="205"/>
    </row>
    <row r="4" spans="1:22">
      <c r="B4" s="227" t="s">
        <v>30</v>
      </c>
      <c r="C4" s="252"/>
      <c r="D4" s="252"/>
      <c r="E4" s="252"/>
      <c r="F4" s="252"/>
      <c r="G4" s="253">
        <v>100</v>
      </c>
    </row>
    <row r="6" spans="1:22">
      <c r="B6" s="206" t="s">
        <v>31</v>
      </c>
      <c r="C6" s="156" t="s">
        <v>32</v>
      </c>
      <c r="D6" s="156" t="s">
        <v>33</v>
      </c>
      <c r="E6" s="156" t="s">
        <v>34</v>
      </c>
      <c r="F6" s="156" t="s">
        <v>35</v>
      </c>
      <c r="G6" s="156" t="s">
        <v>36</v>
      </c>
      <c r="H6" s="156" t="s">
        <v>37</v>
      </c>
      <c r="I6" s="156" t="s">
        <v>38</v>
      </c>
      <c r="J6" s="156" t="s">
        <v>39</v>
      </c>
      <c r="K6" s="157" t="s">
        <v>40</v>
      </c>
    </row>
    <row r="7" spans="1:22">
      <c r="B7" s="257" t="s">
        <v>41</v>
      </c>
      <c r="C7" s="24" t="s">
        <v>42</v>
      </c>
      <c r="D7" s="24" t="s">
        <v>43</v>
      </c>
      <c r="E7" s="24">
        <v>2</v>
      </c>
      <c r="F7" s="24">
        <v>3</v>
      </c>
      <c r="G7" s="251">
        <f>ROUND($G$4*$H7,0)</f>
        <v>0</v>
      </c>
      <c r="H7" s="256">
        <v>0</v>
      </c>
      <c r="I7" s="32">
        <v>1450</v>
      </c>
      <c r="J7" s="237">
        <v>0</v>
      </c>
      <c r="K7" s="148">
        <f>IFERROR(J7/I7,0)</f>
        <v>0</v>
      </c>
      <c r="N7" s="140" t="s">
        <v>44</v>
      </c>
      <c r="O7" s="170"/>
      <c r="P7" s="170"/>
      <c r="Q7" s="170"/>
      <c r="R7" s="170"/>
      <c r="S7" s="141"/>
    </row>
    <row r="8" spans="1:22">
      <c r="B8" s="257" t="s">
        <v>45</v>
      </c>
      <c r="C8" s="24" t="s">
        <v>42</v>
      </c>
      <c r="D8" s="24" t="s">
        <v>46</v>
      </c>
      <c r="E8" s="24">
        <v>2</v>
      </c>
      <c r="F8" s="24">
        <v>3</v>
      </c>
      <c r="G8" s="251">
        <f>ROUND($G$4*$H8,0)</f>
        <v>65</v>
      </c>
      <c r="H8" s="256">
        <v>0.65</v>
      </c>
      <c r="I8" s="32">
        <v>1659</v>
      </c>
      <c r="J8" s="237">
        <v>2370</v>
      </c>
      <c r="K8" s="148">
        <f t="shared" ref="K8:K14" si="0">IFERROR(J8/I8,0)</f>
        <v>1.4285714285714286</v>
      </c>
      <c r="N8" s="211" t="s">
        <v>32</v>
      </c>
      <c r="O8" s="212" t="s">
        <v>36</v>
      </c>
      <c r="P8" s="212" t="s">
        <v>37</v>
      </c>
      <c r="Q8" s="212" t="s">
        <v>47</v>
      </c>
      <c r="R8" s="212" t="s">
        <v>48</v>
      </c>
      <c r="S8" s="213" t="s">
        <v>49</v>
      </c>
      <c r="U8" s="218" t="s">
        <v>32</v>
      </c>
      <c r="V8" s="220" t="s">
        <v>50</v>
      </c>
    </row>
    <row r="9" spans="1:22">
      <c r="B9" s="257" t="s">
        <v>51</v>
      </c>
      <c r="C9" s="24" t="s">
        <v>42</v>
      </c>
      <c r="D9" s="24" t="s">
        <v>52</v>
      </c>
      <c r="E9" s="24">
        <v>2</v>
      </c>
      <c r="F9" s="24">
        <v>3</v>
      </c>
      <c r="G9" s="251">
        <f>ROUND($G$4*$H9,0)</f>
        <v>35</v>
      </c>
      <c r="H9" s="256">
        <v>0.35</v>
      </c>
      <c r="I9" s="32">
        <v>1996</v>
      </c>
      <c r="J9" s="237">
        <v>2800</v>
      </c>
      <c r="K9" s="148">
        <f t="shared" si="0"/>
        <v>1.402805611222445</v>
      </c>
      <c r="N9" s="56" t="s">
        <v>53</v>
      </c>
      <c r="O9" s="235"/>
      <c r="P9" s="204" t="e">
        <f>O9/$O$14</f>
        <v>#DIV/0!</v>
      </c>
      <c r="Q9" s="236"/>
      <c r="R9" s="237"/>
      <c r="S9" s="216" t="str">
        <f>IFERROR(R9/Q9,"-")</f>
        <v>-</v>
      </c>
      <c r="U9" s="193" t="s">
        <v>54</v>
      </c>
      <c r="V9" s="221">
        <v>2005</v>
      </c>
    </row>
    <row r="10" spans="1:22">
      <c r="B10" s="257"/>
      <c r="C10" s="24"/>
      <c r="D10" s="24"/>
      <c r="E10" s="24"/>
      <c r="F10" s="24"/>
      <c r="G10" s="251"/>
      <c r="H10" s="256"/>
      <c r="I10" s="32"/>
      <c r="J10" s="237"/>
      <c r="K10" s="148">
        <f t="shared" si="0"/>
        <v>0</v>
      </c>
      <c r="N10" s="56" t="s">
        <v>55</v>
      </c>
      <c r="O10" s="235"/>
      <c r="P10" s="204" t="e">
        <f t="shared" ref="P10:P13" si="1">O10/$O$14</f>
        <v>#DIV/0!</v>
      </c>
      <c r="Q10" s="236"/>
      <c r="R10" s="237"/>
      <c r="S10" s="216" t="str">
        <f t="shared" ref="S10:S14" si="2">IFERROR(R10/Q10,"-")</f>
        <v>-</v>
      </c>
      <c r="U10" s="193" t="s">
        <v>56</v>
      </c>
      <c r="V10" s="222"/>
    </row>
    <row r="11" spans="1:22">
      <c r="B11" s="257"/>
      <c r="C11" s="24"/>
      <c r="D11" s="24"/>
      <c r="E11" s="24"/>
      <c r="F11" s="24"/>
      <c r="G11" s="251"/>
      <c r="H11" s="256"/>
      <c r="I11" s="32"/>
      <c r="J11" s="237"/>
      <c r="K11" s="148">
        <f t="shared" si="0"/>
        <v>0</v>
      </c>
      <c r="N11" s="56" t="s">
        <v>57</v>
      </c>
      <c r="O11" s="235"/>
      <c r="P11" s="204" t="e">
        <f t="shared" si="1"/>
        <v>#DIV/0!</v>
      </c>
      <c r="Q11" s="236"/>
      <c r="R11" s="237"/>
      <c r="S11" s="216" t="str">
        <f t="shared" si="2"/>
        <v>-</v>
      </c>
      <c r="U11" s="193" t="s">
        <v>58</v>
      </c>
      <c r="V11" s="221"/>
    </row>
    <row r="12" spans="1:22" ht="15" customHeight="1">
      <c r="B12" s="257"/>
      <c r="C12" s="24"/>
      <c r="D12" s="24"/>
      <c r="E12" s="24"/>
      <c r="F12" s="24"/>
      <c r="G12" s="251"/>
      <c r="H12" s="256"/>
      <c r="I12" s="32"/>
      <c r="J12" s="237"/>
      <c r="K12" s="148">
        <f t="shared" si="0"/>
        <v>0</v>
      </c>
      <c r="N12" s="56" t="s">
        <v>59</v>
      </c>
      <c r="O12" s="235"/>
      <c r="P12" s="204" t="e">
        <f t="shared" si="1"/>
        <v>#DIV/0!</v>
      </c>
      <c r="Q12" s="236">
        <v>2226</v>
      </c>
      <c r="R12" s="237">
        <v>2495</v>
      </c>
      <c r="S12" s="216">
        <f t="shared" si="2"/>
        <v>1.1208445642407907</v>
      </c>
      <c r="U12" s="193" t="s">
        <v>60</v>
      </c>
      <c r="V12" s="221" t="s">
        <v>61</v>
      </c>
    </row>
    <row r="13" spans="1:22" ht="15" customHeight="1">
      <c r="B13" s="257"/>
      <c r="C13" s="24"/>
      <c r="D13" s="24"/>
      <c r="E13" s="24"/>
      <c r="F13" s="24"/>
      <c r="G13" s="251"/>
      <c r="H13" s="256"/>
      <c r="I13" s="32"/>
      <c r="J13" s="237"/>
      <c r="K13" s="148">
        <f t="shared" si="0"/>
        <v>0</v>
      </c>
      <c r="N13" s="56" t="s">
        <v>62</v>
      </c>
      <c r="O13" s="235"/>
      <c r="P13" s="204" t="e">
        <f t="shared" si="1"/>
        <v>#DIV/0!</v>
      </c>
      <c r="Q13" s="236"/>
      <c r="R13" s="237"/>
      <c r="S13" s="216" t="str">
        <f t="shared" si="2"/>
        <v>-</v>
      </c>
      <c r="U13" s="219" t="s">
        <v>63</v>
      </c>
      <c r="V13" s="266" t="s">
        <v>64</v>
      </c>
    </row>
    <row r="14" spans="1:22" ht="15" customHeight="1">
      <c r="B14" s="257"/>
      <c r="C14" s="24"/>
      <c r="D14" s="24"/>
      <c r="E14" s="24"/>
      <c r="F14" s="24"/>
      <c r="G14" s="251"/>
      <c r="H14" s="256"/>
      <c r="I14" s="32"/>
      <c r="J14" s="237"/>
      <c r="K14" s="148">
        <f t="shared" si="0"/>
        <v>0</v>
      </c>
      <c r="N14" s="126" t="s">
        <v>65</v>
      </c>
      <c r="O14" s="214">
        <f>SUM(O9:O13)</f>
        <v>0</v>
      </c>
      <c r="P14" s="215" t="e">
        <f>SUM(P9:P13)</f>
        <v>#DIV/0!</v>
      </c>
      <c r="Q14" s="127" t="e">
        <f>SUMPRODUCT(Q9:Q13,O9:O13)/O14</f>
        <v>#DIV/0!</v>
      </c>
      <c r="R14" s="128" t="e">
        <f>SUMPRODUCT(R9:R13,$O$9:$O$13)/$O$14</f>
        <v>#DIV/0!</v>
      </c>
      <c r="S14" s="217" t="str">
        <f t="shared" si="2"/>
        <v>-</v>
      </c>
    </row>
    <row r="15" spans="1:22" ht="15" customHeight="1">
      <c r="B15" s="207" t="s">
        <v>65</v>
      </c>
      <c r="C15" s="22"/>
      <c r="D15" s="22"/>
      <c r="E15" s="22"/>
      <c r="F15" s="22"/>
      <c r="G15" s="149">
        <f>+SUM(G7:G14)</f>
        <v>100</v>
      </c>
      <c r="H15" s="150">
        <f>+SUM(H7:H14)</f>
        <v>1</v>
      </c>
      <c r="I15" s="149">
        <f>IFERROR(SUMPRODUCT(I7:I14,G7:G14)/G15,0)</f>
        <v>1776.95</v>
      </c>
      <c r="J15" s="151">
        <f>IFERROR(SUMPRODUCT(J7:J14,H7:H14)/H15,0)</f>
        <v>2520.5</v>
      </c>
      <c r="K15" s="152">
        <f>IFERROR(J15/I15,0)</f>
        <v>1.4184417119221138</v>
      </c>
    </row>
    <row r="16" spans="1:22">
      <c r="N16" s="140" t="s">
        <v>66</v>
      </c>
      <c r="O16" s="170"/>
      <c r="P16" s="170"/>
      <c r="Q16" s="170"/>
      <c r="R16" s="170"/>
      <c r="S16" s="141"/>
    </row>
    <row r="17" spans="2:22">
      <c r="B17" s="209" t="s">
        <v>53</v>
      </c>
      <c r="C17" s="3"/>
      <c r="D17" s="3"/>
      <c r="E17" s="3"/>
      <c r="F17" s="3"/>
      <c r="G17" s="153">
        <f>SUMIF($C$7:$C$14,$B17,G$7:G$14)</f>
        <v>0</v>
      </c>
      <c r="H17" s="99">
        <f>IFERROR(G17/G$22,0)</f>
        <v>0</v>
      </c>
      <c r="I17" s="153" cm="1">
        <f t="array" ref="I17">IFERROR(SUMPRODUCT(($C$7:$C$14=$B17)*($G$7:$G$14)*($I$7:$I$14))/$G17,0)</f>
        <v>0</v>
      </c>
      <c r="J17" s="35" cm="1">
        <f t="array" ref="J17">IFERROR(SUMPRODUCT(($C$7:$C$14=$B17)*($G$7:$G$14)*($J$7:$J$14))/$G17,0)</f>
        <v>0</v>
      </c>
      <c r="K17" s="154">
        <f>IFERROR(J17/I17,0)</f>
        <v>0</v>
      </c>
      <c r="N17" s="211" t="s">
        <v>32</v>
      </c>
      <c r="O17" s="212" t="s">
        <v>36</v>
      </c>
      <c r="P17" s="212" t="s">
        <v>37</v>
      </c>
      <c r="Q17" s="212" t="s">
        <v>47</v>
      </c>
      <c r="R17" s="212" t="s">
        <v>48</v>
      </c>
      <c r="S17" s="213" t="s">
        <v>49</v>
      </c>
      <c r="U17" s="218" t="s">
        <v>32</v>
      </c>
      <c r="V17" s="220" t="s">
        <v>50</v>
      </c>
    </row>
    <row r="18" spans="2:22">
      <c r="B18" s="210" t="s">
        <v>67</v>
      </c>
      <c r="G18" s="155">
        <f>SUMIF($C$7:$C$14,$B18,G$7:G$14)</f>
        <v>0</v>
      </c>
      <c r="H18" s="147">
        <f t="shared" ref="H18:H21" si="3">IFERROR(G18/G$22,0)</f>
        <v>0</v>
      </c>
      <c r="I18" s="155" cm="1">
        <f t="array" ref="I18">IFERROR(SUMPRODUCT(($C$7:$C$14=$B18)*($G$7:$G$14)*($I$7:$I$14))/$G18,0)</f>
        <v>0</v>
      </c>
      <c r="J18" s="36" cm="1">
        <f t="array" ref="J18">IFERROR(SUMPRODUCT(($C$7:$C$14=$B18)*($G$7:$G$14)*($J$7:$J$14))/$G18,0)</f>
        <v>0</v>
      </c>
      <c r="K18" s="148">
        <f t="shared" ref="K18:K22" si="4">IFERROR(J18/I18,0)</f>
        <v>0</v>
      </c>
      <c r="N18" s="56" t="s">
        <v>53</v>
      </c>
      <c r="O18" s="235"/>
      <c r="P18" s="204" t="e">
        <f>O18/$O$14</f>
        <v>#DIV/0!</v>
      </c>
      <c r="Q18" s="236"/>
      <c r="R18" s="237"/>
      <c r="S18" s="216" t="str">
        <f>IFERROR(R18/Q18,"-")</f>
        <v>-</v>
      </c>
      <c r="U18" s="193" t="s">
        <v>54</v>
      </c>
      <c r="V18" s="221">
        <v>2019</v>
      </c>
    </row>
    <row r="19" spans="2:22">
      <c r="B19" s="210" t="s">
        <v>68</v>
      </c>
      <c r="G19" s="155">
        <f>SUMIF($C$7:$C$14,$B19,G$7:G$14)</f>
        <v>0</v>
      </c>
      <c r="H19" s="147">
        <f t="shared" si="3"/>
        <v>0</v>
      </c>
      <c r="I19" s="155" cm="1">
        <f t="array" ref="I19">IFERROR(SUMPRODUCT(($C$7:$C$14=$B19)*($G$7:$G$14)*($I$7:$I$14))/$G19,0)</f>
        <v>0</v>
      </c>
      <c r="J19" s="36" cm="1">
        <f t="array" ref="J19">IFERROR(SUMPRODUCT(($C$7:$C$14=$B19)*($G$7:$G$14)*($J$7:$J$14))/$G19,0)</f>
        <v>0</v>
      </c>
      <c r="K19" s="148">
        <f t="shared" si="4"/>
        <v>0</v>
      </c>
      <c r="N19" s="56" t="s">
        <v>55</v>
      </c>
      <c r="O19" s="235"/>
      <c r="P19" s="204" t="e">
        <f t="shared" ref="P19:P22" si="5">O19/$O$14</f>
        <v>#DIV/0!</v>
      </c>
      <c r="Q19" s="236"/>
      <c r="R19" s="237"/>
      <c r="S19" s="216" t="str">
        <f t="shared" ref="S19:S23" si="6">IFERROR(R19/Q19,"-")</f>
        <v>-</v>
      </c>
      <c r="U19" s="193" t="s">
        <v>56</v>
      </c>
      <c r="V19" s="222"/>
    </row>
    <row r="20" spans="2:22">
      <c r="B20" s="210" t="s">
        <v>69</v>
      </c>
      <c r="G20" s="155">
        <f>SUMIF($C$7:$C$14,$B20,G$7:G$14)</f>
        <v>0</v>
      </c>
      <c r="H20" s="147">
        <f t="shared" si="3"/>
        <v>0</v>
      </c>
      <c r="I20" s="155" cm="1">
        <f t="array" ref="I20">IFERROR(SUMPRODUCT(($C$7:$C$14=$B20)*($G$7:$G$14)*($I$7:$I$14))/$G20,0)</f>
        <v>0</v>
      </c>
      <c r="J20" s="36" cm="1">
        <f t="array" ref="J20">IFERROR(SUMPRODUCT(($C$7:$C$14=$B20)*($G$7:$G$14)*($J$7:$J$14))/$G20,0)</f>
        <v>0</v>
      </c>
      <c r="K20" s="148">
        <f t="shared" si="4"/>
        <v>0</v>
      </c>
      <c r="N20" s="56" t="s">
        <v>57</v>
      </c>
      <c r="O20" s="235"/>
      <c r="P20" s="204" t="e">
        <f t="shared" si="5"/>
        <v>#DIV/0!</v>
      </c>
      <c r="Q20" s="236"/>
      <c r="R20" s="237"/>
      <c r="S20" s="216" t="str">
        <f t="shared" si="6"/>
        <v>-</v>
      </c>
      <c r="U20" s="193" t="s">
        <v>58</v>
      </c>
      <c r="V20" s="221"/>
    </row>
    <row r="21" spans="2:22">
      <c r="B21" s="210" t="s">
        <v>42</v>
      </c>
      <c r="G21" s="155">
        <f>SUMIF($C$7:$C$14,$B21,G$7:G$14)</f>
        <v>100</v>
      </c>
      <c r="H21" s="147">
        <f t="shared" si="3"/>
        <v>1</v>
      </c>
      <c r="I21" s="155" cm="1">
        <f t="array" ref="I21">IFERROR(SUMPRODUCT(($C$7:$C$14=$B21)*($G$7:$G$14)*($I$7:$I$14))/$G21,0)</f>
        <v>1776.95</v>
      </c>
      <c r="J21" s="36" cm="1">
        <f t="array" ref="J21">IFERROR(SUMPRODUCT(($C$7:$C$14=$B21)*($G$7:$G$14)*($J$7:$J$14))/$G21,0)</f>
        <v>2520.5</v>
      </c>
      <c r="K21" s="148">
        <f t="shared" si="4"/>
        <v>1.4184417119221138</v>
      </c>
      <c r="N21" s="56" t="s">
        <v>59</v>
      </c>
      <c r="O21" s="235"/>
      <c r="P21" s="204" t="e">
        <f t="shared" si="5"/>
        <v>#DIV/0!</v>
      </c>
      <c r="Q21" s="236">
        <v>1917</v>
      </c>
      <c r="R21" s="237">
        <v>2141</v>
      </c>
      <c r="S21" s="216">
        <f t="shared" si="6"/>
        <v>1.116849243609807</v>
      </c>
      <c r="U21" s="193" t="s">
        <v>60</v>
      </c>
      <c r="V21" s="221" t="s">
        <v>70</v>
      </c>
    </row>
    <row r="22" spans="2:22">
      <c r="B22" s="207" t="s">
        <v>65</v>
      </c>
      <c r="C22" s="22"/>
      <c r="D22" s="22"/>
      <c r="E22" s="22"/>
      <c r="F22" s="22"/>
      <c r="G22" s="149">
        <f>SUM(G17:G21)</f>
        <v>100</v>
      </c>
      <c r="H22" s="150">
        <f>SUM(H17:H21)</f>
        <v>1</v>
      </c>
      <c r="I22" s="149">
        <f>IFERROR(SUMPRODUCT(I17:I21,$G17:$G21)/$G22,0)</f>
        <v>1776.95</v>
      </c>
      <c r="J22" s="151">
        <f>IFERROR(SUMPRODUCT(J17:J21,$G17:$G21)/$G22,0)</f>
        <v>2520.5</v>
      </c>
      <c r="K22" s="152">
        <f t="shared" si="4"/>
        <v>1.4184417119221138</v>
      </c>
      <c r="N22" s="56" t="s">
        <v>62</v>
      </c>
      <c r="O22" s="235"/>
      <c r="P22" s="204" t="e">
        <f t="shared" si="5"/>
        <v>#DIV/0!</v>
      </c>
      <c r="Q22" s="236"/>
      <c r="R22" s="237"/>
      <c r="S22" s="216" t="str">
        <f t="shared" si="6"/>
        <v>-</v>
      </c>
      <c r="U22" s="219" t="s">
        <v>63</v>
      </c>
      <c r="V22" s="266" t="s">
        <v>64</v>
      </c>
    </row>
    <row r="23" spans="2:22">
      <c r="N23" s="126" t="s">
        <v>65</v>
      </c>
      <c r="O23" s="214">
        <f>SUM(O18:O22)</f>
        <v>0</v>
      </c>
      <c r="P23" s="215" t="e">
        <f>SUM(P18:P22)</f>
        <v>#DIV/0!</v>
      </c>
      <c r="Q23" s="127" t="e">
        <f>SUMPRODUCT(Q18:Q22,$O$18:$O$22)/$O$23</f>
        <v>#DIV/0!</v>
      </c>
      <c r="R23" s="128" t="e">
        <f>SUMPRODUCT(R18:R22,$O$18:$O$22)/$O$23</f>
        <v>#DIV/0!</v>
      </c>
      <c r="S23" s="217" t="str">
        <f t="shared" si="6"/>
        <v>-</v>
      </c>
      <c r="U23" s="208">
        <v>2141</v>
      </c>
    </row>
    <row r="24" spans="2:22">
      <c r="C24" s="208"/>
      <c r="D24" s="208"/>
      <c r="E24" s="208"/>
      <c r="F24" s="208"/>
      <c r="G24" s="208"/>
      <c r="H24" s="208"/>
      <c r="I24" s="208"/>
    </row>
    <row r="25" spans="2:22">
      <c r="C25" s="208"/>
      <c r="D25" s="208"/>
      <c r="E25" s="208"/>
      <c r="F25" s="208"/>
      <c r="G25" s="208"/>
      <c r="H25" s="208"/>
      <c r="I25" s="208"/>
      <c r="N25" s="140" t="s">
        <v>71</v>
      </c>
      <c r="O25" s="170"/>
      <c r="P25" s="170"/>
      <c r="Q25" s="170"/>
      <c r="R25" s="170"/>
      <c r="S25" s="141"/>
    </row>
    <row r="26" spans="2:22">
      <c r="C26" s="208"/>
      <c r="D26" s="208"/>
      <c r="E26" s="208"/>
      <c r="F26" s="208"/>
      <c r="G26" s="208"/>
      <c r="H26" s="208"/>
      <c r="I26" s="208"/>
      <c r="N26" s="211" t="s">
        <v>32</v>
      </c>
      <c r="O26" s="212" t="s">
        <v>36</v>
      </c>
      <c r="P26" s="212" t="s">
        <v>37</v>
      </c>
      <c r="Q26" s="212" t="s">
        <v>47</v>
      </c>
      <c r="R26" s="212" t="s">
        <v>48</v>
      </c>
      <c r="S26" s="213" t="s">
        <v>49</v>
      </c>
      <c r="U26" s="218" t="s">
        <v>32</v>
      </c>
      <c r="V26" s="220" t="s">
        <v>50</v>
      </c>
    </row>
    <row r="27" spans="2:22">
      <c r="C27" s="208"/>
      <c r="D27" s="208"/>
      <c r="E27" s="208"/>
      <c r="F27" s="208"/>
      <c r="G27" s="208"/>
      <c r="H27" s="208"/>
      <c r="I27" s="208"/>
      <c r="N27" s="56" t="s">
        <v>53</v>
      </c>
      <c r="O27" s="235"/>
      <c r="P27" s="204" t="e">
        <f>O27/$O$14</f>
        <v>#DIV/0!</v>
      </c>
      <c r="Q27" s="236"/>
      <c r="R27" s="237"/>
      <c r="S27" s="216" t="str">
        <f>IFERROR(R27/Q27,"-")</f>
        <v>-</v>
      </c>
      <c r="U27" s="193" t="s">
        <v>54</v>
      </c>
      <c r="V27" s="221">
        <v>2024</v>
      </c>
    </row>
    <row r="28" spans="2:22">
      <c r="C28" s="208"/>
      <c r="D28" s="208"/>
      <c r="E28" s="208"/>
      <c r="F28" s="208"/>
      <c r="G28" s="208"/>
      <c r="H28" s="208"/>
      <c r="I28" s="208"/>
      <c r="N28" s="56" t="s">
        <v>55</v>
      </c>
      <c r="O28" s="235"/>
      <c r="P28" s="204" t="e">
        <f t="shared" ref="P28:P31" si="7">O28/$O$14</f>
        <v>#DIV/0!</v>
      </c>
      <c r="Q28" s="236"/>
      <c r="R28" s="237"/>
      <c r="S28" s="216" t="str">
        <f t="shared" ref="S28:S32" si="8">IFERROR(R28/Q28,"-")</f>
        <v>-</v>
      </c>
      <c r="U28" s="193" t="s">
        <v>56</v>
      </c>
      <c r="V28" s="222"/>
    </row>
    <row r="29" spans="2:22">
      <c r="C29" s="208"/>
      <c r="D29" s="208"/>
      <c r="E29" s="208"/>
      <c r="F29" s="208"/>
      <c r="G29" s="208"/>
      <c r="H29" s="208"/>
      <c r="I29" s="208"/>
      <c r="N29" s="56" t="s">
        <v>57</v>
      </c>
      <c r="O29" s="235"/>
      <c r="P29" s="204" t="e">
        <f t="shared" si="7"/>
        <v>#DIV/0!</v>
      </c>
      <c r="Q29" s="236"/>
      <c r="R29" s="237"/>
      <c r="S29" s="216" t="str">
        <f t="shared" si="8"/>
        <v>-</v>
      </c>
      <c r="U29" s="193" t="s">
        <v>58</v>
      </c>
      <c r="V29" s="221"/>
    </row>
    <row r="30" spans="2:22">
      <c r="C30" s="208"/>
      <c r="D30" s="208"/>
      <c r="E30" s="208"/>
      <c r="F30" s="208"/>
      <c r="G30" s="208"/>
      <c r="H30" s="208"/>
      <c r="I30" s="208"/>
      <c r="N30" s="56" t="s">
        <v>59</v>
      </c>
      <c r="O30" s="235"/>
      <c r="P30" s="204" t="e">
        <f t="shared" si="7"/>
        <v>#DIV/0!</v>
      </c>
      <c r="Q30" s="236"/>
      <c r="R30" s="237"/>
      <c r="S30" s="216" t="str">
        <f t="shared" si="8"/>
        <v>-</v>
      </c>
      <c r="U30" s="193" t="s">
        <v>60</v>
      </c>
      <c r="V30" s="221" t="s">
        <v>72</v>
      </c>
    </row>
    <row r="31" spans="2:22">
      <c r="C31" s="208"/>
      <c r="D31" s="208"/>
      <c r="E31" s="208"/>
      <c r="F31" s="208"/>
      <c r="G31" s="208"/>
      <c r="H31" s="208"/>
      <c r="I31" s="208"/>
      <c r="N31" s="56" t="s">
        <v>62</v>
      </c>
      <c r="O31" s="235"/>
      <c r="P31" s="204" t="e">
        <f t="shared" si="7"/>
        <v>#DIV/0!</v>
      </c>
      <c r="Q31" s="236">
        <v>2261</v>
      </c>
      <c r="R31" s="237">
        <v>2749</v>
      </c>
      <c r="S31" s="216">
        <f t="shared" si="8"/>
        <v>1.2158337019018133</v>
      </c>
      <c r="U31" s="219" t="s">
        <v>63</v>
      </c>
      <c r="V31" s="266" t="s">
        <v>64</v>
      </c>
    </row>
    <row r="32" spans="2:22">
      <c r="C32" s="208"/>
      <c r="D32" s="208"/>
      <c r="E32" s="208"/>
      <c r="F32" s="208"/>
      <c r="G32" s="208"/>
      <c r="H32" s="208"/>
      <c r="I32" s="208"/>
      <c r="N32" s="126" t="s">
        <v>65</v>
      </c>
      <c r="O32" s="214">
        <f>SUM(O27:O31)</f>
        <v>0</v>
      </c>
      <c r="P32" s="215" t="e">
        <f>SUM(P27:P31)</f>
        <v>#DIV/0!</v>
      </c>
      <c r="Q32" s="127" t="e">
        <f>SUMPRODUCT(Q27:Q31,$O$27:$O$31)/$O$32</f>
        <v>#DIV/0!</v>
      </c>
      <c r="R32" s="128" t="e">
        <f>SUMPRODUCT(R27:R31,$O$27:$O$31)/$O$32</f>
        <v>#DIV/0!</v>
      </c>
      <c r="S32" s="217" t="str">
        <f t="shared" si="8"/>
        <v>-</v>
      </c>
    </row>
    <row r="33" spans="3:9">
      <c r="C33" s="208"/>
      <c r="D33" s="208"/>
      <c r="E33" s="208"/>
      <c r="F33" s="208"/>
      <c r="G33" s="208"/>
      <c r="H33" s="208"/>
      <c r="I33" s="208"/>
    </row>
    <row r="34" spans="3:9">
      <c r="C34" s="208"/>
      <c r="D34" s="208"/>
      <c r="E34" s="208"/>
      <c r="F34" s="208"/>
      <c r="G34" s="208"/>
      <c r="H34" s="208"/>
      <c r="I34" s="208"/>
    </row>
    <row r="35" spans="3:9">
      <c r="C35" s="208"/>
      <c r="D35" s="208"/>
      <c r="E35" s="208"/>
      <c r="F35" s="208"/>
      <c r="G35" s="208"/>
      <c r="H35" s="208"/>
      <c r="I35" s="208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V13" r:id="rId1" xr:uid="{D8B3DAAF-4A2A-4676-BB63-C0E967EA1446}"/>
    <hyperlink ref="V31" r:id="rId2" xr:uid="{6D37202C-CC15-4D1E-B9E3-02325B382F57}"/>
    <hyperlink ref="V22" r:id="rId3" xr:uid="{FF8D8A68-CDCE-4CF6-8CB7-A3F1792B9B5C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="90" zoomScaleNormal="90" workbookViewId="0">
      <pane ySplit="6" topLeftCell="A34" activePane="bottomLeft" state="frozen"/>
      <selection pane="bottomLeft" activeCell="B5" sqref="B5"/>
      <selection activeCell="B5" sqref="B5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5527 Farrington Rd</v>
      </c>
    </row>
    <row r="2" spans="1:17" s="142" customFormat="1" ht="19.899999999999999">
      <c r="A2" s="146" t="s">
        <v>73</v>
      </c>
    </row>
    <row r="6" spans="1:17">
      <c r="B6" s="121" t="s">
        <v>74</v>
      </c>
      <c r="C6" s="122" t="s">
        <v>75</v>
      </c>
      <c r="D6" s="122" t="s">
        <v>76</v>
      </c>
      <c r="E6" s="122" t="s">
        <v>77</v>
      </c>
      <c r="F6" s="122" t="s">
        <v>78</v>
      </c>
      <c r="G6" s="122" t="s">
        <v>79</v>
      </c>
    </row>
    <row r="7" spans="1:17">
      <c r="B7" s="12" t="s">
        <v>80</v>
      </c>
      <c r="C7" s="12"/>
      <c r="D7" s="12"/>
      <c r="E7" s="12"/>
      <c r="F7" s="12"/>
      <c r="G7" s="12"/>
      <c r="M7" s="158" t="s">
        <v>81</v>
      </c>
      <c r="N7" s="122" t="s">
        <v>76</v>
      </c>
      <c r="O7" s="122" t="s">
        <v>77</v>
      </c>
      <c r="P7" s="122" t="s">
        <v>78</v>
      </c>
      <c r="Q7" s="122" t="s">
        <v>79</v>
      </c>
    </row>
    <row r="8" spans="1:17">
      <c r="B8" t="s">
        <v>82</v>
      </c>
      <c r="C8" s="24" t="s">
        <v>80</v>
      </c>
      <c r="D8" s="52">
        <f>E8*'Unit Mix_vm'!$G$15</f>
        <v>5000000</v>
      </c>
      <c r="E8" s="244">
        <v>50000</v>
      </c>
      <c r="F8" s="37">
        <f>IFERROR(E8/'Unit Mix_vm'!$I$15,0)</f>
        <v>28.138101803652326</v>
      </c>
      <c r="G8" s="25">
        <f ca="1">+IFERROR(D8/D$86,0)</f>
        <v>0.1306790451372617</v>
      </c>
      <c r="M8" s="28" t="s">
        <v>83</v>
      </c>
    </row>
    <row r="9" spans="1:17">
      <c r="D9" s="14"/>
      <c r="E9" s="14"/>
      <c r="F9" s="14"/>
      <c r="M9" t="s">
        <v>84</v>
      </c>
      <c r="N9" s="52">
        <f ca="1">N41</f>
        <v>15304672.588472635</v>
      </c>
      <c r="O9" s="37">
        <f ca="1">IFERROR(N9/'Unit Mix_vm'!$G$15,0)</f>
        <v>153046.72588472636</v>
      </c>
      <c r="P9" s="37">
        <f ca="1">IFERROR(O9/'Unit Mix_vm'!$I$15,0)</f>
        <v>86.128887073202037</v>
      </c>
      <c r="Q9" s="25">
        <f ca="1">IFERROR(N9/N$12,0)</f>
        <v>0.39999999999997166</v>
      </c>
    </row>
    <row r="10" spans="1:17">
      <c r="B10" s="12" t="s">
        <v>85</v>
      </c>
      <c r="C10" s="12"/>
      <c r="D10" s="15"/>
      <c r="E10" s="15"/>
      <c r="F10" s="15"/>
      <c r="G10" s="12"/>
      <c r="M10" t="s">
        <v>86</v>
      </c>
      <c r="N10" s="52">
        <f ca="1">+N36</f>
        <v>0</v>
      </c>
      <c r="O10" s="37">
        <f ca="1">IFERROR(N10/'Unit Mix_vm'!$G$15,0)</f>
        <v>0</v>
      </c>
      <c r="P10" s="37">
        <f ca="1">IFERROR(O10/'Unit Mix_vm'!$I$15,0)</f>
        <v>0</v>
      </c>
      <c r="Q10" s="25">
        <f t="shared" ref="Q10:Q11" ca="1" si="0">IFERROR(N10/N$12,0)</f>
        <v>0</v>
      </c>
    </row>
    <row r="11" spans="1:17">
      <c r="B11" t="s">
        <v>87</v>
      </c>
      <c r="C11" s="24" t="s">
        <v>88</v>
      </c>
      <c r="D11" s="52">
        <f ca="1">+IF(Global!$C$16="On",0,I11*$N$11)</f>
        <v>114785.0444135529</v>
      </c>
      <c r="E11" s="37">
        <f ca="1">IFERROR(D11/'Unit Mix_vm'!$G$15,0)</f>
        <v>1147.850444135529</v>
      </c>
      <c r="F11" s="37">
        <f ca="1">IFERROR(E11/'Unit Mix_vm'!$I$15,0)</f>
        <v>0.64596665304906098</v>
      </c>
      <c r="G11" s="25">
        <f t="shared" ref="G11:G23" ca="1" si="1">+IFERROR(D11/D$86,0)</f>
        <v>3.0000000000002538E-3</v>
      </c>
      <c r="I11" s="21">
        <v>5.0000000000000001E-3</v>
      </c>
      <c r="J11" s="20" t="s">
        <v>89</v>
      </c>
      <c r="M11" t="s">
        <v>90</v>
      </c>
      <c r="N11" s="52">
        <f ca="1">+N23</f>
        <v>22957008.882708952</v>
      </c>
      <c r="O11" s="37">
        <f ca="1">IFERROR(N11/'Unit Mix_vm'!$G$15,0)</f>
        <v>229570.08882708952</v>
      </c>
      <c r="P11" s="37">
        <f ca="1">IFERROR(O11/'Unit Mix_vm'!$I$15,0)</f>
        <v>129.19333060980304</v>
      </c>
      <c r="Q11" s="25">
        <f t="shared" ca="1" si="0"/>
        <v>0.59999999999995746</v>
      </c>
    </row>
    <row r="12" spans="1:17">
      <c r="B12" t="s">
        <v>91</v>
      </c>
      <c r="C12" s="24" t="s">
        <v>88</v>
      </c>
      <c r="D12" s="52">
        <f ca="1">+IF(Global!$C$16="On",0,I12*$N$11)</f>
        <v>172177.56662031714</v>
      </c>
      <c r="E12" s="37">
        <f ca="1">IFERROR(D12/'Unit Mix_vm'!$G$15,0)</f>
        <v>1721.7756662031713</v>
      </c>
      <c r="F12" s="37">
        <f ca="1">IFERROR(E12/'Unit Mix_vm'!$I$15,0)</f>
        <v>0.9689499795735228</v>
      </c>
      <c r="G12" s="25">
        <f t="shared" ca="1" si="1"/>
        <v>4.5000000000000612E-3</v>
      </c>
      <c r="I12" s="21">
        <v>7.4999999999999997E-3</v>
      </c>
      <c r="J12" s="20" t="s">
        <v>89</v>
      </c>
      <c r="M12" s="3" t="s">
        <v>92</v>
      </c>
      <c r="N12" s="13">
        <f ca="1">SUM(N9:N11)</f>
        <v>38261681.471181586</v>
      </c>
      <c r="O12" s="13">
        <f ca="1">SUM(O9:O11)</f>
        <v>382616.81471181591</v>
      </c>
      <c r="P12" s="29">
        <f ca="1">SUM(P9:P11)</f>
        <v>215.32221768300508</v>
      </c>
      <c r="Q12" s="26">
        <f ca="1">SUM(Q9:Q11)</f>
        <v>0.99999999999992917</v>
      </c>
    </row>
    <row r="13" spans="1:17">
      <c r="B13" t="s">
        <v>93</v>
      </c>
      <c r="C13" s="24" t="s">
        <v>88</v>
      </c>
      <c r="D13" s="16">
        <v>0</v>
      </c>
      <c r="E13" s="37">
        <f>IFERROR(D13/'Unit Mix_vm'!$G$15,0)</f>
        <v>0</v>
      </c>
      <c r="F13" s="37">
        <f>IFERROR(E13/'Unit Mix_vm'!$I$15,0)</f>
        <v>0</v>
      </c>
      <c r="G13" s="25">
        <f t="shared" ca="1" si="1"/>
        <v>0</v>
      </c>
    </row>
    <row r="14" spans="1:17">
      <c r="B14" t="s">
        <v>94</v>
      </c>
      <c r="C14" s="24" t="s">
        <v>88</v>
      </c>
      <c r="D14" s="52">
        <f ca="1">+IF(Global!$C$16="On",0,I14*$N$10)</f>
        <v>0</v>
      </c>
      <c r="E14" s="37">
        <f ca="1">IFERROR(D14/'Unit Mix_vm'!$G$15,0)</f>
        <v>0</v>
      </c>
      <c r="F14" s="37">
        <f ca="1">IFERROR(E14/'Unit Mix_vm'!$I$15,0)</f>
        <v>0</v>
      </c>
      <c r="G14" s="25">
        <f t="shared" ca="1" si="1"/>
        <v>0</v>
      </c>
      <c r="I14" s="21">
        <v>0.01</v>
      </c>
      <c r="J14" s="20" t="s">
        <v>95</v>
      </c>
      <c r="M14" s="28" t="s">
        <v>96</v>
      </c>
    </row>
    <row r="15" spans="1:17">
      <c r="B15" t="s">
        <v>97</v>
      </c>
      <c r="C15" s="24" t="s">
        <v>88</v>
      </c>
      <c r="D15" s="52">
        <f ca="1">+IF(Global!$C$16="On",0,I15*$N$10)</f>
        <v>0</v>
      </c>
      <c r="E15" s="37">
        <f ca="1">IFERROR(D15/'Unit Mix_vm'!$G$15,0)</f>
        <v>0</v>
      </c>
      <c r="F15" s="37">
        <f ca="1">IFERROR(E15/'Unit Mix_vm'!$I$15,0)</f>
        <v>0</v>
      </c>
      <c r="G15" s="25">
        <f t="shared" ca="1" si="1"/>
        <v>0</v>
      </c>
      <c r="I15" s="21">
        <v>0.01</v>
      </c>
      <c r="J15" s="20" t="s">
        <v>95</v>
      </c>
      <c r="M15" t="s">
        <v>80</v>
      </c>
      <c r="N15" s="14">
        <f>+SUMIF($C$8:$C$86,$M15,$D$8:$D$86)</f>
        <v>5000000</v>
      </c>
      <c r="O15" s="37">
        <f>IFERROR(N15/'Unit Mix_vm'!$G$15,0)</f>
        <v>50000</v>
      </c>
      <c r="P15" s="37">
        <f>IFERROR(O15/'Unit Mix_vm'!$I$15,0)</f>
        <v>28.138101803652326</v>
      </c>
      <c r="Q15" s="25">
        <f ca="1">IFERROR(N15/N$18,0)</f>
        <v>0.13067904513726086</v>
      </c>
    </row>
    <row r="16" spans="1:17">
      <c r="B16" t="s">
        <v>98</v>
      </c>
      <c r="C16" s="24" t="s">
        <v>88</v>
      </c>
      <c r="D16" s="16">
        <v>0</v>
      </c>
      <c r="E16" s="37">
        <f>IFERROR(D16/'Unit Mix_vm'!$G$15,0)</f>
        <v>0</v>
      </c>
      <c r="F16" s="37">
        <f>IFERROR(E16/'Unit Mix_vm'!$I$15,0)</f>
        <v>0</v>
      </c>
      <c r="G16" s="25">
        <f t="shared" ca="1" si="1"/>
        <v>0</v>
      </c>
      <c r="M16" t="s">
        <v>99</v>
      </c>
      <c r="N16" s="14">
        <f>+SUMIF($C$8:$C$86,$M16,$D$8:$D$86)</f>
        <v>25425000</v>
      </c>
      <c r="O16" s="37">
        <f>IFERROR(N16/'Unit Mix_vm'!$G$15,0)</f>
        <v>254250</v>
      </c>
      <c r="P16" s="37">
        <f>IFERROR(O16/'Unit Mix_vm'!$I$15,0)</f>
        <v>143.08224767157208</v>
      </c>
      <c r="Q16" s="25">
        <f t="shared" ref="Q16:Q17" ca="1" si="2">IFERROR(N16/N$18,0)</f>
        <v>0.66450294452297143</v>
      </c>
    </row>
    <row r="17" spans="2:17">
      <c r="B17" t="s">
        <v>100</v>
      </c>
      <c r="C17" s="24" t="s">
        <v>88</v>
      </c>
      <c r="D17" s="52">
        <f ca="1">+IF(Global!$C$16="On",0,I17*$N$44)</f>
        <v>0</v>
      </c>
      <c r="E17" s="37">
        <f ca="1">IFERROR(D17/'Unit Mix_vm'!$G$15,0)</f>
        <v>0</v>
      </c>
      <c r="F17" s="37">
        <f ca="1">IFERROR(E17/'Unit Mix_vm'!$I$15,0)</f>
        <v>0</v>
      </c>
      <c r="G17" s="25">
        <f t="shared" ca="1" si="1"/>
        <v>0</v>
      </c>
      <c r="I17" s="21">
        <v>0</v>
      </c>
      <c r="J17" s="20" t="s">
        <v>101</v>
      </c>
      <c r="M17" t="s">
        <v>88</v>
      </c>
      <c r="N17" s="14">
        <f ca="1">+SUMIF($C$8:$C$86,$M17,$D$8:$D$86)</f>
        <v>7836681.4711810108</v>
      </c>
      <c r="O17" s="37">
        <f ca="1">IFERROR(N17/'Unit Mix_vm'!$G$15,0)</f>
        <v>78366.814711810104</v>
      </c>
      <c r="P17" s="37">
        <f ca="1">IFERROR(O17/'Unit Mix_vm'!$I$15,0)</f>
        <v>44.101868207777429</v>
      </c>
      <c r="Q17" s="25">
        <f t="shared" ca="1" si="2"/>
        <v>0.20481801033975983</v>
      </c>
    </row>
    <row r="18" spans="2:17">
      <c r="B18" t="s">
        <v>102</v>
      </c>
      <c r="C18" s="24" t="s">
        <v>88</v>
      </c>
      <c r="D18" s="52">
        <f ca="1">+IF(Global!$C$16="On",0,I18*$N$44)</f>
        <v>0</v>
      </c>
      <c r="E18" s="37">
        <f ca="1">IFERROR(D18/'Unit Mix_vm'!$G$15,0)</f>
        <v>0</v>
      </c>
      <c r="F18" s="37">
        <f ca="1">IFERROR(E18/'Unit Mix_vm'!$I$15,0)</f>
        <v>0</v>
      </c>
      <c r="G18" s="25">
        <f t="shared" ca="1" si="1"/>
        <v>0</v>
      </c>
      <c r="I18" s="21">
        <v>0</v>
      </c>
      <c r="J18" s="20" t="s">
        <v>101</v>
      </c>
      <c r="M18" s="3" t="s">
        <v>103</v>
      </c>
      <c r="N18" s="13">
        <f ca="1">SUM(N15:N17)</f>
        <v>38261681.471181013</v>
      </c>
      <c r="O18" s="29">
        <f ca="1">SUM(O15:O17)</f>
        <v>382616.81471181009</v>
      </c>
      <c r="P18" s="29">
        <f ca="1">SUM(P15:P17)</f>
        <v>215.32221768300184</v>
      </c>
      <c r="Q18" s="26">
        <f ca="1">SUM(Q15:Q17)</f>
        <v>0.99999999999999223</v>
      </c>
    </row>
    <row r="19" spans="2:17">
      <c r="B19" t="s">
        <v>104</v>
      </c>
      <c r="C19" s="24" t="s">
        <v>88</v>
      </c>
      <c r="D19" s="16">
        <v>0</v>
      </c>
      <c r="E19" s="37">
        <f>IFERROR(D19/'Unit Mix_vm'!$G$15,0)</f>
        <v>0</v>
      </c>
      <c r="F19" s="37">
        <f>IFERROR(E19/'Unit Mix_vm'!$I$15,0)</f>
        <v>0</v>
      </c>
      <c r="G19" s="25">
        <f t="shared" ca="1" si="1"/>
        <v>0</v>
      </c>
    </row>
    <row r="20" spans="2:17">
      <c r="B20" t="s">
        <v>105</v>
      </c>
      <c r="C20" s="24" t="s">
        <v>88</v>
      </c>
      <c r="D20" s="76">
        <v>275000</v>
      </c>
      <c r="E20" s="37">
        <f>IFERROR(D20/'Unit Mix_vm'!$G$15,0)</f>
        <v>2750</v>
      </c>
      <c r="F20" s="37">
        <f>IFERROR(E20/'Unit Mix_vm'!$I$15,0)</f>
        <v>1.5475955992008779</v>
      </c>
      <c r="G20" s="25">
        <f t="shared" ca="1" si="1"/>
        <v>7.1873474825493939E-3</v>
      </c>
      <c r="M20" s="1"/>
    </row>
    <row r="21" spans="2:17">
      <c r="B21" t="s">
        <v>106</v>
      </c>
      <c r="C21" s="24" t="s">
        <v>88</v>
      </c>
      <c r="D21" s="76">
        <v>250000</v>
      </c>
      <c r="E21" s="37">
        <f>IFERROR(D21/'Unit Mix_vm'!$G$15,0)</f>
        <v>2500</v>
      </c>
      <c r="F21" s="37">
        <f>IFERROR(E21/'Unit Mix_vm'!$I$15,0)</f>
        <v>1.4069050901826163</v>
      </c>
      <c r="G21" s="25">
        <f t="shared" ca="1" si="1"/>
        <v>6.5339522568630846E-3</v>
      </c>
      <c r="M21" s="158" t="s">
        <v>107</v>
      </c>
      <c r="N21" s="122"/>
      <c r="O21" s="122"/>
      <c r="P21" s="122"/>
      <c r="Q21" s="122"/>
    </row>
    <row r="22" spans="2:17">
      <c r="B22" t="s">
        <v>108</v>
      </c>
      <c r="C22" s="24" t="s">
        <v>88</v>
      </c>
      <c r="D22" s="52">
        <f>E22*'Unit Mix_vm'!$G$15</f>
        <v>650000</v>
      </c>
      <c r="E22" s="76">
        <v>6500</v>
      </c>
      <c r="F22" s="37">
        <f>IFERROR(E22/'Unit Mix_vm'!$I$15,0)</f>
        <v>3.6579532344748023</v>
      </c>
      <c r="G22" s="25">
        <f t="shared" ca="1" si="1"/>
        <v>1.6988275867844019E-2</v>
      </c>
      <c r="M22" s="55" t="s">
        <v>90</v>
      </c>
    </row>
    <row r="23" spans="2:17">
      <c r="B23" t="s">
        <v>109</v>
      </c>
      <c r="C23" s="24" t="s">
        <v>88</v>
      </c>
      <c r="D23" s="16">
        <v>0</v>
      </c>
      <c r="E23" s="37">
        <f>IFERROR(D23/'Unit Mix_vm'!$G$15,0)</f>
        <v>0</v>
      </c>
      <c r="F23" s="37">
        <f>IFERROR(E23/'Unit Mix_vm'!$I$15,0)</f>
        <v>0</v>
      </c>
      <c r="G23" s="25">
        <f t="shared" ca="1" si="1"/>
        <v>0</v>
      </c>
      <c r="M23" t="s">
        <v>90</v>
      </c>
      <c r="N23" s="36">
        <f ca="1">D86*N24</f>
        <v>22957008.882708639</v>
      </c>
    </row>
    <row r="24" spans="2:17">
      <c r="B24" s="3" t="s">
        <v>110</v>
      </c>
      <c r="C24" s="3"/>
      <c r="D24" s="13">
        <f ca="1">+SUM(D11:D23)</f>
        <v>1461962.6110338699</v>
      </c>
      <c r="E24" s="13">
        <f ca="1">SUM(E11:E23)</f>
        <v>14619.626110338701</v>
      </c>
      <c r="F24" s="13">
        <f ca="1">SUM(F11:F23)</f>
        <v>8.2273705564808797</v>
      </c>
      <c r="G24" s="26">
        <f ca="1">SUM(G11:G23)</f>
        <v>3.820957560725681E-2</v>
      </c>
      <c r="M24" t="s">
        <v>111</v>
      </c>
      <c r="N24" s="44">
        <v>0.6</v>
      </c>
    </row>
    <row r="25" spans="2:17">
      <c r="D25" s="14"/>
      <c r="E25" s="14"/>
      <c r="F25" s="14"/>
      <c r="M25" t="s">
        <v>112</v>
      </c>
      <c r="N25" s="49">
        <f ca="1">IFERROR('Pro-Forma_vm'!$C$39/Budget_vm!N23,0)</f>
        <v>8.8671556599573029E-2</v>
      </c>
      <c r="O25" s="53"/>
    </row>
    <row r="26" spans="2:17">
      <c r="B26" s="12" t="s">
        <v>113</v>
      </c>
      <c r="C26" s="12"/>
      <c r="D26" s="15"/>
      <c r="E26" s="15"/>
      <c r="F26" s="15"/>
      <c r="G26" s="12"/>
      <c r="O26" s="54"/>
    </row>
    <row r="27" spans="2:17">
      <c r="B27" t="s">
        <v>114</v>
      </c>
      <c r="C27" s="24" t="s">
        <v>88</v>
      </c>
      <c r="D27" s="52">
        <f ca="1">I27*(D86-D8)</f>
        <v>1164158.8514913374</v>
      </c>
      <c r="E27" s="37">
        <f ca="1">IFERROR(D27/'Unit Mix_vm'!$G$15,0)</f>
        <v>11641.588514913374</v>
      </c>
      <c r="F27" s="37">
        <f ca="1">IFERROR(E27/'Unit Mix_vm'!$I$15,0)</f>
        <v>6.5514440557772442</v>
      </c>
      <c r="G27" s="25">
        <f t="shared" ref="G27:G29" ca="1" si="3">+IFERROR(D27/D$86,0)</f>
        <v>3.0426233420195844E-2</v>
      </c>
      <c r="I27" s="21">
        <v>3.5000000000000003E-2</v>
      </c>
      <c r="J27" s="20" t="s">
        <v>115</v>
      </c>
      <c r="K27" s="20"/>
      <c r="M27" t="s">
        <v>116</v>
      </c>
      <c r="N27" s="45">
        <v>0.04</v>
      </c>
    </row>
    <row r="28" spans="2:17">
      <c r="B28" t="s">
        <v>117</v>
      </c>
      <c r="C28" s="24" t="s">
        <v>88</v>
      </c>
      <c r="D28" s="14">
        <f>+I28*SUM(D67:D68)</f>
        <v>204250</v>
      </c>
      <c r="E28" s="37">
        <f>IFERROR(D28/'Unit Mix_vm'!$G$15,0)</f>
        <v>2042.5</v>
      </c>
      <c r="F28" s="37">
        <f>IFERROR(E28/'Unit Mix_vm'!$I$15,0)</f>
        <v>1.1494414586791974</v>
      </c>
      <c r="G28" s="25">
        <f t="shared" ca="1" si="3"/>
        <v>5.3382389938571402E-3</v>
      </c>
      <c r="I28" s="21">
        <v>0.01</v>
      </c>
      <c r="J28" s="20" t="s">
        <v>118</v>
      </c>
      <c r="K28" s="20"/>
      <c r="M28" t="s">
        <v>119</v>
      </c>
      <c r="N28" s="45">
        <v>0.03</v>
      </c>
      <c r="O28" s="30"/>
    </row>
    <row r="29" spans="2:17">
      <c r="B29" t="s">
        <v>120</v>
      </c>
      <c r="C29" s="24" t="s">
        <v>88</v>
      </c>
      <c r="D29" s="76">
        <v>300000</v>
      </c>
      <c r="E29" s="37">
        <f>IFERROR(D29/'Unit Mix_vm'!$G$15,0)</f>
        <v>3000</v>
      </c>
      <c r="F29" s="37">
        <f>IFERROR(E29/'Unit Mix_vm'!$I$15,0)</f>
        <v>1.6882861082191396</v>
      </c>
      <c r="G29" s="25">
        <f t="shared" ca="1" si="3"/>
        <v>7.8407427082357022E-3</v>
      </c>
      <c r="M29" s="3" t="s">
        <v>121</v>
      </c>
      <c r="N29" s="47">
        <f>SUM(N27:N28)</f>
        <v>7.0000000000000007E-2</v>
      </c>
    </row>
    <row r="30" spans="2:17">
      <c r="B30" s="3" t="s">
        <v>122</v>
      </c>
      <c r="C30" s="3"/>
      <c r="D30" s="13">
        <f ca="1">+SUM(D27:D29)</f>
        <v>1668408.8514913374</v>
      </c>
      <c r="E30" s="13">
        <f ca="1">SUM(E27:E29)</f>
        <v>16684.088514913376</v>
      </c>
      <c r="F30" s="13">
        <f ca="1">SUM(F27:F29)</f>
        <v>9.3891716226755815</v>
      </c>
      <c r="G30" s="26">
        <f ca="1">SUM(G27:G29)</f>
        <v>4.3605215122288689E-2</v>
      </c>
    </row>
    <row r="31" spans="2:17">
      <c r="D31" s="14"/>
      <c r="E31" s="14"/>
      <c r="F31" s="14"/>
      <c r="M31" t="s">
        <v>123</v>
      </c>
      <c r="N31" s="32">
        <v>21</v>
      </c>
      <c r="O31" s="30"/>
    </row>
    <row r="32" spans="2:17">
      <c r="B32" s="12" t="s">
        <v>124</v>
      </c>
      <c r="C32" s="12"/>
      <c r="D32" s="15"/>
      <c r="E32" s="15"/>
      <c r="F32" s="15"/>
      <c r="G32" s="12"/>
      <c r="M32" t="s">
        <v>125</v>
      </c>
      <c r="N32" s="44">
        <v>0.5</v>
      </c>
    </row>
    <row r="33" spans="2:22">
      <c r="B33" t="s">
        <v>126</v>
      </c>
      <c r="C33" s="24" t="s">
        <v>88</v>
      </c>
      <c r="D33" s="76">
        <v>300000</v>
      </c>
      <c r="E33" s="37">
        <f>IFERROR(D33/'Unit Mix_vm'!$G$15,0)</f>
        <v>3000</v>
      </c>
      <c r="F33" s="37">
        <f>IFERROR(E33/'Unit Mix_vm'!$I$15,0)</f>
        <v>1.6882861082191396</v>
      </c>
      <c r="G33" s="25">
        <f t="shared" ref="G33:G42" ca="1" si="4">+IFERROR(D33/D$86,0)</f>
        <v>7.8407427082357022E-3</v>
      </c>
      <c r="M33" t="s">
        <v>127</v>
      </c>
      <c r="N33" s="36">
        <f ca="1">+N23*N29*N31*N32/12</f>
        <v>1406116.7940659041</v>
      </c>
    </row>
    <row r="34" spans="2:22">
      <c r="B34" t="s">
        <v>128</v>
      </c>
      <c r="C34" s="24" t="s">
        <v>88</v>
      </c>
      <c r="D34" s="76">
        <v>400000</v>
      </c>
      <c r="E34" s="37">
        <f>IFERROR(D34/'Unit Mix_vm'!$G$15,0)</f>
        <v>4000</v>
      </c>
      <c r="F34" s="37">
        <f>IFERROR(E34/'Unit Mix_vm'!$I$15,0)</f>
        <v>2.2510481442921861</v>
      </c>
      <c r="G34" s="25">
        <f t="shared" ca="1" si="4"/>
        <v>1.0454323610980936E-2</v>
      </c>
      <c r="O34" s="42"/>
      <c r="U34" s="136" t="s">
        <v>129</v>
      </c>
      <c r="V34" s="137"/>
    </row>
    <row r="35" spans="2:22">
      <c r="B35" t="s">
        <v>130</v>
      </c>
      <c r="C35" s="24" t="s">
        <v>88</v>
      </c>
      <c r="D35" s="52">
        <f ca="1">+IF(Global!C16="On",0,I35*N11)</f>
        <v>0</v>
      </c>
      <c r="E35" s="37">
        <f ca="1">IFERROR(D35/'Unit Mix_vm'!$G$15,0)</f>
        <v>0</v>
      </c>
      <c r="F35" s="37">
        <f ca="1">IFERROR(E35/'Unit Mix_vm'!$I$15,0)</f>
        <v>0</v>
      </c>
      <c r="G35" s="25">
        <f t="shared" ca="1" si="4"/>
        <v>0</v>
      </c>
      <c r="I35" s="21">
        <v>0</v>
      </c>
      <c r="J35" s="20" t="s">
        <v>89</v>
      </c>
      <c r="K35" s="20"/>
      <c r="M35" s="55" t="s">
        <v>86</v>
      </c>
      <c r="U35" s="131" t="s">
        <v>131</v>
      </c>
      <c r="V35" s="138">
        <v>0.45</v>
      </c>
    </row>
    <row r="36" spans="2:22">
      <c r="B36" t="s">
        <v>132</v>
      </c>
      <c r="C36" s="24" t="s">
        <v>88</v>
      </c>
      <c r="D36" s="76">
        <v>50000</v>
      </c>
      <c r="E36" s="37">
        <f>IFERROR(D36/'Unit Mix_vm'!$G$15,0)</f>
        <v>500</v>
      </c>
      <c r="F36" s="37">
        <f>IFERROR(E36/'Unit Mix_vm'!$I$15,0)</f>
        <v>0.28138101803652327</v>
      </c>
      <c r="G36" s="25">
        <f t="shared" ca="1" si="4"/>
        <v>1.306790451372617E-3</v>
      </c>
      <c r="M36" t="s">
        <v>86</v>
      </c>
      <c r="N36" s="36">
        <f ca="1">D86*N37-N23</f>
        <v>0</v>
      </c>
      <c r="U36" s="5"/>
      <c r="V36" s="132"/>
    </row>
    <row r="37" spans="2:22">
      <c r="B37" t="s">
        <v>133</v>
      </c>
      <c r="C37" s="24" t="s">
        <v>88</v>
      </c>
      <c r="D37" s="52">
        <f ca="1">I37*D86</f>
        <v>26400.560215114932</v>
      </c>
      <c r="E37" s="37">
        <f ca="1">IFERROR(D37/'Unit Mix_vm'!$G$15,0)</f>
        <v>264.00560215114933</v>
      </c>
      <c r="F37" s="37">
        <f ca="1">IFERROR(E37/'Unit Mix_vm'!$I$15,0)</f>
        <v>0.14857233020127147</v>
      </c>
      <c r="G37" s="25">
        <f t="shared" ca="1" si="4"/>
        <v>6.8999999999999997E-4</v>
      </c>
      <c r="I37" s="21">
        <v>6.8999999999999997E-4</v>
      </c>
      <c r="J37" s="20" t="s">
        <v>115</v>
      </c>
      <c r="M37" t="s">
        <v>134</v>
      </c>
      <c r="N37" s="44">
        <f>+N24</f>
        <v>0.6</v>
      </c>
      <c r="U37" s="5" t="s">
        <v>135</v>
      </c>
      <c r="V37" s="133">
        <f>N16</f>
        <v>25425000</v>
      </c>
    </row>
    <row r="38" spans="2:22">
      <c r="B38" t="s">
        <v>136</v>
      </c>
      <c r="C38" s="24" t="s">
        <v>88</v>
      </c>
      <c r="D38" s="52">
        <f ca="1">(((V40/100)*V35)*2)+60000</f>
        <v>386576.5332406318</v>
      </c>
      <c r="E38" s="52">
        <f ca="1">IFERROR(D38/'Unit Mix_vm'!$G$15,0)</f>
        <v>3865.7653324063181</v>
      </c>
      <c r="F38" s="52">
        <f ca="1">IFERROR(E38/'Unit Mix_vm'!$I$15,0)</f>
        <v>2.1755059694455769</v>
      </c>
      <c r="G38" s="139">
        <f t="shared" ca="1" si="4"/>
        <v>1.0103490447271735E-2</v>
      </c>
      <c r="M38" t="s">
        <v>137</v>
      </c>
      <c r="N38" s="49">
        <f ca="1">IFERROR('Pro-Forma_vm'!$C$39/SUM(N36,N23),0)</f>
        <v>8.8671556599573029E-2</v>
      </c>
      <c r="U38" s="5" t="s">
        <v>138</v>
      </c>
      <c r="V38" s="133">
        <f t="shared" ref="V38" ca="1" si="5">N17</f>
        <v>7836681.4711810108</v>
      </c>
    </row>
    <row r="39" spans="2:22">
      <c r="B39" t="s">
        <v>139</v>
      </c>
      <c r="C39" s="24" t="s">
        <v>88</v>
      </c>
      <c r="D39" s="52">
        <f>((V45/1000)*V43)+30000</f>
        <v>75248.841640959523</v>
      </c>
      <c r="E39" s="52">
        <f>IFERROR(D39/'Unit Mix_vm'!$G$15,0)</f>
        <v>752.48841640959517</v>
      </c>
      <c r="F39" s="52">
        <f>IFERROR(E39/'Unit Mix_vm'!$I$15,0)</f>
        <v>0.42347191334004625</v>
      </c>
      <c r="G39" s="139">
        <f t="shared" ref="G39" ca="1" si="6">+IFERROR(D39/D$86,0)</f>
        <v>1.9666893546651213E-3</v>
      </c>
      <c r="N39" s="49"/>
      <c r="U39" s="5" t="s">
        <v>140</v>
      </c>
      <c r="V39" s="133">
        <f>'Unit Mix_vm'!G15*'Unit Mix_vm'!J15*12</f>
        <v>3024600</v>
      </c>
    </row>
    <row r="40" spans="2:22">
      <c r="B40" t="s">
        <v>141</v>
      </c>
      <c r="C40" s="24" t="s">
        <v>88</v>
      </c>
      <c r="D40" s="16">
        <v>0</v>
      </c>
      <c r="E40" s="37">
        <f>IFERROR(D40/'Unit Mix_vm'!$G$15,0)</f>
        <v>0</v>
      </c>
      <c r="F40" s="37">
        <f>IFERROR(E40/'Unit Mix_vm'!$I$15,0)</f>
        <v>0</v>
      </c>
      <c r="G40" s="25">
        <f t="shared" ca="1" si="4"/>
        <v>0</v>
      </c>
      <c r="M40" s="55" t="s">
        <v>84</v>
      </c>
      <c r="U40" s="134" t="s">
        <v>65</v>
      </c>
      <c r="V40" s="135">
        <f ca="1">SUM(V37:V39)</f>
        <v>36286281.471181013</v>
      </c>
    </row>
    <row r="41" spans="2:22">
      <c r="B41" t="s">
        <v>142</v>
      </c>
      <c r="C41" s="24" t="s">
        <v>88</v>
      </c>
      <c r="D41" s="76">
        <v>50000</v>
      </c>
      <c r="E41" s="37">
        <f>IFERROR(D41/'Unit Mix_vm'!$G$15,0)</f>
        <v>500</v>
      </c>
      <c r="F41" s="37">
        <f>IFERROR(E41/'Unit Mix_vm'!$I$15,0)</f>
        <v>0.28138101803652327</v>
      </c>
      <c r="G41" s="25">
        <f t="shared" ca="1" si="4"/>
        <v>1.306790451372617E-3</v>
      </c>
      <c r="M41" t="s">
        <v>143</v>
      </c>
      <c r="N41" s="58">
        <f ca="1">D86-N23-N36</f>
        <v>15304672.588472426</v>
      </c>
      <c r="U41" s="4"/>
      <c r="V41" s="4"/>
    </row>
    <row r="42" spans="2:22">
      <c r="B42" t="s">
        <v>144</v>
      </c>
      <c r="C42" s="24" t="s">
        <v>88</v>
      </c>
      <c r="D42" s="16">
        <v>0</v>
      </c>
      <c r="E42" s="37">
        <f>IFERROR(D42/'Unit Mix_vm'!$G$15,0)</f>
        <v>0</v>
      </c>
      <c r="F42" s="37">
        <f>IFERROR(E42/'Unit Mix_vm'!$I$15,0)</f>
        <v>0</v>
      </c>
      <c r="G42" s="25">
        <f t="shared" ca="1" si="4"/>
        <v>0</v>
      </c>
      <c r="U42" s="136" t="s">
        <v>145</v>
      </c>
      <c r="V42" s="137"/>
    </row>
    <row r="43" spans="2:22">
      <c r="B43" s="3" t="s">
        <v>146</v>
      </c>
      <c r="C43" s="3"/>
      <c r="D43" s="13">
        <f ca="1">+SUM(D33:D42)</f>
        <v>1288225.9350967063</v>
      </c>
      <c r="E43" s="13">
        <f ca="1">SUM(E33:E42)</f>
        <v>12882.259350967062</v>
      </c>
      <c r="F43" s="13">
        <f ca="1">SUM(F33:F42)</f>
        <v>7.2496465015712666</v>
      </c>
      <c r="G43" s="26">
        <f ca="1">SUM(G33:G42)</f>
        <v>3.3668827023898729E-2</v>
      </c>
      <c r="M43" t="s">
        <v>147</v>
      </c>
      <c r="N43" s="34">
        <f ca="1">+N41*0.1</f>
        <v>1530467.2588472427</v>
      </c>
      <c r="O43" s="46">
        <f ca="1">+N43/N41</f>
        <v>0.1</v>
      </c>
      <c r="U43" s="5" t="s">
        <v>131</v>
      </c>
      <c r="V43" s="159">
        <v>1.1000000000000001</v>
      </c>
    </row>
    <row r="44" spans="2:22">
      <c r="D44" s="14"/>
      <c r="E44" s="14"/>
      <c r="F44" s="14"/>
      <c r="M44" t="s">
        <v>148</v>
      </c>
      <c r="N44" s="36">
        <f ca="1">+N41-N43</f>
        <v>13774205.329625184</v>
      </c>
      <c r="O44" s="51">
        <f ca="1">1-O43</f>
        <v>0.9</v>
      </c>
      <c r="U44" s="5" t="s">
        <v>149</v>
      </c>
      <c r="V44" s="160">
        <v>5.2499999999999998E-2</v>
      </c>
    </row>
    <row r="45" spans="2:22">
      <c r="B45" s="12" t="s">
        <v>150</v>
      </c>
      <c r="C45" s="12"/>
      <c r="D45" s="15"/>
      <c r="E45" s="15"/>
      <c r="F45" s="15"/>
      <c r="G45" s="12"/>
      <c r="U45" s="161" t="s">
        <v>151</v>
      </c>
      <c r="V45" s="162">
        <f>(('Pro-Forma_vm'!C39*1.03*1.03)/Budget_vm!V44)</f>
        <v>41135310.582690477</v>
      </c>
    </row>
    <row r="46" spans="2:22">
      <c r="B46" t="s">
        <v>152</v>
      </c>
      <c r="C46" s="24" t="s">
        <v>88</v>
      </c>
      <c r="D46" s="52">
        <f>E46*'Unit Mix_vm'!$G$15</f>
        <v>0</v>
      </c>
      <c r="E46" s="76">
        <v>0</v>
      </c>
      <c r="F46" s="37">
        <f>IFERROR(E46/'Unit Mix_vm'!$I$15,0)</f>
        <v>0</v>
      </c>
      <c r="G46" s="25">
        <f t="shared" ref="G46:G63" ca="1" si="7">+IFERROR(D46/D$86,0)</f>
        <v>0</v>
      </c>
    </row>
    <row r="47" spans="2:22">
      <c r="B47" t="s">
        <v>153</v>
      </c>
      <c r="C47" s="24" t="s">
        <v>88</v>
      </c>
      <c r="D47" s="76">
        <v>25000</v>
      </c>
      <c r="E47" s="37">
        <f>IFERROR(D47/'Unit Mix_vm'!$G$15,0)</f>
        <v>250</v>
      </c>
      <c r="F47" s="37">
        <f>IFERROR(E47/'Unit Mix_vm'!$I$15,0)</f>
        <v>0.14069050901826163</v>
      </c>
      <c r="G47" s="25">
        <f t="shared" ca="1" si="7"/>
        <v>6.5339522568630848E-4</v>
      </c>
    </row>
    <row r="48" spans="2:22">
      <c r="B48" t="s">
        <v>154</v>
      </c>
      <c r="C48" s="24" t="s">
        <v>88</v>
      </c>
      <c r="D48" s="76">
        <v>50000</v>
      </c>
      <c r="E48" s="37">
        <f>IFERROR(D48/'Unit Mix_vm'!$G$15,0)</f>
        <v>500</v>
      </c>
      <c r="F48" s="37">
        <f>IFERROR(E48/'Unit Mix_vm'!$I$15,0)</f>
        <v>0.28138101803652327</v>
      </c>
      <c r="G48" s="25">
        <f t="shared" ca="1" si="7"/>
        <v>1.306790451372617E-3</v>
      </c>
    </row>
    <row r="49" spans="2:7">
      <c r="B49" t="s">
        <v>155</v>
      </c>
      <c r="C49" s="24" t="s">
        <v>88</v>
      </c>
      <c r="D49" s="52">
        <f>E49*'Unit Mix_vm'!$G$15</f>
        <v>200000</v>
      </c>
      <c r="E49" s="264">
        <v>2000</v>
      </c>
      <c r="F49" s="37">
        <f>IFERROR(E49/'Unit Mix_vm'!$I$15,0)</f>
        <v>1.1255240721460931</v>
      </c>
      <c r="G49" s="25">
        <f t="shared" ca="1" si="7"/>
        <v>5.2271618054904679E-3</v>
      </c>
    </row>
    <row r="50" spans="2:7">
      <c r="B50" t="s">
        <v>156</v>
      </c>
      <c r="C50" s="24" t="s">
        <v>88</v>
      </c>
      <c r="D50" s="76">
        <v>0</v>
      </c>
      <c r="E50" s="37">
        <f>IFERROR(D50/'Unit Mix_vm'!$G$15,0)</f>
        <v>0</v>
      </c>
      <c r="F50" s="37">
        <f>IFERROR(E50/'Unit Mix_vm'!$I$15,0)</f>
        <v>0</v>
      </c>
      <c r="G50" s="25">
        <f t="shared" ca="1" si="7"/>
        <v>0</v>
      </c>
    </row>
    <row r="51" spans="2:7">
      <c r="B51" t="s">
        <v>157</v>
      </c>
      <c r="C51" s="24" t="s">
        <v>88</v>
      </c>
      <c r="D51" s="76">
        <v>150000</v>
      </c>
      <c r="E51" s="37">
        <f>IFERROR(D51/'Unit Mix_vm'!$G$15,0)</f>
        <v>1500</v>
      </c>
      <c r="F51" s="37">
        <f>IFERROR(E51/'Unit Mix_vm'!$I$15,0)</f>
        <v>0.8441430541095698</v>
      </c>
      <c r="G51" s="25">
        <f t="shared" ca="1" si="7"/>
        <v>3.9203713541178511E-3</v>
      </c>
    </row>
    <row r="52" spans="2:7">
      <c r="B52" t="s">
        <v>158</v>
      </c>
      <c r="C52" s="24" t="s">
        <v>88</v>
      </c>
      <c r="D52" s="76">
        <v>60000</v>
      </c>
      <c r="E52" s="52">
        <f>IFERROR(D52/'Unit Mix_vm'!$G$15,0)</f>
        <v>600</v>
      </c>
      <c r="F52" s="37">
        <f>IFERROR(E52/'Unit Mix_vm'!$I$15,0)</f>
        <v>0.33765722164382789</v>
      </c>
      <c r="G52" s="25">
        <f t="shared" ca="1" si="7"/>
        <v>1.5681485416471404E-3</v>
      </c>
    </row>
    <row r="53" spans="2:7">
      <c r="B53" t="s">
        <v>159</v>
      </c>
      <c r="C53" s="24" t="s">
        <v>88</v>
      </c>
      <c r="D53" s="76">
        <v>300000</v>
      </c>
      <c r="E53" s="52">
        <f>IFERROR(D53/'Unit Mix_vm'!$G$15,0)</f>
        <v>3000</v>
      </c>
      <c r="F53" s="37">
        <f>IFERROR(E53/'Unit Mix_vm'!$I$15,0)</f>
        <v>1.6882861082191396</v>
      </c>
      <c r="G53" s="25">
        <f t="shared" ca="1" si="7"/>
        <v>7.8407427082357022E-3</v>
      </c>
    </row>
    <row r="54" spans="2:7">
      <c r="B54" t="s">
        <v>160</v>
      </c>
      <c r="C54" s="24" t="s">
        <v>88</v>
      </c>
      <c r="D54" s="52">
        <f>E54*'Unit Mix_vm'!$G$15</f>
        <v>675000</v>
      </c>
      <c r="E54" s="76">
        <v>6750</v>
      </c>
      <c r="F54" s="37">
        <f>IFERROR(E54/'Unit Mix_vm'!$I$15,0)</f>
        <v>3.7986437434930638</v>
      </c>
      <c r="G54" s="25">
        <f t="shared" ca="1" si="7"/>
        <v>1.764167109353033E-2</v>
      </c>
    </row>
    <row r="55" spans="2:7">
      <c r="B55" t="s">
        <v>161</v>
      </c>
      <c r="C55" s="24" t="s">
        <v>88</v>
      </c>
      <c r="D55" s="76">
        <v>25000</v>
      </c>
      <c r="E55" s="37">
        <f>IFERROR(D55/'Unit Mix_vm'!$G$15,0)</f>
        <v>250</v>
      </c>
      <c r="F55" s="37">
        <f>IFERROR(E55/'Unit Mix_vm'!$I$15,0)</f>
        <v>0.14069050901826163</v>
      </c>
      <c r="G55" s="25">
        <f t="shared" ca="1" si="7"/>
        <v>6.5339522568630848E-4</v>
      </c>
    </row>
    <row r="56" spans="2:7">
      <c r="B56" t="s">
        <v>162</v>
      </c>
      <c r="C56" s="24" t="s">
        <v>88</v>
      </c>
      <c r="D56" s="76">
        <v>100000</v>
      </c>
      <c r="E56" s="37">
        <f>IFERROR(D56/'Unit Mix_vm'!$G$15,0)</f>
        <v>1000</v>
      </c>
      <c r="F56" s="37">
        <f>IFERROR(E56/'Unit Mix_vm'!$I$15,0)</f>
        <v>0.56276203607304653</v>
      </c>
      <c r="G56" s="25">
        <f t="shared" ca="1" si="7"/>
        <v>2.6135809027452339E-3</v>
      </c>
    </row>
    <row r="57" spans="2:7">
      <c r="B57" t="s">
        <v>163</v>
      </c>
      <c r="C57" s="24" t="s">
        <v>88</v>
      </c>
      <c r="D57" s="76">
        <v>55000</v>
      </c>
      <c r="E57" s="37">
        <f>IFERROR(D57/'Unit Mix_vm'!$G$15,0)</f>
        <v>550</v>
      </c>
      <c r="F57" s="37">
        <f>IFERROR(E57/'Unit Mix_vm'!$I$15,0)</f>
        <v>0.30951911984017555</v>
      </c>
      <c r="G57" s="25">
        <f t="shared" ca="1" si="7"/>
        <v>1.4374694965098786E-3</v>
      </c>
    </row>
    <row r="58" spans="2:7">
      <c r="B58" t="s">
        <v>164</v>
      </c>
      <c r="C58" s="24" t="s">
        <v>88</v>
      </c>
      <c r="D58" s="76">
        <v>0</v>
      </c>
      <c r="E58" s="52">
        <f>IFERROR(D58/'Unit Mix_vm'!$G$15,0)</f>
        <v>0</v>
      </c>
      <c r="F58" s="37">
        <f>IFERROR(E58/'Unit Mix_vm'!$I$15,0)</f>
        <v>0</v>
      </c>
      <c r="G58" s="25">
        <f t="shared" ca="1" si="7"/>
        <v>0</v>
      </c>
    </row>
    <row r="59" spans="2:7">
      <c r="B59" t="s">
        <v>165</v>
      </c>
      <c r="C59" s="24" t="s">
        <v>88</v>
      </c>
      <c r="D59" s="76">
        <v>0</v>
      </c>
      <c r="E59" s="52">
        <f>IFERROR(D59/'Unit Mix_vm'!$G$15,0)</f>
        <v>0</v>
      </c>
      <c r="F59" s="37">
        <f>IFERROR(E59/'Unit Mix_vm'!$I$15,0)</f>
        <v>0</v>
      </c>
      <c r="G59" s="25">
        <f t="shared" ca="1" si="7"/>
        <v>0</v>
      </c>
    </row>
    <row r="60" spans="2:7">
      <c r="B60" t="s">
        <v>166</v>
      </c>
      <c r="C60" s="24" t="s">
        <v>88</v>
      </c>
      <c r="D60" s="76">
        <v>0</v>
      </c>
      <c r="E60" s="52">
        <f>IFERROR(D60/'Unit Mix_vm'!$G$15,0)</f>
        <v>0</v>
      </c>
      <c r="F60" s="37">
        <f>IFERROR(E60/'Unit Mix_vm'!$I$15,0)</f>
        <v>0</v>
      </c>
      <c r="G60" s="25">
        <f t="shared" ca="1" si="7"/>
        <v>0</v>
      </c>
    </row>
    <row r="61" spans="2:7">
      <c r="B61" t="s">
        <v>167</v>
      </c>
      <c r="C61" s="24" t="s">
        <v>88</v>
      </c>
      <c r="D61" s="52">
        <f>E61*'Unit Mix_vm'!$G$15</f>
        <v>15000</v>
      </c>
      <c r="E61" s="76">
        <v>150</v>
      </c>
      <c r="F61" s="37">
        <f>IFERROR(E61/'Unit Mix_vm'!$I$15,0)</f>
        <v>8.4414305410956972E-2</v>
      </c>
      <c r="G61" s="25">
        <f t="shared" ca="1" si="7"/>
        <v>3.9203713541178511E-4</v>
      </c>
    </row>
    <row r="62" spans="2:7">
      <c r="B62" t="s">
        <v>168</v>
      </c>
      <c r="C62" s="24" t="s">
        <v>88</v>
      </c>
      <c r="D62" s="76">
        <v>100000</v>
      </c>
      <c r="E62" s="52">
        <f>IFERROR(D62/'Unit Mix_vm'!$G$15,0)</f>
        <v>1000</v>
      </c>
      <c r="F62" s="37">
        <f>IFERROR(E62/'Unit Mix_vm'!$I$15,0)</f>
        <v>0.56276203607304653</v>
      </c>
      <c r="G62" s="25">
        <f t="shared" ca="1" si="7"/>
        <v>2.6135809027452339E-3</v>
      </c>
    </row>
    <row r="63" spans="2:7">
      <c r="B63" t="s">
        <v>169</v>
      </c>
      <c r="C63" s="24" t="s">
        <v>88</v>
      </c>
      <c r="D63" s="16">
        <v>0</v>
      </c>
      <c r="E63" s="37">
        <f>IFERROR(D63/'Unit Mix_vm'!$G$15,0)</f>
        <v>0</v>
      </c>
      <c r="F63" s="37">
        <f>IFERROR(E63/'Unit Mix_vm'!$I$15,0)</f>
        <v>0</v>
      </c>
      <c r="G63" s="25">
        <f t="shared" ca="1" si="7"/>
        <v>0</v>
      </c>
    </row>
    <row r="64" spans="2:7">
      <c r="B64" s="3" t="s">
        <v>170</v>
      </c>
      <c r="C64" s="3"/>
      <c r="D64" s="13">
        <f>+SUM(D46:D63)</f>
        <v>1755000</v>
      </c>
      <c r="E64" s="13">
        <f>SUM(E46:E63)</f>
        <v>17550</v>
      </c>
      <c r="F64" s="13">
        <f>SUM(F46:F63)</f>
        <v>9.8764737330819656</v>
      </c>
      <c r="G64" s="26">
        <f ca="1">SUM(G46:G63)</f>
        <v>4.5868344843178865E-2</v>
      </c>
    </row>
    <row r="65" spans="2:17">
      <c r="D65" s="14"/>
      <c r="E65" s="14"/>
      <c r="F65" s="14"/>
    </row>
    <row r="66" spans="2:17">
      <c r="B66" s="12" t="s">
        <v>99</v>
      </c>
      <c r="C66" s="12"/>
      <c r="D66" s="15"/>
      <c r="E66" s="15"/>
      <c r="F66" s="15"/>
      <c r="G66" s="12"/>
      <c r="M66" s="258" t="s">
        <v>171</v>
      </c>
      <c r="N66" s="259" t="s">
        <v>36</v>
      </c>
      <c r="O66" s="259" t="s">
        <v>172</v>
      </c>
      <c r="P66" s="259" t="s">
        <v>47</v>
      </c>
      <c r="Q66" s="259" t="s">
        <v>65</v>
      </c>
    </row>
    <row r="67" spans="2:17">
      <c r="B67" t="s">
        <v>173</v>
      </c>
      <c r="C67" s="24" t="s">
        <v>99</v>
      </c>
      <c r="D67" s="31">
        <f>F67*'Unit Mix_vm'!$G$15*'Unit Mix_vm'!$I$15</f>
        <v>20425000</v>
      </c>
      <c r="E67" s="37">
        <f>IFERROR(D67/'Unit Mix_vm'!$G$15,0)</f>
        <v>204250</v>
      </c>
      <c r="F67" s="52">
        <f>O70</f>
        <v>114.94414586791974</v>
      </c>
      <c r="G67" s="25">
        <f t="shared" ref="G67:G71" ca="1" si="8">+IFERROR(D67/D$86,0)</f>
        <v>0.53382389938571406</v>
      </c>
      <c r="M67" t="str">
        <f>CONCATENATE('Unit Mix_vm'!B7,"; ",TEXT('Unit Mix_vm'!E7,"0")," Garage; ",TEXT('Unit Mix_vm'!F7,"0")," Story")</f>
        <v>2 BR / 2.5 BA; 2 Garage; 3 Story</v>
      </c>
      <c r="N67" s="260">
        <f>'Unit Mix_vm'!G7</f>
        <v>0</v>
      </c>
      <c r="O67" s="34">
        <v>128.62068965517241</v>
      </c>
      <c r="P67" s="260">
        <f>'Unit Mix_vm'!I7</f>
        <v>1450</v>
      </c>
      <c r="Q67" s="36">
        <f>O67*P67*N67</f>
        <v>0</v>
      </c>
    </row>
    <row r="68" spans="2:17">
      <c r="B68" t="s">
        <v>174</v>
      </c>
      <c r="C68" s="24" t="s">
        <v>99</v>
      </c>
      <c r="D68" s="31">
        <v>0</v>
      </c>
      <c r="E68" s="37">
        <f>IFERROR(D68/'Unit Mix_vm'!$G$15,0)</f>
        <v>0</v>
      </c>
      <c r="F68" s="37">
        <f>IFERROR(E68/'Unit Mix_vm'!$I$15,0)</f>
        <v>0</v>
      </c>
      <c r="G68" s="25">
        <f t="shared" ca="1" si="8"/>
        <v>0</v>
      </c>
      <c r="M68" t="str">
        <f>CONCATENATE('Unit Mix_vm'!B8,"; ",TEXT('Unit Mix_vm'!E8,"0")," Garage; ",TEXT('Unit Mix_vm'!F8,"0")," Story")</f>
        <v>3 BR / 3.5 BA; 2 Garage; 3 Story</v>
      </c>
      <c r="N68" s="260">
        <f>'Unit Mix_vm'!G8</f>
        <v>65</v>
      </c>
      <c r="O68" s="34">
        <v>119.95177817962627</v>
      </c>
      <c r="P68" s="260">
        <f>'Unit Mix_vm'!I8</f>
        <v>1659</v>
      </c>
      <c r="Q68" s="36">
        <f t="shared" ref="Q68:Q69" si="9">O68*P68*N68</f>
        <v>12935000</v>
      </c>
    </row>
    <row r="69" spans="2:17">
      <c r="B69" t="s">
        <v>175</v>
      </c>
      <c r="C69" s="24" t="s">
        <v>99</v>
      </c>
      <c r="D69" s="16">
        <v>0</v>
      </c>
      <c r="E69" s="37">
        <f>IFERROR(D69/'Unit Mix_vm'!$G$15,0)</f>
        <v>0</v>
      </c>
      <c r="F69" s="37">
        <f>IFERROR(E69/'Unit Mix_vm'!$I$15,0)</f>
        <v>0</v>
      </c>
      <c r="G69" s="25">
        <f t="shared" ca="1" si="8"/>
        <v>0</v>
      </c>
      <c r="M69" t="str">
        <f>CONCATENATE('Unit Mix_vm'!B9,"; ",TEXT('Unit Mix_vm'!E9,"0")," Garage; ",TEXT('Unit Mix_vm'!F9,"0")," Story")</f>
        <v>4 BR / 3.5 BA; 2 Garage; 3 Story</v>
      </c>
      <c r="N69" s="260">
        <f>'Unit Mix_vm'!G9</f>
        <v>35</v>
      </c>
      <c r="O69" s="34">
        <v>107.21442885771543</v>
      </c>
      <c r="P69" s="260">
        <f>'Unit Mix_vm'!I9</f>
        <v>1996</v>
      </c>
      <c r="Q69" s="36">
        <f t="shared" si="9"/>
        <v>7490000</v>
      </c>
    </row>
    <row r="70" spans="2:17">
      <c r="B70" t="s">
        <v>176</v>
      </c>
      <c r="C70" s="24" t="s">
        <v>99</v>
      </c>
      <c r="D70" s="52">
        <f>E70*'Unit Mix_vm'!$G$15</f>
        <v>5000000</v>
      </c>
      <c r="E70" s="76">
        <v>50000</v>
      </c>
      <c r="F70" s="37">
        <f>IFERROR(E70/'Unit Mix_vm'!$I$15,0)</f>
        <v>28.138101803652326</v>
      </c>
      <c r="G70" s="25">
        <f t="shared" ca="1" si="8"/>
        <v>0.1306790451372617</v>
      </c>
      <c r="M70" s="261" t="s">
        <v>177</v>
      </c>
      <c r="N70" s="262">
        <f>SUM(N67:N69)</f>
        <v>100</v>
      </c>
      <c r="O70" s="263">
        <f>Q70/P70/N70</f>
        <v>114.94414586791974</v>
      </c>
      <c r="P70" s="262">
        <f>SUMPRODUCT(P67:P69,N67:N69)/N70</f>
        <v>1776.95</v>
      </c>
      <c r="Q70" s="263">
        <f>SUM(Q67:Q69)</f>
        <v>20425000</v>
      </c>
    </row>
    <row r="71" spans="2:17">
      <c r="B71" t="s">
        <v>178</v>
      </c>
      <c r="C71" s="24" t="s">
        <v>99</v>
      </c>
      <c r="D71" s="16">
        <v>0</v>
      </c>
      <c r="E71" s="37">
        <f>IFERROR(D71/'Unit Mix_vm'!$G$15,0)</f>
        <v>0</v>
      </c>
      <c r="F71" s="37">
        <f>IFERROR(E71/'Unit Mix_vm'!$I$15,0)</f>
        <v>0</v>
      </c>
      <c r="G71" s="25">
        <f t="shared" ca="1" si="8"/>
        <v>0</v>
      </c>
    </row>
    <row r="72" spans="2:17">
      <c r="B72" s="3" t="s">
        <v>179</v>
      </c>
      <c r="C72" s="3"/>
      <c r="D72" s="13">
        <f>+SUM(D67:D71)</f>
        <v>25425000</v>
      </c>
      <c r="E72" s="13">
        <f>SUM(E67:E71)</f>
        <v>254250</v>
      </c>
      <c r="F72" s="13">
        <f>SUM(F67:F71)</f>
        <v>143.08224767157208</v>
      </c>
      <c r="G72" s="26">
        <f ca="1">SUM(G67:G71)</f>
        <v>0.66450294452297576</v>
      </c>
    </row>
    <row r="73" spans="2:17">
      <c r="D73" s="14"/>
      <c r="E73" s="14"/>
      <c r="F73" s="14"/>
    </row>
    <row r="74" spans="2:17">
      <c r="B74" s="12" t="s">
        <v>180</v>
      </c>
      <c r="C74" s="12"/>
      <c r="D74" s="15"/>
      <c r="E74" s="15"/>
      <c r="F74" s="15"/>
      <c r="G74" s="12"/>
    </row>
    <row r="75" spans="2:17">
      <c r="B75" t="s">
        <v>181</v>
      </c>
      <c r="C75" s="24" t="s">
        <v>88</v>
      </c>
      <c r="D75" s="76">
        <v>0</v>
      </c>
      <c r="E75" s="37">
        <f>IFERROR(D75/'Unit Mix_vm'!$G$15,0)</f>
        <v>0</v>
      </c>
      <c r="F75" s="37">
        <f>IFERROR(E75/'Unit Mix_vm'!$I$15,0)</f>
        <v>0</v>
      </c>
      <c r="G75" s="25">
        <f t="shared" ref="G75:G77" ca="1" si="10">+IFERROR(D75/D$86,0)</f>
        <v>0</v>
      </c>
    </row>
    <row r="76" spans="2:17">
      <c r="B76" t="s">
        <v>182</v>
      </c>
      <c r="C76" s="24" t="s">
        <v>88</v>
      </c>
      <c r="D76" s="76">
        <v>0</v>
      </c>
      <c r="E76" s="37">
        <f>IFERROR(D76/'Unit Mix_vm'!$G$15,0)</f>
        <v>0</v>
      </c>
      <c r="F76" s="37">
        <f>IFERROR(E76/'Unit Mix_vm'!$I$15,0)</f>
        <v>0</v>
      </c>
      <c r="G76" s="25">
        <f t="shared" ca="1" si="10"/>
        <v>0</v>
      </c>
    </row>
    <row r="77" spans="2:17">
      <c r="B77" t="s">
        <v>183</v>
      </c>
      <c r="C77" s="24" t="s">
        <v>88</v>
      </c>
      <c r="D77" s="16">
        <v>0</v>
      </c>
      <c r="E77" s="37">
        <f>IFERROR(D77/'Unit Mix_vm'!$G$15,0)</f>
        <v>0</v>
      </c>
      <c r="F77" s="37">
        <f>IFERROR(E77/'Unit Mix_vm'!$I$15,0)</f>
        <v>0</v>
      </c>
      <c r="G77" s="25">
        <f t="shared" ca="1" si="10"/>
        <v>0</v>
      </c>
    </row>
    <row r="78" spans="2:17">
      <c r="B78" s="3" t="s">
        <v>184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17">
      <c r="D79" s="14"/>
      <c r="E79" s="14"/>
      <c r="F79" s="14"/>
    </row>
    <row r="80" spans="2:17">
      <c r="B80" s="12" t="s">
        <v>185</v>
      </c>
      <c r="C80" s="12"/>
      <c r="D80" s="15"/>
      <c r="E80" s="15"/>
      <c r="F80" s="15"/>
      <c r="G80" s="12"/>
    </row>
    <row r="81" spans="2:11">
      <c r="B81" t="s">
        <v>186</v>
      </c>
      <c r="C81" s="24" t="s">
        <v>88</v>
      </c>
      <c r="D81" s="14">
        <f>+I81*D72</f>
        <v>1271250</v>
      </c>
      <c r="E81" s="37">
        <f>IFERROR(D81/'Unit Mix_vm'!$G$15,0)</f>
        <v>12712.5</v>
      </c>
      <c r="F81" s="37">
        <f>IFERROR(E81/'Unit Mix_vm'!$I$15,0)</f>
        <v>7.154112383578604</v>
      </c>
      <c r="G81" s="25">
        <f t="shared" ref="G81:G83" ca="1" si="11">+IFERROR(D81/D$86,0)</f>
        <v>3.3225147226148784E-2</v>
      </c>
      <c r="I81" s="21">
        <v>0.05</v>
      </c>
      <c r="J81" s="20" t="s">
        <v>187</v>
      </c>
      <c r="K81" s="20"/>
    </row>
    <row r="82" spans="2:11">
      <c r="B82" t="s">
        <v>188</v>
      </c>
      <c r="C82" s="24" t="s">
        <v>88</v>
      </c>
      <c r="D82" s="31">
        <f ca="1">+IF(Global!C16="On",0,I82*N17)</f>
        <v>391834.07355905056</v>
      </c>
      <c r="E82" s="37">
        <f ca="1">IFERROR(D82/'Unit Mix_vm'!$G$15,0)</f>
        <v>3918.3407355905056</v>
      </c>
      <c r="F82" s="37">
        <f ca="1">IFERROR(E82/'Unit Mix_vm'!$I$15,0)</f>
        <v>2.2050934103888715</v>
      </c>
      <c r="G82" s="25">
        <f t="shared" ca="1" si="11"/>
        <v>1.0240900516988057E-2</v>
      </c>
      <c r="I82" s="21">
        <v>0.05</v>
      </c>
      <c r="J82" s="20" t="s">
        <v>189</v>
      </c>
      <c r="K82" s="20"/>
    </row>
    <row r="83" spans="2:11">
      <c r="B83" t="s">
        <v>190</v>
      </c>
      <c r="C83" s="24" t="s">
        <v>88</v>
      </c>
      <c r="D83" s="16">
        <v>0</v>
      </c>
      <c r="E83" s="37">
        <f>IFERROR(D83/'Unit Mix_vm'!$G$15,0)</f>
        <v>0</v>
      </c>
      <c r="F83" s="37">
        <f>IFERROR(E83/'Unit Mix_vm'!$I$15,0)</f>
        <v>0</v>
      </c>
      <c r="G83" s="25">
        <f t="shared" ca="1" si="11"/>
        <v>0</v>
      </c>
    </row>
    <row r="84" spans="2:11">
      <c r="B84" s="3" t="s">
        <v>191</v>
      </c>
      <c r="C84" s="3"/>
      <c r="D84" s="13">
        <f ca="1">+SUM(D81:D83)</f>
        <v>1663084.0735590504</v>
      </c>
      <c r="E84" s="13">
        <f ca="1">SUM(E81:E83)</f>
        <v>16630.840735590507</v>
      </c>
      <c r="F84" s="13">
        <f ca="1">SUM(F81:F83)</f>
        <v>9.359205793967476</v>
      </c>
      <c r="G84" s="26">
        <f ca="1">SUM(G81:G83)</f>
        <v>4.3466047743136838E-2</v>
      </c>
    </row>
    <row r="86" spans="2:11">
      <c r="B86" s="17" t="s">
        <v>192</v>
      </c>
      <c r="C86" s="22"/>
      <c r="D86" s="18">
        <f ca="1">+SUM(D84,D78,D72,D64,D43,D30,D24,D8)</f>
        <v>38261681.471180961</v>
      </c>
      <c r="E86" s="19">
        <f ca="1">+SUM(E84,E78,E72,E64,E43,E30,E24,E8)</f>
        <v>382616.81471180968</v>
      </c>
      <c r="F86" s="19">
        <f ca="1">+SUM(F84,F78,F72,F64,F43,F30,F24,F8)</f>
        <v>215.32221768300158</v>
      </c>
      <c r="G86" s="27">
        <f ca="1">+SUM(G84,G78,G72,G64,G43,G30,G24,G8)</f>
        <v>0.99999999999999734</v>
      </c>
    </row>
    <row r="89" spans="2:11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8"/>
  <sheetViews>
    <sheetView showGridLines="0" topLeftCell="A2" zoomScale="90" zoomScaleNormal="90" workbookViewId="0">
      <selection activeCell="B5" sqref="B5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5527 Farrington Rd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193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6" spans="1:20" ht="16.149999999999999">
      <c r="B6" s="166"/>
      <c r="C6" s="167" t="s">
        <v>194</v>
      </c>
      <c r="D6" s="167"/>
    </row>
    <row r="7" spans="1:20">
      <c r="B7" s="168"/>
      <c r="C7" s="169" t="s">
        <v>76</v>
      </c>
      <c r="D7" s="169" t="s">
        <v>195</v>
      </c>
      <c r="F7" s="140" t="s">
        <v>196</v>
      </c>
      <c r="G7" s="141"/>
      <c r="I7" s="140" t="s">
        <v>197</v>
      </c>
      <c r="J7" s="156" t="s">
        <v>64</v>
      </c>
      <c r="K7" s="156" t="s">
        <v>198</v>
      </c>
      <c r="L7" s="156" t="s">
        <v>54</v>
      </c>
      <c r="M7" s="156" t="s">
        <v>199</v>
      </c>
      <c r="N7" s="156" t="s">
        <v>200</v>
      </c>
      <c r="O7" s="156" t="s">
        <v>201</v>
      </c>
      <c r="P7" s="156" t="s">
        <v>202</v>
      </c>
      <c r="Q7" s="156" t="s">
        <v>203</v>
      </c>
      <c r="R7" s="156" t="s">
        <v>204</v>
      </c>
      <c r="S7" s="156" t="s">
        <v>65</v>
      </c>
      <c r="T7" s="157" t="s">
        <v>205</v>
      </c>
    </row>
    <row r="8" spans="1:20">
      <c r="B8" s="68"/>
      <c r="C8" s="64"/>
      <c r="D8" s="57"/>
      <c r="F8" s="56" t="s">
        <v>206</v>
      </c>
      <c r="G8" s="129">
        <f>G9*'Unit Mix_vm'!$G$15</f>
        <v>46855000</v>
      </c>
      <c r="I8" s="239" t="s">
        <v>207</v>
      </c>
      <c r="J8" s="265" t="s">
        <v>64</v>
      </c>
      <c r="K8" s="235">
        <v>1</v>
      </c>
      <c r="L8" s="235">
        <v>2024</v>
      </c>
      <c r="M8" s="235">
        <v>2025</v>
      </c>
      <c r="N8" s="237">
        <v>11168</v>
      </c>
      <c r="O8" s="36">
        <f>N8/$K8</f>
        <v>11168</v>
      </c>
      <c r="P8" s="235">
        <v>0.99129999999999996</v>
      </c>
      <c r="Q8" s="237">
        <v>0</v>
      </c>
      <c r="R8" s="36">
        <f>Q8/$K8</f>
        <v>0</v>
      </c>
      <c r="S8" s="36">
        <f>N8*P8/100+Q8</f>
        <v>110.70838399999998</v>
      </c>
      <c r="T8" s="226">
        <f>S8/$K8</f>
        <v>110.70838399999998</v>
      </c>
    </row>
    <row r="9" spans="1:20">
      <c r="B9" s="68" t="s">
        <v>208</v>
      </c>
      <c r="C9" s="64">
        <f>+D9*'Unit Mix_vm'!G15*12</f>
        <v>3024600</v>
      </c>
      <c r="D9" s="78">
        <f>+'Unit Mix_vm'!J15</f>
        <v>2520.5</v>
      </c>
      <c r="F9" s="56" t="s">
        <v>209</v>
      </c>
      <c r="G9" s="243">
        <v>468550</v>
      </c>
      <c r="I9" s="239" t="s">
        <v>210</v>
      </c>
      <c r="J9" s="265" t="s">
        <v>64</v>
      </c>
      <c r="K9" s="235">
        <v>1</v>
      </c>
      <c r="L9" s="235">
        <v>2019</v>
      </c>
      <c r="M9" s="235">
        <v>2025</v>
      </c>
      <c r="N9" s="237">
        <v>452590</v>
      </c>
      <c r="O9" s="36">
        <f>N9/$K9</f>
        <v>452590</v>
      </c>
      <c r="P9" s="235">
        <v>0.99129999999999996</v>
      </c>
      <c r="Q9" s="237">
        <v>0</v>
      </c>
      <c r="R9" s="36">
        <f>Q9/$K9</f>
        <v>0</v>
      </c>
      <c r="S9" s="36">
        <f t="shared" ref="S9:S10" si="0">N9*P9/100+Q9</f>
        <v>4486.5246699999998</v>
      </c>
      <c r="T9" s="226">
        <f>S9/$K9</f>
        <v>4486.5246699999998</v>
      </c>
    </row>
    <row r="10" spans="1:20">
      <c r="B10" s="68" t="s">
        <v>211</v>
      </c>
      <c r="C10" s="80">
        <f>-D10*C9</f>
        <v>-30246</v>
      </c>
      <c r="D10" s="254">
        <v>0.01</v>
      </c>
      <c r="F10" s="56"/>
      <c r="G10" s="57"/>
      <c r="I10" s="240" t="s">
        <v>212</v>
      </c>
      <c r="J10" s="288" t="s">
        <v>64</v>
      </c>
      <c r="K10" s="241">
        <v>1</v>
      </c>
      <c r="L10" s="241">
        <v>2005</v>
      </c>
      <c r="M10" s="241">
        <v>2025</v>
      </c>
      <c r="N10" s="242">
        <v>484471</v>
      </c>
      <c r="O10" s="223">
        <f>N10/$K10</f>
        <v>484471</v>
      </c>
      <c r="P10" s="241">
        <v>0.99129999999999996</v>
      </c>
      <c r="Q10" s="242">
        <v>0</v>
      </c>
      <c r="R10" s="223">
        <f>Q10/$K10</f>
        <v>0</v>
      </c>
      <c r="S10" s="223">
        <f t="shared" si="0"/>
        <v>4802.5610229999993</v>
      </c>
      <c r="T10" s="232">
        <f>S10/$K10</f>
        <v>4802.5610229999993</v>
      </c>
    </row>
    <row r="11" spans="1:20">
      <c r="B11" s="68" t="s">
        <v>213</v>
      </c>
      <c r="C11" s="80">
        <f>-D11*C9</f>
        <v>-30246</v>
      </c>
      <c r="D11" s="254">
        <f>1/'Unit Mix_vm'!$G$15</f>
        <v>0.01</v>
      </c>
      <c r="F11" s="56" t="s">
        <v>214</v>
      </c>
      <c r="G11" s="238">
        <v>0.6371</v>
      </c>
    </row>
    <row r="12" spans="1:20">
      <c r="B12" s="69" t="s">
        <v>215</v>
      </c>
      <c r="C12" s="65">
        <f>SUM(C9:C11)</f>
        <v>2964108</v>
      </c>
      <c r="D12" s="72">
        <f>IFERROR(C12/'Unit Mix_vm'!$G$15/12,0)</f>
        <v>2470.09</v>
      </c>
      <c r="F12" s="56" t="s">
        <v>216</v>
      </c>
      <c r="G12" s="129">
        <f>G13*'Unit Mix_vm'!$G$15</f>
        <v>22900</v>
      </c>
      <c r="I12" s="285"/>
      <c r="J12" s="284"/>
      <c r="K12" s="286"/>
    </row>
    <row r="13" spans="1:20">
      <c r="B13" s="68"/>
      <c r="C13" s="64"/>
      <c r="D13" s="57"/>
      <c r="F13" s="56" t="s">
        <v>217</v>
      </c>
      <c r="G13" s="243">
        <f>48+181</f>
        <v>229</v>
      </c>
      <c r="I13" s="285"/>
      <c r="P13" s="289"/>
      <c r="Q13" s="287"/>
    </row>
    <row r="14" spans="1:20">
      <c r="B14" s="68" t="s">
        <v>218</v>
      </c>
      <c r="C14" s="64">
        <f>+D14*'Unit Mix_vm'!$G$15*12</f>
        <v>307020</v>
      </c>
      <c r="D14" s="129">
        <f>$N$58</f>
        <v>255.85</v>
      </c>
      <c r="F14" s="56" t="s">
        <v>219</v>
      </c>
      <c r="G14" s="254">
        <v>0</v>
      </c>
      <c r="I14" s="123" t="s">
        <v>220</v>
      </c>
      <c r="J14" s="178"/>
      <c r="K14" s="124"/>
      <c r="L14" s="124" t="s">
        <v>221</v>
      </c>
      <c r="M14" s="124" t="s">
        <v>65</v>
      </c>
      <c r="N14" s="125" t="s">
        <v>77</v>
      </c>
      <c r="P14" s="283"/>
      <c r="Q14" s="281"/>
    </row>
    <row r="15" spans="1:20">
      <c r="B15" s="68" t="s">
        <v>222</v>
      </c>
      <c r="C15" s="79">
        <v>0</v>
      </c>
      <c r="D15" s="71">
        <f>IFERROR(C15/'Unit Mix_vm'!$G$15/12,0)</f>
        <v>0</v>
      </c>
      <c r="F15" s="56"/>
      <c r="G15" s="57"/>
      <c r="I15" s="189" t="s">
        <v>223</v>
      </c>
      <c r="J15" s="190"/>
      <c r="K15" s="191"/>
      <c r="L15" s="191"/>
      <c r="M15" s="191"/>
      <c r="N15" s="192"/>
      <c r="P15" s="283"/>
      <c r="R15" s="282"/>
    </row>
    <row r="16" spans="1:20">
      <c r="B16" s="69" t="s">
        <v>224</v>
      </c>
      <c r="C16" s="65">
        <f>SUM(C14:C15,C12)</f>
        <v>3271128</v>
      </c>
      <c r="D16" s="72">
        <f>IFERROR(C16/'Unit Mix_vm'!$G$15/12,0)</f>
        <v>2725.94</v>
      </c>
      <c r="F16" s="56" t="s">
        <v>225</v>
      </c>
      <c r="G16" s="82">
        <f>(G11*G8/100+G12)*(1-G14)</f>
        <v>321413.20500000002</v>
      </c>
      <c r="I16" s="179" t="s">
        <v>226</v>
      </c>
      <c r="J16" s="173"/>
      <c r="K16" s="174"/>
      <c r="L16" s="172">
        <v>4000</v>
      </c>
      <c r="M16" s="180">
        <f>L16*12</f>
        <v>48000</v>
      </c>
      <c r="N16" s="181">
        <f>M16/'Unit Mix_vm'!$G$15</f>
        <v>480</v>
      </c>
      <c r="Q16" s="282"/>
      <c r="R16" s="282"/>
    </row>
    <row r="17" spans="2:14">
      <c r="B17" s="68"/>
      <c r="C17" s="64"/>
      <c r="D17" s="57"/>
      <c r="F17" s="56" t="s">
        <v>227</v>
      </c>
      <c r="G17" s="82">
        <f>+G16/'Unit Mix_vm'!$G$15</f>
        <v>3214.1320500000002</v>
      </c>
      <c r="I17" s="179" t="s">
        <v>228</v>
      </c>
      <c r="J17" s="173"/>
      <c r="K17" s="174"/>
      <c r="L17" s="172">
        <v>450</v>
      </c>
      <c r="M17" s="180">
        <f t="shared" ref="M17" si="1">L17*12</f>
        <v>5400</v>
      </c>
      <c r="N17" s="181">
        <f>M17/'Unit Mix_vm'!$G$15</f>
        <v>54</v>
      </c>
    </row>
    <row r="18" spans="2:14">
      <c r="B18" s="68" t="s">
        <v>56</v>
      </c>
      <c r="C18" s="73">
        <f>-D18*SUM(C9,C14)</f>
        <v>-166581</v>
      </c>
      <c r="D18" s="254">
        <v>0.05</v>
      </c>
      <c r="F18" s="56"/>
      <c r="G18" s="57"/>
      <c r="I18" s="179" t="s">
        <v>229</v>
      </c>
      <c r="J18" s="173"/>
      <c r="K18" s="174"/>
      <c r="L18" s="172">
        <v>125</v>
      </c>
      <c r="M18" s="180">
        <f>L18*12</f>
        <v>1500</v>
      </c>
      <c r="N18" s="181">
        <f>M18/'Unit Mix_vm'!$G$15</f>
        <v>15</v>
      </c>
    </row>
    <row r="19" spans="2:14">
      <c r="B19" s="68" t="s">
        <v>230</v>
      </c>
      <c r="C19" s="73">
        <f>-D19*SUM(C9,C14,C18)</f>
        <v>0</v>
      </c>
      <c r="D19" s="254">
        <v>0</v>
      </c>
      <c r="F19" s="56" t="s">
        <v>231</v>
      </c>
      <c r="G19" s="83">
        <v>0</v>
      </c>
      <c r="I19" s="179" t="s">
        <v>232</v>
      </c>
      <c r="J19" s="173"/>
      <c r="K19" s="174"/>
      <c r="L19" s="182">
        <v>0</v>
      </c>
      <c r="M19" s="180">
        <f>L19*'Unit Mix_vm'!$G$15*12</f>
        <v>0</v>
      </c>
      <c r="N19" s="181">
        <f>M19/'Unit Mix_vm'!$G$15</f>
        <v>0</v>
      </c>
    </row>
    <row r="20" spans="2:14">
      <c r="B20" s="69" t="s">
        <v>233</v>
      </c>
      <c r="C20" s="65">
        <f>SUM(C18:C19,C16)</f>
        <v>3104547</v>
      </c>
      <c r="D20" s="255">
        <f>IFERROR(C20/#REF!/12,0)</f>
        <v>0</v>
      </c>
      <c r="F20" s="56"/>
      <c r="G20" s="57"/>
      <c r="I20" s="179" t="s">
        <v>234</v>
      </c>
      <c r="J20" s="173"/>
      <c r="K20" s="174"/>
      <c r="L20" s="182">
        <v>35</v>
      </c>
      <c r="M20" s="180">
        <f>L20*'Unit Mix_vm'!$G$15*12</f>
        <v>42000</v>
      </c>
      <c r="N20" s="181">
        <f>M20/'Unit Mix_vm'!$G$15</f>
        <v>420</v>
      </c>
    </row>
    <row r="21" spans="2:14">
      <c r="B21" s="68"/>
      <c r="C21" s="64"/>
      <c r="D21" s="57"/>
      <c r="F21" s="56" t="s">
        <v>235</v>
      </c>
      <c r="G21" s="84">
        <f>+G16+G19</f>
        <v>321413.20500000002</v>
      </c>
      <c r="I21" s="179" t="s">
        <v>236</v>
      </c>
      <c r="J21" s="173"/>
      <c r="K21" s="174"/>
      <c r="L21" s="172">
        <v>0</v>
      </c>
      <c r="M21" s="180">
        <f>L21*12</f>
        <v>0</v>
      </c>
      <c r="N21" s="181">
        <f>M21/'Unit Mix_vm'!$G$15</f>
        <v>0</v>
      </c>
    </row>
    <row r="22" spans="2:14">
      <c r="B22" s="68" t="s">
        <v>237</v>
      </c>
      <c r="C22" s="73">
        <f>D22*C20</f>
        <v>85375.042499999996</v>
      </c>
      <c r="D22" s="254">
        <v>2.75E-2</v>
      </c>
      <c r="F22" s="59" t="s">
        <v>238</v>
      </c>
      <c r="G22" s="85">
        <f>+G21/'Unit Mix_vm'!$G$15</f>
        <v>3214.1320500000002</v>
      </c>
      <c r="I22" s="179" t="s">
        <v>239</v>
      </c>
      <c r="J22" s="173"/>
      <c r="K22" s="174"/>
      <c r="L22" s="172">
        <v>0</v>
      </c>
      <c r="M22" s="180">
        <f>L22*12</f>
        <v>0</v>
      </c>
      <c r="N22" s="181">
        <f>M22/'Unit Mix_vm'!$G$15</f>
        <v>0</v>
      </c>
    </row>
    <row r="23" spans="2:14">
      <c r="B23" s="120" t="s">
        <v>240</v>
      </c>
      <c r="C23" s="130">
        <f>G21</f>
        <v>321413.20500000002</v>
      </c>
      <c r="D23" s="82">
        <f>IFERROR(C23/'Unit Mix_vm'!$G$15,0)</f>
        <v>3214.1320500000002</v>
      </c>
      <c r="I23" s="179" t="s">
        <v>241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Mix_vm'!$G$15</f>
        <v>0</v>
      </c>
    </row>
    <row r="24" spans="2:14">
      <c r="B24" s="68" t="s">
        <v>242</v>
      </c>
      <c r="C24" s="73">
        <f>+D24*'Unit Mix_vm'!$G$15</f>
        <v>75000</v>
      </c>
      <c r="D24" s="83">
        <v>750</v>
      </c>
      <c r="I24" s="187" t="s">
        <v>243</v>
      </c>
      <c r="J24" s="175"/>
      <c r="K24" s="176"/>
      <c r="L24" s="176"/>
      <c r="M24" s="177">
        <f>SUM(M16:M23)</f>
        <v>96900</v>
      </c>
      <c r="N24" s="188">
        <f>M24/'Unit Mix_vm'!$G$15</f>
        <v>969</v>
      </c>
    </row>
    <row r="25" spans="2:14">
      <c r="B25" s="68" t="s">
        <v>244</v>
      </c>
      <c r="C25" s="73">
        <f>+D25*'Unit Mix_vm'!$G$15</f>
        <v>0</v>
      </c>
      <c r="D25" s="83">
        <v>0</v>
      </c>
      <c r="I25" s="189" t="s">
        <v>245</v>
      </c>
      <c r="J25" s="190"/>
      <c r="K25" s="191"/>
      <c r="L25" s="191"/>
      <c r="M25" s="191"/>
      <c r="N25" s="192"/>
    </row>
    <row r="26" spans="2:14">
      <c r="B26" s="68" t="s">
        <v>246</v>
      </c>
      <c r="C26" s="73">
        <f>+D26*'Unit Mix_vm'!$G$15</f>
        <v>0</v>
      </c>
      <c r="D26" s="83">
        <v>0</v>
      </c>
      <c r="I26" s="179" t="s">
        <v>247</v>
      </c>
      <c r="J26" s="173"/>
      <c r="K26" s="174"/>
      <c r="L26" s="182">
        <v>75</v>
      </c>
      <c r="M26" s="180">
        <f>L26*'Unit Mix_vm'!$G$15*12*5%</f>
        <v>4500</v>
      </c>
      <c r="N26" s="181">
        <f>M26/'Unit Mix_vm'!$G$15</f>
        <v>45</v>
      </c>
    </row>
    <row r="27" spans="2:14">
      <c r="B27" s="68" t="s">
        <v>245</v>
      </c>
      <c r="C27" s="73">
        <f>+D27*'Unit Mix_vm'!$G$15</f>
        <v>84000</v>
      </c>
      <c r="D27" s="129">
        <f>N32</f>
        <v>840</v>
      </c>
      <c r="I27" s="179" t="s">
        <v>248</v>
      </c>
      <c r="J27" s="173"/>
      <c r="K27" s="174"/>
      <c r="L27" s="182">
        <v>125</v>
      </c>
      <c r="M27" s="180">
        <f>L27*12</f>
        <v>1500</v>
      </c>
      <c r="N27" s="181">
        <f>M27/'Unit Mix_vm'!$G$15</f>
        <v>15</v>
      </c>
    </row>
    <row r="28" spans="2:14">
      <c r="B28" s="68" t="s">
        <v>223</v>
      </c>
      <c r="C28" s="73">
        <f>+D28*'Unit Mix_vm'!$G$15</f>
        <v>96900</v>
      </c>
      <c r="D28" s="129">
        <f>N24</f>
        <v>969</v>
      </c>
      <c r="I28" s="179" t="s">
        <v>249</v>
      </c>
      <c r="J28" s="173"/>
      <c r="K28" s="174"/>
      <c r="L28" s="172">
        <v>0</v>
      </c>
      <c r="M28" s="180">
        <f>L28*12</f>
        <v>0</v>
      </c>
      <c r="N28" s="181">
        <f>M28/'Unit Mix_vm'!$G$15</f>
        <v>0</v>
      </c>
    </row>
    <row r="29" spans="2:14">
      <c r="B29" s="68" t="s">
        <v>250</v>
      </c>
      <c r="C29" s="73">
        <f>+D29*'Unit Mix_vm'!$G$15</f>
        <v>30000</v>
      </c>
      <c r="D29" s="83">
        <v>300</v>
      </c>
      <c r="I29" s="179" t="s">
        <v>251</v>
      </c>
      <c r="J29" s="173"/>
      <c r="K29" s="174"/>
      <c r="L29" s="182">
        <v>35</v>
      </c>
      <c r="M29" s="180">
        <f>L29*'Unit Mix_vm'!$G$15*12</f>
        <v>42000</v>
      </c>
      <c r="N29" s="181">
        <f>M29/'Unit Mix_vm'!$G$15</f>
        <v>420</v>
      </c>
    </row>
    <row r="30" spans="2:14">
      <c r="B30" s="68" t="s">
        <v>252</v>
      </c>
      <c r="C30" s="73">
        <f>+D30*'Unit Mix_vm'!$G$15</f>
        <v>25000</v>
      </c>
      <c r="D30" s="83">
        <v>250</v>
      </c>
      <c r="I30" s="179" t="s">
        <v>253</v>
      </c>
      <c r="J30" s="173"/>
      <c r="K30" s="174"/>
      <c r="L30" s="182">
        <v>30</v>
      </c>
      <c r="M30" s="180">
        <f>L30*'Unit Mix_vm'!$G$15*12</f>
        <v>36000</v>
      </c>
      <c r="N30" s="181">
        <f>M30/'Unit Mix_vm'!$G$15</f>
        <v>360</v>
      </c>
    </row>
    <row r="31" spans="2:14">
      <c r="B31" s="68" t="s">
        <v>254</v>
      </c>
      <c r="C31" s="73">
        <f>+D31*'Unit Mix_vm'!$G$15</f>
        <v>0</v>
      </c>
      <c r="D31" s="83">
        <v>0</v>
      </c>
      <c r="I31" s="179" t="s">
        <v>241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Mix_vm'!$G$15</f>
        <v>0</v>
      </c>
    </row>
    <row r="32" spans="2:14">
      <c r="B32" s="68" t="s">
        <v>255</v>
      </c>
      <c r="C32" s="73">
        <f>+D32*'Unit Mix_vm'!$G$15</f>
        <v>45000</v>
      </c>
      <c r="D32" s="83">
        <v>450</v>
      </c>
      <c r="I32" s="183" t="s">
        <v>256</v>
      </c>
      <c r="J32" s="184"/>
      <c r="K32" s="185"/>
      <c r="L32" s="185"/>
      <c r="M32" s="171">
        <f>SUM(M26:M31)</f>
        <v>84000</v>
      </c>
      <c r="N32" s="186">
        <f>M32/'Unit Mix_vm'!$G$15</f>
        <v>840</v>
      </c>
    </row>
    <row r="33" spans="2:15">
      <c r="B33" s="68" t="s">
        <v>257</v>
      </c>
      <c r="C33" s="73">
        <f>+D33*'Unit Mix_vm'!$G$15</f>
        <v>266225.03999999998</v>
      </c>
      <c r="D33" s="129">
        <f>N46</f>
        <v>2662.2503999999999</v>
      </c>
      <c r="F33" s="30"/>
      <c r="I33" s="189" t="s">
        <v>257</v>
      </c>
      <c r="J33" s="190"/>
      <c r="K33" s="191"/>
      <c r="L33" s="191"/>
      <c r="M33" s="191"/>
      <c r="N33" s="192"/>
    </row>
    <row r="34" spans="2:15">
      <c r="B34" s="68" t="s">
        <v>258</v>
      </c>
      <c r="C34" s="73">
        <f>+D34*'Unit Mix_vm'!$G$15</f>
        <v>25000</v>
      </c>
      <c r="D34" s="83">
        <v>250</v>
      </c>
      <c r="I34" s="193" t="s">
        <v>259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Mix_vm'!$G$15</f>
        <v>728</v>
      </c>
    </row>
    <row r="35" spans="2:15">
      <c r="B35" s="68" t="s">
        <v>260</v>
      </c>
      <c r="C35" s="73">
        <f>+D35*'Unit Mix_vm'!$G$15</f>
        <v>15000</v>
      </c>
      <c r="D35" s="83">
        <v>150</v>
      </c>
      <c r="I35" s="198" t="s">
        <v>261</v>
      </c>
      <c r="J35" s="173"/>
      <c r="K35" s="172"/>
      <c r="L35" s="199">
        <v>0.2</v>
      </c>
      <c r="M35" s="196">
        <f>M34*L35</f>
        <v>14560</v>
      </c>
      <c r="N35" s="197">
        <f>M35/'Unit Mix_vm'!$G$15</f>
        <v>145.6</v>
      </c>
    </row>
    <row r="36" spans="2:15">
      <c r="B36" s="68" t="s">
        <v>262</v>
      </c>
      <c r="C36" s="73">
        <f>+D36*'Unit Mix_vm'!$G$15</f>
        <v>0</v>
      </c>
      <c r="D36" s="83">
        <v>0</v>
      </c>
      <c r="I36" s="193" t="s">
        <v>263</v>
      </c>
      <c r="J36" s="173"/>
      <c r="K36" s="194">
        <v>0</v>
      </c>
      <c r="L36" s="195">
        <v>0</v>
      </c>
      <c r="M36" s="196">
        <f>K36*L36</f>
        <v>0</v>
      </c>
      <c r="N36" s="197">
        <f>M36/'Unit Mix_vm'!$G$15</f>
        <v>0</v>
      </c>
    </row>
    <row r="37" spans="2:15">
      <c r="B37" s="69" t="s">
        <v>264</v>
      </c>
      <c r="C37" s="65">
        <f>+SUM(C22:C36)</f>
        <v>1068913.2875000001</v>
      </c>
      <c r="D37" s="255">
        <f>IFERROR(C37/'Unit Mix_vm'!$G$15,0)</f>
        <v>10689.132875000001</v>
      </c>
      <c r="I37" s="198" t="s">
        <v>261</v>
      </c>
      <c r="J37" s="173"/>
      <c r="K37" s="172"/>
      <c r="L37" s="199">
        <v>0</v>
      </c>
      <c r="M37" s="196">
        <f>M36*L37</f>
        <v>0</v>
      </c>
      <c r="N37" s="197">
        <f>M37/'Unit Mix_vm'!$G$15</f>
        <v>0</v>
      </c>
    </row>
    <row r="38" spans="2:15">
      <c r="B38" s="56"/>
      <c r="C38" s="64"/>
      <c r="D38" s="57"/>
      <c r="I38" s="193" t="s">
        <v>265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Mix_vm'!$G$15</f>
        <v>208</v>
      </c>
    </row>
    <row r="39" spans="2:15">
      <c r="B39" s="68" t="s">
        <v>266</v>
      </c>
      <c r="C39" s="64">
        <f>+C20-C37</f>
        <v>2035633.7124999999</v>
      </c>
      <c r="D39" s="71">
        <f>IFERROR(C39/#REF!,0)</f>
        <v>0</v>
      </c>
      <c r="I39" s="193" t="s">
        <v>267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Mix_vm'!$G$15</f>
        <v>0</v>
      </c>
    </row>
    <row r="40" spans="2:15">
      <c r="B40" s="70" t="s">
        <v>268</v>
      </c>
      <c r="C40" s="66">
        <f>IFERROR(C39/C20,0)</f>
        <v>0.65569428084032866</v>
      </c>
      <c r="D40" s="57"/>
      <c r="I40" s="193" t="s">
        <v>269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Mix_vm'!$G$15</f>
        <v>665.6</v>
      </c>
    </row>
    <row r="41" spans="2:15">
      <c r="B41" s="56"/>
      <c r="C41" s="56"/>
      <c r="D41" s="57"/>
      <c r="I41" s="198" t="s">
        <v>261</v>
      </c>
      <c r="J41" s="173"/>
      <c r="K41" s="172"/>
      <c r="L41" s="199">
        <v>0.1</v>
      </c>
      <c r="M41" s="196">
        <f>M40*L41</f>
        <v>6656</v>
      </c>
      <c r="N41" s="197">
        <f>M41/'Unit Mix_vm'!$G$15</f>
        <v>66.56</v>
      </c>
    </row>
    <row r="42" spans="2:15">
      <c r="B42" s="62" t="s">
        <v>270</v>
      </c>
      <c r="C42" s="67">
        <f ca="1">C39/Budget_vm!D86</f>
        <v>5.3202933959743966E-2</v>
      </c>
      <c r="D42" s="63"/>
      <c r="I42" s="193" t="s">
        <v>271</v>
      </c>
      <c r="J42" s="173"/>
      <c r="K42" s="194">
        <v>0</v>
      </c>
      <c r="L42" s="195">
        <v>0</v>
      </c>
      <c r="M42" s="196">
        <f>K42*L42</f>
        <v>0</v>
      </c>
      <c r="N42" s="197">
        <f>M42/'Unit Mix_vm'!$G$15</f>
        <v>0</v>
      </c>
    </row>
    <row r="43" spans="2:15">
      <c r="I43" s="193" t="s">
        <v>272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Mix_vm'!$G$15</f>
        <v>0</v>
      </c>
    </row>
    <row r="44" spans="2:15">
      <c r="I44" s="193" t="s">
        <v>273</v>
      </c>
      <c r="J44" s="173"/>
      <c r="K44" s="172"/>
      <c r="L44" s="203">
        <v>250</v>
      </c>
      <c r="M44" s="196">
        <f>L44*'Unit Mix_vm'!G15</f>
        <v>25000</v>
      </c>
      <c r="N44" s="197">
        <f>M44/'Unit Mix_vm'!$G$15</f>
        <v>250</v>
      </c>
    </row>
    <row r="45" spans="2:15">
      <c r="I45" s="193" t="s">
        <v>274</v>
      </c>
      <c r="J45" s="173"/>
      <c r="K45" s="172"/>
      <c r="L45" s="199">
        <v>0.28999999999999998</v>
      </c>
      <c r="M45" s="196">
        <f>SUM(M34:M44)*L45</f>
        <v>59849.039999999994</v>
      </c>
      <c r="N45" s="197">
        <f>M45/'Unit Mix_vm'!$G$15</f>
        <v>598.49039999999991</v>
      </c>
    </row>
    <row r="46" spans="2:15">
      <c r="I46" s="200" t="s">
        <v>275</v>
      </c>
      <c r="J46" s="184"/>
      <c r="K46" s="184"/>
      <c r="L46" s="184"/>
      <c r="M46" s="201">
        <f>SUM(M34:M45)</f>
        <v>266225.03999999998</v>
      </c>
      <c r="N46" s="202">
        <f>M46/'Unit Mix_vm'!$G$15</f>
        <v>2662.2503999999999</v>
      </c>
      <c r="O46" s="233"/>
    </row>
    <row r="48" spans="2:15">
      <c r="I48" s="189" t="s">
        <v>218</v>
      </c>
      <c r="J48" s="224" t="s">
        <v>37</v>
      </c>
      <c r="K48" s="224" t="s">
        <v>36</v>
      </c>
      <c r="L48" s="224" t="s">
        <v>221</v>
      </c>
      <c r="M48" s="224" t="s">
        <v>65</v>
      </c>
      <c r="N48" s="225" t="s">
        <v>276</v>
      </c>
    </row>
    <row r="49" spans="9:16">
      <c r="I49" s="193" t="s">
        <v>277</v>
      </c>
      <c r="J49" s="245">
        <v>1</v>
      </c>
      <c r="K49" s="246">
        <f>'Unit Mix_vm'!$G$15</f>
        <v>100</v>
      </c>
      <c r="L49" s="182">
        <v>65</v>
      </c>
      <c r="M49" s="180">
        <f>L49*K49*J49*12</f>
        <v>78000</v>
      </c>
      <c r="N49" s="247">
        <f>M49/'Unit Mix_vm'!$G$15/12</f>
        <v>65</v>
      </c>
      <c r="O49" s="36"/>
      <c r="P49" s="234"/>
    </row>
    <row r="50" spans="9:16">
      <c r="I50" s="193" t="s">
        <v>278</v>
      </c>
      <c r="J50" s="245">
        <v>1</v>
      </c>
      <c r="K50" s="246">
        <f>'Unit Mix_vm'!$G$15</f>
        <v>100</v>
      </c>
      <c r="L50" s="182">
        <v>70</v>
      </c>
      <c r="M50" s="180">
        <f t="shared" ref="M50:M51" si="4">L50*K50*J50*12</f>
        <v>84000</v>
      </c>
      <c r="N50" s="247">
        <f>M50/'Unit Mix_vm'!$G$15/12</f>
        <v>70</v>
      </c>
    </row>
    <row r="51" spans="9:16">
      <c r="I51" s="193" t="s">
        <v>232</v>
      </c>
      <c r="J51" s="245">
        <v>1</v>
      </c>
      <c r="K51" s="246">
        <f>'Unit Mix_vm'!$G$15</f>
        <v>100</v>
      </c>
      <c r="L51" s="182">
        <v>30</v>
      </c>
      <c r="M51" s="180">
        <f t="shared" si="4"/>
        <v>36000</v>
      </c>
      <c r="N51" s="247">
        <f>M51/'Unit Mix_vm'!$G$15/12</f>
        <v>30</v>
      </c>
    </row>
    <row r="52" spans="9:16">
      <c r="I52" s="193" t="s">
        <v>226</v>
      </c>
      <c r="J52" s="245">
        <v>1</v>
      </c>
      <c r="K52" s="246">
        <f>'Unit Mix_vm'!$G$15</f>
        <v>100</v>
      </c>
      <c r="L52" s="182">
        <v>35</v>
      </c>
      <c r="M52" s="180">
        <f t="shared" ref="M52" si="5">L52*K52*J52*12</f>
        <v>42000</v>
      </c>
      <c r="N52" s="247">
        <f>M52/'Unit Mix_vm'!$G$15/12</f>
        <v>35</v>
      </c>
    </row>
    <row r="53" spans="9:16">
      <c r="I53" s="193" t="s">
        <v>228</v>
      </c>
      <c r="J53" s="245">
        <v>1</v>
      </c>
      <c r="K53" s="246">
        <f>'Unit Mix_vm'!$G$15</f>
        <v>100</v>
      </c>
      <c r="L53" s="182">
        <v>5</v>
      </c>
      <c r="M53" s="180">
        <f>L53*K53*J53*12</f>
        <v>6000</v>
      </c>
      <c r="N53" s="247">
        <f>M53/'Unit Mix_vm'!$G$15/12</f>
        <v>5</v>
      </c>
    </row>
    <row r="54" spans="9:16">
      <c r="I54" s="193" t="s">
        <v>251</v>
      </c>
      <c r="J54" s="245">
        <v>0.95</v>
      </c>
      <c r="K54" s="246">
        <f>'Unit Mix_vm'!$G$15</f>
        <v>100</v>
      </c>
      <c r="L54" s="248">
        <f>$L$29</f>
        <v>35</v>
      </c>
      <c r="M54" s="180">
        <f>L54*K54*J54*12</f>
        <v>39900</v>
      </c>
      <c r="N54" s="247">
        <f>M54/'Unit Mix_vm'!$G$15/12</f>
        <v>33.25</v>
      </c>
    </row>
    <row r="55" spans="9:16">
      <c r="I55" s="193" t="s">
        <v>279</v>
      </c>
      <c r="J55" s="245">
        <v>1</v>
      </c>
      <c r="K55" s="249">
        <v>32</v>
      </c>
      <c r="L55" s="250">
        <v>55</v>
      </c>
      <c r="M55" s="180">
        <f>L55*K55*J55*12</f>
        <v>21120</v>
      </c>
      <c r="N55" s="247">
        <f>M55/'Unit Mix_vm'!$G$15/12</f>
        <v>17.599999999999998</v>
      </c>
    </row>
    <row r="56" spans="9:16">
      <c r="I56" s="193" t="s">
        <v>280</v>
      </c>
      <c r="J56" s="245">
        <v>1</v>
      </c>
      <c r="K56" s="249">
        <v>0</v>
      </c>
      <c r="L56" s="250">
        <v>200</v>
      </c>
      <c r="M56" s="180">
        <f>L56*K56*J56*12</f>
        <v>0</v>
      </c>
      <c r="N56" s="247">
        <f>M56/'Unit Mix_vm'!$G$15/12</f>
        <v>0</v>
      </c>
    </row>
    <row r="57" spans="9:16">
      <c r="I57" s="193" t="s">
        <v>281</v>
      </c>
      <c r="J57" s="245">
        <v>1</v>
      </c>
      <c r="K57" s="246">
        <f>'Unit Mix_vm'!$G$15</f>
        <v>100</v>
      </c>
      <c r="L57" s="182">
        <v>0</v>
      </c>
      <c r="M57" s="180">
        <f t="shared" ref="M57" si="6">L57*K57*J57*12</f>
        <v>0</v>
      </c>
      <c r="N57" s="247">
        <f>M57/'Unit Mix_vm'!$G$15/12</f>
        <v>0</v>
      </c>
    </row>
    <row r="58" spans="9:16">
      <c r="I58" s="227" t="s">
        <v>282</v>
      </c>
      <c r="J58" s="228"/>
      <c r="K58" s="229"/>
      <c r="L58" s="230"/>
      <c r="M58" s="128">
        <f>SUM(M49:M57)</f>
        <v>307020</v>
      </c>
      <c r="N58" s="231">
        <f>M58/'Unit Mix_vm'!$G$15/12</f>
        <v>255.85</v>
      </c>
    </row>
  </sheetData>
  <hyperlinks>
    <hyperlink ref="J8" r:id="rId1" location="/search/237697" xr:uid="{03448FDB-E6C7-47B4-A25A-95F8CC31EAC4}"/>
    <hyperlink ref="J9" r:id="rId2" location="/search/223828" xr:uid="{8CC33EA5-6B7E-4968-8E63-CBEC6EAB2C7C}"/>
    <hyperlink ref="J10" r:id="rId3" location="/search/204397" xr:uid="{CA261CEB-B4B2-4770-882D-959E6CF7F1BD}"/>
  </hyperlinks>
  <pageMargins left="0.7" right="0.7" top="0.75" bottom="0.75" header="0.3" footer="0.3"/>
  <pageSetup orientation="portrait" verticalDpi="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284</v>
      </c>
    </row>
    <row r="3" spans="2:2" ht="130.9">
      <c r="B3" s="77" t="s">
        <v>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5527 Farrington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286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287</v>
      </c>
      <c r="D6" s="89" t="s">
        <v>288</v>
      </c>
      <c r="E6" s="89" t="s">
        <v>289</v>
      </c>
      <c r="F6" s="89" t="s">
        <v>290</v>
      </c>
      <c r="G6" s="89" t="s">
        <v>291</v>
      </c>
      <c r="H6" s="89" t="s">
        <v>292</v>
      </c>
      <c r="I6" s="89" t="s">
        <v>293</v>
      </c>
      <c r="J6" s="89" t="s">
        <v>294</v>
      </c>
      <c r="K6" s="89" t="s">
        <v>295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296</v>
      </c>
      <c r="C8"/>
      <c r="D8"/>
      <c r="E8"/>
      <c r="F8"/>
      <c r="G8"/>
      <c r="H8"/>
      <c r="I8"/>
      <c r="J8"/>
      <c r="K8"/>
      <c r="L8"/>
      <c r="M8" s="111" t="s">
        <v>297</v>
      </c>
      <c r="N8" s="111" t="s">
        <v>297</v>
      </c>
      <c r="O8" s="111" t="s">
        <v>297</v>
      </c>
      <c r="P8" s="111" t="s">
        <v>297</v>
      </c>
      <c r="Q8" s="111" t="s">
        <v>297</v>
      </c>
      <c r="R8" s="111" t="s">
        <v>297</v>
      </c>
      <c r="S8" s="111" t="s">
        <v>297</v>
      </c>
      <c r="T8" s="111" t="s">
        <v>297</v>
      </c>
      <c r="U8" s="111" t="s">
        <v>297</v>
      </c>
      <c r="V8" s="111" t="s">
        <v>297</v>
      </c>
      <c r="W8" s="111" t="s">
        <v>297</v>
      </c>
      <c r="X8" s="111" t="s">
        <v>297</v>
      </c>
      <c r="Y8" s="111" t="s">
        <v>297</v>
      </c>
      <c r="Z8" s="111" t="s">
        <v>297</v>
      </c>
      <c r="AA8" s="111" t="s">
        <v>297</v>
      </c>
      <c r="AB8" s="111" t="s">
        <v>297</v>
      </c>
      <c r="AC8" s="111" t="s">
        <v>297</v>
      </c>
      <c r="AD8" s="111" t="s">
        <v>297</v>
      </c>
      <c r="AE8" s="111" t="s">
        <v>297</v>
      </c>
      <c r="AF8" s="111" t="s">
        <v>297</v>
      </c>
      <c r="AG8" s="111" t="s">
        <v>297</v>
      </c>
      <c r="AH8" s="111" t="s">
        <v>297</v>
      </c>
      <c r="AI8" s="111" t="s">
        <v>297</v>
      </c>
      <c r="AJ8" s="111" t="s">
        <v>297</v>
      </c>
      <c r="AK8" s="111" t="s">
        <v>297</v>
      </c>
      <c r="AL8" s="111" t="s">
        <v>297</v>
      </c>
      <c r="AM8" s="111" t="s">
        <v>297</v>
      </c>
      <c r="AN8" s="111" t="s">
        <v>297</v>
      </c>
      <c r="AO8" s="111" t="s">
        <v>297</v>
      </c>
      <c r="AP8" s="111" t="s">
        <v>297</v>
      </c>
      <c r="AQ8" s="111" t="s">
        <v>297</v>
      </c>
      <c r="AR8" s="111" t="s">
        <v>297</v>
      </c>
      <c r="AS8" s="111" t="s">
        <v>297</v>
      </c>
      <c r="AT8" s="111" t="s">
        <v>297</v>
      </c>
      <c r="AU8" s="111" t="s">
        <v>297</v>
      </c>
      <c r="AV8" s="111" t="s">
        <v>297</v>
      </c>
      <c r="AW8" s="111" t="s">
        <v>297</v>
      </c>
      <c r="AX8" s="111" t="s">
        <v>297</v>
      </c>
      <c r="AY8" s="111" t="s">
        <v>297</v>
      </c>
      <c r="AZ8" s="111" t="s">
        <v>297</v>
      </c>
      <c r="BA8" s="111" t="s">
        <v>297</v>
      </c>
      <c r="BB8" s="111" t="s">
        <v>297</v>
      </c>
      <c r="BC8" s="111" t="s">
        <v>297</v>
      </c>
      <c r="BD8" s="111" t="s">
        <v>297</v>
      </c>
      <c r="BE8" s="111" t="s">
        <v>297</v>
      </c>
      <c r="BF8" s="111" t="s">
        <v>297</v>
      </c>
      <c r="BG8" s="111" t="s">
        <v>297</v>
      </c>
      <c r="BH8" s="111" t="s">
        <v>297</v>
      </c>
      <c r="BI8" s="111" t="s">
        <v>297</v>
      </c>
      <c r="BJ8" s="111" t="s">
        <v>297</v>
      </c>
      <c r="BK8" s="111" t="s">
        <v>297</v>
      </c>
      <c r="BL8" s="111" t="s">
        <v>297</v>
      </c>
      <c r="BM8" s="111" t="s">
        <v>297</v>
      </c>
      <c r="BN8" s="111" t="s">
        <v>297</v>
      </c>
      <c r="BO8" s="111" t="s">
        <v>297</v>
      </c>
      <c r="BP8" s="111" t="s">
        <v>297</v>
      </c>
      <c r="BQ8" s="111" t="s">
        <v>297</v>
      </c>
      <c r="BR8" s="111" t="s">
        <v>297</v>
      </c>
      <c r="BS8" s="111" t="s">
        <v>297</v>
      </c>
      <c r="BT8" s="111" t="s">
        <v>297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298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299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300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90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92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301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82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87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91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93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94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97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98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100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102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104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105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106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108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109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114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117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302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126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128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303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132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133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136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141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142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144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152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155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154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153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156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157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158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159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160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161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162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163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164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165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166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167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168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304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173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174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175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305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306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181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182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183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186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188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190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103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307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5527 Farrington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308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309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310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311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296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312</v>
      </c>
      <c r="C11" s="96" t="s">
        <v>313</v>
      </c>
      <c r="D11" s="96" t="s">
        <v>314</v>
      </c>
      <c r="E11" s="96" t="s">
        <v>84</v>
      </c>
      <c r="F11" s="96" t="s">
        <v>315</v>
      </c>
      <c r="G11" s="96" t="s">
        <v>316</v>
      </c>
      <c r="H11" s="97" t="s">
        <v>317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318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319</v>
      </c>
      <c r="I12"/>
      <c r="J12" s="113" t="s">
        <v>320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321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319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322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319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323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324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319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325</v>
      </c>
      <c r="C18" s="74" t="s">
        <v>326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327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328</v>
      </c>
      <c r="C20" s="23" t="s">
        <v>329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330</v>
      </c>
      <c r="C21" s="50">
        <v>1</v>
      </c>
      <c r="D21" s="24" t="s">
        <v>331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332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333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333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334</v>
      </c>
      <c r="C30" s="74" t="s">
        <v>76</v>
      </c>
      <c r="D30" s="74" t="s">
        <v>37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316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315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65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335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336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337</v>
      </c>
      <c r="C38" s="74" t="s">
        <v>76</v>
      </c>
      <c r="D38" s="74" t="s">
        <v>77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338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339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128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340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341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281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342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343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344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345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346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198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347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348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316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315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86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349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350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346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351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352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353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347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86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354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355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356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357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358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359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360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357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361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358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362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363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364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365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355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366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361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362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367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368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355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369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364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368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370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371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370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372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322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373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374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375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65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376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348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316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315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349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353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377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355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378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379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380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357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358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381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382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357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383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358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384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385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386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357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358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387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388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357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383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358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384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389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390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391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392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355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378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379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393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383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384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394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395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383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384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396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397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398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399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400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390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397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401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402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403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391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398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404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402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355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378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379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405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406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383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364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368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370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407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408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409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410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411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355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378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379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412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406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383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364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368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370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413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407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414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415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416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417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355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378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379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418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419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420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421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422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322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373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374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375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423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424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65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425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322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373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374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375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423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424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65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377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322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373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374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375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423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424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65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317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411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417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421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65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426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427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428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429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430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431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432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307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5527 Farrington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433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309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310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311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296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434</v>
      </c>
      <c r="D11" s="96" t="s">
        <v>435</v>
      </c>
      <c r="E11" s="96" t="s">
        <v>436</v>
      </c>
      <c r="F11" s="96" t="s">
        <v>437</v>
      </c>
      <c r="G11" s="97" t="s">
        <v>438</v>
      </c>
      <c r="H11"/>
      <c r="I11" s="114" t="s">
        <v>439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318</v>
      </c>
      <c r="C12" s="49">
        <f>IFERROR(XIRR(C39:BJ39,C6:BJ6,0),0)</f>
        <v>0</v>
      </c>
      <c r="D12" s="49">
        <f>IFERROR(XIRR(C81:BJ81,C6:BJ6,0),0)</f>
        <v>0</v>
      </c>
      <c r="E12" s="49" t="s">
        <v>319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440</v>
      </c>
      <c r="J12"/>
      <c r="K12" s="36" t="e">
        <f>-SUM(C36:BJ36)</f>
        <v>#REF!</v>
      </c>
      <c r="L12"/>
      <c r="M12" s="113" t="s">
        <v>320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321</v>
      </c>
      <c r="C13" s="119">
        <f>IFERROR(C15/C14,0)</f>
        <v>0</v>
      </c>
      <c r="D13" s="119">
        <f t="shared" ref="D13:G13" si="2">IFERROR(D15/D14,0)</f>
        <v>0</v>
      </c>
      <c r="E13" s="119" t="s">
        <v>319</v>
      </c>
      <c r="F13" s="119">
        <f t="shared" si="2"/>
        <v>0</v>
      </c>
      <c r="G13" s="119">
        <f t="shared" si="2"/>
        <v>0</v>
      </c>
      <c r="H13" s="98"/>
      <c r="I13" t="s">
        <v>438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322</v>
      </c>
      <c r="C14" s="36">
        <f>-SUM(C32:BJ32)</f>
        <v>0</v>
      </c>
      <c r="D14" s="36">
        <f>-SUM(C77:BJ77)</f>
        <v>0</v>
      </c>
      <c r="E14" s="36" t="s">
        <v>319</v>
      </c>
      <c r="F14" s="36">
        <f>-SUM(C104:BJ104)</f>
        <v>0</v>
      </c>
      <c r="G14" s="36">
        <f>-SUM(C98:BJ98)</f>
        <v>0</v>
      </c>
      <c r="H14" s="36"/>
      <c r="I14" s="3" t="s">
        <v>441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323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324</v>
      </c>
      <c r="C16" s="36" t="e">
        <f>+C15-C14</f>
        <v>#REF!</v>
      </c>
      <c r="D16" s="36" t="e">
        <f>+D15-D14</f>
        <v>#REF!</v>
      </c>
      <c r="E16" s="36" t="s">
        <v>319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442</v>
      </c>
      <c r="C18" s="74" t="s">
        <v>76</v>
      </c>
      <c r="D18" s="74" t="s">
        <v>37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438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437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65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443</v>
      </c>
      <c r="C23" s="74" t="s">
        <v>326</v>
      </c>
      <c r="D23" s="74" t="s">
        <v>444</v>
      </c>
      <c r="E23" s="74" t="s">
        <v>445</v>
      </c>
      <c r="F23" s="74" t="s">
        <v>446</v>
      </c>
      <c r="G23" s="74" t="s">
        <v>447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448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348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449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450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349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451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452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453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353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454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455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355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356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357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358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359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456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357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383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358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384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457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364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355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458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383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384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459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368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355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460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461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410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462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322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364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368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370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65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463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322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364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368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370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65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454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322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364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368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370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65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464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322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465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466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65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467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322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465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466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65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426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468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469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65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430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431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432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307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5527 Farrington Rd</v>
      </c>
      <c r="B1"/>
      <c r="C1"/>
      <c r="D1"/>
      <c r="E1"/>
      <c r="F1" s="5"/>
    </row>
    <row r="2" spans="1:7" ht="20.45" thickBot="1">
      <c r="A2" s="8" t="s">
        <v>470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309</v>
      </c>
      <c r="C6" s="11" t="s">
        <v>471</v>
      </c>
      <c r="D6" s="11" t="s">
        <v>116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Props1.xml><?xml version="1.0" encoding="utf-8"?>
<ds:datastoreItem xmlns:ds="http://schemas.openxmlformats.org/officeDocument/2006/customXml" ds:itemID="{49082EFF-04D5-4BF3-9159-A11267B5C375}"/>
</file>

<file path=customXml/itemProps2.xml><?xml version="1.0" encoding="utf-8"?>
<ds:datastoreItem xmlns:ds="http://schemas.openxmlformats.org/officeDocument/2006/customXml" ds:itemID="{925EE4B4-E307-41EE-9FB0-2152597E229F}"/>
</file>

<file path=customXml/itemProps3.xml><?xml version="1.0" encoding="utf-8"?>
<ds:datastoreItem xmlns:ds="http://schemas.openxmlformats.org/officeDocument/2006/customXml" ds:itemID="{646F55AF-1E59-4690-9D1F-04A969E618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/>
  <cp:revision/>
  <dcterms:created xsi:type="dcterms:W3CDTF">2024-03-25T15:55:55Z</dcterms:created>
  <dcterms:modified xsi:type="dcterms:W3CDTF">2026-04-27T19:35:16Z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