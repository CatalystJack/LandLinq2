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72 Sneads Ferry 38/"/>
    </mc:Choice>
  </mc:AlternateContent>
  <xr:revisionPtr revIDLastSave="594" documentId="8_{C636B367-136C-42F5-A464-60C149847126}" xr6:coauthVersionLast="47" xr6:coauthVersionMax="47" xr10:uidLastSave="{6753B2AB-720F-4C94-8A1D-7FC8FA6C2C30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9" l="1"/>
  <c r="P9" i="39"/>
  <c r="O10" i="39"/>
  <c r="P10" i="39" s="1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T10" i="39"/>
  <c r="U10" i="39" s="1"/>
  <c r="S10" i="39"/>
  <c r="M55" i="39"/>
  <c r="M54" i="39"/>
  <c r="L53" i="39"/>
  <c r="T9" i="39" l="1"/>
  <c r="U9" i="39" s="1"/>
  <c r="S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T8" i="39"/>
  <c r="U8" i="39" s="1"/>
  <c r="S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tc={A4DD92F3-F9B8-4686-B6E5-F5E20EAC6630}</author>
  </authors>
  <commentList>
    <comment ref="O8" authorId="0" shapeId="0" xr:uid="{7A6B00A0-A664-4957-A3EC-0E363CA464C0}">
      <text>
        <r>
          <rPr>
            <b/>
            <sz val="9"/>
            <color indexed="81"/>
            <rFont val="Tahoma"/>
            <family val="2"/>
          </rPr>
          <t>Analyst:</t>
        </r>
        <r>
          <rPr>
            <sz val="9"/>
            <color indexed="81"/>
            <rFont val="Tahoma"/>
            <family val="2"/>
          </rPr>
          <t xml:space="preserve">
2026 AVs are $56,979,648 which is a signifcant jump from previous year.</t>
        </r>
      </text>
    </comment>
    <comment ref="O9" authorId="0" shapeId="0" xr:uid="{9CCE2761-6D07-48EE-8790-12970D02A85D}">
      <text>
        <r>
          <rPr>
            <b/>
            <sz val="9"/>
            <color indexed="81"/>
            <rFont val="Tahoma"/>
            <family val="2"/>
          </rPr>
          <t xml:space="preserve">Analyst:
</t>
        </r>
        <r>
          <rPr>
            <sz val="9"/>
            <color indexed="81"/>
            <rFont val="Tahoma"/>
            <family val="2"/>
          </rPr>
          <t>2026 AVs are $64,703,232 which is a signifcant jump from previous year.</t>
        </r>
      </text>
    </comment>
    <comment ref="O10" authorId="0" shapeId="0" xr:uid="{21FF8D8F-869A-482E-B258-72115442EED6}">
      <text>
        <r>
          <rPr>
            <sz val="9"/>
            <color indexed="81"/>
            <rFont val="Tahoma"/>
            <family val="2"/>
          </rPr>
          <t xml:space="preserve">Analyst:
2026 AVs are $43,645,536 which is a signifcant jump from previous year.
</t>
        </r>
      </text>
    </comment>
    <comment ref="D24" authorId="1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<sst xmlns="http://schemas.openxmlformats.org/spreadsheetml/2006/main" count="911" uniqueCount="467">
  <si>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</si>
  <si>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</si>
  <si>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</si>
  <si>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</si>
  <si>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</si>
  <si>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</si>
  <si>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</si>
  <si>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</si>
  <si>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</si>
  <si>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</si>
  <si>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</si>
  <si>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</si>
  <si>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</si>
  <si>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</si>
  <si>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</si>
  <si>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</si>
  <si>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</si>
  <si>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</si>
  <si>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</si>
  <si>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</si>
  <si>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</si>
  <si>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</si>
  <si>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SF</t>
  </si>
  <si>
    <t>Rent</t>
  </si>
  <si>
    <t>Rent PSF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</si>
  <si>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</si>
  <si>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</si>
  <si>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</si>
  <si>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</si>
  <si>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</si>
  <si>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</si>
  <si>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</si>
  <si>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</si>
  <si>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</si>
  <si>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</si>
  <si>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TH</t>
  </si>
  <si>
    <t>Link to Website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</si>
  <si>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</si>
  <si>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</si>
  <si>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</si>
  <si>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</si>
  <si>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</si>
  <si>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</si>
  <si>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</si>
  <si>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</si>
  <si>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</si>
  <si>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</si>
  <si>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</si>
  <si>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</si>
  <si>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</si>
  <si>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</si>
  <si>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</si>
  <si>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</si>
  <si>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</si>
  <si>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</si>
  <si>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</si>
  <si>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</si>
  <si>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</si>
  <si>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</si>
  <si>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</si>
  <si>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</si>
  <si>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</si>
  <si>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</si>
  <si>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</si>
  <si>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</si>
  <si>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</si>
  <si>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</si>
  <si>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</si>
  <si>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</si>
  <si>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</si>
  <si>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</si>
  <si>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</si>
  <si>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</si>
  <si>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</si>
  <si>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</si>
  <si>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</si>
  <si>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</si>
  <si>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</si>
  <si>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</si>
  <si>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</si>
  <si>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</si>
  <si>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</si>
  <si>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</si>
  <si>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</si>
  <si>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</si>
  <si>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</si>
  <si>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</si>
  <si>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</si>
  <si>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</si>
  <si>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</si>
  <si>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</si>
  <si>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</si>
  <si>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</si>
  <si>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</si>
  <si>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</si>
  <si>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</si>
  <si>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</si>
  <si>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</si>
  <si>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</si>
  <si>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</si>
  <si>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</si>
  <si>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</si>
  <si>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</si>
  <si>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</si>
  <si>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</si>
  <si>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</si>
  <si>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</si>
  <si>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</si>
  <si>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</si>
  <si>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</si>
  <si>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</si>
  <si>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</si>
  <si>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</si>
  <si>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</si>
  <si>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</si>
  <si>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</si>
  <si>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</si>
  <si>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</si>
  <si>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</si>
  <si>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</si>
  <si>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</si>
  <si>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</si>
  <si>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</si>
  <si>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</si>
  <si>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</si>
  <si>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</si>
  <si>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</si>
  <si>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</si>
  <si>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</si>
  <si>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</si>
  <si>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</si>
  <si>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</si>
  <si>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</si>
  <si>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</si>
  <si>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</si>
  <si>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</si>
  <si>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</si>
  <si>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</si>
  <si>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</si>
  <si>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</si>
  <si>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</si>
  <si>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</si>
  <si>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</si>
  <si>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</si>
  <si>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</si>
  <si>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</si>
  <si>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</si>
  <si>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</si>
  <si>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</si>
  <si>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</si>
  <si>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</si>
  <si>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</si>
  <si>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</si>
  <si>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</si>
  <si>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</si>
  <si>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</si>
  <si>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</si>
  <si>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</si>
  <si>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</si>
  <si>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</si>
  <si>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</si>
  <si>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</si>
  <si>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</si>
  <si>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</si>
  <si>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</si>
  <si>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</si>
  <si>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</si>
  <si>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</si>
  <si>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</si>
  <si>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</si>
  <si>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</si>
  <si>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</si>
  <si>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</si>
  <si>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</si>
  <si>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</si>
  <si>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</si>
  <si>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</si>
  <si>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</si>
  <si>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</si>
  <si>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</si>
  <si>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</si>
  <si>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</si>
  <si>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</si>
  <si>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</si>
  <si>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</si>
  <si>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</si>
  <si>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</si>
  <si>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</si>
  <si>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</si>
  <si>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</si>
  <si>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</si>
  <si>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</si>
  <si>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</si>
  <si>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</si>
  <si>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</si>
  <si>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</si>
  <si>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</si>
  <si>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</si>
  <si>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</si>
  <si>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</si>
  <si>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</si>
  <si>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</si>
  <si>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</si>
  <si>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</si>
  <si>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</si>
  <si>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</si>
  <si>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</si>
  <si>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</si>
  <si>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</si>
  <si>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</si>
  <si>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</si>
  <si>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</si>
  <si>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</si>
  <si>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</si>
  <si>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</si>
  <si>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</si>
  <si>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</si>
  <si>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</si>
  <si>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</si>
  <si>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</si>
  <si>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</si>
  <si>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</si>
  <si>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</si>
  <si>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</si>
  <si>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</si>
  <si>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</si>
  <si>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</si>
  <si>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</si>
  <si>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</si>
  <si>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</si>
  <si>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</si>
  <si>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</si>
  <si>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</si>
  <si>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</si>
  <si>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</si>
  <si>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</si>
  <si>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</si>
  <si>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</si>
  <si>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</si>
  <si>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</si>
  <si>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</si>
  <si>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</si>
  <si>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</si>
  <si>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</si>
  <si>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</si>
  <si>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</si>
  <si>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</si>
  <si>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</si>
  <si>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</si>
  <si>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</si>
  <si>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</si>
  <si>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</si>
  <si>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</si>
  <si>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</si>
  <si>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</si>
  <si>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</si>
  <si>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</si>
  <si>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</si>
  <si>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</si>
  <si>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</si>
  <si>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</si>
  <si>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</si>
  <si>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</si>
  <si>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</si>
  <si>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</si>
  <si>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</si>
  <si>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</si>
  <si>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</si>
  <si>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</si>
  <si>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</si>
  <si>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</si>
  <si>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</si>
  <si>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</si>
  <si>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</si>
  <si>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</si>
  <si>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</si>
  <si>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</si>
  <si>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</si>
  <si>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</si>
  <si>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</si>
  <si>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</si>
  <si>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</si>
  <si>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</si>
  <si>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</si>
  <si>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</si>
  <si>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</si>
  <si>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</si>
  <si>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</si>
  <si>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</si>
  <si>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</si>
  <si>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</si>
  <si>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</si>
  <si>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</si>
  <si>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</si>
  <si>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</si>
  <si>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</si>
  <si>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</si>
  <si>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</si>
  <si>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</si>
  <si>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</si>
  <si>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</si>
  <si>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</si>
  <si>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</si>
  <si>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</si>
  <si>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</si>
  <si>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</si>
  <si>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</si>
  <si>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</si>
  <si>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</si>
  <si>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</si>
  <si>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</si>
  <si>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</si>
  <si>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</si>
  <si>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</si>
  <si>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</si>
  <si>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</si>
  <si>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</si>
  <si>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</si>
  <si>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</si>
  <si>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</si>
  <si>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</si>
  <si>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</si>
  <si>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</si>
  <si>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</si>
  <si>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</si>
  <si>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</si>
  <si>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</si>
  <si>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</si>
  <si>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</si>
  <si>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</si>
  <si>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</si>
  <si>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</si>
  <si>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</si>
  <si>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</si>
  <si>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</si>
  <si>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</si>
  <si>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</si>
  <si>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</si>
  <si>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</si>
  <si>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</si>
  <si>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</si>
  <si>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</si>
  <si>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</si>
  <si>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</si>
  <si>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</si>
  <si>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</si>
  <si>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</si>
  <si>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</si>
  <si>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</si>
  <si>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</si>
  <si>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</si>
  <si>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</si>
  <si>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</si>
  <si>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</si>
  <si>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</si>
  <si>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</si>
  <si>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</si>
  <si>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</si>
  <si>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</si>
  <si>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</si>
  <si>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</si>
  <si>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</si>
  <si>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</si>
  <si>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</si>
  <si>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</si>
  <si>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</si>
  <si>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</si>
  <si>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</si>
  <si>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</si>
  <si>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</si>
  <si>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</si>
  <si>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</si>
  <si>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</si>
  <si>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</si>
  <si>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</si>
  <si>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</si>
  <si>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</si>
  <si>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</si>
  <si>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</si>
  <si>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</si>
  <si>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</si>
  <si>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</si>
  <si>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</si>
  <si>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</si>
  <si>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</si>
  <si>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</si>
  <si>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</si>
  <si>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</si>
  <si>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</si>
  <si>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</si>
  <si>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</si>
  <si>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</si>
  <si>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</si>
  <si>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</si>
  <si>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</si>
  <si>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</si>
  <si>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</si>
  <si>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</si>
  <si>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</si>
  <si>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</si>
  <si>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</si>
  <si>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</si>
  <si>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</si>
  <si>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</si>
  <si>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</si>
  <si>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</si>
  <si>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</si>
  <si>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</si>
  <si>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</si>
  <si>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</si>
  <si>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</si>
  <si>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</si>
  <si>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</si>
  <si>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</si>
  <si>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</si>
  <si>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</si>
  <si>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</si>
  <si>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</si>
  <si>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</si>
  <si>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</si>
  <si>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</si>
  <si>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</si>
  <si>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</si>
  <si>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</si>
  <si>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</si>
  <si>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</si>
  <si>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</si>
  <si>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</si>
  <si>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</si>
  <si>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</si>
  <si>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</si>
  <si>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Sneads Ferry 38</t>
  </si>
  <si>
    <t>1) Comet Sneads Ferry</t>
  </si>
  <si>
    <t>2) Topsail North Shore</t>
  </si>
  <si>
    <t>Mutifamily</t>
  </si>
  <si>
    <t>Comet Sneads Ferry Llc</t>
  </si>
  <si>
    <t>West Shore Topsail Llc</t>
  </si>
  <si>
    <t>Comet Sneads Ferry</t>
  </si>
  <si>
    <t>Topsail North Shore</t>
  </si>
  <si>
    <t>2025 AV</t>
  </si>
  <si>
    <t>Underwriting Notes &amp; Assumptions</t>
  </si>
  <si>
    <t>Rent Comps</t>
  </si>
  <si>
    <t>2. Unit counts were not available so they are kept blank.</t>
  </si>
  <si>
    <t>Expenses</t>
  </si>
  <si>
    <t>Taxes</t>
  </si>
  <si>
    <t>Question to the team Catalyst</t>
  </si>
  <si>
    <t>Onslow</t>
  </si>
  <si>
    <t>Account Number</t>
  </si>
  <si>
    <t>491558000</t>
  </si>
  <si>
    <t>3) Hawthorne At Stillwater</t>
  </si>
  <si>
    <t>Hm Stillwater Llc</t>
  </si>
  <si>
    <t>1. We have used the Nearest comp (0.5miles) as the subject property to find Rent comps from Hello Data and added the screenshot for the rent comps as well.</t>
  </si>
  <si>
    <t>3. Since the rent comps under our filters were not available on HelloData, we had eased the filter but comp 3 is older vintage (2013).</t>
  </si>
  <si>
    <t>485270000</t>
  </si>
  <si>
    <t>Hawthorne At Stillwater</t>
  </si>
  <si>
    <t>3-Story Surface-Parked</t>
  </si>
  <si>
    <t>Sneads Ferry</t>
  </si>
  <si>
    <t>NC 210 Hwy</t>
  </si>
  <si>
    <t>Sneads Ferry, NC</t>
  </si>
  <si>
    <t>1. We've taken the millage rate of the nearest comp as tax bill for our property was not available.</t>
  </si>
  <si>
    <t>2. We've also added a note for Assessed Values in the ProForma Tax comps table to show the difference between 2025 and 2026 AVs.</t>
  </si>
  <si>
    <t>2. We have taken the 3 story (Costal) assumption for Insurance costs.</t>
  </si>
  <si>
    <t>3. Parcel or Tax bill was not available for our property. We've used the millage rate for our nearest comp (0.5 miles).</t>
  </si>
  <si>
    <t>Jacksonville</t>
  </si>
  <si>
    <t>490015762</t>
  </si>
  <si>
    <t>4. We've added the Account numbers alongside the Tax bill links as the links aren't directing to the bill.</t>
  </si>
  <si>
    <t>1. We have changed the Impact Fees assumption to $4250/unit as per the new prompt shared by Austin. We have used Gemini as we had the Pro subscription for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</si>
</sst>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8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49" fontId="7" fillId="10" borderId="0" xfId="0" applyNumberFormat="1" applyFont="1" applyFill="1" applyAlignment="1">
      <alignment horizontal="center"/>
    </xf>
    <xf numFmtId="49" fontId="7" fillId="10" borderId="8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164" fontId="7" fillId="10" borderId="0" xfId="1" applyNumberFormat="1" applyFont="1" applyFill="1"/>
    <xf numFmtId="0" fontId="2" fillId="0" borderId="0" xfId="0" applyFont="1" applyAlignment="1">
      <alignment horizontal="center"/>
    </xf>
    <xf numFmtId="5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5" fillId="10" borderId="8" xfId="3" applyFill="1" applyBorder="1" applyAlignment="1">
      <alignment horizontal="center"/>
    </xf>
    <xf numFmtId="164" fontId="7" fillId="12" borderId="0" xfId="1" applyNumberFormat="1" applyFont="1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211893</xdr:colOff>
      <xdr:row>32</xdr:row>
      <xdr:rowOff>152470</xdr:rowOff>
    </xdr:from>
    <xdr:to>
      <xdr:col>21</xdr:col>
      <xdr:colOff>346364</xdr:colOff>
      <xdr:row>58</xdr:row>
      <xdr:rowOff>134216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72401-8856-2E2A-05F8-FE3BB4A0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6911" y="6193052"/>
          <a:ext cx="11328944" cy="46550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awthorneatstillwater.com/" TargetMode="External"/><Relationship Id="rId2" Type="http://schemas.openxmlformats.org/officeDocument/2006/relationships/hyperlink" Target="https://www.topsailnorthshore.com/" TargetMode="External"/><Relationship Id="rId1" Type="http://schemas.openxmlformats.org/officeDocument/2006/relationships/hyperlink" Target="https://www.cometsneadsferry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ax.onslowcountync.gov/ITSPublicON/TaxBillSearch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tax.onslowcountync.gov/ITSPublicON/TaxBillSearch" TargetMode="External"/><Relationship Id="rId1" Type="http://schemas.openxmlformats.org/officeDocument/2006/relationships/hyperlink" Target="https://tax.onslowcountync.gov/ITSPublicON/TaxBillSearch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tabSelected="1" zoomScale="90" zoomScaleNormal="90" workbookViewId="0">
      <selection activeCell="B3" sqref="B3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3" s="142" customFormat="1" ht="25.8" x14ac:dyDescent="0.5">
      <c r="A1" s="145" t="str">
        <f>TEXT(C7,"")</f>
        <v>Sneads Ferry 38</v>
      </c>
    </row>
    <row r="2" spans="1:3" s="142" customFormat="1" ht="19.8" x14ac:dyDescent="0.4">
      <c r="A2" s="146" t="s">
        <v>0</v>
      </c>
    </row>
    <row r="6" spans="1:3" x14ac:dyDescent="0.3">
      <c r="B6" s="123" t="s">
        <v>0</v>
      </c>
      <c r="C6" s="163"/>
    </row>
    <row r="7" spans="1:3" x14ac:dyDescent="0.3">
      <c r="B7" s="56" t="s">
        <v>1</v>
      </c>
      <c r="C7" s="257" t="s">
        <v>431</v>
      </c>
    </row>
    <row r="8" spans="1:3" x14ac:dyDescent="0.3">
      <c r="B8" s="56" t="s">
        <v>2</v>
      </c>
      <c r="C8" s="164" t="s">
        <v>455</v>
      </c>
    </row>
    <row r="9" spans="1:3" x14ac:dyDescent="0.3">
      <c r="B9" s="56" t="s">
        <v>3</v>
      </c>
      <c r="C9" s="257" t="s">
        <v>463</v>
      </c>
    </row>
    <row r="10" spans="1:3" x14ac:dyDescent="0.3">
      <c r="B10" s="56" t="s">
        <v>4</v>
      </c>
      <c r="C10" s="257" t="s">
        <v>456</v>
      </c>
    </row>
    <row r="11" spans="1:3" x14ac:dyDescent="0.3">
      <c r="B11" s="56" t="s">
        <v>5</v>
      </c>
      <c r="C11" s="257" t="s">
        <v>457</v>
      </c>
    </row>
    <row r="12" spans="1:3" x14ac:dyDescent="0.3">
      <c r="B12" s="56" t="s">
        <v>6</v>
      </c>
      <c r="C12" s="257" t="s">
        <v>458</v>
      </c>
    </row>
    <row r="13" spans="1:3" x14ac:dyDescent="0.3">
      <c r="B13" s="56" t="s">
        <v>7</v>
      </c>
      <c r="C13" s="257">
        <v>28460</v>
      </c>
    </row>
    <row r="14" spans="1:3" x14ac:dyDescent="0.3">
      <c r="B14" s="56" t="s">
        <v>8</v>
      </c>
      <c r="C14" s="257" t="s">
        <v>446</v>
      </c>
    </row>
    <row r="15" spans="1:3" x14ac:dyDescent="0.3">
      <c r="B15" s="56"/>
      <c r="C15" s="57"/>
    </row>
    <row r="16" spans="1:3" x14ac:dyDescent="0.3">
      <c r="B16" s="59" t="s">
        <v>9</v>
      </c>
      <c r="C16" s="165" t="s">
        <v>10</v>
      </c>
    </row>
    <row r="17" spans="2:12" ht="15" thickBot="1" x14ac:dyDescent="0.35"/>
    <row r="18" spans="2:12" x14ac:dyDescent="0.3">
      <c r="B18" s="264" t="s">
        <v>440</v>
      </c>
      <c r="C18" s="265"/>
      <c r="D18" s="265"/>
      <c r="E18" s="265"/>
      <c r="F18" s="265"/>
      <c r="G18" s="265"/>
      <c r="H18" s="265"/>
      <c r="I18" s="265"/>
      <c r="J18" s="265"/>
      <c r="K18" s="265"/>
      <c r="L18" s="266"/>
    </row>
    <row r="19" spans="2:12" x14ac:dyDescent="0.3">
      <c r="B19" s="267"/>
      <c r="L19" s="268"/>
    </row>
    <row r="20" spans="2:12" x14ac:dyDescent="0.3">
      <c r="B20" s="269" t="s">
        <v>441</v>
      </c>
      <c r="C20" s="270"/>
      <c r="D20" s="270"/>
      <c r="E20" s="270"/>
      <c r="F20" s="270"/>
      <c r="G20" s="270"/>
      <c r="H20" s="270"/>
      <c r="I20" s="270"/>
      <c r="J20" s="270"/>
      <c r="K20" s="270"/>
      <c r="L20" s="271"/>
    </row>
    <row r="21" spans="2:12" x14ac:dyDescent="0.3">
      <c r="B21" s="272" t="s">
        <v>451</v>
      </c>
      <c r="L21" s="268"/>
    </row>
    <row r="22" spans="2:12" x14ac:dyDescent="0.3">
      <c r="B22" s="272" t="s">
        <v>442</v>
      </c>
      <c r="L22" s="268"/>
    </row>
    <row r="23" spans="2:12" x14ac:dyDescent="0.3">
      <c r="B23" s="272" t="s">
        <v>452</v>
      </c>
      <c r="L23" s="268"/>
    </row>
    <row r="24" spans="2:12" x14ac:dyDescent="0.3">
      <c r="B24" s="273" t="s">
        <v>443</v>
      </c>
      <c r="L24" s="268"/>
    </row>
    <row r="25" spans="2:12" x14ac:dyDescent="0.3">
      <c r="B25" s="274" t="s">
        <v>466</v>
      </c>
      <c r="L25" s="268"/>
    </row>
    <row r="26" spans="2:12" x14ac:dyDescent="0.3">
      <c r="B26" s="274" t="s">
        <v>461</v>
      </c>
      <c r="L26" s="268"/>
    </row>
    <row r="27" spans="2:12" x14ac:dyDescent="0.3">
      <c r="B27" s="275" t="s">
        <v>444</v>
      </c>
      <c r="L27" s="268"/>
    </row>
    <row r="28" spans="2:12" x14ac:dyDescent="0.3">
      <c r="B28" s="274" t="s">
        <v>459</v>
      </c>
      <c r="L28" s="268"/>
    </row>
    <row r="29" spans="2:12" x14ac:dyDescent="0.3">
      <c r="B29" s="272" t="s">
        <v>460</v>
      </c>
      <c r="L29" s="268"/>
    </row>
    <row r="30" spans="2:12" x14ac:dyDescent="0.3">
      <c r="B30" s="272" t="s">
        <v>462</v>
      </c>
      <c r="L30" s="268"/>
    </row>
    <row r="31" spans="2:12" x14ac:dyDescent="0.3">
      <c r="B31" s="272" t="s">
        <v>465</v>
      </c>
      <c r="L31" s="268"/>
    </row>
    <row r="32" spans="2:12" x14ac:dyDescent="0.3">
      <c r="B32" s="269" t="s">
        <v>445</v>
      </c>
      <c r="C32" s="270"/>
      <c r="D32" s="270"/>
      <c r="E32" s="270"/>
      <c r="F32" s="270"/>
      <c r="G32" s="270"/>
      <c r="H32" s="270"/>
      <c r="I32" s="270"/>
      <c r="J32" s="270"/>
      <c r="K32" s="270"/>
      <c r="L32" s="271"/>
    </row>
    <row r="33" spans="2:12" x14ac:dyDescent="0.3">
      <c r="B33" s="272"/>
      <c r="L33" s="268"/>
    </row>
    <row r="34" spans="2:12" x14ac:dyDescent="0.3">
      <c r="B34" s="272"/>
      <c r="L34" s="268"/>
    </row>
    <row r="35" spans="2:12" ht="15" thickBot="1" x14ac:dyDescent="0.35">
      <c r="B35" s="276"/>
      <c r="C35" s="2"/>
      <c r="D35" s="2"/>
      <c r="E35" s="2"/>
      <c r="F35" s="2"/>
      <c r="G35" s="2"/>
      <c r="H35" s="2"/>
      <c r="I35" s="2"/>
      <c r="J35" s="2"/>
      <c r="K35" s="2"/>
      <c r="L35" s="277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8" width="12.6640625" customWidth="1"/>
    <col min="9" max="10" width="1.6640625" customWidth="1"/>
    <col min="11" max="16" width="10.6640625" customWidth="1"/>
    <col min="17" max="17" width="1.6640625" customWidth="1"/>
    <col min="18" max="18" width="15.6640625" style="208" customWidth="1"/>
    <col min="19" max="19" width="34.6640625" style="208" bestFit="1" customWidth="1"/>
  </cols>
  <sheetData>
    <row r="1" spans="1:19" s="142" customFormat="1" ht="25.8" x14ac:dyDescent="0.5">
      <c r="A1" s="145" t="str">
        <f>TEXT(Global!$C$7,"")</f>
        <v>Sneads Ferry 38</v>
      </c>
      <c r="B1" s="205"/>
      <c r="R1" s="205"/>
      <c r="S1" s="205"/>
    </row>
    <row r="2" spans="1:19" s="142" customFormat="1" ht="19.8" x14ac:dyDescent="0.4">
      <c r="A2" s="146" t="s">
        <v>11</v>
      </c>
      <c r="B2" s="205"/>
      <c r="R2" s="205"/>
      <c r="S2" s="205"/>
    </row>
    <row r="4" spans="1:19" x14ac:dyDescent="0.3">
      <c r="B4" s="227" t="s">
        <v>12</v>
      </c>
      <c r="C4" s="251"/>
      <c r="D4" s="252">
        <v>300</v>
      </c>
    </row>
    <row r="6" spans="1:19" x14ac:dyDescent="0.3">
      <c r="B6" s="206" t="s">
        <v>13</v>
      </c>
      <c r="C6" s="156" t="s">
        <v>14</v>
      </c>
      <c r="D6" s="156" t="s">
        <v>15</v>
      </c>
      <c r="E6" s="156" t="s">
        <v>16</v>
      </c>
      <c r="F6" s="156" t="s">
        <v>17</v>
      </c>
      <c r="G6" s="156" t="s">
        <v>18</v>
      </c>
      <c r="H6" s="157" t="s">
        <v>19</v>
      </c>
    </row>
    <row r="7" spans="1:19" x14ac:dyDescent="0.3">
      <c r="B7" s="255" t="s">
        <v>20</v>
      </c>
      <c r="C7" s="24" t="s">
        <v>20</v>
      </c>
      <c r="D7" s="250">
        <f>ROUND($D$4*$E7,0)</f>
        <v>0</v>
      </c>
      <c r="E7" s="256">
        <v>0</v>
      </c>
      <c r="F7" s="32">
        <v>0</v>
      </c>
      <c r="G7" s="237">
        <v>0</v>
      </c>
      <c r="H7" s="148">
        <f>IFERROR(G7/F7,0)</f>
        <v>0</v>
      </c>
      <c r="K7" s="140" t="s">
        <v>432</v>
      </c>
      <c r="L7" s="170"/>
      <c r="M7" s="170"/>
      <c r="N7" s="170"/>
      <c r="O7" s="170"/>
      <c r="P7" s="141"/>
    </row>
    <row r="8" spans="1:19" x14ac:dyDescent="0.3">
      <c r="B8" s="255" t="s">
        <v>21</v>
      </c>
      <c r="C8" s="24" t="s">
        <v>21</v>
      </c>
      <c r="D8" s="250">
        <f t="shared" ref="D8:D14" si="0">ROUND($D$4*$E8,0)</f>
        <v>180</v>
      </c>
      <c r="E8" s="256">
        <v>0.6</v>
      </c>
      <c r="F8" s="32">
        <v>800</v>
      </c>
      <c r="G8" s="237">
        <v>1530</v>
      </c>
      <c r="H8" s="148">
        <f t="shared" ref="H8:H14" si="1">IFERROR(G8/F8,0)</f>
        <v>1.9125000000000001</v>
      </c>
      <c r="K8" s="211" t="s">
        <v>14</v>
      </c>
      <c r="L8" s="212" t="s">
        <v>15</v>
      </c>
      <c r="M8" s="212" t="s">
        <v>16</v>
      </c>
      <c r="N8" s="212" t="s">
        <v>22</v>
      </c>
      <c r="O8" s="212" t="s">
        <v>23</v>
      </c>
      <c r="P8" s="213" t="s">
        <v>24</v>
      </c>
      <c r="R8" s="218" t="s">
        <v>14</v>
      </c>
      <c r="S8" s="220" t="s">
        <v>434</v>
      </c>
    </row>
    <row r="9" spans="1:19" x14ac:dyDescent="0.3">
      <c r="B9" s="255" t="s">
        <v>25</v>
      </c>
      <c r="C9" s="24" t="s">
        <v>25</v>
      </c>
      <c r="D9" s="250">
        <f t="shared" si="0"/>
        <v>120</v>
      </c>
      <c r="E9" s="256">
        <v>0.4</v>
      </c>
      <c r="F9" s="32">
        <v>1050</v>
      </c>
      <c r="G9" s="237">
        <v>1830</v>
      </c>
      <c r="H9" s="148">
        <f t="shared" si="1"/>
        <v>1.7428571428571429</v>
      </c>
      <c r="K9" s="56" t="s">
        <v>20</v>
      </c>
      <c r="L9" s="235"/>
      <c r="M9" s="204" t="e">
        <f>L9/$L$14</f>
        <v>#DIV/0!</v>
      </c>
      <c r="N9" s="236"/>
      <c r="O9" s="237"/>
      <c r="P9" s="216" t="str">
        <f>IFERROR(O9/N9,"-")</f>
        <v>-</v>
      </c>
      <c r="R9" s="193" t="s">
        <v>26</v>
      </c>
      <c r="S9" s="221">
        <v>2025</v>
      </c>
    </row>
    <row r="10" spans="1:19" x14ac:dyDescent="0.3">
      <c r="B10" s="255" t="s">
        <v>27</v>
      </c>
      <c r="C10" s="24" t="s">
        <v>27</v>
      </c>
      <c r="D10" s="250">
        <f t="shared" si="0"/>
        <v>0</v>
      </c>
      <c r="E10" s="256">
        <v>0</v>
      </c>
      <c r="F10" s="32">
        <v>0</v>
      </c>
      <c r="G10" s="237">
        <v>0</v>
      </c>
      <c r="H10" s="148">
        <f t="shared" si="1"/>
        <v>0</v>
      </c>
      <c r="K10" s="56" t="s">
        <v>28</v>
      </c>
      <c r="L10" s="235"/>
      <c r="M10" s="204" t="e">
        <f t="shared" ref="M10:M13" si="2">L10/$L$14</f>
        <v>#DIV/0!</v>
      </c>
      <c r="N10" s="236">
        <v>719</v>
      </c>
      <c r="O10" s="237">
        <v>1451</v>
      </c>
      <c r="P10" s="216">
        <f t="shared" ref="P10:P14" si="3">IFERROR(O10/N10,"-")</f>
        <v>2.0180806675938805</v>
      </c>
      <c r="R10" s="193" t="s">
        <v>29</v>
      </c>
      <c r="S10" s="222">
        <v>7.0999999999999994E-2</v>
      </c>
    </row>
    <row r="11" spans="1:19" x14ac:dyDescent="0.3">
      <c r="B11" s="255" t="s">
        <v>30</v>
      </c>
      <c r="C11" s="24" t="s">
        <v>30</v>
      </c>
      <c r="D11" s="250">
        <f t="shared" si="0"/>
        <v>0</v>
      </c>
      <c r="E11" s="256">
        <v>0</v>
      </c>
      <c r="F11" s="32">
        <v>0</v>
      </c>
      <c r="G11" s="237">
        <v>0</v>
      </c>
      <c r="H11" s="148">
        <f t="shared" si="1"/>
        <v>0</v>
      </c>
      <c r="K11" s="56" t="s">
        <v>31</v>
      </c>
      <c r="L11" s="235"/>
      <c r="M11" s="204" t="e">
        <f t="shared" si="2"/>
        <v>#DIV/0!</v>
      </c>
      <c r="N11" s="236">
        <v>1084</v>
      </c>
      <c r="O11" s="237">
        <v>1790</v>
      </c>
      <c r="P11" s="216">
        <f t="shared" si="3"/>
        <v>1.6512915129151291</v>
      </c>
      <c r="R11" s="193" t="s">
        <v>32</v>
      </c>
      <c r="S11" s="221"/>
    </row>
    <row r="12" spans="1:19" ht="15" customHeight="1" x14ac:dyDescent="0.3">
      <c r="B12" s="255"/>
      <c r="C12" s="24"/>
      <c r="D12" s="250">
        <f t="shared" si="0"/>
        <v>0</v>
      </c>
      <c r="E12" s="256">
        <v>0</v>
      </c>
      <c r="F12" s="32">
        <v>0</v>
      </c>
      <c r="G12" s="237">
        <v>0</v>
      </c>
      <c r="H12" s="148">
        <f t="shared" si="1"/>
        <v>0</v>
      </c>
      <c r="K12" s="56" t="s">
        <v>33</v>
      </c>
      <c r="L12" s="235"/>
      <c r="M12" s="204" t="e">
        <f t="shared" si="2"/>
        <v>#DIV/0!</v>
      </c>
      <c r="N12" s="236">
        <v>1671</v>
      </c>
      <c r="O12" s="237">
        <v>1928</v>
      </c>
      <c r="P12" s="216">
        <f t="shared" si="3"/>
        <v>1.153800119688809</v>
      </c>
      <c r="R12" s="193" t="s">
        <v>34</v>
      </c>
      <c r="S12" s="221" t="s">
        <v>435</v>
      </c>
    </row>
    <row r="13" spans="1:19" ht="15" customHeight="1" x14ac:dyDescent="0.3">
      <c r="B13" s="255"/>
      <c r="C13" s="24"/>
      <c r="D13" s="250">
        <f t="shared" si="0"/>
        <v>0</v>
      </c>
      <c r="E13" s="256">
        <v>0</v>
      </c>
      <c r="F13" s="32">
        <v>0</v>
      </c>
      <c r="G13" s="237">
        <v>0</v>
      </c>
      <c r="H13" s="148">
        <f t="shared" si="1"/>
        <v>0</v>
      </c>
      <c r="K13" s="56" t="s">
        <v>35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36</v>
      </c>
      <c r="S13" s="261" t="s">
        <v>160</v>
      </c>
    </row>
    <row r="14" spans="1:19" ht="15" customHeight="1" x14ac:dyDescent="0.3">
      <c r="B14" s="255"/>
      <c r="C14" s="24"/>
      <c r="D14" s="250">
        <f t="shared" si="0"/>
        <v>0</v>
      </c>
      <c r="E14" s="256">
        <v>0</v>
      </c>
      <c r="F14" s="32">
        <v>0</v>
      </c>
      <c r="G14" s="237">
        <v>0</v>
      </c>
      <c r="H14" s="148">
        <f t="shared" si="1"/>
        <v>0</v>
      </c>
      <c r="K14" s="126" t="s">
        <v>37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 x14ac:dyDescent="0.3">
      <c r="B15" s="207" t="s">
        <v>37</v>
      </c>
      <c r="C15" s="22"/>
      <c r="D15" s="149">
        <f>+SUM(D7:D14)</f>
        <v>300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1650</v>
      </c>
      <c r="H15" s="152">
        <f>IFERROR(G15/F15,0)</f>
        <v>1.8333333333333333</v>
      </c>
    </row>
    <row r="16" spans="1:19" x14ac:dyDescent="0.3">
      <c r="K16" s="140" t="s">
        <v>433</v>
      </c>
      <c r="L16" s="170"/>
      <c r="M16" s="170"/>
      <c r="N16" s="170"/>
      <c r="O16" s="170"/>
      <c r="P16" s="141"/>
    </row>
    <row r="17" spans="2:19" x14ac:dyDescent="0.3">
      <c r="B17" s="209" t="s">
        <v>20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14</v>
      </c>
      <c r="L17" s="212" t="s">
        <v>15</v>
      </c>
      <c r="M17" s="212" t="s">
        <v>16</v>
      </c>
      <c r="N17" s="212" t="s">
        <v>22</v>
      </c>
      <c r="O17" s="212" t="s">
        <v>23</v>
      </c>
      <c r="P17" s="213" t="s">
        <v>24</v>
      </c>
      <c r="R17" s="218" t="s">
        <v>14</v>
      </c>
      <c r="S17" s="220" t="s">
        <v>434</v>
      </c>
    </row>
    <row r="18" spans="2:19" x14ac:dyDescent="0.3">
      <c r="B18" s="210" t="s">
        <v>21</v>
      </c>
      <c r="D18" s="155">
        <f>SUMIF($C$7:$C$14,$B18,D$7:D$14)</f>
        <v>180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1530</v>
      </c>
      <c r="H18" s="148">
        <f t="shared" ref="H18:H22" si="5">IFERROR(G18/F18,0)</f>
        <v>1.9125000000000001</v>
      </c>
      <c r="K18" s="56" t="s">
        <v>20</v>
      </c>
      <c r="L18" s="235"/>
      <c r="M18" s="204" t="e">
        <f>L18/$L$14</f>
        <v>#DIV/0!</v>
      </c>
      <c r="N18" s="236"/>
      <c r="O18" s="237"/>
      <c r="P18" s="216" t="str">
        <f>IFERROR(O18/N18,"-")</f>
        <v>-</v>
      </c>
      <c r="R18" s="193" t="s">
        <v>26</v>
      </c>
      <c r="S18" s="221">
        <v>2023</v>
      </c>
    </row>
    <row r="19" spans="2:19" x14ac:dyDescent="0.3">
      <c r="B19" s="210" t="s">
        <v>25</v>
      </c>
      <c r="D19" s="155">
        <f>SUMIF($C$7:$C$14,$B19,D$7:D$14)</f>
        <v>120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1830</v>
      </c>
      <c r="H19" s="148">
        <f t="shared" si="5"/>
        <v>1.7428571428571429</v>
      </c>
      <c r="K19" s="56" t="s">
        <v>28</v>
      </c>
      <c r="L19" s="235"/>
      <c r="M19" s="204" t="e">
        <f t="shared" ref="M19:M22" si="6">L19/$L$14</f>
        <v>#DIV/0!</v>
      </c>
      <c r="N19" s="236">
        <v>776</v>
      </c>
      <c r="O19" s="237">
        <v>1532</v>
      </c>
      <c r="P19" s="216">
        <f t="shared" ref="P19:P23" si="7">IFERROR(O19/N19,"-")</f>
        <v>1.9742268041237114</v>
      </c>
      <c r="R19" s="193" t="s">
        <v>29</v>
      </c>
      <c r="S19" s="222">
        <v>8.0000000000000002E-3</v>
      </c>
    </row>
    <row r="20" spans="2:19" x14ac:dyDescent="0.3">
      <c r="B20" s="210" t="s">
        <v>27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31</v>
      </c>
      <c r="L20" s="235"/>
      <c r="M20" s="204" t="e">
        <f t="shared" si="6"/>
        <v>#DIV/0!</v>
      </c>
      <c r="N20" s="236">
        <v>1114</v>
      </c>
      <c r="O20" s="237">
        <v>1903</v>
      </c>
      <c r="P20" s="216">
        <f t="shared" si="7"/>
        <v>1.7082585278276481</v>
      </c>
      <c r="R20" s="193" t="s">
        <v>32</v>
      </c>
      <c r="S20" s="221"/>
    </row>
    <row r="21" spans="2:19" x14ac:dyDescent="0.3">
      <c r="B21" s="210" t="s">
        <v>30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33</v>
      </c>
      <c r="L21" s="235"/>
      <c r="M21" s="204" t="e">
        <f t="shared" si="6"/>
        <v>#DIV/0!</v>
      </c>
      <c r="N21" s="236"/>
      <c r="O21" s="237"/>
      <c r="P21" s="216" t="str">
        <f t="shared" si="7"/>
        <v>-</v>
      </c>
      <c r="R21" s="193" t="s">
        <v>34</v>
      </c>
      <c r="S21" s="221" t="s">
        <v>436</v>
      </c>
    </row>
    <row r="22" spans="2:19" x14ac:dyDescent="0.3">
      <c r="B22" s="207" t="s">
        <v>37</v>
      </c>
      <c r="C22" s="22"/>
      <c r="D22" s="149">
        <f>SUM(D17:D21)</f>
        <v>300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1650</v>
      </c>
      <c r="H22" s="152">
        <f t="shared" si="5"/>
        <v>1.8333333333333333</v>
      </c>
      <c r="K22" s="56" t="s">
        <v>35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36</v>
      </c>
      <c r="S22" s="261" t="s">
        <v>160</v>
      </c>
    </row>
    <row r="23" spans="2:19" x14ac:dyDescent="0.3">
      <c r="K23" s="126" t="s">
        <v>37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3">
      <c r="C24" s="208"/>
      <c r="D24" s="208"/>
      <c r="E24" s="208"/>
      <c r="F24" s="208"/>
    </row>
    <row r="25" spans="2:19" x14ac:dyDescent="0.3">
      <c r="C25" s="208"/>
      <c r="D25" s="208"/>
      <c r="E25" s="208"/>
      <c r="F25" s="208"/>
      <c r="K25" s="140" t="s">
        <v>449</v>
      </c>
      <c r="L25" s="170"/>
      <c r="M25" s="170"/>
      <c r="N25" s="170"/>
      <c r="O25" s="170"/>
      <c r="P25" s="141"/>
    </row>
    <row r="26" spans="2:19" x14ac:dyDescent="0.3">
      <c r="C26" s="208"/>
      <c r="D26" s="208"/>
      <c r="E26" s="208"/>
      <c r="F26" s="208"/>
      <c r="K26" s="211" t="s">
        <v>14</v>
      </c>
      <c r="L26" s="212" t="s">
        <v>15</v>
      </c>
      <c r="M26" s="212" t="s">
        <v>16</v>
      </c>
      <c r="N26" s="212" t="s">
        <v>22</v>
      </c>
      <c r="O26" s="212" t="s">
        <v>23</v>
      </c>
      <c r="P26" s="213" t="s">
        <v>24</v>
      </c>
      <c r="R26" s="218" t="s">
        <v>14</v>
      </c>
      <c r="S26" s="220" t="s">
        <v>434</v>
      </c>
    </row>
    <row r="27" spans="2:19" x14ac:dyDescent="0.3">
      <c r="C27" s="208"/>
      <c r="D27" s="208"/>
      <c r="E27" s="208"/>
      <c r="F27" s="208"/>
      <c r="K27" s="56" t="s">
        <v>20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26</v>
      </c>
      <c r="S27" s="221">
        <v>2013</v>
      </c>
    </row>
    <row r="28" spans="2:19" x14ac:dyDescent="0.3">
      <c r="C28" s="208"/>
      <c r="D28" s="208"/>
      <c r="E28" s="208"/>
      <c r="F28" s="208"/>
      <c r="K28" s="56" t="s">
        <v>28</v>
      </c>
      <c r="L28" s="235"/>
      <c r="M28" s="204" t="e">
        <f t="shared" ref="M28:M31" si="8">L28/$L$14</f>
        <v>#DIV/0!</v>
      </c>
      <c r="N28" s="236">
        <v>861</v>
      </c>
      <c r="O28" s="237">
        <v>1451</v>
      </c>
      <c r="P28" s="216">
        <f t="shared" ref="P28:P32" si="9">IFERROR(O28/N28,"-")</f>
        <v>1.6852497096399535</v>
      </c>
      <c r="R28" s="193" t="s">
        <v>29</v>
      </c>
      <c r="S28" s="222">
        <v>0.04</v>
      </c>
    </row>
    <row r="29" spans="2:19" x14ac:dyDescent="0.3">
      <c r="C29" s="208"/>
      <c r="D29" s="208"/>
      <c r="E29" s="208"/>
      <c r="F29" s="208"/>
      <c r="K29" s="56" t="s">
        <v>31</v>
      </c>
      <c r="L29" s="235"/>
      <c r="M29" s="204" t="e">
        <f t="shared" si="8"/>
        <v>#DIV/0!</v>
      </c>
      <c r="N29" s="236">
        <v>1172</v>
      </c>
      <c r="O29" s="237">
        <v>1639</v>
      </c>
      <c r="P29" s="216">
        <f t="shared" si="9"/>
        <v>1.3984641638225257</v>
      </c>
      <c r="R29" s="193" t="s">
        <v>32</v>
      </c>
      <c r="S29" s="221"/>
    </row>
    <row r="30" spans="2:19" x14ac:dyDescent="0.3">
      <c r="C30" s="208"/>
      <c r="D30" s="208"/>
      <c r="E30" s="208"/>
      <c r="F30" s="208"/>
      <c r="K30" s="56" t="s">
        <v>33</v>
      </c>
      <c r="L30" s="235"/>
      <c r="M30" s="204" t="e">
        <f t="shared" si="8"/>
        <v>#DIV/0!</v>
      </c>
      <c r="N30" s="236">
        <v>1351</v>
      </c>
      <c r="O30" s="237">
        <v>1779</v>
      </c>
      <c r="P30" s="216">
        <f t="shared" si="9"/>
        <v>1.3168023686158401</v>
      </c>
      <c r="R30" s="193" t="s">
        <v>34</v>
      </c>
      <c r="S30" s="221" t="s">
        <v>450</v>
      </c>
    </row>
    <row r="31" spans="2:19" x14ac:dyDescent="0.3">
      <c r="C31" s="208"/>
      <c r="D31" s="208"/>
      <c r="E31" s="208"/>
      <c r="F31" s="208"/>
      <c r="K31" s="56" t="s">
        <v>35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36</v>
      </c>
      <c r="S31" s="261" t="s">
        <v>160</v>
      </c>
    </row>
    <row r="32" spans="2:19" x14ac:dyDescent="0.3">
      <c r="C32" s="208"/>
      <c r="D32" s="208"/>
      <c r="E32" s="208"/>
      <c r="F32" s="208"/>
      <c r="K32" s="126" t="s">
        <v>37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 x14ac:dyDescent="0.3">
      <c r="C33" s="208"/>
      <c r="D33" s="208"/>
      <c r="E33" s="208"/>
      <c r="F33" s="208"/>
    </row>
    <row r="34" spans="3:6" x14ac:dyDescent="0.3">
      <c r="C34" s="208"/>
      <c r="D34" s="208"/>
      <c r="E34" s="208"/>
      <c r="F34" s="208"/>
    </row>
    <row r="35" spans="3:6" x14ac:dyDescent="0.3">
      <c r="C35" s="208"/>
      <c r="D35" s="208"/>
      <c r="E35" s="208"/>
      <c r="F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673D659E-4BED-4452-BE24-B15AB257F2E8}"/>
    <hyperlink ref="S22" r:id="rId2" xr:uid="{3AC52863-AAE5-4F00-B5A2-4CE2BD684B8C}"/>
    <hyperlink ref="S31" r:id="rId3" xr:uid="{497555DF-9844-4923-BE1D-E4A55D14DFEA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Sneads Ferry 38</v>
      </c>
    </row>
    <row r="2" spans="1:17" s="142" customFormat="1" ht="19.8" x14ac:dyDescent="0.4">
      <c r="A2" s="146" t="s">
        <v>38</v>
      </c>
    </row>
    <row r="6" spans="1:17" x14ac:dyDescent="0.3">
      <c r="B6" s="121" t="s">
        <v>39</v>
      </c>
      <c r="C6" s="122" t="s">
        <v>40</v>
      </c>
      <c r="D6" s="122" t="s">
        <v>41</v>
      </c>
      <c r="E6" s="122" t="s">
        <v>42</v>
      </c>
      <c r="F6" s="122" t="s">
        <v>43</v>
      </c>
      <c r="G6" s="122" t="s">
        <v>44</v>
      </c>
    </row>
    <row r="7" spans="1:17" x14ac:dyDescent="0.3">
      <c r="B7" s="12" t="s">
        <v>45</v>
      </c>
      <c r="C7" s="12"/>
      <c r="D7" s="12"/>
      <c r="E7" s="12"/>
      <c r="F7" s="12"/>
      <c r="G7" s="12"/>
      <c r="M7" s="158" t="s">
        <v>46</v>
      </c>
      <c r="N7" s="122" t="s">
        <v>41</v>
      </c>
      <c r="O7" s="122" t="s">
        <v>42</v>
      </c>
      <c r="P7" s="122" t="s">
        <v>43</v>
      </c>
      <c r="Q7" s="122" t="s">
        <v>44</v>
      </c>
    </row>
    <row r="8" spans="1:17" x14ac:dyDescent="0.3">
      <c r="B8" t="s">
        <v>47</v>
      </c>
      <c r="C8" s="24" t="s">
        <v>45</v>
      </c>
      <c r="D8" s="52">
        <f>E8*'Unit Mix_vm'!$D$15</f>
        <v>6000000</v>
      </c>
      <c r="E8" s="278">
        <v>20000</v>
      </c>
      <c r="F8" s="37">
        <f>IFERROR(E8/'Unit Mix_vm'!$F$15,0)</f>
        <v>22.222222222222221</v>
      </c>
      <c r="G8" s="25">
        <f ca="1">+IFERROR(D8/D$86,0)</f>
        <v>8.6026307457954365E-2</v>
      </c>
      <c r="M8" s="28" t="s">
        <v>48</v>
      </c>
    </row>
    <row r="9" spans="1:17" x14ac:dyDescent="0.3">
      <c r="D9" s="14"/>
      <c r="E9" s="14"/>
      <c r="F9" s="14"/>
      <c r="M9" t="s">
        <v>49</v>
      </c>
      <c r="N9" s="52">
        <f ca="1">N41</f>
        <v>27898442.591796793</v>
      </c>
      <c r="O9" s="37">
        <f ca="1">IFERROR(N9/'Unit Mix_vm'!$D$15,0)</f>
        <v>92994.80863932264</v>
      </c>
      <c r="P9" s="37">
        <f ca="1">IFERROR(O9/'Unit Mix_vm'!$F$15,0)</f>
        <v>103.32756515480294</v>
      </c>
      <c r="Q9" s="25">
        <f ca="1">IFERROR(N9/N$12,0)</f>
        <v>0.4</v>
      </c>
    </row>
    <row r="10" spans="1:17" x14ac:dyDescent="0.3">
      <c r="B10" s="12" t="s">
        <v>50</v>
      </c>
      <c r="C10" s="12"/>
      <c r="D10" s="15"/>
      <c r="E10" s="15"/>
      <c r="F10" s="15"/>
      <c r="G10" s="12"/>
      <c r="M10" t="s">
        <v>51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3">
      <c r="B11" t="s">
        <v>52</v>
      </c>
      <c r="C11" s="24" t="s">
        <v>53</v>
      </c>
      <c r="D11" s="52">
        <f ca="1">+IF(Global!$C$16="On",0,I11*$N$11)</f>
        <v>209238.31943847594</v>
      </c>
      <c r="E11" s="37">
        <f ca="1">IFERROR(D11/'Unit Mix_vm'!$D$15,0)</f>
        <v>697.46106479491982</v>
      </c>
      <c r="F11" s="37">
        <f ca="1">IFERROR(E11/'Unit Mix_vm'!$F$15,0)</f>
        <v>0.77495673866102199</v>
      </c>
      <c r="G11" s="25">
        <f t="shared" ref="G11:G23" ca="1" si="1">+IFERROR(D11/D$86,0)</f>
        <v>3.0000000000000001E-3</v>
      </c>
      <c r="I11" s="21">
        <v>5.0000000000000001E-3</v>
      </c>
      <c r="J11" s="20" t="s">
        <v>54</v>
      </c>
      <c r="M11" t="s">
        <v>55</v>
      </c>
      <c r="N11" s="52">
        <f ca="1">+N23</f>
        <v>41847663.887695186</v>
      </c>
      <c r="O11" s="37">
        <f ca="1">IFERROR(N11/'Unit Mix_vm'!$D$15,0)</f>
        <v>139492.21295898396</v>
      </c>
      <c r="P11" s="37">
        <f ca="1">IFERROR(O11/'Unit Mix_vm'!$F$15,0)</f>
        <v>154.99134773220439</v>
      </c>
      <c r="Q11" s="25">
        <f t="shared" ca="1" si="0"/>
        <v>0.6</v>
      </c>
    </row>
    <row r="12" spans="1:17" x14ac:dyDescent="0.3">
      <c r="B12" t="s">
        <v>56</v>
      </c>
      <c r="C12" s="24" t="s">
        <v>53</v>
      </c>
      <c r="D12" s="52">
        <f ca="1">+IF(Global!$C$16="On",0,I12*$N$11)</f>
        <v>313857.47915771388</v>
      </c>
      <c r="E12" s="37">
        <f ca="1">IFERROR(D12/'Unit Mix_vm'!$D$15,0)</f>
        <v>1046.1915971923795</v>
      </c>
      <c r="F12" s="37">
        <f ca="1">IFERROR(E12/'Unit Mix_vm'!$F$15,0)</f>
        <v>1.1624351079915327</v>
      </c>
      <c r="G12" s="25">
        <f t="shared" ca="1" si="1"/>
        <v>4.4999999999999997E-3</v>
      </c>
      <c r="I12" s="21">
        <v>7.4999999999999997E-3</v>
      </c>
      <c r="J12" s="20" t="s">
        <v>54</v>
      </c>
      <c r="M12" s="3" t="s">
        <v>57</v>
      </c>
      <c r="N12" s="13">
        <f ca="1">SUM(N9:N11)</f>
        <v>69746106.479491979</v>
      </c>
      <c r="O12" s="13">
        <f ca="1">SUM(O9:O11)</f>
        <v>232487.0215983066</v>
      </c>
      <c r="P12" s="29">
        <f ca="1">SUM(P9:P11)</f>
        <v>258.31891288700734</v>
      </c>
      <c r="Q12" s="26">
        <f ca="1">SUM(Q9:Q11)</f>
        <v>1</v>
      </c>
    </row>
    <row r="13" spans="1:17" x14ac:dyDescent="0.3">
      <c r="B13" t="s">
        <v>58</v>
      </c>
      <c r="C13" s="24" t="s">
        <v>53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3">
      <c r="B14" t="s">
        <v>59</v>
      </c>
      <c r="C14" s="24" t="s">
        <v>53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60</v>
      </c>
      <c r="M14" s="28" t="s">
        <v>61</v>
      </c>
    </row>
    <row r="15" spans="1:17" x14ac:dyDescent="0.3">
      <c r="B15" t="s">
        <v>62</v>
      </c>
      <c r="C15" s="24" t="s">
        <v>53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60</v>
      </c>
      <c r="M15" t="s">
        <v>45</v>
      </c>
      <c r="N15" s="14">
        <f>+SUMIF($C$8:$C$86,$M15,$D$8:$D$86)</f>
        <v>6000000</v>
      </c>
      <c r="O15" s="37">
        <f>IFERROR(N15/'Unit Mix_vm'!$D$15,0)</f>
        <v>20000</v>
      </c>
      <c r="P15" s="37">
        <f>IFERROR(O15/'Unit Mix_vm'!$F$15,0)</f>
        <v>22.222222222222221</v>
      </c>
      <c r="Q15" s="25">
        <f ca="1">IFERROR(N15/N$18,0)</f>
        <v>8.6026307457954365E-2</v>
      </c>
    </row>
    <row r="16" spans="1:17" x14ac:dyDescent="0.3">
      <c r="B16" t="s">
        <v>63</v>
      </c>
      <c r="C16" s="24" t="s">
        <v>53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64</v>
      </c>
      <c r="N16" s="14">
        <f>+SUMIF($C$8:$C$86,$M16,$D$8:$D$86)</f>
        <v>49200000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0.70541572115522577</v>
      </c>
    </row>
    <row r="17" spans="2:17" x14ac:dyDescent="0.3">
      <c r="B17" t="s">
        <v>65</v>
      </c>
      <c r="C17" s="24" t="s">
        <v>53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66</v>
      </c>
      <c r="M17" t="s">
        <v>53</v>
      </c>
      <c r="N17" s="14">
        <f ca="1">+SUMIF($C$8:$C$86,$M17,$D$8:$D$86)</f>
        <v>14546106.479491971</v>
      </c>
      <c r="O17" s="37">
        <f ca="1">IFERROR(N17/'Unit Mix_vm'!$D$15,0)</f>
        <v>48487.021598306572</v>
      </c>
      <c r="P17" s="37">
        <f ca="1">IFERROR(O17/'Unit Mix_vm'!$F$15,0)</f>
        <v>53.874468442562858</v>
      </c>
      <c r="Q17" s="25">
        <f t="shared" ca="1" si="2"/>
        <v>0.20855797138681975</v>
      </c>
    </row>
    <row r="18" spans="2:17" x14ac:dyDescent="0.3">
      <c r="B18" t="s">
        <v>67</v>
      </c>
      <c r="C18" s="24" t="s">
        <v>53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66</v>
      </c>
      <c r="M18" s="3" t="s">
        <v>68</v>
      </c>
      <c r="N18" s="13">
        <f ca="1">SUM(N15:N17)</f>
        <v>69746106.479491979</v>
      </c>
      <c r="O18" s="29">
        <f ca="1">SUM(O15:O17)</f>
        <v>232487.02159830657</v>
      </c>
      <c r="P18" s="29">
        <f ca="1">SUM(P15:P17)</f>
        <v>258.31891288700729</v>
      </c>
      <c r="Q18" s="26">
        <f ca="1">SUM(Q15:Q17)</f>
        <v>0.99999999999999989</v>
      </c>
    </row>
    <row r="19" spans="2:17" x14ac:dyDescent="0.3">
      <c r="B19" t="s">
        <v>69</v>
      </c>
      <c r="C19" s="24" t="s">
        <v>53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3">
      <c r="B20" t="s">
        <v>70</v>
      </c>
      <c r="C20" s="24" t="s">
        <v>53</v>
      </c>
      <c r="D20" s="76">
        <v>300000</v>
      </c>
      <c r="E20" s="52">
        <f>IFERROR(D20/'Unit Mix_vm'!$D$15,0)</f>
        <v>1000</v>
      </c>
      <c r="F20" s="37">
        <f>IFERROR(E20/'Unit Mix_vm'!$F$15,0)</f>
        <v>1.1111111111111112</v>
      </c>
      <c r="G20" s="25">
        <f t="shared" ca="1" si="1"/>
        <v>4.3013153728977179E-3</v>
      </c>
      <c r="M20" s="1"/>
    </row>
    <row r="21" spans="2:17" x14ac:dyDescent="0.3">
      <c r="B21" t="s">
        <v>71</v>
      </c>
      <c r="C21" s="24" t="s">
        <v>53</v>
      </c>
      <c r="D21" s="76">
        <v>300000</v>
      </c>
      <c r="E21" s="52">
        <f>IFERROR(D21/'Unit Mix_vm'!$D$15,0)</f>
        <v>1000</v>
      </c>
      <c r="F21" s="37">
        <f>IFERROR(E21/'Unit Mix_vm'!$F$15,0)</f>
        <v>1.1111111111111112</v>
      </c>
      <c r="G21" s="25">
        <f t="shared" ca="1" si="1"/>
        <v>4.3013153728977179E-3</v>
      </c>
      <c r="M21" s="158" t="s">
        <v>72</v>
      </c>
      <c r="N21" s="122"/>
      <c r="O21" s="122"/>
      <c r="P21" s="122"/>
      <c r="Q21" s="122"/>
    </row>
    <row r="22" spans="2:17" x14ac:dyDescent="0.3">
      <c r="B22" t="s">
        <v>73</v>
      </c>
      <c r="C22" s="24" t="s">
        <v>53</v>
      </c>
      <c r="D22" s="52">
        <f>E22*'Unit Mix_vm'!$D$15</f>
        <v>1800000</v>
      </c>
      <c r="E22" s="76">
        <v>6000</v>
      </c>
      <c r="F22" s="37">
        <f>IFERROR(E22/'Unit Mix_vm'!$F$15,0)</f>
        <v>6.666666666666667</v>
      </c>
      <c r="G22" s="25">
        <f t="shared" ca="1" si="1"/>
        <v>2.5807892237386307E-2</v>
      </c>
      <c r="M22" s="55" t="s">
        <v>55</v>
      </c>
    </row>
    <row r="23" spans="2:17" x14ac:dyDescent="0.3">
      <c r="B23" t="s">
        <v>74</v>
      </c>
      <c r="C23" s="24" t="s">
        <v>53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55</v>
      </c>
      <c r="N23" s="36">
        <f ca="1">D86*N24</f>
        <v>41847663.887695186</v>
      </c>
    </row>
    <row r="24" spans="2:17" x14ac:dyDescent="0.3">
      <c r="B24" s="3" t="s">
        <v>75</v>
      </c>
      <c r="C24" s="3"/>
      <c r="D24" s="13">
        <f ca="1">+SUM(D11:D23)</f>
        <v>2923095.7985961898</v>
      </c>
      <c r="E24" s="13">
        <f ca="1">SUM(E11:E23)</f>
        <v>9743.6526619873002</v>
      </c>
      <c r="F24" s="13">
        <f ca="1">SUM(F11:F23)</f>
        <v>10.826280735541445</v>
      </c>
      <c r="G24" s="26">
        <f ca="1">SUM(G11:G23)</f>
        <v>4.1910522983181743E-2</v>
      </c>
      <c r="M24" t="s">
        <v>76</v>
      </c>
      <c r="N24" s="44">
        <v>0.6</v>
      </c>
    </row>
    <row r="25" spans="2:17" x14ac:dyDescent="0.3">
      <c r="D25" s="14"/>
      <c r="E25" s="14"/>
      <c r="F25" s="14"/>
      <c r="M25" t="s">
        <v>77</v>
      </c>
      <c r="N25" s="49">
        <f ca="1">IFERROR('Pro-Forma_vm'!$C$39/Budget_vm!N23,0)</f>
        <v>0.10860219226326587</v>
      </c>
      <c r="O25" s="53"/>
    </row>
    <row r="26" spans="2:17" x14ac:dyDescent="0.3">
      <c r="B26" s="12" t="s">
        <v>78</v>
      </c>
      <c r="C26" s="12"/>
      <c r="D26" s="15"/>
      <c r="E26" s="15"/>
      <c r="F26" s="15"/>
      <c r="G26" s="12"/>
      <c r="O26" s="54"/>
    </row>
    <row r="27" spans="2:17" x14ac:dyDescent="0.3">
      <c r="B27" t="s">
        <v>79</v>
      </c>
      <c r="C27" s="24" t="s">
        <v>53</v>
      </c>
      <c r="D27" s="52">
        <f ca="1">I27*(D86-D8)</f>
        <v>1912383.1943847593</v>
      </c>
      <c r="E27" s="37">
        <f ca="1">IFERROR(D27/'Unit Mix_vm'!$D$15,0)</f>
        <v>6374.6106479491973</v>
      </c>
      <c r="F27" s="37">
        <f ca="1">IFERROR(E27/'Unit Mix_vm'!$F$15,0)</f>
        <v>7.0829007199435523</v>
      </c>
      <c r="G27" s="25">
        <f t="shared" ref="G27:G29" ca="1" si="3">+IFERROR(D27/D$86,0)</f>
        <v>2.7419210776261367E-2</v>
      </c>
      <c r="I27" s="21">
        <v>0.03</v>
      </c>
      <c r="J27" s="20" t="s">
        <v>80</v>
      </c>
      <c r="K27" s="20"/>
      <c r="M27" t="s">
        <v>81</v>
      </c>
      <c r="N27" s="45">
        <v>0.04</v>
      </c>
    </row>
    <row r="28" spans="2:17" x14ac:dyDescent="0.3">
      <c r="B28" t="s">
        <v>82</v>
      </c>
      <c r="C28" s="24" t="s">
        <v>53</v>
      </c>
      <c r="D28" s="14">
        <f>+I28*SUM(D67:D68)</f>
        <v>432000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6.1938941369727146E-3</v>
      </c>
      <c r="I28" s="21">
        <v>0.01</v>
      </c>
      <c r="J28" s="20" t="s">
        <v>83</v>
      </c>
      <c r="K28" s="20"/>
      <c r="M28" t="s">
        <v>84</v>
      </c>
      <c r="N28" s="45">
        <v>0.03</v>
      </c>
      <c r="O28" s="30"/>
    </row>
    <row r="29" spans="2:17" x14ac:dyDescent="0.3">
      <c r="B29" t="s">
        <v>85</v>
      </c>
      <c r="C29" s="24" t="s">
        <v>53</v>
      </c>
      <c r="D29" s="76">
        <v>300000</v>
      </c>
      <c r="E29" s="37">
        <f>IFERROR(D29/'Unit Mix_vm'!$D$15,0)</f>
        <v>1000</v>
      </c>
      <c r="F29" s="37">
        <f>IFERROR(E29/'Unit Mix_vm'!$F$15,0)</f>
        <v>1.1111111111111112</v>
      </c>
      <c r="G29" s="25">
        <f t="shared" ca="1" si="3"/>
        <v>4.3013153728977179E-3</v>
      </c>
      <c r="M29" s="3" t="s">
        <v>86</v>
      </c>
      <c r="N29" s="47">
        <f>SUM(N27:N28)</f>
        <v>7.0000000000000007E-2</v>
      </c>
    </row>
    <row r="30" spans="2:17" x14ac:dyDescent="0.3">
      <c r="B30" s="3" t="s">
        <v>87</v>
      </c>
      <c r="C30" s="3"/>
      <c r="D30" s="13">
        <f ca="1">+SUM(D27:D29)</f>
        <v>2644383.1943847593</v>
      </c>
      <c r="E30" s="13">
        <f ca="1">SUM(E27:E29)</f>
        <v>8814.6106479491973</v>
      </c>
      <c r="F30" s="13">
        <f ca="1">SUM(F27:F29)</f>
        <v>9.7940118310546627</v>
      </c>
      <c r="G30" s="26">
        <f ca="1">SUM(G27:G29)</f>
        <v>3.7914420286131803E-2</v>
      </c>
    </row>
    <row r="31" spans="2:17" x14ac:dyDescent="0.3">
      <c r="D31" s="14"/>
      <c r="E31" s="14"/>
      <c r="F31" s="14"/>
      <c r="M31" t="s">
        <v>88</v>
      </c>
      <c r="N31" s="32">
        <v>21</v>
      </c>
      <c r="O31" s="30"/>
    </row>
    <row r="32" spans="2:17" x14ac:dyDescent="0.3">
      <c r="B32" s="12" t="s">
        <v>89</v>
      </c>
      <c r="C32" s="12"/>
      <c r="D32" s="15"/>
      <c r="E32" s="15"/>
      <c r="F32" s="15"/>
      <c r="G32" s="12"/>
      <c r="M32" t="s">
        <v>90</v>
      </c>
      <c r="N32" s="44">
        <v>0.5</v>
      </c>
    </row>
    <row r="33" spans="2:22" x14ac:dyDescent="0.3">
      <c r="B33" t="s">
        <v>91</v>
      </c>
      <c r="C33" s="24" t="s">
        <v>53</v>
      </c>
      <c r="D33" s="76">
        <v>300000</v>
      </c>
      <c r="E33" s="37">
        <f>IFERROR(D33/'Unit Mix_vm'!$D$15,0)</f>
        <v>1000</v>
      </c>
      <c r="F33" s="37">
        <f>IFERROR(E33/'Unit Mix_vm'!$F$15,0)</f>
        <v>1.1111111111111112</v>
      </c>
      <c r="G33" s="25">
        <f t="shared" ref="G33:G42" ca="1" si="4">+IFERROR(D33/D$86,0)</f>
        <v>4.3013153728977179E-3</v>
      </c>
      <c r="M33" t="s">
        <v>92</v>
      </c>
      <c r="N33" s="36">
        <f ca="1">+N23*N29*N31*N32/12</f>
        <v>2563169.4131213301</v>
      </c>
    </row>
    <row r="34" spans="2:22" x14ac:dyDescent="0.3">
      <c r="B34" t="s">
        <v>93</v>
      </c>
      <c r="C34" s="24" t="s">
        <v>53</v>
      </c>
      <c r="D34" s="76">
        <v>400000</v>
      </c>
      <c r="E34" s="37">
        <f>IFERROR(D34/'Unit Mix_vm'!$D$15,0)</f>
        <v>1333.3333333333333</v>
      </c>
      <c r="F34" s="37">
        <f>IFERROR(E34/'Unit Mix_vm'!$F$15,0)</f>
        <v>1.4814814814814814</v>
      </c>
      <c r="G34" s="25">
        <f t="shared" ca="1" si="4"/>
        <v>5.7350871638636239E-3</v>
      </c>
      <c r="O34" s="42"/>
      <c r="U34" s="136" t="s">
        <v>94</v>
      </c>
      <c r="V34" s="137"/>
    </row>
    <row r="35" spans="2:22" x14ac:dyDescent="0.3">
      <c r="B35" t="s">
        <v>95</v>
      </c>
      <c r="C35" s="24" t="s">
        <v>53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54</v>
      </c>
      <c r="K35" s="20"/>
      <c r="M35" s="55" t="s">
        <v>51</v>
      </c>
      <c r="U35" s="131" t="s">
        <v>96</v>
      </c>
      <c r="V35" s="138">
        <v>0.45</v>
      </c>
    </row>
    <row r="36" spans="2:22" x14ac:dyDescent="0.3">
      <c r="B36" t="s">
        <v>97</v>
      </c>
      <c r="C36" s="24" t="s">
        <v>53</v>
      </c>
      <c r="D36" s="76">
        <v>50000</v>
      </c>
      <c r="E36" s="37">
        <f>IFERROR(D36/'Unit Mix_vm'!$D$15,0)</f>
        <v>166.66666666666666</v>
      </c>
      <c r="F36" s="37">
        <f>IFERROR(E36/'Unit Mix_vm'!$F$15,0)</f>
        <v>0.18518518518518517</v>
      </c>
      <c r="G36" s="25">
        <f t="shared" ca="1" si="4"/>
        <v>7.1688589548295299E-4</v>
      </c>
      <c r="M36" t="s">
        <v>51</v>
      </c>
      <c r="N36" s="36">
        <f ca="1">D86*N37-N23</f>
        <v>0</v>
      </c>
      <c r="U36" s="5"/>
      <c r="V36" s="132"/>
    </row>
    <row r="37" spans="2:22" x14ac:dyDescent="0.3">
      <c r="B37" t="s">
        <v>98</v>
      </c>
      <c r="C37" s="24" t="s">
        <v>53</v>
      </c>
      <c r="D37" s="52">
        <f ca="1">I37*D86</f>
        <v>48124.813470849462</v>
      </c>
      <c r="E37" s="37">
        <f ca="1">IFERROR(D37/'Unit Mix_vm'!$D$15,0)</f>
        <v>160.41604490283154</v>
      </c>
      <c r="F37" s="37">
        <f ca="1">IFERROR(E37/'Unit Mix_vm'!$F$15,0)</f>
        <v>0.17824004989203504</v>
      </c>
      <c r="G37" s="25">
        <f t="shared" ca="1" si="4"/>
        <v>6.8999999999999997E-4</v>
      </c>
      <c r="I37" s="21">
        <v>6.8999999999999997E-4</v>
      </c>
      <c r="J37" s="20" t="s">
        <v>80</v>
      </c>
      <c r="M37" t="s">
        <v>99</v>
      </c>
      <c r="N37" s="44">
        <f>+N24</f>
        <v>0.6</v>
      </c>
      <c r="U37" s="5" t="s">
        <v>100</v>
      </c>
      <c r="V37" s="133">
        <f>N16</f>
        <v>49200000</v>
      </c>
    </row>
    <row r="38" spans="2:22" x14ac:dyDescent="0.3">
      <c r="B38" t="s">
        <v>101</v>
      </c>
      <c r="C38" s="24" t="s">
        <v>53</v>
      </c>
      <c r="D38" s="52">
        <f ca="1">(((V40/100)*V35)*2)+60000</f>
        <v>687174.95831542788</v>
      </c>
      <c r="E38" s="52">
        <f ca="1">IFERROR(D38/'Unit Mix_vm'!$D$15,0)</f>
        <v>2290.5831943847597</v>
      </c>
      <c r="F38" s="52">
        <f ca="1">IFERROR(E38/'Unit Mix_vm'!$F$15,0)</f>
        <v>2.5450924382052884</v>
      </c>
      <c r="G38" s="139">
        <f t="shared" ca="1" si="4"/>
        <v>9.8525207069083288E-3</v>
      </c>
      <c r="M38" t="s">
        <v>102</v>
      </c>
      <c r="N38" s="49">
        <f ca="1">IFERROR('Pro-Forma_vm'!$C$39/SUM(N36,N23),0)</f>
        <v>0.10860219226326587</v>
      </c>
      <c r="U38" s="5" t="s">
        <v>103</v>
      </c>
      <c r="V38" s="133">
        <f t="shared" ref="V38" ca="1" si="5">N17</f>
        <v>14546106.479491971</v>
      </c>
    </row>
    <row r="39" spans="2:22" x14ac:dyDescent="0.3">
      <c r="B39" t="s">
        <v>104</v>
      </c>
      <c r="C39" s="24" t="s">
        <v>53</v>
      </c>
      <c r="D39" s="52">
        <f>((V45/1000)*V43)+30000</f>
        <v>131022.39075014683</v>
      </c>
      <c r="E39" s="52">
        <f>IFERROR(D39/'Unit Mix_vm'!$D$15,0)</f>
        <v>436.74130250048944</v>
      </c>
      <c r="F39" s="52">
        <f>IFERROR(E39/'Unit Mix_vm'!$F$15,0)</f>
        <v>0.4852681138894327</v>
      </c>
      <c r="G39" s="139">
        <f t="shared" ref="G39" ca="1" si="6">+IFERROR(D39/D$86,0)</f>
        <v>1.8785620784247279E-3</v>
      </c>
      <c r="N39" s="49"/>
      <c r="U39" s="5" t="s">
        <v>105</v>
      </c>
      <c r="V39" s="133">
        <f>'Unit Mix_vm'!D15*'Unit Mix_vm'!G15*12</f>
        <v>5940000</v>
      </c>
    </row>
    <row r="40" spans="2:22" x14ac:dyDescent="0.3">
      <c r="B40" t="s">
        <v>106</v>
      </c>
      <c r="C40" s="24" t="s">
        <v>53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49</v>
      </c>
      <c r="U40" s="134" t="s">
        <v>37</v>
      </c>
      <c r="V40" s="135">
        <f ca="1">SUM(V37:V39)</f>
        <v>69686106.479491979</v>
      </c>
    </row>
    <row r="41" spans="2:22" x14ac:dyDescent="0.3">
      <c r="B41" t="s">
        <v>107</v>
      </c>
      <c r="C41" s="24" t="s">
        <v>53</v>
      </c>
      <c r="D41" s="76">
        <v>50000</v>
      </c>
      <c r="E41" s="37">
        <f>IFERROR(D41/'Unit Mix_vm'!$D$15,0)</f>
        <v>166.66666666666666</v>
      </c>
      <c r="F41" s="37">
        <f>IFERROR(E41/'Unit Mix_vm'!$F$15,0)</f>
        <v>0.18518518518518517</v>
      </c>
      <c r="G41" s="25">
        <f t="shared" ca="1" si="4"/>
        <v>7.1688589548295299E-4</v>
      </c>
      <c r="M41" t="s">
        <v>108</v>
      </c>
      <c r="N41" s="58">
        <f ca="1">D86-N23-N36</f>
        <v>27898442.591796793</v>
      </c>
      <c r="U41" s="4"/>
      <c r="V41" s="4"/>
    </row>
    <row r="42" spans="2:22" x14ac:dyDescent="0.3">
      <c r="B42" t="s">
        <v>109</v>
      </c>
      <c r="C42" s="24" t="s">
        <v>53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110</v>
      </c>
      <c r="V42" s="137"/>
    </row>
    <row r="43" spans="2:22" x14ac:dyDescent="0.3">
      <c r="B43" s="3" t="s">
        <v>111</v>
      </c>
      <c r="C43" s="3"/>
      <c r="D43" s="13">
        <f ca="1">+SUM(D33:D42)</f>
        <v>1666322.1625364241</v>
      </c>
      <c r="E43" s="13">
        <f ca="1">SUM(E33:E42)</f>
        <v>5554.407208454747</v>
      </c>
      <c r="F43" s="13">
        <f ca="1">SUM(F33:F42)</f>
        <v>6.1715635649497189</v>
      </c>
      <c r="G43" s="26">
        <f ca="1">SUM(G33:G42)</f>
        <v>2.3891257113060307E-2</v>
      </c>
      <c r="M43" t="s">
        <v>112</v>
      </c>
      <c r="N43" s="34">
        <f ca="1">+N41*0.1</f>
        <v>2789844.2591796797</v>
      </c>
      <c r="O43" s="46">
        <f ca="1">+N43/N41</f>
        <v>0.10000000000000002</v>
      </c>
      <c r="U43" s="5" t="s">
        <v>96</v>
      </c>
      <c r="V43" s="159">
        <v>1.1000000000000001</v>
      </c>
    </row>
    <row r="44" spans="2:22" x14ac:dyDescent="0.3">
      <c r="D44" s="14"/>
      <c r="E44" s="14"/>
      <c r="F44" s="14"/>
      <c r="M44" t="s">
        <v>113</v>
      </c>
      <c r="N44" s="36">
        <f ca="1">+N41-N43</f>
        <v>25108598.332617112</v>
      </c>
      <c r="O44" s="51">
        <f ca="1">1-O43</f>
        <v>0.9</v>
      </c>
      <c r="U44" s="5" t="s">
        <v>114</v>
      </c>
      <c r="V44" s="160">
        <v>5.2499999999999998E-2</v>
      </c>
    </row>
    <row r="45" spans="2:22" x14ac:dyDescent="0.3">
      <c r="B45" s="12" t="s">
        <v>115</v>
      </c>
      <c r="C45" s="12"/>
      <c r="D45" s="15"/>
      <c r="E45" s="15"/>
      <c r="F45" s="15"/>
      <c r="G45" s="12"/>
      <c r="U45" s="161" t="s">
        <v>116</v>
      </c>
      <c r="V45" s="162">
        <f>(('Pro-Forma_vm'!C39*1.03*1.03)/Budget_vm!V44)</f>
        <v>91838537.045588017</v>
      </c>
    </row>
    <row r="46" spans="2:22" x14ac:dyDescent="0.3">
      <c r="B46" t="s">
        <v>117</v>
      </c>
      <c r="C46" s="24" t="s">
        <v>53</v>
      </c>
      <c r="D46" s="52">
        <f>E46*'Unit Mix_vm'!$D$15</f>
        <v>720000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1.0323156894954524E-2</v>
      </c>
    </row>
    <row r="47" spans="2:22" x14ac:dyDescent="0.3">
      <c r="B47" t="s">
        <v>118</v>
      </c>
      <c r="C47" s="24" t="s">
        <v>53</v>
      </c>
      <c r="D47" s="76">
        <v>75000</v>
      </c>
      <c r="E47" s="52">
        <f>IFERROR(D47/'Unit Mix_vm'!$D$15,0)</f>
        <v>250</v>
      </c>
      <c r="F47" s="37">
        <f>IFERROR(E47/'Unit Mix_vm'!$F$15,0)</f>
        <v>0.27777777777777779</v>
      </c>
      <c r="G47" s="25">
        <f t="shared" ca="1" si="7"/>
        <v>1.0753288432244295E-3</v>
      </c>
    </row>
    <row r="48" spans="2:22" x14ac:dyDescent="0.3">
      <c r="B48" t="s">
        <v>119</v>
      </c>
      <c r="C48" s="24" t="s">
        <v>53</v>
      </c>
      <c r="D48" s="76">
        <v>75000</v>
      </c>
      <c r="E48" s="52">
        <f>IFERROR(D48/'Unit Mix_vm'!$D$15,0)</f>
        <v>250</v>
      </c>
      <c r="F48" s="37">
        <f>IFERROR(E48/'Unit Mix_vm'!$F$15,0)</f>
        <v>0.27777777777777779</v>
      </c>
      <c r="G48" s="25">
        <f t="shared" ca="1" si="7"/>
        <v>1.0753288432244295E-3</v>
      </c>
    </row>
    <row r="49" spans="2:7" x14ac:dyDescent="0.3">
      <c r="B49" t="s">
        <v>120</v>
      </c>
      <c r="C49" s="24" t="s">
        <v>53</v>
      </c>
      <c r="D49" s="52">
        <f>E49*'Unit Mix_vm'!$D$15</f>
        <v>450000</v>
      </c>
      <c r="E49" s="76">
        <v>1500</v>
      </c>
      <c r="F49" s="37">
        <f>IFERROR(E49/'Unit Mix_vm'!$F$15,0)</f>
        <v>1.6666666666666667</v>
      </c>
      <c r="G49" s="25">
        <f t="shared" ca="1" si="7"/>
        <v>6.4519730593465769E-3</v>
      </c>
    </row>
    <row r="50" spans="2:7" x14ac:dyDescent="0.3">
      <c r="B50" t="s">
        <v>121</v>
      </c>
      <c r="C50" s="24" t="s">
        <v>53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3">
      <c r="B51" t="s">
        <v>122</v>
      </c>
      <c r="C51" s="24" t="s">
        <v>53</v>
      </c>
      <c r="D51" s="76">
        <v>150000</v>
      </c>
      <c r="E51" s="52">
        <f>IFERROR(D51/'Unit Mix_vm'!$D$15,0)</f>
        <v>500</v>
      </c>
      <c r="F51" s="37">
        <f>IFERROR(E51/'Unit Mix_vm'!$F$15,0)</f>
        <v>0.55555555555555558</v>
      </c>
      <c r="G51" s="25">
        <f t="shared" ca="1" si="7"/>
        <v>2.150657686448859E-3</v>
      </c>
    </row>
    <row r="52" spans="2:7" x14ac:dyDescent="0.3">
      <c r="B52" t="s">
        <v>123</v>
      </c>
      <c r="C52" s="24" t="s">
        <v>53</v>
      </c>
      <c r="D52" s="76">
        <v>60000</v>
      </c>
      <c r="E52" s="52">
        <f>IFERROR(D52/'Unit Mix_vm'!$D$15,0)</f>
        <v>200</v>
      </c>
      <c r="F52" s="37">
        <f>IFERROR(E52/'Unit Mix_vm'!$F$15,0)</f>
        <v>0.22222222222222221</v>
      </c>
      <c r="G52" s="25">
        <f t="shared" ca="1" si="7"/>
        <v>8.602630745795436E-4</v>
      </c>
    </row>
    <row r="53" spans="2:7" x14ac:dyDescent="0.3">
      <c r="B53" t="s">
        <v>124</v>
      </c>
      <c r="C53" s="24" t="s">
        <v>53</v>
      </c>
      <c r="D53" s="76">
        <v>300000</v>
      </c>
      <c r="E53" s="52">
        <f>IFERROR(D53/'Unit Mix_vm'!$D$15,0)</f>
        <v>1000</v>
      </c>
      <c r="F53" s="37">
        <f>IFERROR(E53/'Unit Mix_vm'!$F$15,0)</f>
        <v>1.1111111111111112</v>
      </c>
      <c r="G53" s="25">
        <f t="shared" ca="1" si="7"/>
        <v>4.3013153728977179E-3</v>
      </c>
    </row>
    <row r="54" spans="2:7" x14ac:dyDescent="0.3">
      <c r="B54" t="s">
        <v>125</v>
      </c>
      <c r="C54" s="24" t="s">
        <v>53</v>
      </c>
      <c r="D54" s="52">
        <f>E54*'Unit Mix_vm'!$D$15</f>
        <v>1275000</v>
      </c>
      <c r="E54" s="284">
        <v>4250</v>
      </c>
      <c r="F54" s="37">
        <f>IFERROR(E54/'Unit Mix_vm'!$F$15,0)</f>
        <v>4.7222222222222223</v>
      </c>
      <c r="G54" s="25">
        <f t="shared" ca="1" si="7"/>
        <v>1.8280590334815303E-2</v>
      </c>
    </row>
    <row r="55" spans="2:7" x14ac:dyDescent="0.3">
      <c r="B55" t="s">
        <v>126</v>
      </c>
      <c r="C55" s="24" t="s">
        <v>53</v>
      </c>
      <c r="D55" s="76">
        <v>25000</v>
      </c>
      <c r="E55" s="52">
        <f>IFERROR(D55/'Unit Mix_vm'!$D$15,0)</f>
        <v>83.333333333333329</v>
      </c>
      <c r="F55" s="37">
        <f>IFERROR(E55/'Unit Mix_vm'!$F$15,0)</f>
        <v>9.2592592592592587E-2</v>
      </c>
      <c r="G55" s="25">
        <f t="shared" ca="1" si="7"/>
        <v>3.5844294774147649E-4</v>
      </c>
    </row>
    <row r="56" spans="2:7" x14ac:dyDescent="0.3">
      <c r="B56" t="s">
        <v>127</v>
      </c>
      <c r="C56" s="24" t="s">
        <v>53</v>
      </c>
      <c r="D56" s="76">
        <v>500000</v>
      </c>
      <c r="E56" s="52">
        <f>IFERROR(D56/'Unit Mix_vm'!$D$15,0)</f>
        <v>1666.6666666666667</v>
      </c>
      <c r="F56" s="37">
        <f>IFERROR(E56/'Unit Mix_vm'!$F$15,0)</f>
        <v>1.8518518518518519</v>
      </c>
      <c r="G56" s="25">
        <f t="shared" ca="1" si="7"/>
        <v>7.1688589548295307E-3</v>
      </c>
    </row>
    <row r="57" spans="2:7" x14ac:dyDescent="0.3">
      <c r="B57" t="s">
        <v>128</v>
      </c>
      <c r="C57" s="24" t="s">
        <v>53</v>
      </c>
      <c r="D57" s="76">
        <v>100000</v>
      </c>
      <c r="E57" s="52">
        <f>IFERROR(D57/'Unit Mix_vm'!$D$15,0)</f>
        <v>333.33333333333331</v>
      </c>
      <c r="F57" s="37">
        <f>IFERROR(E57/'Unit Mix_vm'!$F$15,0)</f>
        <v>0.37037037037037035</v>
      </c>
      <c r="G57" s="25">
        <f t="shared" ca="1" si="7"/>
        <v>1.433771790965906E-3</v>
      </c>
    </row>
    <row r="58" spans="2:7" x14ac:dyDescent="0.3">
      <c r="B58" t="s">
        <v>129</v>
      </c>
      <c r="C58" s="24" t="s">
        <v>53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 x14ac:dyDescent="0.3">
      <c r="B59" t="s">
        <v>130</v>
      </c>
      <c r="C59" s="24" t="s">
        <v>53</v>
      </c>
      <c r="D59" s="76">
        <v>100000</v>
      </c>
      <c r="E59" s="52">
        <f>IFERROR(D59/'Unit Mix_vm'!$D$15,0)</f>
        <v>333.33333333333331</v>
      </c>
      <c r="F59" s="37">
        <f>IFERROR(E59/'Unit Mix_vm'!$F$15,0)</f>
        <v>0.37037037037037035</v>
      </c>
      <c r="G59" s="25">
        <f t="shared" ca="1" si="7"/>
        <v>1.433771790965906E-3</v>
      </c>
    </row>
    <row r="60" spans="2:7" x14ac:dyDescent="0.3">
      <c r="B60" t="s">
        <v>131</v>
      </c>
      <c r="C60" s="24" t="s">
        <v>53</v>
      </c>
      <c r="D60" s="76">
        <v>150000</v>
      </c>
      <c r="E60" s="52">
        <f>IFERROR(D60/'Unit Mix_vm'!$D$15,0)</f>
        <v>500</v>
      </c>
      <c r="F60" s="37">
        <f>IFERROR(E60/'Unit Mix_vm'!$F$15,0)</f>
        <v>0.55555555555555558</v>
      </c>
      <c r="G60" s="25">
        <f t="shared" ca="1" si="7"/>
        <v>2.150657686448859E-3</v>
      </c>
    </row>
    <row r="61" spans="2:7" x14ac:dyDescent="0.3">
      <c r="B61" t="s">
        <v>132</v>
      </c>
      <c r="C61" s="24" t="s">
        <v>53</v>
      </c>
      <c r="D61" s="52">
        <f>E61*'Unit Mix_vm'!$D$15</f>
        <v>45000</v>
      </c>
      <c r="E61" s="76">
        <v>150</v>
      </c>
      <c r="F61" s="37">
        <f>IFERROR(E61/'Unit Mix_vm'!$F$15,0)</f>
        <v>0.16666666666666666</v>
      </c>
      <c r="G61" s="25">
        <f t="shared" ca="1" si="7"/>
        <v>6.4519730593465773E-4</v>
      </c>
    </row>
    <row r="62" spans="2:7" x14ac:dyDescent="0.3">
      <c r="B62" t="s">
        <v>133</v>
      </c>
      <c r="C62" s="24" t="s">
        <v>53</v>
      </c>
      <c r="D62" s="76">
        <v>100000</v>
      </c>
      <c r="E62" s="52">
        <f>IFERROR(D62/'Unit Mix_vm'!$D$15,0)</f>
        <v>333.33333333333331</v>
      </c>
      <c r="F62" s="37">
        <f>IFERROR(E62/'Unit Mix_vm'!$F$15,0)</f>
        <v>0.37037037037037035</v>
      </c>
      <c r="G62" s="25">
        <f t="shared" ca="1" si="7"/>
        <v>1.433771790965906E-3</v>
      </c>
    </row>
    <row r="63" spans="2:7" x14ac:dyDescent="0.3">
      <c r="B63" t="s">
        <v>134</v>
      </c>
      <c r="C63" s="24" t="s">
        <v>53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3">
      <c r="B64" s="3" t="s">
        <v>135</v>
      </c>
      <c r="C64" s="3"/>
      <c r="D64" s="13">
        <f>+SUM(D46:D63)</f>
        <v>4125000</v>
      </c>
      <c r="E64" s="13">
        <f>SUM(E46:E63)</f>
        <v>13750.000000000002</v>
      </c>
      <c r="F64" s="13">
        <f>SUM(F46:F63)</f>
        <v>15.277777777777777</v>
      </c>
      <c r="G64" s="26">
        <f ca="1">SUM(G46:G63)</f>
        <v>5.9143086377343619E-2</v>
      </c>
    </row>
    <row r="65" spans="2:7" x14ac:dyDescent="0.3">
      <c r="D65" s="14"/>
      <c r="E65" s="14"/>
      <c r="F65" s="14"/>
    </row>
    <row r="66" spans="2:7" x14ac:dyDescent="0.3">
      <c r="B66" s="12" t="s">
        <v>64</v>
      </c>
      <c r="C66" s="12"/>
      <c r="D66" s="15"/>
      <c r="E66" s="15"/>
      <c r="F66" s="15"/>
      <c r="G66" s="12"/>
    </row>
    <row r="67" spans="2:7" x14ac:dyDescent="0.3">
      <c r="B67" t="s">
        <v>136</v>
      </c>
      <c r="C67" s="24" t="s">
        <v>64</v>
      </c>
      <c r="D67" s="31">
        <f>F67*'Unit Mix_vm'!$D$15*'Unit Mix_vm'!$F$15</f>
        <v>43200000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0.61938941369727141</v>
      </c>
    </row>
    <row r="68" spans="2:7" x14ac:dyDescent="0.3">
      <c r="B68" t="s">
        <v>137</v>
      </c>
      <c r="C68" s="24" t="s">
        <v>64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 x14ac:dyDescent="0.3">
      <c r="B69" t="s">
        <v>138</v>
      </c>
      <c r="C69" s="24" t="s">
        <v>64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 x14ac:dyDescent="0.3">
      <c r="B70" t="s">
        <v>139</v>
      </c>
      <c r="C70" s="24" t="s">
        <v>64</v>
      </c>
      <c r="D70" s="52">
        <f>E70*'Unit Mix_vm'!$D$15</f>
        <v>6000000</v>
      </c>
      <c r="E70" s="76">
        <v>20000</v>
      </c>
      <c r="F70" s="52">
        <f>IFERROR(E70/'Unit Mix_vm'!$F$15,0)</f>
        <v>22.222222222222221</v>
      </c>
      <c r="G70" s="25">
        <f t="shared" ca="1" si="8"/>
        <v>8.6026307457954365E-2</v>
      </c>
    </row>
    <row r="71" spans="2:7" x14ac:dyDescent="0.3">
      <c r="B71" t="s">
        <v>140</v>
      </c>
      <c r="C71" s="24" t="s">
        <v>64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 x14ac:dyDescent="0.3">
      <c r="B72" s="3" t="s">
        <v>141</v>
      </c>
      <c r="C72" s="3"/>
      <c r="D72" s="13">
        <f>+SUM(D67:D71)</f>
        <v>49200000</v>
      </c>
      <c r="E72" s="13">
        <f>SUM(E67:E71)</f>
        <v>164000</v>
      </c>
      <c r="F72" s="13">
        <f>SUM(F67:F71)</f>
        <v>182.22222222222223</v>
      </c>
      <c r="G72" s="26">
        <f ca="1">SUM(G67:G71)</f>
        <v>0.70541572115522577</v>
      </c>
    </row>
    <row r="73" spans="2:7" x14ac:dyDescent="0.3">
      <c r="D73" s="14"/>
      <c r="E73" s="14"/>
      <c r="F73" s="14"/>
    </row>
    <row r="74" spans="2:7" x14ac:dyDescent="0.3">
      <c r="B74" s="12" t="s">
        <v>142</v>
      </c>
      <c r="C74" s="12"/>
      <c r="D74" s="15"/>
      <c r="E74" s="15"/>
      <c r="F74" s="15"/>
      <c r="G74" s="12"/>
    </row>
    <row r="75" spans="2:7" x14ac:dyDescent="0.3">
      <c r="B75" t="s">
        <v>143</v>
      </c>
      <c r="C75" s="24" t="s">
        <v>53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x14ac:dyDescent="0.3">
      <c r="B76" t="s">
        <v>144</v>
      </c>
      <c r="C76" s="24" t="s">
        <v>53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x14ac:dyDescent="0.3">
      <c r="B77" t="s">
        <v>145</v>
      </c>
      <c r="C77" s="24" t="s">
        <v>53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x14ac:dyDescent="0.3">
      <c r="B78" s="3" t="s">
        <v>146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x14ac:dyDescent="0.3">
      <c r="D79" s="14"/>
      <c r="E79" s="14"/>
      <c r="F79" s="14"/>
    </row>
    <row r="80" spans="2:7" x14ac:dyDescent="0.3">
      <c r="B80" s="12" t="s">
        <v>147</v>
      </c>
      <c r="C80" s="12"/>
      <c r="D80" s="15"/>
      <c r="E80" s="15"/>
      <c r="F80" s="15"/>
      <c r="G80" s="12"/>
    </row>
    <row r="81" spans="2:11" x14ac:dyDescent="0.3">
      <c r="B81" t="s">
        <v>148</v>
      </c>
      <c r="C81" s="24" t="s">
        <v>53</v>
      </c>
      <c r="D81" s="14">
        <f>+I81*D72</f>
        <v>2460000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3.5270786057761287E-2</v>
      </c>
      <c r="I81" s="21">
        <v>0.05</v>
      </c>
      <c r="J81" s="20" t="s">
        <v>149</v>
      </c>
      <c r="K81" s="20"/>
    </row>
    <row r="82" spans="2:11" x14ac:dyDescent="0.3">
      <c r="B82" t="s">
        <v>150</v>
      </c>
      <c r="C82" s="24" t="s">
        <v>53</v>
      </c>
      <c r="D82" s="31">
        <f ca="1">+IF(Global!C16="On",0,I82*N17)</f>
        <v>727305.32397459866</v>
      </c>
      <c r="E82" s="37">
        <f ca="1">IFERROR(D82/'Unit Mix_vm'!$D$15,0)</f>
        <v>2424.3510799153287</v>
      </c>
      <c r="F82" s="37">
        <f ca="1">IFERROR(E82/'Unit Mix_vm'!$F$15,0)</f>
        <v>2.693723422128143</v>
      </c>
      <c r="G82" s="25">
        <f t="shared" ca="1" si="10"/>
        <v>1.0427898569340989E-2</v>
      </c>
      <c r="I82" s="21">
        <v>0.05</v>
      </c>
      <c r="J82" s="20" t="s">
        <v>151</v>
      </c>
      <c r="K82" s="20"/>
    </row>
    <row r="83" spans="2:11" x14ac:dyDescent="0.3">
      <c r="B83" t="s">
        <v>152</v>
      </c>
      <c r="C83" s="24" t="s">
        <v>53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3">
      <c r="B84" s="3" t="s">
        <v>153</v>
      </c>
      <c r="C84" s="3"/>
      <c r="D84" s="13">
        <f ca="1">+SUM(D81:D83)</f>
        <v>3187305.3239745987</v>
      </c>
      <c r="E84" s="13">
        <f ca="1">SUM(E81:E83)</f>
        <v>10624.351079915328</v>
      </c>
      <c r="F84" s="13">
        <f ca="1">SUM(F81:F83)</f>
        <v>11.804834533239253</v>
      </c>
      <c r="G84" s="26">
        <f ca="1">SUM(G81:G83)</f>
        <v>4.5698684627102276E-2</v>
      </c>
    </row>
    <row r="86" spans="2:11" x14ac:dyDescent="0.3">
      <c r="B86" s="17" t="s">
        <v>154</v>
      </c>
      <c r="C86" s="22"/>
      <c r="D86" s="18">
        <f ca="1">+SUM(D84,D78,D72,D64,D43,D30,D24,D8)</f>
        <v>69746106.479491979</v>
      </c>
      <c r="E86" s="19">
        <f ca="1">+SUM(E84,E78,E72,E64,E43,E30,E24,E8)</f>
        <v>232487.02159830654</v>
      </c>
      <c r="F86" s="19">
        <f ca="1">+SUM(F84,F78,F72,F64,F43,F30,F24,F8)</f>
        <v>258.31891288700729</v>
      </c>
      <c r="G86" s="27">
        <f ca="1">+SUM(G84,G78,G72,G64,G43,G30,G24,G8)</f>
        <v>0.99999999999999989</v>
      </c>
    </row>
    <row r="89" spans="2:11" x14ac:dyDescent="0.3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U57"/>
  <sheetViews>
    <sheetView showGridLines="0" zoomScale="90" zoomScaleNormal="90" workbookViewId="0">
      <selection activeCell="P15" sqref="P15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1" width="15.21875" style="23" bestFit="1" customWidth="1"/>
    <col min="12" max="20" width="12.6640625" style="23" customWidth="1"/>
    <col min="21" max="21" width="12.6640625" customWidth="1"/>
  </cols>
  <sheetData>
    <row r="1" spans="1:21" s="142" customFormat="1" ht="25.8" x14ac:dyDescent="0.5">
      <c r="A1" s="145" t="str">
        <f>TEXT(Global!$C$7,"")</f>
        <v>Sneads Ferry 38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1" s="142" customFormat="1" ht="19.8" x14ac:dyDescent="0.4">
      <c r="A2" s="146" t="s">
        <v>155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  <c r="T2" s="143"/>
    </row>
    <row r="4" spans="1:21" x14ac:dyDescent="0.3">
      <c r="I4" s="259"/>
    </row>
    <row r="5" spans="1:21" x14ac:dyDescent="0.3">
      <c r="I5" s="259"/>
    </row>
    <row r="6" spans="1:21" ht="16.2" x14ac:dyDescent="0.45">
      <c r="B6" s="166"/>
      <c r="C6" s="167" t="s">
        <v>156</v>
      </c>
      <c r="D6" s="167"/>
    </row>
    <row r="7" spans="1:21" x14ac:dyDescent="0.3">
      <c r="B7" s="168"/>
      <c r="C7" s="169" t="s">
        <v>41</v>
      </c>
      <c r="D7" s="169" t="s">
        <v>157</v>
      </c>
      <c r="F7" s="140" t="s">
        <v>158</v>
      </c>
      <c r="G7" s="141"/>
      <c r="I7" s="140" t="s">
        <v>159</v>
      </c>
      <c r="J7" s="156" t="s">
        <v>160</v>
      </c>
      <c r="K7" s="156" t="s">
        <v>447</v>
      </c>
      <c r="L7" s="156" t="s">
        <v>161</v>
      </c>
      <c r="M7" s="156" t="s">
        <v>26</v>
      </c>
      <c r="N7" s="156" t="s">
        <v>162</v>
      </c>
      <c r="O7" s="156" t="s">
        <v>439</v>
      </c>
      <c r="P7" s="156" t="s">
        <v>163</v>
      </c>
      <c r="Q7" s="156" t="s">
        <v>164</v>
      </c>
      <c r="R7" s="156" t="s">
        <v>165</v>
      </c>
      <c r="S7" s="156" t="s">
        <v>166</v>
      </c>
      <c r="T7" s="156" t="s">
        <v>37</v>
      </c>
      <c r="U7" s="157" t="s">
        <v>167</v>
      </c>
    </row>
    <row r="8" spans="1:21" x14ac:dyDescent="0.3">
      <c r="B8" s="68"/>
      <c r="C8" s="64"/>
      <c r="D8" s="57"/>
      <c r="F8" s="56" t="s">
        <v>168</v>
      </c>
      <c r="G8" s="129">
        <f>G9*'Unit Mix_vm'!$D$15</f>
        <v>28200000</v>
      </c>
      <c r="I8" s="239" t="s">
        <v>437</v>
      </c>
      <c r="J8" s="260" t="s">
        <v>160</v>
      </c>
      <c r="K8" s="262" t="s">
        <v>448</v>
      </c>
      <c r="L8" s="235">
        <v>240</v>
      </c>
      <c r="M8" s="235">
        <v>2025</v>
      </c>
      <c r="N8" s="235">
        <v>2025</v>
      </c>
      <c r="O8" s="237">
        <v>20371906</v>
      </c>
      <c r="P8" s="36">
        <f>O8/$L8</f>
        <v>84882.941666666666</v>
      </c>
      <c r="Q8" s="235">
        <v>0.65500000000000003</v>
      </c>
      <c r="R8" s="237">
        <v>0</v>
      </c>
      <c r="S8" s="36">
        <f>R8/$L8</f>
        <v>0</v>
      </c>
      <c r="T8" s="36">
        <f>O8*Q8/100+R8</f>
        <v>133435.98430000001</v>
      </c>
      <c r="U8" s="226">
        <f>T8/$L8</f>
        <v>555.9832679166667</v>
      </c>
    </row>
    <row r="9" spans="1:21" x14ac:dyDescent="0.3">
      <c r="B9" s="68" t="s">
        <v>169</v>
      </c>
      <c r="C9" s="64">
        <f>+D9*'Unit Mix_vm'!D15*12</f>
        <v>5940000</v>
      </c>
      <c r="D9" s="78">
        <f>+'Unit Mix_vm'!G15</f>
        <v>1650</v>
      </c>
      <c r="F9" s="56" t="s">
        <v>170</v>
      </c>
      <c r="G9" s="243">
        <v>94000</v>
      </c>
      <c r="I9" s="239" t="s">
        <v>438</v>
      </c>
      <c r="J9" s="260" t="s">
        <v>160</v>
      </c>
      <c r="K9" s="262" t="s">
        <v>464</v>
      </c>
      <c r="L9" s="235">
        <v>264</v>
      </c>
      <c r="M9" s="235">
        <v>2023</v>
      </c>
      <c r="N9" s="235">
        <v>2025</v>
      </c>
      <c r="O9" s="237">
        <v>26425550</v>
      </c>
      <c r="P9" s="36">
        <f t="shared" ref="P9:P10" si="0">O9/$L9</f>
        <v>100096.7803030303</v>
      </c>
      <c r="Q9" s="235">
        <v>0.65500000000000003</v>
      </c>
      <c r="R9" s="237">
        <v>0</v>
      </c>
      <c r="S9" s="36">
        <f>R9/$L9</f>
        <v>0</v>
      </c>
      <c r="T9" s="36">
        <f>O9*Q9/100+R9</f>
        <v>173087.35250000001</v>
      </c>
      <c r="U9" s="226">
        <f>T9/$L9</f>
        <v>655.63391098484851</v>
      </c>
    </row>
    <row r="10" spans="1:21" x14ac:dyDescent="0.3">
      <c r="B10" s="68" t="s">
        <v>171</v>
      </c>
      <c r="C10" s="80">
        <f>-D10*C9</f>
        <v>0</v>
      </c>
      <c r="D10" s="253">
        <v>0</v>
      </c>
      <c r="F10" s="56"/>
      <c r="G10" s="57"/>
      <c r="I10" s="240" t="s">
        <v>454</v>
      </c>
      <c r="J10" s="283" t="s">
        <v>160</v>
      </c>
      <c r="K10" s="263" t="s">
        <v>453</v>
      </c>
      <c r="L10" s="241">
        <v>176</v>
      </c>
      <c r="M10" s="241">
        <v>2013</v>
      </c>
      <c r="N10" s="241">
        <v>2025</v>
      </c>
      <c r="O10" s="242">
        <f>8471100+8427300</f>
        <v>16898400</v>
      </c>
      <c r="P10" s="223">
        <f t="shared" si="0"/>
        <v>96013.636363636368</v>
      </c>
      <c r="Q10" s="241">
        <v>0.65500000000000003</v>
      </c>
      <c r="R10" s="242">
        <v>0</v>
      </c>
      <c r="S10" s="223">
        <f>R10/$L10</f>
        <v>0</v>
      </c>
      <c r="T10" s="223">
        <f>O10*Q10/100+R10</f>
        <v>110684.52</v>
      </c>
      <c r="U10" s="232">
        <f>T10/$L10</f>
        <v>628.88931818181823</v>
      </c>
    </row>
    <row r="11" spans="1:21" x14ac:dyDescent="0.3">
      <c r="B11" s="68" t="s">
        <v>172</v>
      </c>
      <c r="C11" s="80">
        <f>-D11*C9</f>
        <v>-19800</v>
      </c>
      <c r="D11" s="253">
        <f>1/'Unit Mix_vm'!$D$15</f>
        <v>3.3333333333333335E-3</v>
      </c>
      <c r="F11" s="56" t="s">
        <v>173</v>
      </c>
      <c r="G11" s="238">
        <v>0.65500000000000003</v>
      </c>
    </row>
    <row r="12" spans="1:21" x14ac:dyDescent="0.3">
      <c r="B12" s="69" t="s">
        <v>174</v>
      </c>
      <c r="C12" s="65">
        <f>SUM(C9:C11)</f>
        <v>5920200</v>
      </c>
      <c r="D12" s="72">
        <f>IFERROR(C12/'Unit Mix_vm'!$D$15/12,0)</f>
        <v>1644.5</v>
      </c>
      <c r="F12" s="56" t="s">
        <v>175</v>
      </c>
      <c r="G12" s="129">
        <f>G13*'Unit Mix_vm'!$D$15</f>
        <v>0</v>
      </c>
    </row>
    <row r="13" spans="1:21" x14ac:dyDescent="0.3">
      <c r="B13" s="68"/>
      <c r="C13" s="64"/>
      <c r="D13" s="57"/>
      <c r="F13" s="56" t="s">
        <v>176</v>
      </c>
      <c r="G13" s="243">
        <v>0</v>
      </c>
    </row>
    <row r="14" spans="1:21" x14ac:dyDescent="0.3">
      <c r="B14" s="68" t="s">
        <v>177</v>
      </c>
      <c r="C14" s="64">
        <f>+D14*'Unit Mix_vm'!$D$15*12</f>
        <v>712320</v>
      </c>
      <c r="D14" s="129">
        <f>$N$57</f>
        <v>197.86666666666667</v>
      </c>
      <c r="F14" s="56" t="s">
        <v>178</v>
      </c>
      <c r="G14" s="253">
        <v>0</v>
      </c>
      <c r="I14" s="123" t="s">
        <v>179</v>
      </c>
      <c r="J14" s="178"/>
      <c r="K14" s="124"/>
      <c r="L14" s="124" t="s">
        <v>180</v>
      </c>
      <c r="M14" s="124" t="s">
        <v>37</v>
      </c>
      <c r="N14" s="125" t="s">
        <v>42</v>
      </c>
      <c r="O14" s="279"/>
    </row>
    <row r="15" spans="1:21" x14ac:dyDescent="0.3">
      <c r="B15" s="68" t="s">
        <v>181</v>
      </c>
      <c r="C15" s="79">
        <v>0</v>
      </c>
      <c r="D15" s="71">
        <f>IFERROR(C15/'Unit Mix_vm'!$D$15/12,0)</f>
        <v>0</v>
      </c>
      <c r="F15" s="56"/>
      <c r="G15" s="57"/>
      <c r="I15" s="189" t="s">
        <v>182</v>
      </c>
      <c r="J15" s="190"/>
      <c r="K15" s="191"/>
      <c r="L15" s="191"/>
      <c r="M15" s="191"/>
      <c r="N15" s="192"/>
    </row>
    <row r="16" spans="1:21" x14ac:dyDescent="0.3">
      <c r="B16" s="69" t="s">
        <v>183</v>
      </c>
      <c r="C16" s="65">
        <f>SUM(C14:C15,C12)</f>
        <v>6632520</v>
      </c>
      <c r="D16" s="72">
        <f>IFERROR(C16/'Unit Mix_vm'!$D$15/12,0)</f>
        <v>1842.3666666666668</v>
      </c>
      <c r="F16" s="56" t="s">
        <v>184</v>
      </c>
      <c r="G16" s="82">
        <f>(G11*G8/100+G12)*(1-G14)</f>
        <v>184710</v>
      </c>
      <c r="I16" s="179" t="s">
        <v>185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160</v>
      </c>
      <c r="O16" s="280"/>
    </row>
    <row r="17" spans="2:15" x14ac:dyDescent="0.3">
      <c r="B17" s="68"/>
      <c r="C17" s="64"/>
      <c r="D17" s="57"/>
      <c r="F17" s="56" t="s">
        <v>186</v>
      </c>
      <c r="G17" s="82">
        <f>+G16/'Unit Mix_vm'!$D$15</f>
        <v>615.70000000000005</v>
      </c>
      <c r="I17" s="179" t="s">
        <v>187</v>
      </c>
      <c r="J17" s="173"/>
      <c r="K17" s="174"/>
      <c r="L17" s="182">
        <v>3</v>
      </c>
      <c r="M17" s="180">
        <f>L17*'Unit Mix_vm'!$D$15*12</f>
        <v>10800</v>
      </c>
      <c r="N17" s="181">
        <f>M17/'Unit Mix_vm'!$D$15</f>
        <v>36</v>
      </c>
      <c r="O17" s="280"/>
    </row>
    <row r="18" spans="2:15" x14ac:dyDescent="0.3">
      <c r="B18" s="68" t="s">
        <v>29</v>
      </c>
      <c r="C18" s="73">
        <f>-D18*SUM(C9,C14)</f>
        <v>-332616</v>
      </c>
      <c r="D18" s="253">
        <v>0.05</v>
      </c>
      <c r="F18" s="56"/>
      <c r="G18" s="57"/>
      <c r="I18" s="179" t="s">
        <v>188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40</v>
      </c>
      <c r="O18" s="280"/>
    </row>
    <row r="19" spans="2:15" x14ac:dyDescent="0.3">
      <c r="B19" s="68" t="s">
        <v>189</v>
      </c>
      <c r="C19" s="73">
        <f>-D19*SUM(C9,C14,C18)</f>
        <v>-31598.52</v>
      </c>
      <c r="D19" s="253">
        <v>5.0000000000000001E-3</v>
      </c>
      <c r="F19" s="56" t="s">
        <v>190</v>
      </c>
      <c r="G19" s="83">
        <v>0</v>
      </c>
      <c r="I19" s="179" t="s">
        <v>191</v>
      </c>
      <c r="J19" s="173"/>
      <c r="K19" s="174"/>
      <c r="L19" s="182">
        <v>10</v>
      </c>
      <c r="M19" s="180">
        <f>L19*'Unit Mix_vm'!$D$15*12</f>
        <v>36000</v>
      </c>
      <c r="N19" s="181">
        <f>M19/'Unit Mix_vm'!$D$15</f>
        <v>120</v>
      </c>
      <c r="O19" s="280"/>
    </row>
    <row r="20" spans="2:15" x14ac:dyDescent="0.3">
      <c r="B20" s="69" t="s">
        <v>192</v>
      </c>
      <c r="C20" s="65">
        <f>SUM(C18:C19,C16)</f>
        <v>6268305.4800000004</v>
      </c>
      <c r="D20" s="254">
        <f>IFERROR(C20/#REF!/12,0)</f>
        <v>0</v>
      </c>
      <c r="F20" s="56"/>
      <c r="G20" s="57"/>
      <c r="I20" s="179" t="s">
        <v>193</v>
      </c>
      <c r="J20" s="173"/>
      <c r="K20" s="174"/>
      <c r="L20" s="182">
        <v>30</v>
      </c>
      <c r="M20" s="180">
        <f>L20*'Unit Mix_vm'!$D$15*12</f>
        <v>108000</v>
      </c>
      <c r="N20" s="181">
        <f>M20/'Unit Mix_vm'!$D$15</f>
        <v>360</v>
      </c>
      <c r="O20" s="280"/>
    </row>
    <row r="21" spans="2:15" x14ac:dyDescent="0.3">
      <c r="B21" s="68"/>
      <c r="C21" s="64"/>
      <c r="D21" s="57"/>
      <c r="F21" s="56" t="s">
        <v>194</v>
      </c>
      <c r="G21" s="84">
        <f>+G16+G19</f>
        <v>184710</v>
      </c>
      <c r="I21" s="179" t="s">
        <v>195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20</v>
      </c>
      <c r="O21" s="280"/>
    </row>
    <row r="22" spans="2:15" x14ac:dyDescent="0.3">
      <c r="B22" s="68" t="s">
        <v>196</v>
      </c>
      <c r="C22" s="73">
        <f>D22*C20</f>
        <v>172378.40070000003</v>
      </c>
      <c r="D22" s="253">
        <v>2.75E-2</v>
      </c>
      <c r="F22" s="59" t="s">
        <v>197</v>
      </c>
      <c r="G22" s="85">
        <f>+G21/'Unit Mix_vm'!$D$15</f>
        <v>615.70000000000005</v>
      </c>
      <c r="I22" s="179" t="s">
        <v>198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  <c r="O22" s="280"/>
    </row>
    <row r="23" spans="2:15" x14ac:dyDescent="0.3">
      <c r="B23" s="120" t="s">
        <v>199</v>
      </c>
      <c r="C23" s="130">
        <f>G21</f>
        <v>184710</v>
      </c>
      <c r="D23" s="82">
        <f>IFERROR(C23/'Unit Mix_vm'!$D$15,0)</f>
        <v>615.70000000000005</v>
      </c>
      <c r="I23" s="179" t="s">
        <v>200</v>
      </c>
      <c r="J23" s="173"/>
      <c r="K23" s="174"/>
      <c r="L23" s="172">
        <v>0</v>
      </c>
      <c r="M23" s="180">
        <f t="shared" ref="M23" si="1">L23*12</f>
        <v>0</v>
      </c>
      <c r="N23" s="181">
        <f>M23/'Unit Mix_vm'!$D$15</f>
        <v>0</v>
      </c>
      <c r="O23" s="280"/>
    </row>
    <row r="24" spans="2:15" x14ac:dyDescent="0.3">
      <c r="B24" s="68" t="s">
        <v>201</v>
      </c>
      <c r="C24" s="73">
        <f>+D24*'Unit Mix_vm'!$D$15</f>
        <v>210000</v>
      </c>
      <c r="D24" s="258">
        <v>700</v>
      </c>
      <c r="I24" s="187" t="s">
        <v>202</v>
      </c>
      <c r="J24" s="175"/>
      <c r="K24" s="176"/>
      <c r="L24" s="176"/>
      <c r="M24" s="177">
        <f>SUM(M16:M23)</f>
        <v>220800</v>
      </c>
      <c r="N24" s="188">
        <f>M24/'Unit Mix_vm'!$D$15</f>
        <v>736</v>
      </c>
      <c r="O24" s="280"/>
    </row>
    <row r="25" spans="2:15" x14ac:dyDescent="0.3">
      <c r="B25" s="68" t="s">
        <v>203</v>
      </c>
      <c r="C25" s="73">
        <f>+D25*'Unit Mix_vm'!$D$15</f>
        <v>0</v>
      </c>
      <c r="D25" s="83">
        <v>0</v>
      </c>
      <c r="I25" s="189" t="s">
        <v>204</v>
      </c>
      <c r="J25" s="190"/>
      <c r="K25" s="191"/>
      <c r="L25" s="191"/>
      <c r="M25" s="191"/>
      <c r="N25" s="192"/>
    </row>
    <row r="26" spans="2:15" x14ac:dyDescent="0.3">
      <c r="B26" s="68" t="s">
        <v>205</v>
      </c>
      <c r="C26" s="73">
        <f>+D26*'Unit Mix_vm'!$D$15</f>
        <v>0</v>
      </c>
      <c r="D26" s="83">
        <v>0</v>
      </c>
      <c r="I26" s="179" t="s">
        <v>206</v>
      </c>
      <c r="J26" s="173"/>
      <c r="K26" s="174"/>
      <c r="L26" s="182">
        <v>50</v>
      </c>
      <c r="M26" s="180">
        <f>L26*'Unit Mix_vm'!$D$15*12*5%</f>
        <v>9000</v>
      </c>
      <c r="N26" s="181">
        <f>M26/'Unit Mix_vm'!$D$15</f>
        <v>30</v>
      </c>
      <c r="O26" s="280"/>
    </row>
    <row r="27" spans="2:15" x14ac:dyDescent="0.3">
      <c r="B27" s="68" t="s">
        <v>204</v>
      </c>
      <c r="C27" s="73">
        <f>+D27*'Unit Mix_vm'!$D$15</f>
        <v>153900</v>
      </c>
      <c r="D27" s="129">
        <f>N32</f>
        <v>513</v>
      </c>
      <c r="I27" s="179" t="s">
        <v>207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</v>
      </c>
      <c r="O27" s="280"/>
    </row>
    <row r="28" spans="2:15" x14ac:dyDescent="0.3">
      <c r="B28" s="68" t="s">
        <v>182</v>
      </c>
      <c r="C28" s="73">
        <f>+D28*'Unit Mix_vm'!$D$15</f>
        <v>220800</v>
      </c>
      <c r="D28" s="129">
        <f>N24</f>
        <v>736</v>
      </c>
      <c r="I28" s="179" t="s">
        <v>208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120</v>
      </c>
      <c r="O28" s="280"/>
    </row>
    <row r="29" spans="2:15" x14ac:dyDescent="0.3">
      <c r="B29" s="68" t="s">
        <v>209</v>
      </c>
      <c r="C29" s="73">
        <f>+D29*'Unit Mix_vm'!$D$15</f>
        <v>75000</v>
      </c>
      <c r="D29" s="83">
        <v>250</v>
      </c>
      <c r="I29" s="179" t="s">
        <v>210</v>
      </c>
      <c r="J29" s="173"/>
      <c r="K29" s="174"/>
      <c r="L29" s="182">
        <v>30</v>
      </c>
      <c r="M29" s="180">
        <f>L29*'Unit Mix_vm'!$D$15*12</f>
        <v>108000</v>
      </c>
      <c r="N29" s="181">
        <f>M29/'Unit Mix_vm'!$D$15</f>
        <v>360</v>
      </c>
      <c r="O29" s="280"/>
    </row>
    <row r="30" spans="2:15" x14ac:dyDescent="0.3">
      <c r="B30" s="68" t="s">
        <v>211</v>
      </c>
      <c r="C30" s="73">
        <f>+D30*'Unit Mix_vm'!$D$15</f>
        <v>75000</v>
      </c>
      <c r="D30" s="83">
        <v>250</v>
      </c>
      <c r="I30" s="179" t="s">
        <v>212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  <c r="O30" s="280"/>
    </row>
    <row r="31" spans="2:15" x14ac:dyDescent="0.3">
      <c r="B31" s="68" t="s">
        <v>213</v>
      </c>
      <c r="C31" s="73">
        <f>+D31*'Unit Mix_vm'!$D$15</f>
        <v>9000</v>
      </c>
      <c r="D31" s="83">
        <v>30</v>
      </c>
      <c r="I31" s="179" t="s">
        <v>200</v>
      </c>
      <c r="J31" s="173"/>
      <c r="K31" s="174"/>
      <c r="L31" s="172">
        <v>0</v>
      </c>
      <c r="M31" s="180">
        <f t="shared" ref="M31" si="2">L31*12</f>
        <v>0</v>
      </c>
      <c r="N31" s="181">
        <f>M31/'Unit Mix_vm'!$D$15</f>
        <v>0</v>
      </c>
      <c r="O31" s="280"/>
    </row>
    <row r="32" spans="2:15" x14ac:dyDescent="0.3">
      <c r="B32" s="68" t="s">
        <v>214</v>
      </c>
      <c r="C32" s="73">
        <f>+D32*'Unit Mix_vm'!$D$15</f>
        <v>105000</v>
      </c>
      <c r="D32" s="83">
        <v>350</v>
      </c>
      <c r="I32" s="183" t="s">
        <v>215</v>
      </c>
      <c r="J32" s="184"/>
      <c r="K32" s="185"/>
      <c r="L32" s="185"/>
      <c r="M32" s="171">
        <f>SUM(M26:M31)</f>
        <v>153900</v>
      </c>
      <c r="N32" s="186">
        <f>M32/'Unit Mix_vm'!$D$15</f>
        <v>513</v>
      </c>
      <c r="O32" s="280"/>
    </row>
    <row r="33" spans="2:16" x14ac:dyDescent="0.3">
      <c r="B33" s="68" t="s">
        <v>216</v>
      </c>
      <c r="C33" s="73">
        <f>+D33*'Unit Mix_vm'!$D$15</f>
        <v>412769.04</v>
      </c>
      <c r="D33" s="129">
        <f>N46</f>
        <v>1375.8968</v>
      </c>
      <c r="F33" s="30"/>
      <c r="I33" s="189" t="s">
        <v>216</v>
      </c>
      <c r="J33" s="190"/>
      <c r="K33" s="191"/>
      <c r="L33" s="191"/>
      <c r="M33" s="191"/>
      <c r="N33" s="192"/>
    </row>
    <row r="34" spans="2:16" x14ac:dyDescent="0.3">
      <c r="B34" s="68" t="s">
        <v>217</v>
      </c>
      <c r="C34" s="73">
        <f>+D34*'Unit Mix_vm'!$D$15</f>
        <v>60000</v>
      </c>
      <c r="D34" s="83">
        <v>200</v>
      </c>
      <c r="I34" s="193" t="s">
        <v>218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242.66666666666666</v>
      </c>
      <c r="O34" s="281"/>
    </row>
    <row r="35" spans="2:16" x14ac:dyDescent="0.3">
      <c r="B35" s="68" t="s">
        <v>219</v>
      </c>
      <c r="C35" s="73">
        <f>+D35*'Unit Mix_vm'!$D$15</f>
        <v>45000</v>
      </c>
      <c r="D35" s="83">
        <v>150</v>
      </c>
      <c r="I35" s="198" t="s">
        <v>220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48.533333333333331</v>
      </c>
      <c r="O35" s="281"/>
    </row>
    <row r="36" spans="2:16" x14ac:dyDescent="0.3">
      <c r="B36" s="68" t="s">
        <v>221</v>
      </c>
      <c r="C36" s="73">
        <f>+D36*'Unit Mix_vm'!$D$15</f>
        <v>0</v>
      </c>
      <c r="D36" s="83">
        <v>0</v>
      </c>
      <c r="I36" s="193" t="s">
        <v>222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173.33333333333334</v>
      </c>
      <c r="O36" s="281"/>
    </row>
    <row r="37" spans="2:16" x14ac:dyDescent="0.3">
      <c r="B37" s="69" t="s">
        <v>223</v>
      </c>
      <c r="C37" s="65">
        <f>+SUM(C22:C36)</f>
        <v>1723557.4407000002</v>
      </c>
      <c r="D37" s="254">
        <f>IFERROR(C37/'Unit Mix_vm'!$D$15,0)</f>
        <v>5745.1914690000003</v>
      </c>
      <c r="I37" s="198" t="s">
        <v>220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  <c r="O37" s="281"/>
    </row>
    <row r="38" spans="2:16" x14ac:dyDescent="0.3">
      <c r="B38" s="56"/>
      <c r="C38" s="64"/>
      <c r="D38" s="57"/>
      <c r="I38" s="193" t="s">
        <v>224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69.333333333333329</v>
      </c>
      <c r="O38" s="281"/>
    </row>
    <row r="39" spans="2:16" x14ac:dyDescent="0.3">
      <c r="B39" s="68" t="s">
        <v>225</v>
      </c>
      <c r="C39" s="64">
        <f>+C20-C37</f>
        <v>4544748.0393000003</v>
      </c>
      <c r="D39" s="71">
        <f>IFERROR(C39/#REF!,0)</f>
        <v>0</v>
      </c>
      <c r="I39" s="193" t="s">
        <v>226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  <c r="O39" s="281"/>
    </row>
    <row r="40" spans="2:16" x14ac:dyDescent="0.3">
      <c r="B40" s="70" t="s">
        <v>227</v>
      </c>
      <c r="C40" s="66">
        <f>IFERROR(C39/C20,0)</f>
        <v>0.7250361447444964</v>
      </c>
      <c r="D40" s="57"/>
      <c r="I40" s="193" t="s">
        <v>228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221.86666666666667</v>
      </c>
      <c r="O40" s="281"/>
    </row>
    <row r="41" spans="2:16" x14ac:dyDescent="0.3">
      <c r="B41" s="56"/>
      <c r="C41" s="56"/>
      <c r="D41" s="57"/>
      <c r="I41" s="198" t="s">
        <v>220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22.186666666666667</v>
      </c>
      <c r="O41" s="281"/>
    </row>
    <row r="42" spans="2:16" x14ac:dyDescent="0.3">
      <c r="B42" s="62" t="s">
        <v>229</v>
      </c>
      <c r="C42" s="67">
        <f ca="1">C39/Budget_vm!D86</f>
        <v>6.5161315357959521E-2</v>
      </c>
      <c r="D42" s="63"/>
      <c r="I42" s="193" t="s">
        <v>230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138.66666666666666</v>
      </c>
      <c r="O42" s="281"/>
    </row>
    <row r="43" spans="2:16" x14ac:dyDescent="0.3">
      <c r="I43" s="193" t="s">
        <v>231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  <c r="O43" s="281"/>
    </row>
    <row r="44" spans="2:16" x14ac:dyDescent="0.3">
      <c r="I44" s="193" t="s">
        <v>232</v>
      </c>
      <c r="J44" s="173"/>
      <c r="K44" s="172"/>
      <c r="L44" s="203">
        <v>150</v>
      </c>
      <c r="M44" s="196">
        <f>L44*'Unit Mix_vm'!D15</f>
        <v>45000</v>
      </c>
      <c r="N44" s="197">
        <f>M44/'Unit Mix_vm'!$D$15</f>
        <v>150</v>
      </c>
      <c r="O44" s="281"/>
    </row>
    <row r="45" spans="2:16" x14ac:dyDescent="0.3">
      <c r="I45" s="193" t="s">
        <v>233</v>
      </c>
      <c r="J45" s="173"/>
      <c r="K45" s="172"/>
      <c r="L45" s="199">
        <v>0.28999999999999998</v>
      </c>
      <c r="M45" s="196">
        <f>SUM(M34:M44)*L45</f>
        <v>92793.04</v>
      </c>
      <c r="N45" s="197">
        <f>M45/'Unit Mix_vm'!$D$15</f>
        <v>309.31013333333334</v>
      </c>
      <c r="O45" s="281"/>
    </row>
    <row r="46" spans="2:16" x14ac:dyDescent="0.3">
      <c r="I46" s="200" t="s">
        <v>234</v>
      </c>
      <c r="J46" s="184"/>
      <c r="K46" s="184"/>
      <c r="L46" s="184"/>
      <c r="M46" s="201">
        <f>SUM(M34:M45)</f>
        <v>412769.04</v>
      </c>
      <c r="N46" s="202">
        <f>M46/'Unit Mix_vm'!$D$15</f>
        <v>1375.8968</v>
      </c>
      <c r="O46" s="36"/>
      <c r="P46" s="233"/>
    </row>
    <row r="48" spans="2:16" x14ac:dyDescent="0.3">
      <c r="I48" s="189" t="s">
        <v>177</v>
      </c>
      <c r="J48" s="224" t="s">
        <v>16</v>
      </c>
      <c r="K48" s="224" t="s">
        <v>15</v>
      </c>
      <c r="L48" s="224" t="s">
        <v>180</v>
      </c>
      <c r="M48" s="224" t="s">
        <v>37</v>
      </c>
      <c r="N48" s="225" t="s">
        <v>235</v>
      </c>
      <c r="O48" s="282"/>
    </row>
    <row r="49" spans="9:17" x14ac:dyDescent="0.3">
      <c r="I49" s="193" t="s">
        <v>236</v>
      </c>
      <c r="J49" s="244">
        <v>1</v>
      </c>
      <c r="K49" s="245">
        <f>'Unit Mix_vm'!$D$15</f>
        <v>300</v>
      </c>
      <c r="L49" s="182">
        <v>65</v>
      </c>
      <c r="M49" s="180">
        <f>L49*K49*J49*12</f>
        <v>234000</v>
      </c>
      <c r="N49" s="246">
        <f>M49/'Unit Mix_vm'!$D$15/12</f>
        <v>65</v>
      </c>
      <c r="O49" s="36"/>
      <c r="P49" s="36"/>
      <c r="Q49" s="234"/>
    </row>
    <row r="50" spans="9:17" x14ac:dyDescent="0.3">
      <c r="I50" s="193" t="s">
        <v>237</v>
      </c>
      <c r="J50" s="244">
        <v>1</v>
      </c>
      <c r="K50" s="245">
        <f>'Unit Mix_vm'!$D$15</f>
        <v>300</v>
      </c>
      <c r="L50" s="182">
        <v>70</v>
      </c>
      <c r="M50" s="180">
        <f t="shared" ref="M50:M55" si="3">L50*K50*J50*12</f>
        <v>252000</v>
      </c>
      <c r="N50" s="246">
        <f>M50/'Unit Mix_vm'!$D$15/12</f>
        <v>70</v>
      </c>
      <c r="O50" s="36"/>
    </row>
    <row r="51" spans="9:17" x14ac:dyDescent="0.3">
      <c r="I51" s="193" t="s">
        <v>191</v>
      </c>
      <c r="J51" s="244">
        <v>1</v>
      </c>
      <c r="K51" s="245">
        <f>'Unit Mix_vm'!$D$15</f>
        <v>300</v>
      </c>
      <c r="L51" s="182">
        <v>25</v>
      </c>
      <c r="M51" s="180">
        <f t="shared" si="3"/>
        <v>90000</v>
      </c>
      <c r="N51" s="246">
        <f>M51/'Unit Mix_vm'!$D$15/12</f>
        <v>25</v>
      </c>
      <c r="O51" s="36"/>
    </row>
    <row r="52" spans="9:17" x14ac:dyDescent="0.3">
      <c r="I52" s="193" t="s">
        <v>187</v>
      </c>
      <c r="J52" s="244">
        <v>1</v>
      </c>
      <c r="K52" s="245">
        <f>'Unit Mix_vm'!$D$15</f>
        <v>300</v>
      </c>
      <c r="L52" s="182">
        <v>5</v>
      </c>
      <c r="M52" s="180">
        <f t="shared" si="3"/>
        <v>18000</v>
      </c>
      <c r="N52" s="246">
        <f>M52/'Unit Mix_vm'!$D$15/12</f>
        <v>5</v>
      </c>
      <c r="O52" s="36"/>
    </row>
    <row r="53" spans="9:17" x14ac:dyDescent="0.3">
      <c r="I53" s="193" t="s">
        <v>210</v>
      </c>
      <c r="J53" s="244">
        <v>0.9</v>
      </c>
      <c r="K53" s="245">
        <f>'Unit Mix_vm'!$D$15</f>
        <v>300</v>
      </c>
      <c r="L53" s="247">
        <f>$L$29</f>
        <v>30</v>
      </c>
      <c r="M53" s="180">
        <f t="shared" si="3"/>
        <v>97200</v>
      </c>
      <c r="N53" s="246">
        <f>M53/'Unit Mix_vm'!$D$15/12</f>
        <v>27</v>
      </c>
      <c r="O53" s="36"/>
    </row>
    <row r="54" spans="9:17" x14ac:dyDescent="0.3">
      <c r="I54" s="193" t="s">
        <v>238</v>
      </c>
      <c r="J54" s="244">
        <v>1</v>
      </c>
      <c r="K54" s="248">
        <v>32</v>
      </c>
      <c r="L54" s="249">
        <v>55</v>
      </c>
      <c r="M54" s="180">
        <f t="shared" si="3"/>
        <v>21120</v>
      </c>
      <c r="N54" s="246">
        <f>M54/'Unit Mix_vm'!$D$15/12</f>
        <v>5.8666666666666671</v>
      </c>
      <c r="O54" s="36"/>
    </row>
    <row r="55" spans="9:17" x14ac:dyDescent="0.3">
      <c r="I55" s="193" t="s">
        <v>239</v>
      </c>
      <c r="J55" s="244">
        <v>1</v>
      </c>
      <c r="K55" s="248">
        <v>0</v>
      </c>
      <c r="L55" s="249">
        <v>200</v>
      </c>
      <c r="M55" s="180">
        <f t="shared" si="3"/>
        <v>0</v>
      </c>
      <c r="N55" s="246">
        <f>M55/'Unit Mix_vm'!$D$15/12</f>
        <v>0</v>
      </c>
      <c r="O55" s="36"/>
    </row>
    <row r="56" spans="9:17" x14ac:dyDescent="0.3">
      <c r="I56" s="193" t="s">
        <v>240</v>
      </c>
      <c r="J56" s="244">
        <v>1</v>
      </c>
      <c r="K56" s="245">
        <f>'Unit Mix_vm'!$D$15</f>
        <v>300</v>
      </c>
      <c r="L56" s="182">
        <v>0</v>
      </c>
      <c r="M56" s="180">
        <f t="shared" ref="M56" si="4">L56*K56*J56*12</f>
        <v>0</v>
      </c>
      <c r="N56" s="246">
        <f>M56/'Unit Mix_vm'!$D$15/12</f>
        <v>0</v>
      </c>
      <c r="O56" s="36"/>
    </row>
    <row r="57" spans="9:17" x14ac:dyDescent="0.3">
      <c r="I57" s="227" t="s">
        <v>241</v>
      </c>
      <c r="J57" s="228"/>
      <c r="K57" s="229"/>
      <c r="L57" s="230"/>
      <c r="M57" s="128">
        <f>SUM(M49:M56)</f>
        <v>712320</v>
      </c>
      <c r="N57" s="231">
        <f>M57/'Unit Mix_vm'!$D$15/12</f>
        <v>197.86666666666667</v>
      </c>
      <c r="O57" s="36"/>
    </row>
  </sheetData>
  <hyperlinks>
    <hyperlink ref="J8" r:id="rId1" xr:uid="{D4FD27B4-F35F-4465-A0A4-0E5C68865493}"/>
    <hyperlink ref="J9" r:id="rId2" xr:uid="{0FBBA5C0-211C-4D28-AF8E-E85B189282D4}"/>
    <hyperlink ref="J10" r:id="rId3" xr:uid="{0E839C2C-BF64-47FD-971A-4838CD7FEF6E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243</v>
      </c>
    </row>
    <row r="3" spans="2:2" ht="130.80000000000001" x14ac:dyDescent="2.4500000000000002">
      <c r="B3" s="77" t="s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Sneads Ferry 38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246</v>
      </c>
      <c r="D6" s="89" t="s">
        <v>247</v>
      </c>
      <c r="E6" s="89" t="s">
        <v>248</v>
      </c>
      <c r="F6" s="89" t="s">
        <v>249</v>
      </c>
      <c r="G6" s="89" t="s">
        <v>250</v>
      </c>
      <c r="H6" s="89" t="s">
        <v>251</v>
      </c>
      <c r="I6" s="89" t="s">
        <v>252</v>
      </c>
      <c r="J6" s="89" t="s">
        <v>253</v>
      </c>
      <c r="K6" s="89" t="s">
        <v>254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255</v>
      </c>
      <c r="C8"/>
      <c r="D8"/>
      <c r="E8"/>
      <c r="F8"/>
      <c r="G8"/>
      <c r="H8"/>
      <c r="I8"/>
      <c r="J8"/>
      <c r="K8"/>
      <c r="L8"/>
      <c r="M8" s="111" t="s">
        <v>256</v>
      </c>
      <c r="N8" s="111" t="s">
        <v>256</v>
      </c>
      <c r="O8" s="111" t="s">
        <v>256</v>
      </c>
      <c r="P8" s="111" t="s">
        <v>256</v>
      </c>
      <c r="Q8" s="111" t="s">
        <v>256</v>
      </c>
      <c r="R8" s="111" t="s">
        <v>256</v>
      </c>
      <c r="S8" s="111" t="s">
        <v>256</v>
      </c>
      <c r="T8" s="111" t="s">
        <v>256</v>
      </c>
      <c r="U8" s="111" t="s">
        <v>256</v>
      </c>
      <c r="V8" s="111" t="s">
        <v>256</v>
      </c>
      <c r="W8" s="111" t="s">
        <v>256</v>
      </c>
      <c r="X8" s="111" t="s">
        <v>256</v>
      </c>
      <c r="Y8" s="111" t="s">
        <v>256</v>
      </c>
      <c r="Z8" s="111" t="s">
        <v>256</v>
      </c>
      <c r="AA8" s="111" t="s">
        <v>256</v>
      </c>
      <c r="AB8" s="111" t="s">
        <v>256</v>
      </c>
      <c r="AC8" s="111" t="s">
        <v>256</v>
      </c>
      <c r="AD8" s="111" t="s">
        <v>256</v>
      </c>
      <c r="AE8" s="111" t="s">
        <v>256</v>
      </c>
      <c r="AF8" s="111" t="s">
        <v>256</v>
      </c>
      <c r="AG8" s="111" t="s">
        <v>256</v>
      </c>
      <c r="AH8" s="111" t="s">
        <v>256</v>
      </c>
      <c r="AI8" s="111" t="s">
        <v>256</v>
      </c>
      <c r="AJ8" s="111" t="s">
        <v>256</v>
      </c>
      <c r="AK8" s="111" t="s">
        <v>256</v>
      </c>
      <c r="AL8" s="111" t="s">
        <v>256</v>
      </c>
      <c r="AM8" s="111" t="s">
        <v>256</v>
      </c>
      <c r="AN8" s="111" t="s">
        <v>256</v>
      </c>
      <c r="AO8" s="111" t="s">
        <v>256</v>
      </c>
      <c r="AP8" s="111" t="s">
        <v>256</v>
      </c>
      <c r="AQ8" s="111" t="s">
        <v>256</v>
      </c>
      <c r="AR8" s="111" t="s">
        <v>256</v>
      </c>
      <c r="AS8" s="111" t="s">
        <v>256</v>
      </c>
      <c r="AT8" s="111" t="s">
        <v>256</v>
      </c>
      <c r="AU8" s="111" t="s">
        <v>256</v>
      </c>
      <c r="AV8" s="111" t="s">
        <v>256</v>
      </c>
      <c r="AW8" s="111" t="s">
        <v>256</v>
      </c>
      <c r="AX8" s="111" t="s">
        <v>256</v>
      </c>
      <c r="AY8" s="111" t="s">
        <v>256</v>
      </c>
      <c r="AZ8" s="111" t="s">
        <v>256</v>
      </c>
      <c r="BA8" s="111" t="s">
        <v>256</v>
      </c>
      <c r="BB8" s="111" t="s">
        <v>256</v>
      </c>
      <c r="BC8" s="111" t="s">
        <v>256</v>
      </c>
      <c r="BD8" s="111" t="s">
        <v>256</v>
      </c>
      <c r="BE8" s="111" t="s">
        <v>256</v>
      </c>
      <c r="BF8" s="111" t="s">
        <v>256</v>
      </c>
      <c r="BG8" s="111" t="s">
        <v>256</v>
      </c>
      <c r="BH8" s="111" t="s">
        <v>256</v>
      </c>
      <c r="BI8" s="111" t="s">
        <v>256</v>
      </c>
      <c r="BJ8" s="111" t="s">
        <v>256</v>
      </c>
      <c r="BK8" s="111" t="s">
        <v>256</v>
      </c>
      <c r="BL8" s="111" t="s">
        <v>256</v>
      </c>
      <c r="BM8" s="111" t="s">
        <v>256</v>
      </c>
      <c r="BN8" s="111" t="s">
        <v>256</v>
      </c>
      <c r="BO8" s="111" t="s">
        <v>256</v>
      </c>
      <c r="BP8" s="111" t="s">
        <v>256</v>
      </c>
      <c r="BQ8" s="111" t="s">
        <v>256</v>
      </c>
      <c r="BR8" s="111" t="s">
        <v>256</v>
      </c>
      <c r="BS8" s="111" t="s">
        <v>256</v>
      </c>
      <c r="BT8" s="111" t="s">
        <v>256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257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258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259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55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57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260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47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52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56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58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59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62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63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65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67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69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70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71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73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74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79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82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261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91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93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262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97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98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101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106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107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109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117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120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119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118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121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122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123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124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125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126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127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128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129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130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131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132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133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263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136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137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138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264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265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143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144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145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148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150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152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68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266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Sneads Ferry 38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269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270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255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271</v>
      </c>
      <c r="C11" s="96" t="s">
        <v>272</v>
      </c>
      <c r="D11" s="96" t="s">
        <v>273</v>
      </c>
      <c r="E11" s="96" t="s">
        <v>49</v>
      </c>
      <c r="F11" s="96" t="s">
        <v>274</v>
      </c>
      <c r="G11" s="96" t="s">
        <v>275</v>
      </c>
      <c r="H11" s="97" t="s">
        <v>276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278</v>
      </c>
      <c r="I12"/>
      <c r="J12" s="113" t="s">
        <v>279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278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278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278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284</v>
      </c>
      <c r="C18" s="74" t="s">
        <v>285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286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287</v>
      </c>
      <c r="C20" s="23" t="s">
        <v>288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289</v>
      </c>
      <c r="C21" s="50">
        <v>1</v>
      </c>
      <c r="D21" s="24" t="s">
        <v>290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291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292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292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293</v>
      </c>
      <c r="C30" s="74" t="s">
        <v>41</v>
      </c>
      <c r="D30" s="74" t="s">
        <v>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275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274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37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294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295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296</v>
      </c>
      <c r="C38" s="74" t="s">
        <v>41</v>
      </c>
      <c r="D38" s="74" t="s">
        <v>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297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298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93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299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300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240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301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302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303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304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305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161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306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307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275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274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51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308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309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305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310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311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312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306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51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313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315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316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317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318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319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316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320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317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321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322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323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324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314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325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320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321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326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327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314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328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323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327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329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330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329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331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281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332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333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334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37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335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307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275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274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308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312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336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314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337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338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339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316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317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340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341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316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342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317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343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344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345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316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317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346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347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316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342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317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343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348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349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350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351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314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337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338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352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342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343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353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354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342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343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355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356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357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358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359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349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356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360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361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362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350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357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363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361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314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337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338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364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365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342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323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327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329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366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367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368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369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370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314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337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338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371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365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342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323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327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329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372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366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373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374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375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376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314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337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338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377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378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379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380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381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281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332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333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334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382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383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37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384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281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332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333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334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382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383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37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336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281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332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333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334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382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383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37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276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370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376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380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37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385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386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387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388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389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390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391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266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Sneads Ferry 38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392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269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270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255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393</v>
      </c>
      <c r="D11" s="96" t="s">
        <v>394</v>
      </c>
      <c r="E11" s="96" t="s">
        <v>395</v>
      </c>
      <c r="F11" s="96" t="s">
        <v>396</v>
      </c>
      <c r="G11" s="97" t="s">
        <v>397</v>
      </c>
      <c r="H11"/>
      <c r="I11" s="114" t="s">
        <v>398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277</v>
      </c>
      <c r="C12" s="49">
        <f>IFERROR(XIRR(C39:BJ39,C6:BJ6,0),0)</f>
        <v>0</v>
      </c>
      <c r="D12" s="49">
        <f>IFERROR(XIRR(C81:BJ81,C6:BJ6,0),0)</f>
        <v>0</v>
      </c>
      <c r="E12" s="49" t="s">
        <v>278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399</v>
      </c>
      <c r="J12"/>
      <c r="K12" s="36" t="e">
        <f>-SUM(C36:BJ36)</f>
        <v>#REF!</v>
      </c>
      <c r="L12"/>
      <c r="M12" s="113" t="s">
        <v>279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280</v>
      </c>
      <c r="C13" s="119">
        <f>IFERROR(C15/C14,0)</f>
        <v>0</v>
      </c>
      <c r="D13" s="119">
        <f t="shared" ref="D13:G13" si="2">IFERROR(D15/D14,0)</f>
        <v>0</v>
      </c>
      <c r="E13" s="119" t="s">
        <v>278</v>
      </c>
      <c r="F13" s="119">
        <f t="shared" si="2"/>
        <v>0</v>
      </c>
      <c r="G13" s="119">
        <f t="shared" si="2"/>
        <v>0</v>
      </c>
      <c r="H13" s="98"/>
      <c r="I13" t="s">
        <v>397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281</v>
      </c>
      <c r="C14" s="36">
        <f>-SUM(C32:BJ32)</f>
        <v>0</v>
      </c>
      <c r="D14" s="36">
        <f>-SUM(C77:BJ77)</f>
        <v>0</v>
      </c>
      <c r="E14" s="36" t="s">
        <v>278</v>
      </c>
      <c r="F14" s="36">
        <f>-SUM(C104:BJ104)</f>
        <v>0</v>
      </c>
      <c r="G14" s="36">
        <f>-SUM(C98:BJ98)</f>
        <v>0</v>
      </c>
      <c r="H14" s="36"/>
      <c r="I14" s="3" t="s">
        <v>400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283</v>
      </c>
      <c r="C16" s="36" t="e">
        <f>+C15-C14</f>
        <v>#REF!</v>
      </c>
      <c r="D16" s="36" t="e">
        <f>+D15-D14</f>
        <v>#REF!</v>
      </c>
      <c r="E16" s="36" t="s">
        <v>278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401</v>
      </c>
      <c r="C18" s="74" t="s">
        <v>41</v>
      </c>
      <c r="D18" s="74" t="s">
        <v>16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397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396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37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402</v>
      </c>
      <c r="C23" s="74" t="s">
        <v>285</v>
      </c>
      <c r="D23" s="74" t="s">
        <v>403</v>
      </c>
      <c r="E23" s="74" t="s">
        <v>404</v>
      </c>
      <c r="F23" s="74" t="s">
        <v>405</v>
      </c>
      <c r="G23" s="74" t="s">
        <v>406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407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307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408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409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308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410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411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412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312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413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414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316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317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318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415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316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342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317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343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416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323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314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417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342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343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418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327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419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420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369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421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281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323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327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329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37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422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281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323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327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329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37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413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281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323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327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329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37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423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281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424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425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37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426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281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424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425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37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385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427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428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37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389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390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391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266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Sneads Ferry 38</v>
      </c>
      <c r="B1"/>
      <c r="C1"/>
      <c r="D1"/>
      <c r="E1"/>
      <c r="F1" s="5"/>
    </row>
    <row r="2" spans="1:7" ht="20.399999999999999" thickBot="1" x14ac:dyDescent="0.45">
      <c r="A2" s="8" t="s">
        <v>429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268</v>
      </c>
      <c r="C6" s="11" t="s">
        <v>430</v>
      </c>
      <c r="D6" s="11" t="s">
        <v>81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3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Analyst</cp:lastModifiedBy>
  <cp:revision/>
  <dcterms:created xsi:type="dcterms:W3CDTF">2024-03-25T15:55:55Z</dcterms:created>
  <dcterms:modified xsi:type="dcterms:W3CDTF">2026-04-10T13:50:15Z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