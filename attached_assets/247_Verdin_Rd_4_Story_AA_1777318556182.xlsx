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gallagherandmohan-my.sharepoint.com/personal/ksnegi_gallaghermohan_com/Documents/Catalyst/Analyst Database/"/>
    </mc:Choice>
  </mc:AlternateContent>
  <xr:revisionPtr revIDLastSave="0" documentId="8_{DE69A451-028E-41B9-9951-68327FF4B7EB}" xr6:coauthVersionLast="47" xr6:coauthVersionMax="47" xr10:uidLastSave="{00000000-0000-0000-0000-000000000000}"/>
  <bookViews>
    <workbookView xWindow="28680" yWindow="-120" windowWidth="29040" windowHeight="15720" xr2:uid="{1FBF3EEB-554F-4B6D-9829-CE2F719AA780}"/>
  </bookViews>
  <sheets>
    <sheet name="Global" sheetId="1" r:id="rId1"/>
    <sheet name="Unit Mix_vm" sheetId="38" r:id="rId2"/>
    <sheet name="Comparison" sheetId="48" state="hidden" r:id="rId3"/>
    <sheet name="Budget_vm" sheetId="35" r:id="rId4"/>
    <sheet name="Pro-Forma_vm" sheetId="39" r:id="rId5"/>
    <sheet name="&gt;&gt; Full Model &gt;&gt;" sheetId="37" state="hidden" r:id="rId6"/>
    <sheet name="&gt;&gt; Reforecast + Dispo &gt;&gt; " sheetId="42" state="hidden" r:id="rId7"/>
    <sheet name="Reforecast" sheetId="43" state="hidden" r:id="rId8"/>
    <sheet name="Dispo - Deal Waterfall" sheetId="44" state="hidden" r:id="rId9"/>
    <sheet name="Dispo - SRIF I Waterfall" sheetId="45" state="hidden" r:id="rId10"/>
    <sheet name="SOFR - Reforecast" sheetId="47" state="hidden" r:id="rId11"/>
  </sheets>
  <definedNames>
    <definedName name="_xlnm.Print_Area" localSheetId="4">'Pro-Forma_vm'!$B$6:$D$43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9" l="1"/>
  <c r="G11" i="39"/>
  <c r="Q8" i="39"/>
  <c r="P8" i="39"/>
  <c r="S8" i="39" s="1"/>
  <c r="T8" i="39" s="1"/>
  <c r="N8" i="39"/>
  <c r="P10" i="39"/>
  <c r="N10" i="39"/>
  <c r="P9" i="39"/>
  <c r="N9" i="39"/>
  <c r="R10" i="39"/>
  <c r="O10" i="39"/>
  <c r="R9" i="39"/>
  <c r="O9" i="39"/>
  <c r="R8" i="39"/>
  <c r="O8" i="39"/>
  <c r="O32" i="38"/>
  <c r="N32" i="38"/>
  <c r="O23" i="38"/>
  <c r="N23" i="38"/>
  <c r="D14" i="38"/>
  <c r="D13" i="38"/>
  <c r="D12" i="38"/>
  <c r="D11" i="38"/>
  <c r="D10" i="38"/>
  <c r="D9" i="38"/>
  <c r="D8" i="38"/>
  <c r="D7" i="38"/>
  <c r="C46" i="48"/>
  <c r="C44" i="48"/>
  <c r="C43" i="48"/>
  <c r="C42" i="48"/>
  <c r="C41" i="48"/>
  <c r="C40" i="48"/>
  <c r="C39" i="48"/>
  <c r="C37" i="48"/>
  <c r="C36" i="48"/>
  <c r="C35" i="48"/>
  <c r="C34" i="48"/>
  <c r="C32" i="48"/>
  <c r="C31" i="48"/>
  <c r="C29" i="48"/>
  <c r="C25" i="48"/>
  <c r="C24" i="48"/>
  <c r="C23" i="48"/>
  <c r="C22" i="48"/>
  <c r="C21" i="48"/>
  <c r="C20" i="48"/>
  <c r="C16" i="48"/>
  <c r="C15" i="48"/>
  <c r="S10" i="39" l="1"/>
  <c r="T10" i="39" s="1"/>
  <c r="S9" i="39"/>
  <c r="T9" i="39" s="1"/>
  <c r="E6" i="48"/>
  <c r="E5" i="48"/>
  <c r="D6" i="48"/>
  <c r="D5" i="48"/>
  <c r="C6" i="48"/>
  <c r="C5" i="48"/>
  <c r="D29" i="39"/>
  <c r="F5" i="48" l="1"/>
  <c r="F6" i="48"/>
  <c r="P32" i="38"/>
  <c r="M32" i="38"/>
  <c r="L32" i="38"/>
  <c r="P31" i="38"/>
  <c r="M31" i="38"/>
  <c r="P30" i="38"/>
  <c r="M30" i="38"/>
  <c r="P29" i="38"/>
  <c r="M29" i="38"/>
  <c r="P28" i="38"/>
  <c r="M28" i="38"/>
  <c r="P27" i="38"/>
  <c r="M27" i="38"/>
  <c r="P23" i="38"/>
  <c r="M23" i="38"/>
  <c r="L23" i="38"/>
  <c r="P22" i="38"/>
  <c r="M22" i="38"/>
  <c r="P21" i="38"/>
  <c r="M21" i="38"/>
  <c r="P20" i="38"/>
  <c r="M20" i="38"/>
  <c r="P19" i="38"/>
  <c r="M19" i="38"/>
  <c r="P18" i="38"/>
  <c r="M18" i="38"/>
  <c r="M55" i="39"/>
  <c r="M54" i="39"/>
  <c r="L53" i="39"/>
  <c r="G25" i="39" l="1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11" i="38" l="1"/>
  <c r="M13" i="38"/>
  <c r="N14" i="38"/>
  <c r="M9" i="38"/>
  <c r="M14" i="38" s="1"/>
  <c r="M10" i="38"/>
  <c r="M12" i="38"/>
  <c r="O14" i="38"/>
  <c r="M41" i="39"/>
  <c r="M35" i="39"/>
  <c r="P14" i="38" l="1"/>
  <c r="N37" i="35" l="1"/>
  <c r="D15" i="38" l="1"/>
  <c r="M29" i="39" s="1"/>
  <c r="D40" i="48" l="1"/>
  <c r="D23" i="48"/>
  <c r="D35" i="48"/>
  <c r="D34" i="48"/>
  <c r="D39" i="48"/>
  <c r="D22" i="48"/>
  <c r="D21" i="48"/>
  <c r="D16" i="48"/>
  <c r="D44" i="48"/>
  <c r="D37" i="48"/>
  <c r="D20" i="48"/>
  <c r="D36" i="48"/>
  <c r="D43" i="48"/>
  <c r="D42" i="48"/>
  <c r="D41" i="48"/>
  <c r="D24" i="48"/>
  <c r="D15" i="48"/>
  <c r="D46" i="48"/>
  <c r="D32" i="48"/>
  <c r="D31" i="48"/>
  <c r="D29" i="48"/>
  <c r="D25" i="48"/>
  <c r="C9" i="48"/>
  <c r="E34" i="35"/>
  <c r="E35" i="35"/>
  <c r="C32" i="39"/>
  <c r="D11" i="39"/>
  <c r="D72" i="35"/>
  <c r="C48" i="48" s="1"/>
  <c r="D48" i="48" s="1"/>
  <c r="D51" i="35"/>
  <c r="C33" i="48" s="1"/>
  <c r="D33" i="48" s="1"/>
  <c r="D48" i="35"/>
  <c r="C30" i="48" s="1"/>
  <c r="D30" i="48" s="1"/>
  <c r="D8" i="35"/>
  <c r="C12" i="48" s="1"/>
  <c r="D12" i="48" s="1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3" i="35"/>
  <c r="C45" i="48" s="1"/>
  <c r="D45" i="48" s="1"/>
  <c r="G12" i="39"/>
  <c r="D56" i="35"/>
  <c r="C38" i="48" s="1"/>
  <c r="D38" i="48" s="1"/>
  <c r="D22" i="35"/>
  <c r="C17" i="48" s="1"/>
  <c r="D17" i="48" s="1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4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80" i="35"/>
  <c r="N15" i="35"/>
  <c r="A1" i="35"/>
  <c r="D66" i="35" l="1"/>
  <c r="C34" i="39"/>
  <c r="D15" i="39"/>
  <c r="C14" i="39"/>
  <c r="O15" i="35"/>
  <c r="E65" i="35"/>
  <c r="E16" i="35"/>
  <c r="E49" i="35"/>
  <c r="E79" i="35"/>
  <c r="E55" i="35"/>
  <c r="E85" i="35"/>
  <c r="E33" i="35"/>
  <c r="E20" i="35"/>
  <c r="E21" i="35"/>
  <c r="E52" i="35"/>
  <c r="E29" i="35"/>
  <c r="E36" i="35"/>
  <c r="E57" i="35"/>
  <c r="E59" i="35"/>
  <c r="E54" i="35"/>
  <c r="E60" i="35"/>
  <c r="E42" i="35"/>
  <c r="E61" i="35"/>
  <c r="E64" i="35"/>
  <c r="E71" i="35"/>
  <c r="E77" i="35"/>
  <c r="E23" i="35"/>
  <c r="E38" i="35"/>
  <c r="E58" i="35"/>
  <c r="E13" i="35"/>
  <c r="E43" i="35"/>
  <c r="E62" i="35"/>
  <c r="E73" i="35"/>
  <c r="C24" i="39"/>
  <c r="C36" i="39"/>
  <c r="E53" i="35"/>
  <c r="E78" i="35"/>
  <c r="C35" i="39"/>
  <c r="E44" i="35"/>
  <c r="E19" i="35"/>
  <c r="E50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D9" i="48" l="1"/>
  <c r="E20" i="48"/>
  <c r="E46" i="48"/>
  <c r="E33" i="48"/>
  <c r="E43" i="48"/>
  <c r="E34" i="48"/>
  <c r="E41" i="48"/>
  <c r="E25" i="48"/>
  <c r="E29" i="48"/>
  <c r="E15" i="48"/>
  <c r="E48" i="48"/>
  <c r="E45" i="48"/>
  <c r="E16" i="48"/>
  <c r="E12" i="48"/>
  <c r="E38" i="48"/>
  <c r="E44" i="48"/>
  <c r="E22" i="48"/>
  <c r="E35" i="48"/>
  <c r="E31" i="48"/>
  <c r="E40" i="48"/>
  <c r="E37" i="48"/>
  <c r="E42" i="48"/>
  <c r="E17" i="48"/>
  <c r="E23" i="48"/>
  <c r="E32" i="48"/>
  <c r="F34" i="35"/>
  <c r="E39" i="48"/>
  <c r="E30" i="48"/>
  <c r="F35" i="35"/>
  <c r="E24" i="48"/>
  <c r="E21" i="48"/>
  <c r="E36" i="48"/>
  <c r="F72" i="35"/>
  <c r="D69" i="35"/>
  <c r="C47" i="48" s="1"/>
  <c r="D47" i="48" s="1"/>
  <c r="E47" i="48" s="1"/>
  <c r="F65" i="35"/>
  <c r="P15" i="35"/>
  <c r="F50" i="35"/>
  <c r="F21" i="35"/>
  <c r="F56" i="35"/>
  <c r="F33" i="35"/>
  <c r="F23" i="35"/>
  <c r="F85" i="35"/>
  <c r="F55" i="35"/>
  <c r="F63" i="35"/>
  <c r="F16" i="35"/>
  <c r="F53" i="35"/>
  <c r="F79" i="35"/>
  <c r="F61" i="35"/>
  <c r="F42" i="35"/>
  <c r="F36" i="35"/>
  <c r="F49" i="35"/>
  <c r="E15" i="38"/>
  <c r="F73" i="35"/>
  <c r="F51" i="35"/>
  <c r="F59" i="35"/>
  <c r="F60" i="35"/>
  <c r="F48" i="35"/>
  <c r="F62" i="35"/>
  <c r="F78" i="35"/>
  <c r="F77" i="35"/>
  <c r="F8" i="35"/>
  <c r="F71" i="35"/>
  <c r="F64" i="35"/>
  <c r="F57" i="35"/>
  <c r="F13" i="35"/>
  <c r="F52" i="35"/>
  <c r="E19" i="38"/>
  <c r="F43" i="35"/>
  <c r="F29" i="35"/>
  <c r="E66" i="35"/>
  <c r="F19" i="35"/>
  <c r="F58" i="35"/>
  <c r="F54" i="35"/>
  <c r="E21" i="38"/>
  <c r="E20" i="38"/>
  <c r="F44" i="35"/>
  <c r="F38" i="35"/>
  <c r="F20" i="35"/>
  <c r="E18" i="38"/>
  <c r="F22" i="38"/>
  <c r="H17" i="38"/>
  <c r="G22" i="38"/>
  <c r="E80" i="35"/>
  <c r="G15" i="38" l="1"/>
  <c r="H22" i="38"/>
  <c r="F66" i="35"/>
  <c r="F80" i="35"/>
  <c r="E22" i="38"/>
  <c r="V44" i="35" l="1"/>
  <c r="E9" i="48"/>
  <c r="D9" i="39"/>
  <c r="H15" i="38"/>
  <c r="F9" i="48" s="1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7" i="39"/>
  <c r="C18" i="39" l="1"/>
  <c r="C11" i="39"/>
  <c r="C10" i="39"/>
  <c r="C12" i="39" l="1"/>
  <c r="D12" i="39" s="1"/>
  <c r="C19" i="39"/>
  <c r="C16" i="39" l="1"/>
  <c r="D16" i="39" l="1"/>
  <c r="C20" i="39"/>
  <c r="E70" i="35" l="1"/>
  <c r="F70" i="35" s="1"/>
  <c r="E69" i="35"/>
  <c r="G26" i="39" s="1"/>
  <c r="G27" i="39" s="1"/>
  <c r="G28" i="39" s="1"/>
  <c r="C22" i="39"/>
  <c r="D20" i="39"/>
  <c r="N16" i="35" l="1"/>
  <c r="V42" i="35" s="1"/>
  <c r="D28" i="35"/>
  <c r="D74" i="35"/>
  <c r="D83" i="35" s="1"/>
  <c r="F74" i="35"/>
  <c r="E74" i="35"/>
  <c r="G8" i="39" s="1"/>
  <c r="G16" i="39" s="1"/>
  <c r="E28" i="35" l="1"/>
  <c r="F28" i="35" s="1"/>
  <c r="C19" i="48"/>
  <c r="D19" i="48" s="1"/>
  <c r="E19" i="48" s="1"/>
  <c r="E83" i="35"/>
  <c r="F83" i="35" s="1"/>
  <c r="C49" i="48"/>
  <c r="D49" i="48" s="1"/>
  <c r="E49" i="48" s="1"/>
  <c r="G17" i="39"/>
  <c r="G21" i="39"/>
  <c r="O16" i="35"/>
  <c r="G22" i="39" l="1"/>
  <c r="C23" i="39"/>
  <c r="D23" i="39" s="1"/>
  <c r="P16" i="35"/>
  <c r="C27" i="39" l="1"/>
  <c r="C28" i="39"/>
  <c r="C29" i="39"/>
  <c r="C30" i="39"/>
  <c r="C31" i="39"/>
  <c r="C33" i="39"/>
  <c r="C25" i="39"/>
  <c r="C26" i="39"/>
  <c r="C38" i="39" l="1"/>
  <c r="C40" i="39" s="1"/>
  <c r="C41" i="39" l="1"/>
  <c r="V50" i="35"/>
  <c r="D41" i="35" s="1"/>
  <c r="D38" i="39"/>
  <c r="E41" i="35" l="1"/>
  <c r="F41" i="35" s="1"/>
  <c r="C28" i="48"/>
  <c r="D28" i="48" s="1"/>
  <c r="E28" i="48" s="1"/>
  <c r="D40" i="39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G35" i="35"/>
  <c r="G36" i="35"/>
  <c r="N36" i="35"/>
  <c r="D37" i="35"/>
  <c r="E37" i="35"/>
  <c r="F37" i="35"/>
  <c r="G37" i="35"/>
  <c r="G38" i="35"/>
  <c r="N38" i="35"/>
  <c r="D39" i="35"/>
  <c r="E39" i="35"/>
  <c r="F39" i="35"/>
  <c r="G39" i="35"/>
  <c r="D40" i="35"/>
  <c r="E40" i="35"/>
  <c r="F40" i="35"/>
  <c r="G40" i="35"/>
  <c r="G41" i="35"/>
  <c r="N41" i="35"/>
  <c r="G42" i="35"/>
  <c r="G43" i="35"/>
  <c r="N43" i="35"/>
  <c r="O43" i="35"/>
  <c r="V43" i="35"/>
  <c r="G44" i="35"/>
  <c r="N44" i="35"/>
  <c r="O44" i="35"/>
  <c r="D45" i="35"/>
  <c r="E45" i="35"/>
  <c r="F45" i="35"/>
  <c r="G45" i="35"/>
  <c r="V45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9" i="35"/>
  <c r="G70" i="35"/>
  <c r="G71" i="35"/>
  <c r="G72" i="35"/>
  <c r="G73" i="35"/>
  <c r="G74" i="35"/>
  <c r="G77" i="35"/>
  <c r="G78" i="35"/>
  <c r="G79" i="35"/>
  <c r="G80" i="35"/>
  <c r="G83" i="35"/>
  <c r="D84" i="35"/>
  <c r="E84" i="35"/>
  <c r="F84" i="35"/>
  <c r="G84" i="35"/>
  <c r="G85" i="35"/>
  <c r="D86" i="35"/>
  <c r="E86" i="35"/>
  <c r="F86" i="35"/>
  <c r="G86" i="35"/>
  <c r="D88" i="35"/>
  <c r="E88" i="35"/>
  <c r="F88" i="35"/>
  <c r="G88" i="35"/>
  <c r="F12" i="48"/>
  <c r="C13" i="48"/>
  <c r="D13" i="48"/>
  <c r="E13" i="48"/>
  <c r="F13" i="48"/>
  <c r="C14" i="48"/>
  <c r="D14" i="48"/>
  <c r="E14" i="48"/>
  <c r="F14" i="48"/>
  <c r="F15" i="48"/>
  <c r="F16" i="48"/>
  <c r="F17" i="48"/>
  <c r="C18" i="48"/>
  <c r="D18" i="48"/>
  <c r="E18" i="48"/>
  <c r="F18" i="48"/>
  <c r="F19" i="48"/>
  <c r="F20" i="48"/>
  <c r="F21" i="48"/>
  <c r="F22" i="48"/>
  <c r="F23" i="48"/>
  <c r="F24" i="48"/>
  <c r="F25" i="48"/>
  <c r="C26" i="48"/>
  <c r="D26" i="48"/>
  <c r="E26" i="48"/>
  <c r="F26" i="48"/>
  <c r="C27" i="48"/>
  <c r="D27" i="48"/>
  <c r="E27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39" i="48"/>
  <c r="F40" i="48"/>
  <c r="F41" i="48"/>
  <c r="F42" i="48"/>
  <c r="F43" i="48"/>
  <c r="F44" i="48"/>
  <c r="F45" i="48"/>
  <c r="F46" i="48"/>
  <c r="F47" i="48"/>
  <c r="F48" i="48"/>
  <c r="F49" i="48"/>
  <c r="C50" i="48"/>
  <c r="D50" i="48"/>
  <c r="E50" i="48"/>
  <c r="F50" i="48"/>
  <c r="C51" i="48"/>
  <c r="D51" i="48"/>
  <c r="E51" i="48"/>
  <c r="F51" i="48"/>
  <c r="C43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N8" authorId="0" shapeId="0" xr:uid="{7408ECD3-0D73-420F-A6DE-3D4B7642D8D4}">
      <text>
        <r>
          <rPr>
            <b/>
            <sz val="9"/>
            <color indexed="81"/>
            <rFont val="Tahoma"/>
            <family val="2"/>
          </rPr>
          <t>Analyst:</t>
        </r>
        <r>
          <rPr>
            <sz val="9"/>
            <color indexed="81"/>
            <rFont val="Tahoma"/>
            <family val="2"/>
          </rPr>
          <t xml:space="preserve">
Assessed value reflects of vacant land only as the property was constructed in 2025.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<sst xmlns="http://schemas.openxmlformats.org/spreadsheetml/2006/main" count="979" uniqueCount="477">
  <si>
    <t>Global Assumptions</t>
  </si>
  <si>
    <t>Property Name</t>
  </si>
  <si>
    <t>161 Verdin Rd</t>
  </si>
  <si>
    <t>Project Type</t>
  </si>
  <si>
    <t>4-Story Elevatored</t>
  </si>
  <si>
    <t>Market</t>
  </si>
  <si>
    <t>Greenville</t>
  </si>
  <si>
    <t>Submarket</t>
  </si>
  <si>
    <t>Mauldin</t>
  </si>
  <si>
    <t>Address</t>
  </si>
  <si>
    <t>City, State</t>
  </si>
  <si>
    <t>Greenville, SC</t>
  </si>
  <si>
    <t>ZIP Code</t>
  </si>
  <si>
    <t>County</t>
  </si>
  <si>
    <t>Circuit Breaker</t>
  </si>
  <si>
    <t>Off</t>
  </si>
  <si>
    <t>Underwriting Notes &amp; Assumptions</t>
  </si>
  <si>
    <t>Rent Comps</t>
  </si>
  <si>
    <t>1. We have taken the closest comp (0.2 mi) from Landlinq as subject property to identify the rent comps using HelloData.</t>
  </si>
  <si>
    <t>2. Unit counts were not available so they are kept blank.</t>
  </si>
  <si>
    <t>3. Rent comp 1 is a mulitfamily apartment whereas the other 2 are Active Adult community.</t>
  </si>
  <si>
    <t>Expenses</t>
  </si>
  <si>
    <t>1. We have changed the Impact Fees assumption to $4900/unit as per the new prompt shared by Austin. We have used Gemini as we had the Pro subscription for it.</t>
  </si>
  <si>
    <t>2. We have taken the 4 story AA ( Non - Coastal) assumption for Insurance costs.</t>
  </si>
  <si>
    <t>Land Costs</t>
  </si>
  <si>
    <t>1. Broker notes suggest Asking target to be $2.5MM whereas the support doc for the deal suggests $2.95MM. We've gone with $2.95MM under a conservative approach.</t>
  </si>
  <si>
    <t>Taxes</t>
  </si>
  <si>
    <t>1. We've taken the millage rate of our parcel as per the 2025 tax bill.</t>
  </si>
  <si>
    <t>2. Property tax bill mentions school tax credit savings and we have also adjusted it to calculate net RE Taxes.</t>
  </si>
  <si>
    <t>Question to the team Catalyst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</si>
  <si>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</si>
  <si>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</si>
  <si>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</si>
  <si>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</si>
  <si>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</si>
  <si>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</si>
  <si>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</si>
  <si>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</si>
  <si>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</si>
  <si>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1 Bedroom</t>
  </si>
  <si>
    <t>1) District South</t>
  </si>
  <si>
    <t>2 Bedroom</t>
  </si>
  <si>
    <t>SF</t>
  </si>
  <si>
    <t>Rent</t>
  </si>
  <si>
    <t>Rent PSF</t>
  </si>
  <si>
    <t>Multifamily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</si>
  <si>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</si>
  <si>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</si>
  <si>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</si>
  <si>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</si>
  <si>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</si>
  <si>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</si>
  <si>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</si>
  <si>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</si>
  <si>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Fdg Tanner Road Holdings Llc</t>
  </si>
  <si>
    <t>TH</t>
  </si>
  <si>
    <t>Link to Website</t>
  </si>
  <si>
    <t>Link</t>
  </si>
  <si>
    <t>Total</t>
  </si>
  <si>
    <t>2) Overture Greenville 55+ Active Adult Apartment Homes</t>
  </si>
  <si>
    <t>Active Adult</t>
  </si>
  <si>
    <t>3 Bedroom</t>
  </si>
  <si>
    <t>Townhouse</t>
  </si>
  <si>
    <t xml:space="preserve">	Crp-grep Overture Greenville O</t>
  </si>
  <si>
    <t>3) Rosalia Verdae 55+ Active Adult Community</t>
  </si>
  <si>
    <t>Aspens Verdae Property Llc</t>
  </si>
  <si>
    <t>Unit Mix:</t>
  </si>
  <si>
    <t>-</t>
  </si>
  <si>
    <t>Total / Average</t>
  </si>
  <si>
    <t>Development Budget:</t>
  </si>
  <si>
    <t>Per Unit</t>
  </si>
  <si>
    <t>Per SF</t>
  </si>
  <si>
    <t>% Total</t>
  </si>
  <si>
    <t>Land</t>
  </si>
  <si>
    <t>Construction Loan Broker Fee</t>
  </si>
  <si>
    <t>Construction Loan Origination Fee</t>
  </si>
  <si>
    <t>Operating Deficit</t>
  </si>
  <si>
    <t>Capitalized Construction Taxes</t>
  </si>
  <si>
    <t>Interest Reserve</t>
  </si>
  <si>
    <t>Development Fee</t>
  </si>
  <si>
    <t>Construction Management Fee</t>
  </si>
  <si>
    <t>Acquisition Fee</t>
  </si>
  <si>
    <t>Marketing</t>
  </si>
  <si>
    <t>AA Preleasing Payroll</t>
  </si>
  <si>
    <t>AA Preleasing Trailer</t>
  </si>
  <si>
    <t>Legal</t>
  </si>
  <si>
    <t>Closing Costs</t>
  </si>
  <si>
    <t>Title Insurance</t>
  </si>
  <si>
    <t>Builders Risk Insurance</t>
  </si>
  <si>
    <t>General Liability Insurance</t>
  </si>
  <si>
    <t>Travel Expenses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</si>
  <si>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</si>
  <si>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</si>
  <si>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</si>
  <si>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</si>
  <si>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</si>
  <si>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</si>
  <si>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</si>
  <si>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</si>
  <si>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</si>
  <si>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</si>
  <si>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</si>
  <si>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</si>
  <si>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</si>
  <si>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</si>
  <si>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</si>
  <si>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</si>
  <si>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</si>
  <si>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Construction Costs</t>
  </si>
  <si>
    <t>Site Work</t>
  </si>
  <si>
    <t>Hard Cost Contingency</t>
  </si>
  <si>
    <t>Soft Cost Contingency</t>
  </si>
  <si>
    <t>Total Development Budget</t>
  </si>
  <si>
    <t>Budget (Vetting Model Only)</t>
  </si>
  <si>
    <t>Budget</t>
  </si>
  <si>
    <t>Cost Type</t>
  </si>
  <si>
    <t>$</t>
  </si>
  <si>
    <t>Per NRSF</t>
  </si>
  <si>
    <t>% of Total</t>
  </si>
  <si>
    <t>Soruces &amp; Uses</t>
  </si>
  <si>
    <t>Land Acquisition</t>
  </si>
  <si>
    <t>Sources:</t>
  </si>
  <si>
    <t>JV Equity</t>
  </si>
  <si>
    <t>Financing Costs</t>
  </si>
  <si>
    <t>Preferred Equity</t>
  </si>
  <si>
    <t>Soft Costs</t>
  </si>
  <si>
    <t xml:space="preserve"> &lt; % of Loan Commitment</t>
  </si>
  <si>
    <t>Construction Loan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</si>
  <si>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</si>
  <si>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</si>
  <si>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</si>
  <si>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</si>
  <si>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</si>
  <si>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</si>
  <si>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</si>
  <si>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</si>
  <si>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</si>
  <si>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</si>
  <si>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</si>
  <si>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</si>
  <si>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</si>
  <si>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RE Taxes During Construction</t>
  </si>
  <si>
    <t>Financing Assumptions</t>
  </si>
  <si>
    <t>Misc Financing Costs</t>
  </si>
  <si>
    <t>Total Financing Costs</t>
  </si>
  <si>
    <t>Loan-to-Cost</t>
  </si>
  <si>
    <t>Debt Yield (Untrended)</t>
  </si>
  <si>
    <t>Fees</t>
  </si>
  <si>
    <t xml:space="preserve"> &lt; % of Total Costs</t>
  </si>
  <si>
    <t>SOFR</t>
  </si>
  <si>
    <t xml:space="preserve"> &lt; % of Construction Costs</t>
  </si>
  <si>
    <t>Spread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</si>
  <si>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</si>
  <si>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</si>
  <si>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</si>
  <si>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</si>
  <si>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</si>
  <si>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</si>
  <si>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</si>
  <si>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Active-Adult Preleasing Payroll</t>
  </si>
  <si>
    <t>Active-Adult Preleasing Trailer</t>
  </si>
  <si>
    <t>Debt Recording Fee</t>
  </si>
  <si>
    <t>Last-Dollar-to-Cost</t>
  </si>
  <si>
    <t>Pref Debt Yield (Untrended)</t>
  </si>
  <si>
    <t>BR Insurance Calc:</t>
  </si>
  <si>
    <t>Builder's Risk Insurance</t>
  </si>
  <si>
    <t>Rate</t>
  </si>
  <si>
    <t>Total JV Equity</t>
  </si>
  <si>
    <t>Re-Zoning</t>
  </si>
  <si>
    <t>HC</t>
  </si>
  <si>
    <t>GP Co-Invest</t>
  </si>
  <si>
    <t>SC</t>
  </si>
  <si>
    <t>Misc Legal &amp; Closing</t>
  </si>
  <si>
    <t>LP Investment</t>
  </si>
  <si>
    <t>Y0 Total Rent</t>
  </si>
  <si>
    <t>Total Legal &amp; Closing</t>
  </si>
  <si>
    <t>Architectural &amp; Engineering</t>
  </si>
  <si>
    <t>GL Insurance Calc:</t>
  </si>
  <si>
    <t>Cap Rate</t>
  </si>
  <si>
    <t>Implied Value</t>
  </si>
  <si>
    <t>Impact Fee Contingency</t>
  </si>
  <si>
    <t>Total Architectural &amp; Engineering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</si>
  <si>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</si>
  <si>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</si>
  <si>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</si>
  <si>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</si>
  <si>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</si>
  <si>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</si>
  <si>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</si>
  <si>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</si>
  <si>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</si>
  <si>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</si>
  <si>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</si>
  <si>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 xml:space="preserve"> &lt; % of Hard Costs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</si>
  <si>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</si>
  <si>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</si>
  <si>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</si>
  <si>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</si>
  <si>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</si>
  <si>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</si>
  <si>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</si>
  <si>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</si>
  <si>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</si>
  <si>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</si>
  <si>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</si>
  <si>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</si>
  <si>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</si>
  <si>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</si>
  <si>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</si>
  <si>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</si>
  <si>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</si>
  <si>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</si>
  <si>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District South</t>
  </si>
  <si>
    <t>Gross Potential Rent</t>
  </si>
  <si>
    <t>Assessed Value / Unit</t>
  </si>
  <si>
    <t>Overture Greenville 55+</t>
  </si>
  <si>
    <t>Concessions</t>
  </si>
  <si>
    <t>Rosalia Verdae 55+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</si>
  <si>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</si>
  <si>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</si>
  <si>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</si>
  <si>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</si>
  <si>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</si>
  <si>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</si>
  <si>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</si>
  <si>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</si>
  <si>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</si>
  <si>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</si>
  <si>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</si>
  <si>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</si>
  <si>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</si>
  <si>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</si>
  <si>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</si>
  <si>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</si>
  <si>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</si>
  <si>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</si>
  <si>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 (School Tax Credit Savings)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</si>
  <si>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</si>
  <si>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</si>
  <si>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</si>
  <si>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</si>
  <si>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</si>
  <si>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</si>
  <si>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</si>
  <si>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</si>
  <si>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</si>
  <si>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</si>
  <si>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</si>
  <si>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RETAX Gut Check: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</si>
  <si>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</si>
  <si>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</si>
  <si>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</si>
  <si>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</si>
  <si>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</si>
  <si>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</si>
  <si>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</si>
  <si>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</si>
  <si>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</si>
  <si>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</si>
  <si>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</si>
  <si>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</si>
  <si>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Resident Activities</t>
  </si>
  <si>
    <t>Total Utilities</t>
  </si>
  <si>
    <t>Payroll</t>
  </si>
  <si>
    <t>Community Manager</t>
  </si>
  <si>
    <t>Office Expenses</t>
  </si>
  <si>
    <t>Bonus</t>
  </si>
  <si>
    <t>General &amp; Administrative</t>
  </si>
  <si>
    <t>Assistant Manager</t>
  </si>
  <si>
    <t>Other Controllable Expenses</t>
  </si>
  <si>
    <t>Total Operating Expenses</t>
  </si>
  <si>
    <t>Leasing Consultant #1</t>
  </si>
  <si>
    <t>Leasing Consultant #2</t>
  </si>
  <si>
    <t>Net Operating Income</t>
  </si>
  <si>
    <t>Service Supervisor</t>
  </si>
  <si>
    <t>NOI Margin</t>
  </si>
  <si>
    <t>Maintenance  Tech #1</t>
  </si>
  <si>
    <t>Return on Cost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</si>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</sst>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&quot;$&quot;#,##0"/>
    <numFmt numFmtId="169" formatCode="&quot;$&quot;#,##0.00"/>
    <numFmt numFmtId="170" formatCode="[$-409]mmm\-yy;@"/>
    <numFmt numFmtId="171" formatCode="0.00\x"/>
    <numFmt numFmtId="172" formatCode="_(* #,##0.0%_);_(* \(#,##0.0%\)"/>
    <numFmt numFmtId="173" formatCode="_(* #,##0.0000%_);_(* \(#,##0.0000%\);_(* &quot;-&quot;??_);_(@_)"/>
    <numFmt numFmtId="174" formatCode="&quot;$&quot;#,##0&quot; / Mo&quot;"/>
    <numFmt numFmtId="175" formatCode="&quot;$&quot;0&quot; / Unit / Mo&quot;"/>
    <numFmt numFmtId="176" formatCode="&quot;$&quot;#,##0&quot; / Hr&quot;"/>
    <numFmt numFmtId="177" formatCode="#,##0&quot; Hours&quot;"/>
    <numFmt numFmtId="178" formatCode="&quot;$&quot;0\ &quot;/ Lease&quot;"/>
    <numFmt numFmtId="179" formatCode="&quot;$&quot;0&quot;  / Mo&quot;"/>
    <numFmt numFmtId="180" formatCode="0.0000%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86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8" fontId="7" fillId="0" borderId="0" xfId="0" applyNumberFormat="1" applyFont="1" applyAlignment="1">
      <alignment horizontal="center"/>
    </xf>
    <xf numFmtId="168" fontId="0" fillId="0" borderId="2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4" fontId="13" fillId="0" borderId="0" xfId="1" applyNumberFormat="1" applyFont="1"/>
    <xf numFmtId="170" fontId="7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1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8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2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1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3" fontId="0" fillId="0" borderId="0" xfId="1" applyNumberFormat="1" applyFont="1"/>
    <xf numFmtId="170" fontId="20" fillId="7" borderId="6" xfId="0" applyNumberFormat="1" applyFont="1" applyFill="1" applyBorder="1" applyAlignment="1">
      <alignment horizontal="center"/>
    </xf>
    <xf numFmtId="170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0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1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8" fontId="0" fillId="5" borderId="6" xfId="0" applyNumberFormat="1" applyFill="1" applyBorder="1" applyAlignment="1">
      <alignment horizontal="center"/>
    </xf>
    <xf numFmtId="169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69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8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8" fontId="0" fillId="7" borderId="6" xfId="0" applyNumberFormat="1" applyFill="1" applyBorder="1" applyAlignment="1">
      <alignment horizontal="center"/>
    </xf>
    <xf numFmtId="174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8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8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6" fontId="7" fillId="7" borderId="0" xfId="0" applyNumberFormat="1" applyFont="1" applyFill="1" applyAlignment="1">
      <alignment horizontal="center"/>
    </xf>
    <xf numFmtId="177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8" fontId="0" fillId="7" borderId="7" xfId="0" applyNumberFormat="1" applyFill="1" applyBorder="1" applyAlignment="1">
      <alignment horizontal="center"/>
    </xf>
    <xf numFmtId="178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4" fontId="9" fillId="0" borderId="11" xfId="0" applyNumberFormat="1" applyFont="1" applyBorder="1"/>
    <xf numFmtId="164" fontId="0" fillId="0" borderId="9" xfId="0" applyNumberFormat="1" applyBorder="1"/>
    <xf numFmtId="0" fontId="0" fillId="0" borderId="10" xfId="0" applyBorder="1"/>
    <xf numFmtId="164" fontId="9" fillId="0" borderId="9" xfId="0" applyNumberFormat="1" applyFont="1" applyBorder="1"/>
    <xf numFmtId="172" fontId="13" fillId="0" borderId="13" xfId="1" applyNumberFormat="1" applyFont="1" applyFill="1" applyBorder="1"/>
    <xf numFmtId="168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8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5" fontId="13" fillId="0" borderId="6" xfId="0" applyNumberFormat="1" applyFon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8" fontId="7" fillId="10" borderId="0" xfId="0" applyNumberFormat="1" applyFont="1" applyFill="1" applyAlignment="1">
      <alignment horizontal="center"/>
    </xf>
    <xf numFmtId="167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8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8" fontId="0" fillId="7" borderId="11" xfId="0" applyNumberFormat="1" applyFill="1" applyBorder="1" applyAlignment="1">
      <alignment horizontal="center"/>
    </xf>
    <xf numFmtId="175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79" fontId="13" fillId="7" borderId="0" xfId="0" applyNumberFormat="1" applyFont="1" applyFill="1" applyAlignment="1">
      <alignment horizontal="center"/>
    </xf>
    <xf numFmtId="0" fontId="0" fillId="8" borderId="9" xfId="0" applyFill="1" applyBorder="1"/>
    <xf numFmtId="8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3" fontId="13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167" fontId="7" fillId="0" borderId="11" xfId="1" applyNumberFormat="1" applyFont="1" applyFill="1" applyBorder="1"/>
    <xf numFmtId="0" fontId="24" fillId="10" borderId="0" xfId="3" applyFill="1" applyAlignment="1">
      <alignment horizontal="center"/>
    </xf>
    <xf numFmtId="0" fontId="24" fillId="7" borderId="13" xfId="3" applyFill="1" applyBorder="1" applyAlignment="1">
      <alignment horizontal="left"/>
    </xf>
    <xf numFmtId="0" fontId="24" fillId="10" borderId="8" xfId="3" applyFill="1" applyBorder="1" applyAlignment="1">
      <alignment horizontal="center"/>
    </xf>
    <xf numFmtId="0" fontId="24" fillId="0" borderId="0" xfId="3"/>
    <xf numFmtId="0" fontId="25" fillId="0" borderId="0" xfId="0" applyFont="1"/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1" borderId="18" xfId="0" applyFont="1" applyFill="1" applyBorder="1" applyAlignment="1">
      <alignment horizontal="left" indent="1"/>
    </xf>
    <xf numFmtId="0" fontId="0" fillId="11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1" borderId="20" xfId="0" applyFill="1" applyBorder="1" applyAlignment="1">
      <alignment horizontal="left" indent="1"/>
    </xf>
    <xf numFmtId="0" fontId="0" fillId="0" borderId="21" xfId="0" applyBorder="1"/>
    <xf numFmtId="43" fontId="7" fillId="10" borderId="11" xfId="1" applyFont="1" applyFill="1" applyBorder="1"/>
    <xf numFmtId="180" fontId="0" fillId="0" borderId="0" xfId="2" applyNumberFormat="1" applyFont="1" applyAlignment="1">
      <alignment horizontal="center"/>
    </xf>
    <xf numFmtId="0" fontId="0" fillId="11" borderId="0" xfId="0" applyFill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38100</xdr:rowOff>
    </xdr:from>
    <xdr:to>
      <xdr:col>22</xdr:col>
      <xdr:colOff>476444</xdr:colOff>
      <xdr:row>51</xdr:row>
      <xdr:rowOff>171953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0F9955-B429-3FF2-F5BE-58BE9550A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" y="6134100"/>
          <a:ext cx="15042074" cy="3600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osaliaverdae.com/" TargetMode="External"/><Relationship Id="rId2" Type="http://schemas.openxmlformats.org/officeDocument/2006/relationships/hyperlink" Target="https://liveoverture.com/communities/overture-greenville/" TargetMode="External"/><Relationship Id="rId1" Type="http://schemas.openxmlformats.org/officeDocument/2006/relationships/hyperlink" Target="https://www.livedistrictsouth.com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eenvillecounty.org/appsas400/RealProperty/SearchResults.aspx?type=Name&amp;Criteria=Fdg%20Tanner%20Road%20Holdings%20LLC&amp;TaxYear=2026" TargetMode="External"/><Relationship Id="rId2" Type="http://schemas.openxmlformats.org/officeDocument/2006/relationships/hyperlink" Target="https://www.greenvillecounty.org/appsas400/RealPropertyTaxEstimator/Default.aspx?MapNumber=0261000101205" TargetMode="External"/><Relationship Id="rId1" Type="http://schemas.openxmlformats.org/officeDocument/2006/relationships/hyperlink" Target="https://www.greenvillecounty.org/appsas400/RealPropertyTaxEstimator/Default.aspx?MapNumber=0547010101637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35"/>
  <sheetViews>
    <sheetView showGridLines="0" tabSelected="1" zoomScale="90" zoomScaleNormal="90" workbookViewId="0">
      <selection activeCell="B5" sqref="B5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1" customFormat="1" ht="25.9">
      <c r="A1" s="144" t="str">
        <f>TEXT(C7,"")</f>
        <v>161 Verdin Rd</v>
      </c>
    </row>
    <row r="2" spans="1:3" s="141" customFormat="1" ht="19.899999999999999">
      <c r="A2" s="145" t="s">
        <v>0</v>
      </c>
    </row>
    <row r="6" spans="1:3">
      <c r="B6" s="122" t="s">
        <v>0</v>
      </c>
      <c r="C6" s="162"/>
    </row>
    <row r="7" spans="1:3">
      <c r="B7" s="55" t="s">
        <v>1</v>
      </c>
      <c r="C7" s="163" t="s">
        <v>2</v>
      </c>
    </row>
    <row r="8" spans="1:3">
      <c r="B8" s="55" t="s">
        <v>3</v>
      </c>
      <c r="C8" s="163" t="s">
        <v>4</v>
      </c>
    </row>
    <row r="9" spans="1:3">
      <c r="B9" s="55" t="s">
        <v>5</v>
      </c>
      <c r="C9" s="163" t="s">
        <v>6</v>
      </c>
    </row>
    <row r="10" spans="1:3">
      <c r="B10" s="55" t="s">
        <v>7</v>
      </c>
      <c r="C10" s="163" t="s">
        <v>8</v>
      </c>
    </row>
    <row r="11" spans="1:3">
      <c r="B11" s="55" t="s">
        <v>9</v>
      </c>
      <c r="C11" s="163" t="s">
        <v>2</v>
      </c>
    </row>
    <row r="12" spans="1:3">
      <c r="B12" s="55" t="s">
        <v>10</v>
      </c>
      <c r="C12" s="163" t="s">
        <v>11</v>
      </c>
    </row>
    <row r="13" spans="1:3">
      <c r="B13" s="55" t="s">
        <v>12</v>
      </c>
      <c r="C13" s="163">
        <v>29607</v>
      </c>
    </row>
    <row r="14" spans="1:3">
      <c r="B14" s="55" t="s">
        <v>13</v>
      </c>
      <c r="C14" s="163" t="s">
        <v>6</v>
      </c>
    </row>
    <row r="15" spans="1:3">
      <c r="B15" s="55"/>
      <c r="C15" s="56"/>
    </row>
    <row r="16" spans="1:3">
      <c r="B16" s="58" t="s">
        <v>14</v>
      </c>
      <c r="C16" s="164" t="s">
        <v>15</v>
      </c>
    </row>
    <row r="18" spans="2:12" ht="15" thickBot="1"/>
    <row r="19" spans="2:12">
      <c r="B19" s="269" t="s">
        <v>16</v>
      </c>
      <c r="C19" s="270"/>
      <c r="D19" s="270"/>
      <c r="E19" s="270"/>
      <c r="F19" s="270"/>
      <c r="G19" s="270"/>
      <c r="H19" s="270"/>
      <c r="I19" s="270"/>
      <c r="J19" s="270"/>
      <c r="K19" s="270"/>
      <c r="L19" s="271"/>
    </row>
    <row r="20" spans="2:12">
      <c r="B20" s="272"/>
      <c r="L20" s="273"/>
    </row>
    <row r="21" spans="2:12">
      <c r="B21" s="274" t="s">
        <v>17</v>
      </c>
      <c r="C21" s="275"/>
      <c r="D21" s="275"/>
      <c r="E21" s="275"/>
      <c r="F21" s="275"/>
      <c r="G21" s="275"/>
      <c r="H21" s="275"/>
      <c r="I21" s="275"/>
      <c r="J21" s="275"/>
      <c r="K21" s="275"/>
      <c r="L21" s="276"/>
    </row>
    <row r="22" spans="2:12">
      <c r="B22" s="277" t="s">
        <v>18</v>
      </c>
      <c r="L22" s="273"/>
    </row>
    <row r="23" spans="2:12">
      <c r="B23" s="277" t="s">
        <v>19</v>
      </c>
      <c r="L23" s="273"/>
    </row>
    <row r="24" spans="2:12">
      <c r="B24" s="277" t="s">
        <v>20</v>
      </c>
      <c r="L24" s="273"/>
    </row>
    <row r="25" spans="2:12">
      <c r="B25" s="278" t="s">
        <v>21</v>
      </c>
      <c r="L25" s="273"/>
    </row>
    <row r="26" spans="2:12">
      <c r="B26" s="277" t="s">
        <v>22</v>
      </c>
      <c r="L26" s="273"/>
    </row>
    <row r="27" spans="2:12">
      <c r="B27" s="279" t="s">
        <v>23</v>
      </c>
      <c r="L27" s="273"/>
    </row>
    <row r="28" spans="2:12">
      <c r="B28" s="278" t="s">
        <v>24</v>
      </c>
      <c r="L28" s="273"/>
    </row>
    <row r="29" spans="2:12">
      <c r="B29" s="279" t="s">
        <v>25</v>
      </c>
      <c r="L29" s="273"/>
    </row>
    <row r="30" spans="2:12">
      <c r="B30" s="280" t="s">
        <v>26</v>
      </c>
      <c r="L30" s="273"/>
    </row>
    <row r="31" spans="2:12">
      <c r="B31" s="279" t="s">
        <v>27</v>
      </c>
      <c r="L31" s="273"/>
    </row>
    <row r="32" spans="2:12">
      <c r="B32" s="279" t="s">
        <v>28</v>
      </c>
      <c r="C32" s="285"/>
      <c r="D32" s="285"/>
      <c r="E32" s="285"/>
      <c r="F32" s="285"/>
      <c r="G32" s="285"/>
      <c r="L32" s="273"/>
    </row>
    <row r="33" spans="2:12">
      <c r="B33" s="274" t="s">
        <v>29</v>
      </c>
      <c r="C33" s="275"/>
      <c r="D33" s="275"/>
      <c r="E33" s="275"/>
      <c r="F33" s="275"/>
      <c r="G33" s="275"/>
      <c r="H33" s="275"/>
      <c r="I33" s="275"/>
      <c r="J33" s="275"/>
      <c r="K33" s="275"/>
      <c r="L33" s="276"/>
    </row>
    <row r="34" spans="2:12">
      <c r="B34" s="277"/>
      <c r="L34" s="273"/>
    </row>
    <row r="35" spans="2:12" ht="15" thickBot="1">
      <c r="B35" s="281"/>
      <c r="C35" s="2"/>
      <c r="D35" s="2"/>
      <c r="E35" s="2"/>
      <c r="F35" s="2"/>
      <c r="G35" s="2"/>
      <c r="H35" s="2"/>
      <c r="I35" s="2"/>
      <c r="J35" s="2"/>
      <c r="K35" s="2"/>
      <c r="L35" s="282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90" zoomScaleNormal="90" workbookViewId="0">
      <pane ySplit="6" topLeftCell="A7" activePane="bottomLeft" state="frozen"/>
      <selection pane="bottomLeft" activeCell="B5" sqref="B5"/>
      <selection activeCell="B5" sqref="B5"/>
    </sheetView>
  </sheetViews>
  <sheetFormatPr defaultColWidth="9.140625" defaultRowHeight="14.45"/>
  <cols>
    <col min="1" max="1" width="1.7109375" customWidth="1"/>
    <col min="2" max="2" width="12.7109375" style="207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7" customWidth="1"/>
    <col min="19" max="19" width="24.5703125" style="207" bestFit="1" customWidth="1"/>
  </cols>
  <sheetData>
    <row r="1" spans="1:19" s="141" customFormat="1" ht="25.9">
      <c r="A1" s="144" t="str">
        <f>TEXT(Global!$C$7,"")</f>
        <v>161 Verdin Rd</v>
      </c>
      <c r="B1" s="204"/>
      <c r="R1" s="204"/>
      <c r="S1" s="204"/>
    </row>
    <row r="2" spans="1:19" s="141" customFormat="1" ht="19.899999999999999">
      <c r="A2" s="145" t="s">
        <v>30</v>
      </c>
      <c r="B2" s="204"/>
      <c r="R2" s="204"/>
      <c r="S2" s="204"/>
    </row>
    <row r="4" spans="1:19">
      <c r="B4" s="231" t="s">
        <v>31</v>
      </c>
      <c r="C4" s="258"/>
      <c r="D4" s="259">
        <v>105</v>
      </c>
    </row>
    <row r="6" spans="1:19">
      <c r="B6" s="205" t="s">
        <v>32</v>
      </c>
      <c r="C6" s="155" t="s">
        <v>33</v>
      </c>
      <c r="D6" s="155" t="s">
        <v>34</v>
      </c>
      <c r="E6" s="155" t="s">
        <v>35</v>
      </c>
      <c r="F6" s="155" t="s">
        <v>36</v>
      </c>
      <c r="G6" s="155" t="s">
        <v>37</v>
      </c>
      <c r="H6" s="156" t="s">
        <v>38</v>
      </c>
    </row>
    <row r="7" spans="1:19">
      <c r="B7" s="261" t="s">
        <v>39</v>
      </c>
      <c r="C7" s="24" t="s">
        <v>39</v>
      </c>
      <c r="D7" s="260">
        <f>ROUND($D$4*E7,0)</f>
        <v>63</v>
      </c>
      <c r="E7" s="262">
        <v>0.6</v>
      </c>
      <c r="F7" s="32">
        <v>800</v>
      </c>
      <c r="G7" s="241">
        <v>1780</v>
      </c>
      <c r="H7" s="147">
        <f>IFERROR(G7/F7,0)</f>
        <v>2.2250000000000001</v>
      </c>
      <c r="K7" s="139" t="s">
        <v>40</v>
      </c>
      <c r="L7" s="169"/>
      <c r="M7" s="169"/>
      <c r="N7" s="169"/>
      <c r="O7" s="169"/>
      <c r="P7" s="140"/>
    </row>
    <row r="8" spans="1:19">
      <c r="B8" s="261" t="s">
        <v>41</v>
      </c>
      <c r="C8" s="24" t="s">
        <v>41</v>
      </c>
      <c r="D8" s="260">
        <f t="shared" ref="D8:D14" si="0">ROUND($D$4*E8,0)</f>
        <v>42</v>
      </c>
      <c r="E8" s="262">
        <v>0.4</v>
      </c>
      <c r="F8" s="32">
        <v>1100</v>
      </c>
      <c r="G8" s="241">
        <v>2410</v>
      </c>
      <c r="H8" s="147">
        <f t="shared" ref="H8:H14" si="1">IFERROR(G8/F8,0)</f>
        <v>2.1909090909090909</v>
      </c>
      <c r="K8" s="210" t="s">
        <v>33</v>
      </c>
      <c r="L8" s="211" t="s">
        <v>34</v>
      </c>
      <c r="M8" s="211" t="s">
        <v>35</v>
      </c>
      <c r="N8" s="211" t="s">
        <v>42</v>
      </c>
      <c r="O8" s="211" t="s">
        <v>43</v>
      </c>
      <c r="P8" s="212" t="s">
        <v>44</v>
      </c>
      <c r="R8" s="217" t="s">
        <v>33</v>
      </c>
      <c r="S8" s="219" t="s">
        <v>45</v>
      </c>
    </row>
    <row r="9" spans="1:19">
      <c r="B9" s="261"/>
      <c r="C9" s="24"/>
      <c r="D9" s="260">
        <f t="shared" si="0"/>
        <v>0</v>
      </c>
      <c r="E9" s="262">
        <v>0</v>
      </c>
      <c r="F9" s="32"/>
      <c r="G9" s="241"/>
      <c r="H9" s="147">
        <f t="shared" si="1"/>
        <v>0</v>
      </c>
      <c r="K9" s="55" t="s">
        <v>46</v>
      </c>
      <c r="L9" s="239"/>
      <c r="M9" s="203" t="e">
        <f>L9/$L$14</f>
        <v>#DIV/0!</v>
      </c>
      <c r="N9" s="240">
        <v>607</v>
      </c>
      <c r="O9" s="241">
        <v>1450</v>
      </c>
      <c r="P9" s="215">
        <f>IFERROR(O9/N9,"-")</f>
        <v>2.3887973640856672</v>
      </c>
      <c r="R9" s="192" t="s">
        <v>47</v>
      </c>
      <c r="S9" s="220">
        <v>2025</v>
      </c>
    </row>
    <row r="10" spans="1:19">
      <c r="B10" s="261"/>
      <c r="C10" s="24"/>
      <c r="D10" s="260">
        <f t="shared" si="0"/>
        <v>0</v>
      </c>
      <c r="E10" s="262">
        <v>0</v>
      </c>
      <c r="F10" s="32"/>
      <c r="G10" s="241"/>
      <c r="H10" s="147">
        <f t="shared" si="1"/>
        <v>0</v>
      </c>
      <c r="K10" s="55" t="s">
        <v>48</v>
      </c>
      <c r="L10" s="239"/>
      <c r="M10" s="203" t="e">
        <f t="shared" ref="M10:M13" si="2">L10/$L$14</f>
        <v>#DIV/0!</v>
      </c>
      <c r="N10" s="240">
        <v>731</v>
      </c>
      <c r="O10" s="241">
        <v>1599</v>
      </c>
      <c r="P10" s="215">
        <f t="shared" ref="P10:P14" si="3">IFERROR(O10/N10,"-")</f>
        <v>2.1874145006839947</v>
      </c>
      <c r="R10" s="192" t="s">
        <v>49</v>
      </c>
      <c r="S10" s="221">
        <v>0.51</v>
      </c>
    </row>
    <row r="11" spans="1:19">
      <c r="B11" s="261"/>
      <c r="C11" s="24"/>
      <c r="D11" s="260">
        <f t="shared" si="0"/>
        <v>0</v>
      </c>
      <c r="E11" s="262">
        <v>0</v>
      </c>
      <c r="F11" s="32"/>
      <c r="G11" s="241"/>
      <c r="H11" s="147">
        <f t="shared" si="1"/>
        <v>0</v>
      </c>
      <c r="K11" s="55" t="s">
        <v>50</v>
      </c>
      <c r="L11" s="239"/>
      <c r="M11" s="203" t="e">
        <f t="shared" si="2"/>
        <v>#DIV/0!</v>
      </c>
      <c r="N11" s="240">
        <v>1222</v>
      </c>
      <c r="O11" s="241">
        <v>2285</v>
      </c>
      <c r="P11" s="215">
        <f t="shared" si="3"/>
        <v>1.8698854337152209</v>
      </c>
      <c r="R11" s="192" t="s">
        <v>51</v>
      </c>
      <c r="S11" s="220"/>
    </row>
    <row r="12" spans="1:19" ht="15" customHeight="1">
      <c r="B12" s="261"/>
      <c r="C12" s="24"/>
      <c r="D12" s="260">
        <f t="shared" si="0"/>
        <v>0</v>
      </c>
      <c r="E12" s="262">
        <v>0</v>
      </c>
      <c r="F12" s="32"/>
      <c r="G12" s="241"/>
      <c r="H12" s="147">
        <f t="shared" si="1"/>
        <v>0</v>
      </c>
      <c r="K12" s="55" t="s">
        <v>52</v>
      </c>
      <c r="L12" s="239"/>
      <c r="M12" s="203" t="e">
        <f t="shared" si="2"/>
        <v>#DIV/0!</v>
      </c>
      <c r="N12" s="240">
        <v>1667</v>
      </c>
      <c r="O12" s="241">
        <v>2772</v>
      </c>
      <c r="P12" s="215">
        <f t="shared" si="3"/>
        <v>1.662867426514697</v>
      </c>
      <c r="R12" s="192" t="s">
        <v>53</v>
      </c>
      <c r="S12" s="220" t="s">
        <v>54</v>
      </c>
    </row>
    <row r="13" spans="1:19" ht="15" customHeight="1">
      <c r="B13" s="261"/>
      <c r="C13" s="24"/>
      <c r="D13" s="260">
        <f t="shared" si="0"/>
        <v>0</v>
      </c>
      <c r="E13" s="262">
        <v>0</v>
      </c>
      <c r="F13" s="32"/>
      <c r="G13" s="241"/>
      <c r="H13" s="147">
        <f t="shared" si="1"/>
        <v>0</v>
      </c>
      <c r="K13" s="55" t="s">
        <v>55</v>
      </c>
      <c r="L13" s="239"/>
      <c r="M13" s="203" t="e">
        <f t="shared" si="2"/>
        <v>#DIV/0!</v>
      </c>
      <c r="N13" s="240"/>
      <c r="O13" s="241"/>
      <c r="P13" s="215" t="str">
        <f t="shared" si="3"/>
        <v>-</v>
      </c>
      <c r="R13" s="218" t="s">
        <v>56</v>
      </c>
      <c r="S13" s="265" t="s">
        <v>57</v>
      </c>
    </row>
    <row r="14" spans="1:19" ht="15" customHeight="1">
      <c r="B14" s="261"/>
      <c r="C14" s="24"/>
      <c r="D14" s="260">
        <f t="shared" si="0"/>
        <v>0</v>
      </c>
      <c r="E14" s="262">
        <v>0</v>
      </c>
      <c r="F14" s="32"/>
      <c r="G14" s="241"/>
      <c r="H14" s="147">
        <f t="shared" si="1"/>
        <v>0</v>
      </c>
      <c r="K14" s="125" t="s">
        <v>58</v>
      </c>
      <c r="L14" s="213">
        <f>SUM(L9:L13)</f>
        <v>0</v>
      </c>
      <c r="M14" s="214" t="e">
        <f>SUM(M9:M13)</f>
        <v>#DIV/0!</v>
      </c>
      <c r="N14" s="126" t="e">
        <f>SUMPRODUCT(N9:N13,L9:L13)/L14</f>
        <v>#DIV/0!</v>
      </c>
      <c r="O14" s="127" t="e">
        <f>SUMPRODUCT(O9:O13,$L$9:$L$13)/$L$14</f>
        <v>#DIV/0!</v>
      </c>
      <c r="P14" s="216" t="str">
        <f t="shared" si="3"/>
        <v>-</v>
      </c>
    </row>
    <row r="15" spans="1:19" ht="15" customHeight="1">
      <c r="B15" s="206" t="s">
        <v>58</v>
      </c>
      <c r="C15" s="22"/>
      <c r="D15" s="148">
        <f>+SUM(D7:D14)</f>
        <v>105</v>
      </c>
      <c r="E15" s="149">
        <f>+SUM(E7:E14)</f>
        <v>1</v>
      </c>
      <c r="F15" s="148">
        <f>IFERROR(SUMPRODUCT(F7:F14,D7:D14)/D15,0)</f>
        <v>920</v>
      </c>
      <c r="G15" s="150">
        <f>IFERROR(SUMPRODUCT(G7:G14,E7:E14)/E15,0)</f>
        <v>2032</v>
      </c>
      <c r="H15" s="151">
        <f>IFERROR(G15/F15,0)</f>
        <v>2.2086956521739132</v>
      </c>
    </row>
    <row r="16" spans="1:19">
      <c r="K16" s="139" t="s">
        <v>59</v>
      </c>
      <c r="L16" s="169"/>
      <c r="M16" s="169"/>
      <c r="N16" s="169"/>
      <c r="O16" s="169"/>
      <c r="P16" s="140"/>
    </row>
    <row r="17" spans="2:19">
      <c r="B17" s="208" t="s">
        <v>46</v>
      </c>
      <c r="C17" s="3"/>
      <c r="D17" s="152">
        <f>SUMIF($C$7:$C$14,$B17,D$7:D$14)</f>
        <v>0</v>
      </c>
      <c r="E17" s="98">
        <f>IFERROR(D17/D$22,0)</f>
        <v>0</v>
      </c>
      <c r="F17" s="152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3">
        <f>IFERROR(G17/F17,0)</f>
        <v>0</v>
      </c>
      <c r="K17" s="210" t="s">
        <v>33</v>
      </c>
      <c r="L17" s="211" t="s">
        <v>34</v>
      </c>
      <c r="M17" s="211" t="s">
        <v>35</v>
      </c>
      <c r="N17" s="211" t="s">
        <v>42</v>
      </c>
      <c r="O17" s="211" t="s">
        <v>43</v>
      </c>
      <c r="P17" s="212" t="s">
        <v>44</v>
      </c>
      <c r="R17" s="217" t="s">
        <v>33</v>
      </c>
      <c r="S17" s="219" t="s">
        <v>60</v>
      </c>
    </row>
    <row r="18" spans="2:19">
      <c r="B18" s="209" t="s">
        <v>39</v>
      </c>
      <c r="D18" s="154">
        <f>SUMIF($C$7:$C$14,$B18,D$7:D$14)</f>
        <v>63</v>
      </c>
      <c r="E18" s="146">
        <f t="shared" ref="E18:E21" si="4">IFERROR(D18/D$22,0)</f>
        <v>0.6</v>
      </c>
      <c r="F18" s="154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1780</v>
      </c>
      <c r="H18" s="147">
        <f t="shared" ref="H18:H22" si="5">IFERROR(G18/F18,0)</f>
        <v>2.2250000000000001</v>
      </c>
      <c r="K18" s="55" t="s">
        <v>46</v>
      </c>
      <c r="L18" s="239"/>
      <c r="M18" s="203" t="e">
        <f>L18/$L$14</f>
        <v>#DIV/0!</v>
      </c>
      <c r="N18" s="240"/>
      <c r="O18" s="241"/>
      <c r="P18" s="215" t="str">
        <f>IFERROR(O18/N18,"-")</f>
        <v>-</v>
      </c>
      <c r="R18" s="192" t="s">
        <v>47</v>
      </c>
      <c r="S18" s="220">
        <v>2019</v>
      </c>
    </row>
    <row r="19" spans="2:19">
      <c r="B19" s="209" t="s">
        <v>41</v>
      </c>
      <c r="D19" s="154">
        <f>SUMIF($C$7:$C$14,$B19,D$7:D$14)</f>
        <v>42</v>
      </c>
      <c r="E19" s="146">
        <f t="shared" si="4"/>
        <v>0.4</v>
      </c>
      <c r="F19" s="154" cm="1">
        <f t="array" ref="F19">IFERROR(SUMPRODUCT(($C$7:$C$14=$B19)*($D$7:$D$14)*($F$7:$F$14))/$D19,0)</f>
        <v>1100</v>
      </c>
      <c r="G19" s="36" cm="1">
        <f t="array" ref="G19">IFERROR(SUMPRODUCT(($C$7:$C$14=$B19)*($D$7:$D$14)*($G$7:$G$14))/$D19,0)</f>
        <v>2410</v>
      </c>
      <c r="H19" s="147">
        <f t="shared" si="5"/>
        <v>2.1909090909090909</v>
      </c>
      <c r="K19" s="55" t="s">
        <v>48</v>
      </c>
      <c r="L19" s="239"/>
      <c r="M19" s="203" t="e">
        <f t="shared" ref="M19:M22" si="6">L19/$L$14</f>
        <v>#DIV/0!</v>
      </c>
      <c r="N19" s="240">
        <v>726</v>
      </c>
      <c r="O19" s="241">
        <v>1794</v>
      </c>
      <c r="P19" s="215">
        <f t="shared" ref="P19:P23" si="7">IFERROR(O19/N19,"-")</f>
        <v>2.4710743801652892</v>
      </c>
      <c r="R19" s="192" t="s">
        <v>49</v>
      </c>
      <c r="S19" s="221">
        <v>0.09</v>
      </c>
    </row>
    <row r="20" spans="2:19">
      <c r="B20" s="209" t="s">
        <v>61</v>
      </c>
      <c r="D20" s="154">
        <f>SUMIF($C$7:$C$14,$B20,D$7:D$14)</f>
        <v>0</v>
      </c>
      <c r="E20" s="146">
        <f t="shared" si="4"/>
        <v>0</v>
      </c>
      <c r="F20" s="154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7">
        <f t="shared" si="5"/>
        <v>0</v>
      </c>
      <c r="K20" s="55" t="s">
        <v>50</v>
      </c>
      <c r="L20" s="239"/>
      <c r="M20" s="203" t="e">
        <f t="shared" si="6"/>
        <v>#DIV/0!</v>
      </c>
      <c r="N20" s="240">
        <v>1110</v>
      </c>
      <c r="O20" s="241">
        <v>2593</v>
      </c>
      <c r="P20" s="215">
        <f t="shared" si="7"/>
        <v>2.3360360360360359</v>
      </c>
      <c r="R20" s="192" t="s">
        <v>51</v>
      </c>
      <c r="S20" s="220"/>
    </row>
    <row r="21" spans="2:19">
      <c r="B21" s="209" t="s">
        <v>62</v>
      </c>
      <c r="D21" s="154">
        <f>SUMIF($C$7:$C$14,$B21,D$7:D$14)</f>
        <v>0</v>
      </c>
      <c r="E21" s="146">
        <f t="shared" si="4"/>
        <v>0</v>
      </c>
      <c r="F21" s="154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7">
        <f t="shared" si="5"/>
        <v>0</v>
      </c>
      <c r="K21" s="55" t="s">
        <v>52</v>
      </c>
      <c r="L21" s="239"/>
      <c r="M21" s="203" t="e">
        <f t="shared" si="6"/>
        <v>#DIV/0!</v>
      </c>
      <c r="N21" s="240"/>
      <c r="O21" s="241"/>
      <c r="P21" s="215" t="str">
        <f t="shared" si="7"/>
        <v>-</v>
      </c>
      <c r="R21" s="192" t="s">
        <v>53</v>
      </c>
      <c r="S21" s="220" t="s">
        <v>63</v>
      </c>
    </row>
    <row r="22" spans="2:19">
      <c r="B22" s="206" t="s">
        <v>58</v>
      </c>
      <c r="C22" s="22"/>
      <c r="D22" s="148">
        <f>SUM(D17:D21)</f>
        <v>105</v>
      </c>
      <c r="E22" s="149">
        <f>SUM(E17:E21)</f>
        <v>1</v>
      </c>
      <c r="F22" s="148">
        <f>IFERROR(SUMPRODUCT(F17:F21,$D17:$D21)/$D22,0)</f>
        <v>920</v>
      </c>
      <c r="G22" s="150">
        <f>IFERROR(SUMPRODUCT(G17:G21,$D17:$D21)/$D22,0)</f>
        <v>2032</v>
      </c>
      <c r="H22" s="151">
        <f t="shared" si="5"/>
        <v>2.2086956521739132</v>
      </c>
      <c r="K22" s="55" t="s">
        <v>55</v>
      </c>
      <c r="L22" s="239"/>
      <c r="M22" s="203" t="e">
        <f t="shared" si="6"/>
        <v>#DIV/0!</v>
      </c>
      <c r="N22" s="240"/>
      <c r="O22" s="241"/>
      <c r="P22" s="215" t="str">
        <f t="shared" si="7"/>
        <v>-</v>
      </c>
      <c r="R22" s="218" t="s">
        <v>56</v>
      </c>
      <c r="S22" s="265" t="s">
        <v>57</v>
      </c>
    </row>
    <row r="23" spans="2:19">
      <c r="K23" s="125" t="s">
        <v>58</v>
      </c>
      <c r="L23" s="213">
        <f>SUM(L18:L22)</f>
        <v>0</v>
      </c>
      <c r="M23" s="214" t="e">
        <f>SUM(M18:M22)</f>
        <v>#DIV/0!</v>
      </c>
      <c r="N23" s="126" t="e">
        <f>SUMPRODUCT(N18:N22,$L$18:$L$22)/$L$23</f>
        <v>#DIV/0!</v>
      </c>
      <c r="O23" s="127" t="e">
        <f>SUMPRODUCT(O18:O22,$L$18:$L$22)/$L$23</f>
        <v>#DIV/0!</v>
      </c>
      <c r="P23" s="216" t="str">
        <f t="shared" si="7"/>
        <v>-</v>
      </c>
    </row>
    <row r="24" spans="2:19">
      <c r="C24" s="207"/>
      <c r="D24" s="207"/>
      <c r="E24" s="207"/>
      <c r="F24" s="207"/>
    </row>
    <row r="25" spans="2:19">
      <c r="C25" s="207"/>
      <c r="D25" s="207"/>
      <c r="E25" s="207"/>
      <c r="F25" s="207"/>
      <c r="K25" s="139" t="s">
        <v>64</v>
      </c>
      <c r="L25" s="169"/>
      <c r="M25" s="169"/>
      <c r="N25" s="169"/>
      <c r="O25" s="169"/>
      <c r="P25" s="140"/>
    </row>
    <row r="26" spans="2:19">
      <c r="C26" s="207"/>
      <c r="D26" s="207"/>
      <c r="E26" s="207"/>
      <c r="F26" s="207"/>
      <c r="K26" s="210" t="s">
        <v>33</v>
      </c>
      <c r="L26" s="211" t="s">
        <v>34</v>
      </c>
      <c r="M26" s="211" t="s">
        <v>35</v>
      </c>
      <c r="N26" s="211" t="s">
        <v>42</v>
      </c>
      <c r="O26" s="211" t="s">
        <v>43</v>
      </c>
      <c r="P26" s="212" t="s">
        <v>44</v>
      </c>
      <c r="R26" s="217" t="s">
        <v>33</v>
      </c>
      <c r="S26" s="219" t="s">
        <v>60</v>
      </c>
    </row>
    <row r="27" spans="2:19">
      <c r="C27" s="207"/>
      <c r="D27" s="207"/>
      <c r="E27" s="207"/>
      <c r="F27" s="207"/>
      <c r="K27" s="55" t="s">
        <v>46</v>
      </c>
      <c r="L27" s="239"/>
      <c r="M27" s="203" t="e">
        <f>L27/$L$14</f>
        <v>#DIV/0!</v>
      </c>
      <c r="N27" s="240"/>
      <c r="O27" s="241"/>
      <c r="P27" s="215" t="str">
        <f>IFERROR(O27/N27,"-")</f>
        <v>-</v>
      </c>
      <c r="R27" s="192" t="s">
        <v>47</v>
      </c>
      <c r="S27" s="220">
        <v>2022</v>
      </c>
    </row>
    <row r="28" spans="2:19">
      <c r="C28" s="207"/>
      <c r="D28" s="207"/>
      <c r="E28" s="207"/>
      <c r="F28" s="207"/>
      <c r="K28" s="55" t="s">
        <v>48</v>
      </c>
      <c r="L28" s="239"/>
      <c r="M28" s="203" t="e">
        <f t="shared" ref="M28:M31" si="8">L28/$L$14</f>
        <v>#DIV/0!</v>
      </c>
      <c r="N28" s="240">
        <v>780</v>
      </c>
      <c r="O28" s="241">
        <v>1772</v>
      </c>
      <c r="P28" s="215">
        <f t="shared" ref="P28:P32" si="9">IFERROR(O28/N28,"-")</f>
        <v>2.2717948717948717</v>
      </c>
      <c r="R28" s="192" t="s">
        <v>49</v>
      </c>
      <c r="S28" s="221">
        <v>9.4E-2</v>
      </c>
    </row>
    <row r="29" spans="2:19">
      <c r="C29" s="207"/>
      <c r="D29" s="207"/>
      <c r="E29" s="207"/>
      <c r="F29" s="207"/>
      <c r="K29" s="55" t="s">
        <v>50</v>
      </c>
      <c r="L29" s="239"/>
      <c r="M29" s="203" t="e">
        <f t="shared" si="8"/>
        <v>#DIV/0!</v>
      </c>
      <c r="N29" s="240">
        <v>997</v>
      </c>
      <c r="O29" s="241">
        <v>2207</v>
      </c>
      <c r="P29" s="215">
        <f t="shared" si="9"/>
        <v>2.2136409227683047</v>
      </c>
      <c r="R29" s="192" t="s">
        <v>51</v>
      </c>
      <c r="S29" s="220"/>
    </row>
    <row r="30" spans="2:19">
      <c r="C30" s="207"/>
      <c r="D30" s="207"/>
      <c r="E30" s="207"/>
      <c r="F30" s="207"/>
      <c r="K30" s="55" t="s">
        <v>52</v>
      </c>
      <c r="L30" s="239"/>
      <c r="M30" s="203" t="e">
        <f t="shared" si="8"/>
        <v>#DIV/0!</v>
      </c>
      <c r="N30" s="240"/>
      <c r="O30" s="241"/>
      <c r="P30" s="215" t="str">
        <f t="shared" si="9"/>
        <v>-</v>
      </c>
      <c r="R30" s="192" t="s">
        <v>53</v>
      </c>
      <c r="S30" s="220" t="s">
        <v>65</v>
      </c>
    </row>
    <row r="31" spans="2:19">
      <c r="C31" s="207"/>
      <c r="D31" s="207"/>
      <c r="E31" s="207"/>
      <c r="F31" s="207"/>
      <c r="K31" s="55" t="s">
        <v>55</v>
      </c>
      <c r="L31" s="239"/>
      <c r="M31" s="203" t="e">
        <f t="shared" si="8"/>
        <v>#DIV/0!</v>
      </c>
      <c r="N31" s="240"/>
      <c r="O31" s="241"/>
      <c r="P31" s="215" t="str">
        <f t="shared" si="9"/>
        <v>-</v>
      </c>
      <c r="R31" s="218" t="s">
        <v>56</v>
      </c>
      <c r="S31" s="265" t="s">
        <v>57</v>
      </c>
    </row>
    <row r="32" spans="2:19">
      <c r="C32" s="207"/>
      <c r="D32" s="207"/>
      <c r="E32" s="207"/>
      <c r="F32" s="207"/>
      <c r="K32" s="125" t="s">
        <v>58</v>
      </c>
      <c r="L32" s="213">
        <f>SUM(L27:L31)</f>
        <v>0</v>
      </c>
      <c r="M32" s="214" t="e">
        <f>SUM(M27:M31)</f>
        <v>#DIV/0!</v>
      </c>
      <c r="N32" s="126" t="e">
        <f>SUMPRODUCT(N27:N31,$L$27:$L$31)/$L$32</f>
        <v>#DIV/0!</v>
      </c>
      <c r="O32" s="127" t="e">
        <f>SUMPRODUCT(O27:O31,$L$27:$L$31)/$L$32</f>
        <v>#DIV/0!</v>
      </c>
      <c r="P32" s="216" t="str">
        <f t="shared" si="9"/>
        <v>-</v>
      </c>
    </row>
    <row r="33" spans="3:6">
      <c r="C33" s="207"/>
      <c r="D33" s="207"/>
      <c r="E33" s="207"/>
      <c r="F33" s="207"/>
    </row>
    <row r="34" spans="3:6">
      <c r="C34" s="207"/>
      <c r="D34" s="207"/>
      <c r="E34" s="207"/>
      <c r="F34" s="207"/>
    </row>
    <row r="35" spans="3:6">
      <c r="C35" s="207"/>
      <c r="D35" s="207"/>
      <c r="E35" s="207"/>
      <c r="F35" s="207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CB90C554-C7FD-46B1-B80E-C052D53F1320}"/>
    <hyperlink ref="S22" r:id="rId2" xr:uid="{4D4718AD-1C08-4976-B7E6-4532C023DBD0}"/>
    <hyperlink ref="S31" r:id="rId3" xr:uid="{683EC70A-96DA-4238-BF50-DF6388371656}"/>
  </hyperlinks>
  <pageMargins left="0.7" right="0.7" top="0.75" bottom="0.75" header="0.3" footer="0.3"/>
  <pageSetup orientation="portrait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7CD2-461E-4782-823C-5D6B09A0344A}">
  <sheetPr>
    <tabColor theme="1"/>
  </sheetPr>
  <dimension ref="B3:G51"/>
  <sheetViews>
    <sheetView showGridLines="0" workbookViewId="0"/>
  </sheetViews>
  <sheetFormatPr defaultRowHeight="14.45"/>
  <cols>
    <col min="1" max="1" width="3.7109375" customWidth="1"/>
    <col min="2" max="2" width="30.7109375" customWidth="1"/>
    <col min="3" max="7" width="12.7109375" style="23" customWidth="1"/>
  </cols>
  <sheetData>
    <row r="3" spans="2:6">
      <c r="B3" s="120" t="s">
        <v>66</v>
      </c>
      <c r="C3" s="121" t="s">
        <v>34</v>
      </c>
      <c r="D3" s="121" t="s">
        <v>42</v>
      </c>
      <c r="E3" s="121" t="s">
        <v>43</v>
      </c>
      <c r="F3" s="121" t="s">
        <v>44</v>
      </c>
    </row>
    <row r="4" spans="2:6">
      <c r="B4" t="s">
        <v>46</v>
      </c>
      <c r="C4" s="23" t="s">
        <v>67</v>
      </c>
      <c r="D4" s="23" t="s">
        <v>67</v>
      </c>
      <c r="E4" s="23" t="s">
        <v>67</v>
      </c>
      <c r="F4" s="23" t="s">
        <v>67</v>
      </c>
    </row>
    <row r="5" spans="2:6">
      <c r="B5" t="s">
        <v>48</v>
      </c>
      <c r="C5" s="154">
        <f>'Unit Mix_vm'!D7</f>
        <v>63</v>
      </c>
      <c r="D5" s="154">
        <f>'Unit Mix_vm'!F7</f>
        <v>800</v>
      </c>
      <c r="E5" s="36">
        <f>'Unit Mix_vm'!G7</f>
        <v>1780</v>
      </c>
      <c r="F5" s="237">
        <f>E5/D5</f>
        <v>2.2250000000000001</v>
      </c>
    </row>
    <row r="6" spans="2:6">
      <c r="B6" t="s">
        <v>50</v>
      </c>
      <c r="C6" s="154">
        <f>'Unit Mix_vm'!D8</f>
        <v>42</v>
      </c>
      <c r="D6" s="154">
        <f>'Unit Mix_vm'!F8</f>
        <v>1100</v>
      </c>
      <c r="E6" s="36">
        <f>'Unit Mix_vm'!G8</f>
        <v>2410</v>
      </c>
      <c r="F6" s="237">
        <f t="shared" ref="F6" si="0">E6/D6</f>
        <v>2.1909090909090909</v>
      </c>
    </row>
    <row r="7" spans="2:6">
      <c r="B7" t="s">
        <v>52</v>
      </c>
      <c r="C7" s="23" t="s">
        <v>67</v>
      </c>
      <c r="D7" s="23" t="s">
        <v>67</v>
      </c>
      <c r="E7" s="23" t="s">
        <v>67</v>
      </c>
      <c r="F7" s="23" t="s">
        <v>67</v>
      </c>
    </row>
    <row r="8" spans="2:6">
      <c r="B8" t="s">
        <v>55</v>
      </c>
      <c r="C8" s="23" t="s">
        <v>67</v>
      </c>
      <c r="D8" s="23" t="s">
        <v>67</v>
      </c>
      <c r="E8" s="23" t="s">
        <v>67</v>
      </c>
      <c r="F8" s="23" t="s">
        <v>67</v>
      </c>
    </row>
    <row r="9" spans="2:6">
      <c r="B9" s="3" t="s">
        <v>68</v>
      </c>
      <c r="C9" s="152">
        <f>'Unit Mix_vm'!D15</f>
        <v>105</v>
      </c>
      <c r="D9" s="152">
        <f>'Unit Mix_vm'!F15</f>
        <v>920</v>
      </c>
      <c r="E9" s="35">
        <f>'Unit Mix_vm'!G15</f>
        <v>2032</v>
      </c>
      <c r="F9" s="256">
        <f>'Unit Mix_vm'!H15</f>
        <v>2.2086956521739132</v>
      </c>
    </row>
    <row r="11" spans="2:6">
      <c r="B11" s="120" t="s">
        <v>69</v>
      </c>
      <c r="C11" s="121" t="s">
        <v>58</v>
      </c>
      <c r="D11" s="121" t="s">
        <v>70</v>
      </c>
      <c r="E11" s="121" t="s">
        <v>71</v>
      </c>
      <c r="F11" s="121" t="s">
        <v>72</v>
      </c>
    </row>
    <row r="12" spans="2:6">
      <c r="B12" t="s">
        <v>73</v>
      </c>
      <c r="C12" s="36">
        <f>Budget_vm!D8</f>
        <v>2950000</v>
      </c>
      <c r="D12" s="36">
        <f>C12/'Unit Mix_vm'!$D$15</f>
        <v>28095.238095238095</v>
      </c>
      <c r="E12" s="36">
        <f>D12/'Unit Mix_vm'!$F$15</f>
        <v>30.538302277432713</v>
      </c>
      <c r="F12" s="42">
        <f ca="1">C12/$C$51</f>
        <v>9.279482262886439E-2</v>
      </c>
    </row>
    <row r="13" spans="2:6">
      <c r="B13" t="s">
        <v>74</v>
      </c>
      <c r="C13" s="36">
        <f ca="1">Budget_vm!D11</f>
        <v>95371.700158363979</v>
      </c>
      <c r="D13" s="36">
        <f ca="1">C13/'Unit Mix_vm'!$D$15</f>
        <v>908.30190627013314</v>
      </c>
      <c r="E13" s="36">
        <f ca="1">D13/'Unit Mix_vm'!$F$15</f>
        <v>0.98728468072840558</v>
      </c>
      <c r="F13" s="42">
        <f t="shared" ref="F13:F51" ca="1" si="1">C13/$C$51</f>
        <v>3.0000000000029235E-3</v>
      </c>
    </row>
    <row r="14" spans="2:6">
      <c r="B14" t="s">
        <v>75</v>
      </c>
      <c r="C14" s="36">
        <f ca="1">Budget_vm!D12</f>
        <v>143057.55023742921</v>
      </c>
      <c r="D14" s="36">
        <f ca="1">C14/'Unit Mix_vm'!$D$15</f>
        <v>1362.4528594040878</v>
      </c>
      <c r="E14" s="36">
        <f ca="1">D14/'Unit Mix_vm'!$F$15</f>
        <v>1.4809270210913998</v>
      </c>
      <c r="F14" s="42">
        <f t="shared" ca="1" si="1"/>
        <v>4.5000000000007126E-3</v>
      </c>
    </row>
    <row r="15" spans="2:6">
      <c r="B15" t="s">
        <v>76</v>
      </c>
      <c r="C15" s="36">
        <f>Budget_vm!D20</f>
        <v>400000</v>
      </c>
      <c r="D15" s="36">
        <f>C15/'Unit Mix_vm'!$D$15</f>
        <v>3809.5238095238096</v>
      </c>
      <c r="E15" s="36">
        <f>D15/'Unit Mix_vm'!$F$15</f>
        <v>4.1407867494824018</v>
      </c>
      <c r="F15" s="42">
        <f t="shared" ca="1" si="1"/>
        <v>1.258234883103246E-2</v>
      </c>
    </row>
    <row r="16" spans="2:6">
      <c r="B16" t="s">
        <v>77</v>
      </c>
      <c r="C16" s="36">
        <f>Budget_vm!D21</f>
        <v>300000</v>
      </c>
      <c r="D16" s="36">
        <f>C16/'Unit Mix_vm'!$D$15</f>
        <v>2857.1428571428573</v>
      </c>
      <c r="E16" s="36">
        <f>D16/'Unit Mix_vm'!$F$15</f>
        <v>3.1055900621118013</v>
      </c>
      <c r="F16" s="42">
        <f t="shared" ca="1" si="1"/>
        <v>9.4367616232743454E-3</v>
      </c>
    </row>
    <row r="17" spans="2:6">
      <c r="B17" t="s">
        <v>78</v>
      </c>
      <c r="C17" s="36">
        <f>Budget_vm!D22</f>
        <v>787500</v>
      </c>
      <c r="D17" s="36">
        <f>C17/'Unit Mix_vm'!$D$15</f>
        <v>7500</v>
      </c>
      <c r="E17" s="36">
        <f>D17/'Unit Mix_vm'!$F$15</f>
        <v>8.1521739130434785</v>
      </c>
      <c r="F17" s="42">
        <f t="shared" ca="1" si="1"/>
        <v>2.4771499261095155E-2</v>
      </c>
    </row>
    <row r="18" spans="2:6">
      <c r="B18" t="s">
        <v>79</v>
      </c>
      <c r="C18" s="36">
        <f ca="1">Budget_vm!D27</f>
        <v>1009419.8351798289</v>
      </c>
      <c r="D18" s="36">
        <f ca="1">C18/'Unit Mix_vm'!$D$15</f>
        <v>9613.5222398078949</v>
      </c>
      <c r="E18" s="36">
        <f ca="1">D18/'Unit Mix_vm'!$F$15</f>
        <v>10.449480695443365</v>
      </c>
      <c r="F18" s="42">
        <f t="shared" ca="1" si="1"/>
        <v>3.1752181207989748E-2</v>
      </c>
    </row>
    <row r="19" spans="2:6">
      <c r="B19" t="s">
        <v>80</v>
      </c>
      <c r="C19" s="36">
        <f>Budget_vm!D28</f>
        <v>173880</v>
      </c>
      <c r="D19" s="36">
        <f>C19/'Unit Mix_vm'!$D$15</f>
        <v>1656</v>
      </c>
      <c r="E19" s="36">
        <f>D19/'Unit Mix_vm'!$F$15</f>
        <v>1.8</v>
      </c>
      <c r="F19" s="42">
        <f t="shared" ca="1" si="1"/>
        <v>5.4695470368498105E-3</v>
      </c>
    </row>
    <row r="20" spans="2:6">
      <c r="B20" t="s">
        <v>81</v>
      </c>
      <c r="C20" s="36">
        <f>Budget_vm!D29</f>
        <v>300000</v>
      </c>
      <c r="D20" s="36">
        <f>C20/'Unit Mix_vm'!$D$15</f>
        <v>2857.1428571428573</v>
      </c>
      <c r="E20" s="36">
        <f>D20/'Unit Mix_vm'!$F$15</f>
        <v>3.1055900621118013</v>
      </c>
      <c r="F20" s="42">
        <f t="shared" ca="1" si="1"/>
        <v>9.4367616232743454E-3</v>
      </c>
    </row>
    <row r="21" spans="2:6">
      <c r="B21" t="s">
        <v>82</v>
      </c>
      <c r="C21" s="36">
        <f>Budget_vm!D33</f>
        <v>300000</v>
      </c>
      <c r="D21" s="36">
        <f>C21/'Unit Mix_vm'!$D$15</f>
        <v>2857.1428571428573</v>
      </c>
      <c r="E21" s="36">
        <f>D21/'Unit Mix_vm'!$F$15</f>
        <v>3.1055900621118013</v>
      </c>
      <c r="F21" s="42">
        <f t="shared" ca="1" si="1"/>
        <v>9.4367616232743454E-3</v>
      </c>
    </row>
    <row r="22" spans="2:6">
      <c r="B22" t="s">
        <v>83</v>
      </c>
      <c r="C22" s="36">
        <f>Budget_vm!D34</f>
        <v>200000</v>
      </c>
      <c r="D22" s="36">
        <f>C22/'Unit Mix_vm'!$D$15</f>
        <v>1904.7619047619048</v>
      </c>
      <c r="E22" s="36">
        <f>D22/'Unit Mix_vm'!$F$15</f>
        <v>2.0703933747412009</v>
      </c>
      <c r="F22" s="42">
        <f t="shared" ca="1" si="1"/>
        <v>6.29117441551623E-3</v>
      </c>
    </row>
    <row r="23" spans="2:6">
      <c r="B23" t="s">
        <v>84</v>
      </c>
      <c r="C23" s="36">
        <f>Budget_vm!D35</f>
        <v>200000</v>
      </c>
      <c r="D23" s="36">
        <f>C23/'Unit Mix_vm'!$D$15</f>
        <v>1904.7619047619048</v>
      </c>
      <c r="E23" s="36">
        <f>D23/'Unit Mix_vm'!$F$15</f>
        <v>2.0703933747412009</v>
      </c>
      <c r="F23" s="42">
        <f t="shared" ca="1" si="1"/>
        <v>6.29117441551623E-3</v>
      </c>
    </row>
    <row r="24" spans="2:6">
      <c r="B24" t="s">
        <v>85</v>
      </c>
      <c r="C24" s="36">
        <f>Budget_vm!D36</f>
        <v>400000</v>
      </c>
      <c r="D24" s="36">
        <f>C24/'Unit Mix_vm'!$D$15</f>
        <v>3809.5238095238096</v>
      </c>
      <c r="E24" s="36">
        <f>D24/'Unit Mix_vm'!$F$15</f>
        <v>4.1407867494824018</v>
      </c>
      <c r="F24" s="42">
        <f t="shared" ca="1" si="1"/>
        <v>1.258234883103246E-2</v>
      </c>
    </row>
    <row r="25" spans="2:6">
      <c r="B25" t="s">
        <v>86</v>
      </c>
      <c r="C25" s="36">
        <f>Budget_vm!D38</f>
        <v>50000</v>
      </c>
      <c r="D25" s="36">
        <f>C25/'Unit Mix_vm'!$D$15</f>
        <v>476.1904761904762</v>
      </c>
      <c r="E25" s="36">
        <f>D25/'Unit Mix_vm'!$F$15</f>
        <v>0.51759834368530022</v>
      </c>
      <c r="F25" s="42">
        <f t="shared" ca="1" si="1"/>
        <v>1.5727936038790575E-3</v>
      </c>
    </row>
    <row r="26" spans="2:6">
      <c r="B26" t="s">
        <v>87</v>
      </c>
      <c r="C26" s="36">
        <f ca="1">Budget_vm!D39</f>
        <v>21935.491036402338</v>
      </c>
      <c r="D26" s="36">
        <f ca="1">C26/'Unit Mix_vm'!$D$15</f>
        <v>208.90943844192702</v>
      </c>
      <c r="E26" s="36">
        <f ca="1">D26/'Unit Mix_vm'!$F$15</f>
        <v>0.22707547656731197</v>
      </c>
      <c r="F26" s="42">
        <f t="shared" ca="1" si="1"/>
        <v>6.8999999999999997E-4</v>
      </c>
    </row>
    <row r="27" spans="2:6">
      <c r="B27" t="s">
        <v>88</v>
      </c>
      <c r="C27" s="36">
        <f ca="1">Budget_vm!D40</f>
        <v>342607.98047483439</v>
      </c>
      <c r="D27" s="36">
        <f ca="1">C27/'Unit Mix_vm'!$D$15</f>
        <v>3262.933147379375</v>
      </c>
      <c r="E27" s="36">
        <f ca="1">D27/'Unit Mix_vm'!$F$15</f>
        <v>3.546666464542799</v>
      </c>
      <c r="F27" s="42">
        <f t="shared" ca="1" si="1"/>
        <v>1.0777032806574811E-2</v>
      </c>
    </row>
    <row r="28" spans="2:6">
      <c r="B28" t="s">
        <v>89</v>
      </c>
      <c r="C28" s="36">
        <f>Budget_vm!D41</f>
        <v>64015.826364670858</v>
      </c>
      <c r="D28" s="36">
        <f>C28/'Unit Mix_vm'!$D$15</f>
        <v>609.67453680638914</v>
      </c>
      <c r="E28" s="36">
        <f>D28/'Unit Mix_vm'!$F$15</f>
        <v>0.66268971391998821</v>
      </c>
      <c r="F28" s="42">
        <f t="shared" ca="1" si="1"/>
        <v>2.0136736450677333E-3</v>
      </c>
    </row>
    <row r="29" spans="2:6">
      <c r="B29" t="s">
        <v>90</v>
      </c>
      <c r="C29" s="36">
        <f>Budget_vm!D43</f>
        <v>50000</v>
      </c>
      <c r="D29" s="36">
        <f>C29/'Unit Mix_vm'!$D$15</f>
        <v>476.1904761904762</v>
      </c>
      <c r="E29" s="36">
        <f>D29/'Unit Mix_vm'!$F$15</f>
        <v>0.51759834368530022</v>
      </c>
      <c r="F29" s="42">
        <f t="shared" ca="1" si="1"/>
        <v>1.5727936038790575E-3</v>
      </c>
    </row>
    <row r="30" spans="2:6">
      <c r="B30" t="s">
        <v>91</v>
      </c>
      <c r="C30" s="36">
        <f>Budget_vm!D48</f>
        <v>367500</v>
      </c>
      <c r="D30" s="36">
        <f>C30/'Unit Mix_vm'!$D$15</f>
        <v>3500</v>
      </c>
      <c r="E30" s="36">
        <f>D30/'Unit Mix_vm'!$F$15</f>
        <v>3.8043478260869565</v>
      </c>
      <c r="F30" s="42">
        <f t="shared" ca="1" si="1"/>
        <v>1.1560032988511073E-2</v>
      </c>
    </row>
    <row r="31" spans="2:6">
      <c r="B31" t="s">
        <v>92</v>
      </c>
      <c r="C31" s="36">
        <f>Budget_vm!D49</f>
        <v>75000</v>
      </c>
      <c r="D31" s="36">
        <f>C31/'Unit Mix_vm'!$D$15</f>
        <v>714.28571428571433</v>
      </c>
      <c r="E31" s="36">
        <f>D31/'Unit Mix_vm'!$F$15</f>
        <v>0.77639751552795033</v>
      </c>
      <c r="F31" s="42">
        <f t="shared" ca="1" si="1"/>
        <v>2.3591904058185864E-3</v>
      </c>
    </row>
    <row r="32" spans="2:6">
      <c r="B32" t="s">
        <v>93</v>
      </c>
      <c r="C32" s="36">
        <f>Budget_vm!D50</f>
        <v>50000</v>
      </c>
      <c r="D32" s="36">
        <f>C32/'Unit Mix_vm'!$D$15</f>
        <v>476.1904761904762</v>
      </c>
      <c r="E32" s="36">
        <f>D32/'Unit Mix_vm'!$F$15</f>
        <v>0.51759834368530022</v>
      </c>
      <c r="F32" s="42">
        <f t="shared" ca="1" si="1"/>
        <v>1.5727936038790575E-3</v>
      </c>
    </row>
    <row r="33" spans="2:6">
      <c r="B33" t="s">
        <v>94</v>
      </c>
      <c r="C33" s="36">
        <f>Budget_vm!D51</f>
        <v>210000</v>
      </c>
      <c r="D33" s="36">
        <f>C33/'Unit Mix_vm'!$D$15</f>
        <v>2000</v>
      </c>
      <c r="E33" s="36">
        <f>D33/'Unit Mix_vm'!$F$15</f>
        <v>2.1739130434782608</v>
      </c>
      <c r="F33" s="42">
        <f t="shared" ca="1" si="1"/>
        <v>6.6057331362920418E-3</v>
      </c>
    </row>
    <row r="34" spans="2:6">
      <c r="B34" t="s">
        <v>95</v>
      </c>
      <c r="C34" s="36">
        <f>Budget_vm!D52</f>
        <v>0</v>
      </c>
      <c r="D34" s="36">
        <f>C34/'Unit Mix_vm'!$D$15</f>
        <v>0</v>
      </c>
      <c r="E34" s="36">
        <f>D34/'Unit Mix_vm'!$F$15</f>
        <v>0</v>
      </c>
      <c r="F34" s="42">
        <f t="shared" ca="1" si="1"/>
        <v>0</v>
      </c>
    </row>
    <row r="35" spans="2:6">
      <c r="B35" t="s">
        <v>96</v>
      </c>
      <c r="C35" s="36">
        <f>Budget_vm!D53</f>
        <v>150000</v>
      </c>
      <c r="D35" s="36">
        <f>C35/'Unit Mix_vm'!$D$15</f>
        <v>1428.5714285714287</v>
      </c>
      <c r="E35" s="36">
        <f>D35/'Unit Mix_vm'!$F$15</f>
        <v>1.5527950310559007</v>
      </c>
      <c r="F35" s="42">
        <f t="shared" ca="1" si="1"/>
        <v>4.7183808116371727E-3</v>
      </c>
    </row>
    <row r="36" spans="2:6">
      <c r="B36" t="s">
        <v>97</v>
      </c>
      <c r="C36" s="36">
        <f>Budget_vm!D54</f>
        <v>35000</v>
      </c>
      <c r="D36" s="36">
        <f>C36/'Unit Mix_vm'!$D$15</f>
        <v>333.33333333333331</v>
      </c>
      <c r="E36" s="36">
        <f>D36/'Unit Mix_vm'!$F$15</f>
        <v>0.36231884057971014</v>
      </c>
      <c r="F36" s="42">
        <f t="shared" ca="1" si="1"/>
        <v>1.1009555227153402E-3</v>
      </c>
    </row>
    <row r="37" spans="2:6">
      <c r="B37" t="s">
        <v>98</v>
      </c>
      <c r="C37" s="36">
        <f>Budget_vm!D55</f>
        <v>300000</v>
      </c>
      <c r="D37" s="36">
        <f>C37/'Unit Mix_vm'!$D$15</f>
        <v>2857.1428571428573</v>
      </c>
      <c r="E37" s="36">
        <f>D37/'Unit Mix_vm'!$F$15</f>
        <v>3.1055900621118013</v>
      </c>
      <c r="F37" s="42">
        <f t="shared" ca="1" si="1"/>
        <v>9.4367616232743454E-3</v>
      </c>
    </row>
    <row r="38" spans="2:6">
      <c r="B38" t="s">
        <v>99</v>
      </c>
      <c r="C38" s="36">
        <f>Budget_vm!D56</f>
        <v>514500</v>
      </c>
      <c r="D38" s="36">
        <f>C38/'Unit Mix_vm'!$D$15</f>
        <v>4900</v>
      </c>
      <c r="E38" s="36">
        <f>D38/'Unit Mix_vm'!$F$15</f>
        <v>5.3260869565217392</v>
      </c>
      <c r="F38" s="42">
        <f t="shared" ca="1" si="1"/>
        <v>1.6184046183915501E-2</v>
      </c>
    </row>
    <row r="39" spans="2:6">
      <c r="B39" t="s">
        <v>100</v>
      </c>
      <c r="C39" s="36">
        <f>Budget_vm!D57</f>
        <v>25000</v>
      </c>
      <c r="D39" s="36">
        <f>C39/'Unit Mix_vm'!$D$15</f>
        <v>238.0952380952381</v>
      </c>
      <c r="E39" s="36">
        <f>D39/'Unit Mix_vm'!$F$15</f>
        <v>0.25879917184265011</v>
      </c>
      <c r="F39" s="42">
        <f t="shared" ca="1" si="1"/>
        <v>7.8639680193952875E-4</v>
      </c>
    </row>
    <row r="40" spans="2:6">
      <c r="B40" t="s">
        <v>101</v>
      </c>
      <c r="C40" s="36">
        <f>Budget_vm!D58</f>
        <v>750000</v>
      </c>
      <c r="D40" s="36">
        <f>C40/'Unit Mix_vm'!$D$15</f>
        <v>7142.8571428571431</v>
      </c>
      <c r="E40" s="36">
        <f>D40/'Unit Mix_vm'!$F$15</f>
        <v>7.7639751552795033</v>
      </c>
      <c r="F40" s="42">
        <f t="shared" ca="1" si="1"/>
        <v>2.3591904058185863E-2</v>
      </c>
    </row>
    <row r="41" spans="2:6">
      <c r="B41" t="s">
        <v>102</v>
      </c>
      <c r="C41" s="36">
        <f>Budget_vm!D59</f>
        <v>80000</v>
      </c>
      <c r="D41" s="36">
        <f>C41/'Unit Mix_vm'!$D$15</f>
        <v>761.90476190476193</v>
      </c>
      <c r="E41" s="36">
        <f>D41/'Unit Mix_vm'!$F$15</f>
        <v>0.82815734989648038</v>
      </c>
      <c r="F41" s="42">
        <f t="shared" ca="1" si="1"/>
        <v>2.5164697662064923E-3</v>
      </c>
    </row>
    <row r="42" spans="2:6">
      <c r="B42" t="s">
        <v>103</v>
      </c>
      <c r="C42" s="36">
        <f>Budget_vm!D60</f>
        <v>100000</v>
      </c>
      <c r="D42" s="36">
        <f>C42/'Unit Mix_vm'!$D$15</f>
        <v>952.38095238095241</v>
      </c>
      <c r="E42" s="36">
        <f>D42/'Unit Mix_vm'!$F$15</f>
        <v>1.0351966873706004</v>
      </c>
      <c r="F42" s="42">
        <f t="shared" ca="1" si="1"/>
        <v>3.145587207758115E-3</v>
      </c>
    </row>
    <row r="43" spans="2:6">
      <c r="B43" t="s">
        <v>104</v>
      </c>
      <c r="C43" s="36">
        <f>Budget_vm!D61</f>
        <v>100000</v>
      </c>
      <c r="D43" s="36">
        <f>C43/'Unit Mix_vm'!$D$15</f>
        <v>952.38095238095241</v>
      </c>
      <c r="E43" s="36">
        <f>D43/'Unit Mix_vm'!$F$15</f>
        <v>1.0351966873706004</v>
      </c>
      <c r="F43" s="42">
        <f t="shared" ca="1" si="1"/>
        <v>3.145587207758115E-3</v>
      </c>
    </row>
    <row r="44" spans="2:6">
      <c r="B44" t="s">
        <v>105</v>
      </c>
      <c r="C44" s="36">
        <f>Budget_vm!D62</f>
        <v>150000</v>
      </c>
      <c r="D44" s="36">
        <f>C44/'Unit Mix_vm'!$D$15</f>
        <v>1428.5714285714287</v>
      </c>
      <c r="E44" s="36">
        <f>D44/'Unit Mix_vm'!$F$15</f>
        <v>1.5527950310559007</v>
      </c>
      <c r="F44" s="42">
        <f t="shared" ca="1" si="1"/>
        <v>4.7183808116371727E-3</v>
      </c>
    </row>
    <row r="45" spans="2:6">
      <c r="B45" t="s">
        <v>106</v>
      </c>
      <c r="C45" s="36">
        <f>Budget_vm!D63</f>
        <v>15750</v>
      </c>
      <c r="D45" s="36">
        <f>C45/'Unit Mix_vm'!$D$15</f>
        <v>150</v>
      </c>
      <c r="E45" s="36">
        <f>D45/'Unit Mix_vm'!$F$15</f>
        <v>0.16304347826086957</v>
      </c>
      <c r="F45" s="42">
        <f t="shared" ca="1" si="1"/>
        <v>4.9542998522190311E-4</v>
      </c>
    </row>
    <row r="46" spans="2:6">
      <c r="B46" t="s">
        <v>107</v>
      </c>
      <c r="C46" s="36">
        <f>Budget_vm!D64</f>
        <v>150000</v>
      </c>
      <c r="D46" s="36">
        <f>C46/'Unit Mix_vm'!$D$15</f>
        <v>1428.5714285714287</v>
      </c>
      <c r="E46" s="36">
        <f>D46/'Unit Mix_vm'!$F$15</f>
        <v>1.5527950310559007</v>
      </c>
      <c r="F46" s="42">
        <f t="shared" ca="1" si="1"/>
        <v>4.7183808116371727E-3</v>
      </c>
    </row>
    <row r="47" spans="2:6">
      <c r="B47" t="s">
        <v>108</v>
      </c>
      <c r="C47" s="36">
        <f>Budget_vm!D69</f>
        <v>17388000</v>
      </c>
      <c r="D47" s="36">
        <f>C47/'Unit Mix_vm'!$D$15</f>
        <v>165600</v>
      </c>
      <c r="E47" s="36">
        <f>D47/'Unit Mix_vm'!$F$15</f>
        <v>180</v>
      </c>
      <c r="F47" s="42">
        <f t="shared" ca="1" si="1"/>
        <v>0.546954703684981</v>
      </c>
    </row>
    <row r="48" spans="2:6">
      <c r="B48" t="s">
        <v>109</v>
      </c>
      <c r="C48" s="36">
        <f>Budget_vm!D72</f>
        <v>2100000</v>
      </c>
      <c r="D48" s="36">
        <f>C48/'Unit Mix_vm'!$D$15</f>
        <v>20000</v>
      </c>
      <c r="E48" s="36">
        <f>D48/'Unit Mix_vm'!$F$15</f>
        <v>21.739130434782609</v>
      </c>
      <c r="F48" s="42">
        <f t="shared" ca="1" si="1"/>
        <v>6.6057331362920413E-2</v>
      </c>
    </row>
    <row r="49" spans="2:6">
      <c r="B49" t="s">
        <v>110</v>
      </c>
      <c r="C49" s="36">
        <f>Budget_vm!D83</f>
        <v>974400</v>
      </c>
      <c r="D49" s="36">
        <f>C49/'Unit Mix_vm'!$D$15</f>
        <v>9280</v>
      </c>
      <c r="E49" s="36">
        <f>D49/'Unit Mix_vm'!$F$15</f>
        <v>10.086956521739131</v>
      </c>
      <c r="F49" s="42">
        <f t="shared" ca="1" si="1"/>
        <v>3.0650601752395073E-2</v>
      </c>
    </row>
    <row r="50" spans="2:6">
      <c r="B50" t="s">
        <v>111</v>
      </c>
      <c r="C50" s="36">
        <f ca="1">Budget_vm!D84</f>
        <v>467628.33597115736</v>
      </c>
      <c r="D50" s="36">
        <f ca="1">C50/'Unit Mix_vm'!$D$15</f>
        <v>4453.6031997253085</v>
      </c>
      <c r="E50" s="36">
        <f ca="1">D50/'Unit Mix_vm'!$F$15</f>
        <v>4.8408730431796831</v>
      </c>
      <c r="F50" s="42">
        <f t="shared" ca="1" si="1"/>
        <v>1.4709657116160867E-2</v>
      </c>
    </row>
    <row r="51" spans="2:6">
      <c r="B51" s="3" t="s">
        <v>112</v>
      </c>
      <c r="C51" s="35">
        <f ca="1">SUM(C12:C50)</f>
        <v>31790566.719422687</v>
      </c>
      <c r="D51" s="35">
        <f ca="1">C51/'Unit Mix_vm'!$D$15</f>
        <v>302767.30208973988</v>
      </c>
      <c r="E51" s="35">
        <f ca="1">D51/'Unit Mix_vm'!$F$15</f>
        <v>329.09489357580424</v>
      </c>
      <c r="F51" s="257">
        <f t="shared" ca="1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91"/>
  <sheetViews>
    <sheetView showGridLines="0" zoomScale="90" zoomScaleNormal="90" workbookViewId="0">
      <pane ySplit="6" topLeftCell="A7" activePane="bottomLeft" state="frozen"/>
      <selection pane="bottomLeft" activeCell="B5" sqref="B5"/>
      <selection activeCell="B5" sqref="B5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1" customFormat="1" ht="25.9">
      <c r="A1" s="144" t="str">
        <f>TEXT(Global!$C$7,"")</f>
        <v>161 Verdin Rd</v>
      </c>
    </row>
    <row r="2" spans="1:17" s="141" customFormat="1" ht="19.899999999999999">
      <c r="A2" s="145" t="s">
        <v>113</v>
      </c>
    </row>
    <row r="6" spans="1:17">
      <c r="B6" s="120" t="s">
        <v>114</v>
      </c>
      <c r="C6" s="121" t="s">
        <v>115</v>
      </c>
      <c r="D6" s="121" t="s">
        <v>116</v>
      </c>
      <c r="E6" s="121" t="s">
        <v>70</v>
      </c>
      <c r="F6" s="121" t="s">
        <v>117</v>
      </c>
      <c r="G6" s="121" t="s">
        <v>118</v>
      </c>
    </row>
    <row r="7" spans="1:17">
      <c r="B7" s="12" t="s">
        <v>73</v>
      </c>
      <c r="C7" s="12"/>
      <c r="D7" s="12"/>
      <c r="E7" s="12"/>
      <c r="F7" s="12"/>
      <c r="G7" s="12"/>
      <c r="M7" s="157" t="s">
        <v>119</v>
      </c>
      <c r="N7" s="121" t="s">
        <v>116</v>
      </c>
      <c r="O7" s="121" t="s">
        <v>70</v>
      </c>
      <c r="P7" s="121" t="s">
        <v>117</v>
      </c>
      <c r="Q7" s="121" t="s">
        <v>118</v>
      </c>
    </row>
    <row r="8" spans="1:17">
      <c r="B8" t="s">
        <v>120</v>
      </c>
      <c r="C8" s="24" t="s">
        <v>73</v>
      </c>
      <c r="D8" s="51">
        <f>E8*'Unit Mix_vm'!$D$15</f>
        <v>2950000</v>
      </c>
      <c r="E8" s="248">
        <v>28095.238095238095</v>
      </c>
      <c r="F8" s="37">
        <f>IFERROR(E8/'Unit Mix_vm'!$F$15,0)</f>
        <v>30.538302277432713</v>
      </c>
      <c r="G8" s="25">
        <f ca="1">+IFERROR(D8/D$88,0)</f>
        <v>9.279482262886439E-2</v>
      </c>
      <c r="M8" s="28" t="s">
        <v>121</v>
      </c>
    </row>
    <row r="9" spans="1:17">
      <c r="D9" s="14"/>
      <c r="E9" s="14"/>
      <c r="F9" s="14"/>
      <c r="M9" t="s">
        <v>122</v>
      </c>
      <c r="N9" s="51">
        <f ca="1">N41</f>
        <v>12716226.687771488</v>
      </c>
      <c r="O9" s="37">
        <f ca="1">IFERROR(N9/'Unit Mix_vm'!$D$15,0)</f>
        <v>121106.92083591894</v>
      </c>
      <c r="P9" s="37">
        <f ca="1">IFERROR(O9/'Unit Mix_vm'!$F$15,0)</f>
        <v>131.63795743034666</v>
      </c>
      <c r="Q9" s="25">
        <f ca="1">IFERROR(N9/N$12,0)</f>
        <v>0.39999999999967367</v>
      </c>
    </row>
    <row r="10" spans="1:17">
      <c r="B10" s="12" t="s">
        <v>123</v>
      </c>
      <c r="C10" s="12"/>
      <c r="D10" s="15"/>
      <c r="E10" s="15"/>
      <c r="F10" s="15"/>
      <c r="G10" s="12"/>
      <c r="M10" t="s">
        <v>124</v>
      </c>
      <c r="N10" s="51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74</v>
      </c>
      <c r="C11" s="24" t="s">
        <v>125</v>
      </c>
      <c r="D11" s="51">
        <f ca="1">+IF(Global!$C$16="On",0,I11*$N$11)</f>
        <v>95371.700158363979</v>
      </c>
      <c r="E11" s="37">
        <f ca="1">IFERROR(D11/'Unit Mix_vm'!$D$15,0)</f>
        <v>908.30190627013314</v>
      </c>
      <c r="F11" s="37">
        <f ca="1">IFERROR(E11/'Unit Mix_vm'!$F$15,0)</f>
        <v>0.98728468072840558</v>
      </c>
      <c r="G11" s="25">
        <f t="shared" ref="G11:G23" ca="1" si="1">+IFERROR(D11/D$88,0)</f>
        <v>3.0000000000029235E-3</v>
      </c>
      <c r="I11" s="21">
        <v>5.0000000000000001E-3</v>
      </c>
      <c r="J11" s="20" t="s">
        <v>126</v>
      </c>
      <c r="M11" t="s">
        <v>127</v>
      </c>
      <c r="N11" s="51">
        <f ca="1">+N23</f>
        <v>19074340.03165723</v>
      </c>
      <c r="O11" s="37">
        <f ca="1">IFERROR(N11/'Unit Mix_vm'!$D$15,0)</f>
        <v>181660.38125387838</v>
      </c>
      <c r="P11" s="37">
        <f ca="1">IFERROR(O11/'Unit Mix_vm'!$F$15,0)</f>
        <v>197.45693614551999</v>
      </c>
      <c r="Q11" s="25">
        <f t="shared" ca="1" si="0"/>
        <v>0.59999999999951037</v>
      </c>
    </row>
    <row r="12" spans="1:17">
      <c r="B12" t="s">
        <v>75</v>
      </c>
      <c r="C12" s="24" t="s">
        <v>125</v>
      </c>
      <c r="D12" s="51">
        <f ca="1">+IF(Global!$C$16="On",0,I12*$N$11)</f>
        <v>143057.55023742921</v>
      </c>
      <c r="E12" s="37">
        <f ca="1">IFERROR(D12/'Unit Mix_vm'!$D$15,0)</f>
        <v>1362.4528594040878</v>
      </c>
      <c r="F12" s="37">
        <f ca="1">IFERROR(E12/'Unit Mix_vm'!$F$15,0)</f>
        <v>1.4809270210913998</v>
      </c>
      <c r="G12" s="25">
        <f t="shared" ca="1" si="1"/>
        <v>4.5000000000007126E-3</v>
      </c>
      <c r="I12" s="21">
        <v>7.4999999999999997E-3</v>
      </c>
      <c r="J12" s="20" t="s">
        <v>126</v>
      </c>
      <c r="M12" s="3" t="s">
        <v>128</v>
      </c>
      <c r="N12" s="13">
        <f ca="1">SUM(N9:N11)</f>
        <v>31790566.719428718</v>
      </c>
      <c r="O12" s="13">
        <f ca="1">SUM(O9:O11)</f>
        <v>302767.30208979733</v>
      </c>
      <c r="P12" s="29">
        <f ca="1">SUM(P9:P11)</f>
        <v>329.09489357586665</v>
      </c>
      <c r="Q12" s="26">
        <f ca="1">SUM(Q9:Q11)</f>
        <v>0.99999999999918399</v>
      </c>
    </row>
    <row r="13" spans="1:17">
      <c r="B13" t="s">
        <v>129</v>
      </c>
      <c r="C13" s="24" t="s">
        <v>125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130</v>
      </c>
      <c r="C14" s="24" t="s">
        <v>125</v>
      </c>
      <c r="D14" s="51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131</v>
      </c>
      <c r="M14" s="28" t="s">
        <v>132</v>
      </c>
    </row>
    <row r="15" spans="1:17">
      <c r="B15" t="s">
        <v>133</v>
      </c>
      <c r="C15" s="24" t="s">
        <v>125</v>
      </c>
      <c r="D15" s="51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131</v>
      </c>
      <c r="M15" t="s">
        <v>73</v>
      </c>
      <c r="N15" s="14">
        <f>+SUMIF($C$8:$C$88,$M15,$D$8:$D$88)</f>
        <v>2950000</v>
      </c>
      <c r="O15" s="37">
        <f>IFERROR(N15/'Unit Mix_vm'!$D$15,0)</f>
        <v>28095.238095238095</v>
      </c>
      <c r="P15" s="37">
        <f>IFERROR(O15/'Unit Mix_vm'!$F$15,0)</f>
        <v>30.538302277432713</v>
      </c>
      <c r="Q15" s="25">
        <f ca="1">IFERROR(N15/N$18,0)</f>
        <v>9.2794822628857507E-2</v>
      </c>
    </row>
    <row r="16" spans="1:17">
      <c r="B16" t="s">
        <v>134</v>
      </c>
      <c r="C16" s="24" t="s">
        <v>125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135</v>
      </c>
      <c r="N16" s="14">
        <f>+SUMIF($C$8:$C$88,$M16,$D$8:$D$88)</f>
        <v>19488000</v>
      </c>
      <c r="O16" s="37">
        <f>IFERROR(N16/'Unit Mix_vm'!$D$15,0)</f>
        <v>185600</v>
      </c>
      <c r="P16" s="37">
        <f>IFERROR(O16/'Unit Mix_vm'!$F$15,0)</f>
        <v>201.7391304347826</v>
      </c>
      <c r="Q16" s="25">
        <f t="shared" ref="Q16:Q17" ca="1" si="2">IFERROR(N16/N$18,0)</f>
        <v>0.61301203504785595</v>
      </c>
    </row>
    <row r="17" spans="2:17">
      <c r="B17" t="s">
        <v>136</v>
      </c>
      <c r="C17" s="24" t="s">
        <v>125</v>
      </c>
      <c r="D17" s="51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137</v>
      </c>
      <c r="M17" t="s">
        <v>125</v>
      </c>
      <c r="N17" s="14">
        <f ca="1">+SUMIF($C$8:$C$88,$M17,$D$8:$D$88)</f>
        <v>9352566.7194231469</v>
      </c>
      <c r="O17" s="37">
        <f ca="1">IFERROR(N17/'Unit Mix_vm'!$D$15,0)</f>
        <v>89072.063994506156</v>
      </c>
      <c r="P17" s="37">
        <f ca="1">IFERROR(O17/'Unit Mix_vm'!$F$15,0)</f>
        <v>96.817460863593652</v>
      </c>
      <c r="Q17" s="25">
        <f t="shared" ca="1" si="2"/>
        <v>0.29419314232319543</v>
      </c>
    </row>
    <row r="18" spans="2:17">
      <c r="B18" t="s">
        <v>138</v>
      </c>
      <c r="C18" s="24" t="s">
        <v>125</v>
      </c>
      <c r="D18" s="51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137</v>
      </c>
      <c r="M18" s="3" t="s">
        <v>139</v>
      </c>
      <c r="N18" s="13">
        <f ca="1">SUM(N15:N17)</f>
        <v>31790566.719423145</v>
      </c>
      <c r="O18" s="29">
        <f ca="1">SUM(O15:O17)</f>
        <v>302767.30208974425</v>
      </c>
      <c r="P18" s="29">
        <f ca="1">SUM(P15:P17)</f>
        <v>329.09489357580895</v>
      </c>
      <c r="Q18" s="26">
        <f ca="1">SUM(Q15:Q17)</f>
        <v>0.99999999999990896</v>
      </c>
    </row>
    <row r="19" spans="2:17">
      <c r="B19" t="s">
        <v>140</v>
      </c>
      <c r="C19" s="24" t="s">
        <v>125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76</v>
      </c>
      <c r="C20" s="24" t="s">
        <v>125</v>
      </c>
      <c r="D20" s="75">
        <v>400000</v>
      </c>
      <c r="E20" s="51">
        <f>IFERROR(D20/'Unit Mix_vm'!$D$15,0)</f>
        <v>3809.5238095238096</v>
      </c>
      <c r="F20" s="37">
        <f>IFERROR(E20/'Unit Mix_vm'!$F$15,0)</f>
        <v>4.1407867494824018</v>
      </c>
      <c r="G20" s="25">
        <f t="shared" ca="1" si="1"/>
        <v>1.258234883103246E-2</v>
      </c>
      <c r="M20" s="1"/>
    </row>
    <row r="21" spans="2:17">
      <c r="B21" t="s">
        <v>141</v>
      </c>
      <c r="C21" s="24" t="s">
        <v>125</v>
      </c>
      <c r="D21" s="75">
        <v>300000</v>
      </c>
      <c r="E21" s="51">
        <f>IFERROR(D21/'Unit Mix_vm'!$D$15,0)</f>
        <v>2857.1428571428573</v>
      </c>
      <c r="F21" s="37">
        <f>IFERROR(E21/'Unit Mix_vm'!$F$15,0)</f>
        <v>3.1055900621118013</v>
      </c>
      <c r="G21" s="25">
        <f t="shared" ca="1" si="1"/>
        <v>9.4367616232743454E-3</v>
      </c>
      <c r="M21" s="157" t="s">
        <v>142</v>
      </c>
      <c r="N21" s="121"/>
      <c r="O21" s="121"/>
      <c r="P21" s="121"/>
      <c r="Q21" s="121"/>
    </row>
    <row r="22" spans="2:17">
      <c r="B22" t="s">
        <v>78</v>
      </c>
      <c r="C22" s="24" t="s">
        <v>125</v>
      </c>
      <c r="D22" s="51">
        <f>E22*'Unit Mix_vm'!$D$15</f>
        <v>787500</v>
      </c>
      <c r="E22" s="75">
        <v>7500</v>
      </c>
      <c r="F22" s="37">
        <f>IFERROR(E22/'Unit Mix_vm'!$F$15,0)</f>
        <v>8.1521739130434785</v>
      </c>
      <c r="G22" s="25">
        <f t="shared" ca="1" si="1"/>
        <v>2.4771499261095155E-2</v>
      </c>
      <c r="M22" s="54" t="s">
        <v>127</v>
      </c>
    </row>
    <row r="23" spans="2:17">
      <c r="B23" t="s">
        <v>143</v>
      </c>
      <c r="C23" s="24" t="s">
        <v>125</v>
      </c>
      <c r="D23" s="16">
        <v>0</v>
      </c>
      <c r="E23" s="37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127</v>
      </c>
      <c r="N23" s="36">
        <f ca="1">D88*N24</f>
        <v>19074340.031654209</v>
      </c>
    </row>
    <row r="24" spans="2:17">
      <c r="B24" s="3" t="s">
        <v>144</v>
      </c>
      <c r="C24" s="3"/>
      <c r="D24" s="13">
        <f ca="1">+SUM(D11:D23)</f>
        <v>1725929.2503957932</v>
      </c>
      <c r="E24" s="13">
        <f ca="1">SUM(E11:E23)</f>
        <v>16437.421432340889</v>
      </c>
      <c r="F24" s="13">
        <f ca="1">SUM(F11:F23)</f>
        <v>17.866762426457488</v>
      </c>
      <c r="G24" s="26">
        <f ca="1">SUM(G11:G23)</f>
        <v>5.4290609715405592E-2</v>
      </c>
      <c r="M24" t="s">
        <v>145</v>
      </c>
      <c r="N24" s="43">
        <v>0.6</v>
      </c>
    </row>
    <row r="25" spans="2:17">
      <c r="D25" s="14"/>
      <c r="E25" s="14"/>
      <c r="F25" s="14"/>
      <c r="M25" t="s">
        <v>146</v>
      </c>
      <c r="N25" s="48">
        <f ca="1">IFERROR('Pro-Forma_vm'!$C$40/Budget_vm!N23,0)</f>
        <v>8.0227576705692527E-2</v>
      </c>
      <c r="O25" s="52"/>
    </row>
    <row r="26" spans="2:17">
      <c r="B26" s="12" t="s">
        <v>147</v>
      </c>
      <c r="C26" s="12"/>
      <c r="D26" s="15"/>
      <c r="E26" s="15"/>
      <c r="F26" s="15"/>
      <c r="G26" s="12"/>
      <c r="O26" s="53"/>
    </row>
    <row r="27" spans="2:17">
      <c r="B27" t="s">
        <v>79</v>
      </c>
      <c r="C27" s="24" t="s">
        <v>125</v>
      </c>
      <c r="D27" s="51">
        <f ca="1">I27*(D88-D8)</f>
        <v>1009419.8351798289</v>
      </c>
      <c r="E27" s="37">
        <f ca="1">IFERROR(D27/'Unit Mix_vm'!$D$15,0)</f>
        <v>9613.5222398078949</v>
      </c>
      <c r="F27" s="37">
        <f ca="1">IFERROR(E27/'Unit Mix_vm'!$F$15,0)</f>
        <v>10.449480695443365</v>
      </c>
      <c r="G27" s="25">
        <f ca="1">+IFERROR(D27/D$88,0)</f>
        <v>3.1752181207989748E-2</v>
      </c>
      <c r="I27" s="21">
        <v>3.5000000000000003E-2</v>
      </c>
      <c r="J27" s="20" t="s">
        <v>148</v>
      </c>
      <c r="K27" s="20"/>
      <c r="M27" t="s">
        <v>149</v>
      </c>
      <c r="N27" s="44">
        <v>0.04</v>
      </c>
    </row>
    <row r="28" spans="2:17">
      <c r="B28" t="s">
        <v>80</v>
      </c>
      <c r="C28" s="24" t="s">
        <v>125</v>
      </c>
      <c r="D28" s="14">
        <f>+I28*SUM(D69:D70)</f>
        <v>173880</v>
      </c>
      <c r="E28" s="37">
        <f>IFERROR(D28/'Unit Mix_vm'!$D$15,0)</f>
        <v>1656</v>
      </c>
      <c r="F28" s="37">
        <f>IFERROR(E28/'Unit Mix_vm'!$F$15,0)</f>
        <v>1.8</v>
      </c>
      <c r="G28" s="25">
        <f ca="1">+IFERROR(D28/D$88,0)</f>
        <v>5.4695470368498105E-3</v>
      </c>
      <c r="I28" s="21">
        <v>0.01</v>
      </c>
      <c r="J28" s="20" t="s">
        <v>150</v>
      </c>
      <c r="K28" s="20"/>
      <c r="M28" t="s">
        <v>151</v>
      </c>
      <c r="N28" s="44">
        <v>0.03</v>
      </c>
      <c r="O28" s="30"/>
    </row>
    <row r="29" spans="2:17">
      <c r="B29" t="s">
        <v>81</v>
      </c>
      <c r="C29" s="24" t="s">
        <v>125</v>
      </c>
      <c r="D29" s="75">
        <v>300000</v>
      </c>
      <c r="E29" s="37">
        <f>IFERROR(D29/'Unit Mix_vm'!$D$15,0)</f>
        <v>2857.1428571428573</v>
      </c>
      <c r="F29" s="37">
        <f>IFERROR(E29/'Unit Mix_vm'!$F$15,0)</f>
        <v>3.1055900621118013</v>
      </c>
      <c r="G29" s="25">
        <f ca="1">+IFERROR(D29/D$88,0)</f>
        <v>9.4367616232743454E-3</v>
      </c>
      <c r="M29" s="3" t="s">
        <v>152</v>
      </c>
      <c r="N29" s="46">
        <f>SUM(N27:N28)</f>
        <v>7.0000000000000007E-2</v>
      </c>
    </row>
    <row r="30" spans="2:17">
      <c r="B30" s="3" t="s">
        <v>153</v>
      </c>
      <c r="C30" s="3"/>
      <c r="D30" s="13">
        <f ca="1">+SUM(D27:D29)</f>
        <v>1483299.835179829</v>
      </c>
      <c r="E30" s="13">
        <f ca="1">SUM(E27:E29)</f>
        <v>14126.665096950752</v>
      </c>
      <c r="F30" s="13">
        <f ca="1">SUM(F27:F29)</f>
        <v>15.355070757555167</v>
      </c>
      <c r="G30" s="26">
        <f ca="1">SUM(G27:G29)</f>
        <v>4.6658489868113905E-2</v>
      </c>
    </row>
    <row r="31" spans="2:17">
      <c r="D31" s="14"/>
      <c r="E31" s="14"/>
      <c r="F31" s="14"/>
      <c r="M31" t="s">
        <v>154</v>
      </c>
      <c r="N31" s="32">
        <v>21</v>
      </c>
      <c r="O31" s="30"/>
    </row>
    <row r="32" spans="2:17">
      <c r="B32" s="12" t="s">
        <v>155</v>
      </c>
      <c r="C32" s="12"/>
      <c r="D32" s="15"/>
      <c r="E32" s="15"/>
      <c r="F32" s="15"/>
      <c r="G32" s="12"/>
      <c r="M32" t="s">
        <v>156</v>
      </c>
      <c r="N32" s="43">
        <v>0.5</v>
      </c>
    </row>
    <row r="33" spans="2:22">
      <c r="B33" t="s">
        <v>157</v>
      </c>
      <c r="C33" s="24" t="s">
        <v>125</v>
      </c>
      <c r="D33" s="75">
        <v>300000</v>
      </c>
      <c r="E33" s="37">
        <f>IFERROR(D33/'Unit Mix_vm'!$D$15,0)</f>
        <v>2857.1428571428573</v>
      </c>
      <c r="F33" s="37">
        <f>IFERROR(E33/'Unit Mix_vm'!$F$15,0)</f>
        <v>3.1055900621118013</v>
      </c>
      <c r="G33" s="25">
        <f ca="1">+IFERROR(D33/D$88,0)</f>
        <v>9.4367616232743454E-3</v>
      </c>
      <c r="M33" t="s">
        <v>158</v>
      </c>
      <c r="N33" s="36">
        <f ca="1">+N23*N29*N31*N32/12</f>
        <v>1168303.3269388203</v>
      </c>
    </row>
    <row r="34" spans="2:22">
      <c r="B34" t="s">
        <v>159</v>
      </c>
      <c r="C34" s="24" t="s">
        <v>125</v>
      </c>
      <c r="D34" s="75">
        <v>200000</v>
      </c>
      <c r="E34" s="37">
        <f>IFERROR(D34/'Unit Mix_vm'!$D$15,0)</f>
        <v>1904.7619047619048</v>
      </c>
      <c r="F34" s="37">
        <f>IFERROR(E34/'Unit Mix_vm'!$F$15,0)</f>
        <v>2.0703933747412009</v>
      </c>
      <c r="G34" s="25">
        <f t="shared" ref="G34:G35" ca="1" si="3">+IFERROR(D34/D$88,0)</f>
        <v>6.29117441551623E-3</v>
      </c>
      <c r="N34" s="36"/>
    </row>
    <row r="35" spans="2:22">
      <c r="B35" t="s">
        <v>160</v>
      </c>
      <c r="C35" s="24" t="s">
        <v>125</v>
      </c>
      <c r="D35" s="75">
        <v>200000</v>
      </c>
      <c r="E35" s="37">
        <f>IFERROR(D35/'Unit Mix_vm'!$D$15,0)</f>
        <v>1904.7619047619048</v>
      </c>
      <c r="F35" s="37">
        <f>IFERROR(E35/'Unit Mix_vm'!$F$15,0)</f>
        <v>2.0703933747412009</v>
      </c>
      <c r="G35" s="25">
        <f t="shared" ca="1" si="3"/>
        <v>6.29117441551623E-3</v>
      </c>
      <c r="M35" s="54" t="s">
        <v>124</v>
      </c>
    </row>
    <row r="36" spans="2:22">
      <c r="B36" t="s">
        <v>85</v>
      </c>
      <c r="C36" s="24" t="s">
        <v>125</v>
      </c>
      <c r="D36" s="75">
        <v>400000</v>
      </c>
      <c r="E36" s="37">
        <f>IFERROR(D36/'Unit Mix_vm'!$D$15,0)</f>
        <v>3809.5238095238096</v>
      </c>
      <c r="F36" s="37">
        <f>IFERROR(E36/'Unit Mix_vm'!$F$15,0)</f>
        <v>4.1407867494824018</v>
      </c>
      <c r="G36" s="25">
        <f ca="1">+IFERROR(D36/D$88,0)</f>
        <v>1.258234883103246E-2</v>
      </c>
      <c r="M36" t="s">
        <v>124</v>
      </c>
      <c r="N36" s="36">
        <f ca="1">D88*N37-N23</f>
        <v>0</v>
      </c>
    </row>
    <row r="37" spans="2:22">
      <c r="B37" t="s">
        <v>161</v>
      </c>
      <c r="C37" s="24" t="s">
        <v>125</v>
      </c>
      <c r="D37" s="51">
        <f ca="1">+IF(Global!C16="On",0,I37*N11)</f>
        <v>0</v>
      </c>
      <c r="E37" s="37">
        <f ca="1">IFERROR(D37/'Unit Mix_vm'!$D$15,0)</f>
        <v>0</v>
      </c>
      <c r="F37" s="37">
        <f ca="1">IFERROR(E37/'Unit Mix_vm'!$F$15,0)</f>
        <v>0</v>
      </c>
      <c r="G37" s="25">
        <f ca="1">+IFERROR(D37/D$88,0)</f>
        <v>0</v>
      </c>
      <c r="I37" s="21">
        <v>0</v>
      </c>
      <c r="J37" s="20" t="s">
        <v>126</v>
      </c>
      <c r="K37" s="20"/>
      <c r="M37" t="s">
        <v>162</v>
      </c>
      <c r="N37" s="43">
        <f>+N24</f>
        <v>0.6</v>
      </c>
    </row>
    <row r="38" spans="2:22">
      <c r="B38" t="s">
        <v>86</v>
      </c>
      <c r="C38" s="24" t="s">
        <v>125</v>
      </c>
      <c r="D38" s="75">
        <v>50000</v>
      </c>
      <c r="E38" s="37">
        <f>IFERROR(D38/'Unit Mix_vm'!$D$15,0)</f>
        <v>476.1904761904762</v>
      </c>
      <c r="F38" s="37">
        <f>IFERROR(E38/'Unit Mix_vm'!$F$15,0)</f>
        <v>0.51759834368530022</v>
      </c>
      <c r="G38" s="25">
        <f ca="1">+IFERROR(D38/D$88,0)</f>
        <v>1.5727936038790575E-3</v>
      </c>
      <c r="M38" t="s">
        <v>163</v>
      </c>
      <c r="N38" s="48">
        <f ca="1">IFERROR('Pro-Forma_vm'!$C$40/SUM(N36,N23),0)</f>
        <v>8.0227576705692527E-2</v>
      </c>
    </row>
    <row r="39" spans="2:22">
      <c r="B39" t="s">
        <v>87</v>
      </c>
      <c r="C39" s="24" t="s">
        <v>125</v>
      </c>
      <c r="D39" s="51">
        <f ca="1">I39*D88</f>
        <v>21935.491036402338</v>
      </c>
      <c r="E39" s="37">
        <f ca="1">IFERROR(D39/'Unit Mix_vm'!$D$15,0)</f>
        <v>208.90943844192702</v>
      </c>
      <c r="F39" s="37">
        <f ca="1">IFERROR(E39/'Unit Mix_vm'!$F$15,0)</f>
        <v>0.22707547656731197</v>
      </c>
      <c r="G39" s="25">
        <f ca="1">+IFERROR(D39/D$88,0)</f>
        <v>6.8999999999999997E-4</v>
      </c>
      <c r="I39" s="21">
        <v>6.8999999999999997E-4</v>
      </c>
      <c r="J39" s="20" t="s">
        <v>148</v>
      </c>
      <c r="N39" s="48"/>
      <c r="U39" s="135" t="s">
        <v>164</v>
      </c>
      <c r="V39" s="136"/>
    </row>
    <row r="40" spans="2:22">
      <c r="B40" t="s">
        <v>165</v>
      </c>
      <c r="C40" s="24" t="s">
        <v>125</v>
      </c>
      <c r="D40" s="51">
        <f ca="1">(((V45/100)*V40)*2)+60000</f>
        <v>342607.98047483439</v>
      </c>
      <c r="E40" s="51">
        <f ca="1">IFERROR(D40/'Unit Mix_vm'!$D$15,0)</f>
        <v>3262.933147379375</v>
      </c>
      <c r="F40" s="51">
        <f ca="1">IFERROR(E40/'Unit Mix_vm'!$F$15,0)</f>
        <v>3.546666464542799</v>
      </c>
      <c r="G40" s="138">
        <f ca="1">+IFERROR(D40/D$88,0)</f>
        <v>1.0777032806574811E-2</v>
      </c>
      <c r="M40" s="54" t="s">
        <v>122</v>
      </c>
      <c r="U40" s="130" t="s">
        <v>166</v>
      </c>
      <c r="V40" s="137">
        <v>0.45</v>
      </c>
    </row>
    <row r="41" spans="2:22">
      <c r="B41" t="s">
        <v>89</v>
      </c>
      <c r="C41" s="24" t="s">
        <v>125</v>
      </c>
      <c r="D41" s="51">
        <f>((V50/1000)*V48)+30000</f>
        <v>64015.826364670858</v>
      </c>
      <c r="E41" s="51">
        <f>IFERROR(D41/'Unit Mix_vm'!$D$15,0)</f>
        <v>609.67453680638914</v>
      </c>
      <c r="F41" s="51">
        <f>IFERROR(E41/'Unit Mix_vm'!$F$15,0)</f>
        <v>0.66268971391998821</v>
      </c>
      <c r="G41" s="138">
        <f t="shared" ref="G41" ca="1" si="4">+IFERROR(D41/D$88,0)</f>
        <v>2.0136736450677333E-3</v>
      </c>
      <c r="M41" t="s">
        <v>167</v>
      </c>
      <c r="N41" s="57">
        <f ca="1">D88-N23-N36</f>
        <v>12716226.687769473</v>
      </c>
      <c r="U41" s="5"/>
      <c r="V41" s="131"/>
    </row>
    <row r="42" spans="2:22">
      <c r="B42" t="s">
        <v>168</v>
      </c>
      <c r="C42" s="24" t="s">
        <v>125</v>
      </c>
      <c r="D42" s="16">
        <v>0</v>
      </c>
      <c r="E42" s="37">
        <f>IFERROR(D42/'Unit Mix_vm'!$D$15,0)</f>
        <v>0</v>
      </c>
      <c r="F42" s="37">
        <f>IFERROR(E42/'Unit Mix_vm'!$F$15,0)</f>
        <v>0</v>
      </c>
      <c r="G42" s="25">
        <f ca="1">+IFERROR(D42/D$88,0)</f>
        <v>0</v>
      </c>
      <c r="U42" s="5" t="s">
        <v>169</v>
      </c>
      <c r="V42" s="132">
        <f>N16</f>
        <v>19488000</v>
      </c>
    </row>
    <row r="43" spans="2:22">
      <c r="B43" t="s">
        <v>90</v>
      </c>
      <c r="C43" s="24" t="s">
        <v>125</v>
      </c>
      <c r="D43" s="75">
        <v>50000</v>
      </c>
      <c r="E43" s="37">
        <f>IFERROR(D43/'Unit Mix_vm'!$D$15,0)</f>
        <v>476.1904761904762</v>
      </c>
      <c r="F43" s="37">
        <f>IFERROR(E43/'Unit Mix_vm'!$F$15,0)</f>
        <v>0.51759834368530022</v>
      </c>
      <c r="G43" s="25">
        <f ca="1">+IFERROR(D43/D$88,0)</f>
        <v>1.5727936038790575E-3</v>
      </c>
      <c r="M43" t="s">
        <v>170</v>
      </c>
      <c r="N43" s="34">
        <f ca="1">+N41*0.1</f>
        <v>1271622.6687769473</v>
      </c>
      <c r="O43" s="45">
        <f ca="1">+N43/N41</f>
        <v>0.1</v>
      </c>
      <c r="U43" s="5" t="s">
        <v>171</v>
      </c>
      <c r="V43" s="132">
        <f ca="1">N17</f>
        <v>9352566.7194231469</v>
      </c>
    </row>
    <row r="44" spans="2:22">
      <c r="B44" t="s">
        <v>172</v>
      </c>
      <c r="C44" s="24" t="s">
        <v>125</v>
      </c>
      <c r="D44" s="16">
        <v>0</v>
      </c>
      <c r="E44" s="37">
        <f>IFERROR(D44/'Unit Mix_vm'!$D$15,0)</f>
        <v>0</v>
      </c>
      <c r="F44" s="37">
        <f>IFERROR(E44/'Unit Mix_vm'!$F$15,0)</f>
        <v>0</v>
      </c>
      <c r="G44" s="25">
        <f ca="1">+IFERROR(D44/D$88,0)</f>
        <v>0</v>
      </c>
      <c r="M44" t="s">
        <v>173</v>
      </c>
      <c r="N44" s="36">
        <f ca="1">+N41-N43</f>
        <v>11444604.018992525</v>
      </c>
      <c r="O44" s="50">
        <f ca="1">1-O43</f>
        <v>0.9</v>
      </c>
      <c r="U44" s="5" t="s">
        <v>174</v>
      </c>
      <c r="V44" s="132">
        <f>'Unit Mix_vm'!D15*'Unit Mix_vm'!G15*12</f>
        <v>2560320</v>
      </c>
    </row>
    <row r="45" spans="2:22">
      <c r="B45" s="3" t="s">
        <v>175</v>
      </c>
      <c r="C45" s="3"/>
      <c r="D45" s="13">
        <f ca="1">+SUM(D33:D44)</f>
        <v>1628559.2978759075</v>
      </c>
      <c r="E45" s="13">
        <f ca="1">SUM(E33:E44)</f>
        <v>15510.088551199124</v>
      </c>
      <c r="F45" s="13">
        <f ca="1">SUM(F33:F44)</f>
        <v>16.858791903477304</v>
      </c>
      <c r="G45" s="26">
        <f ca="1">SUM(G33:G44)</f>
        <v>5.122775294473994E-2</v>
      </c>
      <c r="U45" s="133" t="s">
        <v>58</v>
      </c>
      <c r="V45" s="134">
        <f ca="1">SUM(V42:V44)</f>
        <v>31400886.719423145</v>
      </c>
    </row>
    <row r="46" spans="2:22">
      <c r="D46" s="14"/>
      <c r="E46" s="14"/>
      <c r="F46" s="14"/>
      <c r="U46" s="4"/>
      <c r="V46" s="4"/>
    </row>
    <row r="47" spans="2:22">
      <c r="B47" s="12" t="s">
        <v>176</v>
      </c>
      <c r="C47" s="12"/>
      <c r="D47" s="15"/>
      <c r="E47" s="15"/>
      <c r="F47" s="15"/>
      <c r="G47" s="12"/>
      <c r="U47" s="135" t="s">
        <v>177</v>
      </c>
      <c r="V47" s="136"/>
    </row>
    <row r="48" spans="2:22">
      <c r="B48" t="s">
        <v>91</v>
      </c>
      <c r="C48" s="24" t="s">
        <v>125</v>
      </c>
      <c r="D48" s="51">
        <f>E48*'Unit Mix_vm'!$D$15</f>
        <v>367500</v>
      </c>
      <c r="E48" s="75">
        <v>3500</v>
      </c>
      <c r="F48" s="37">
        <f>IFERROR(E48/'Unit Mix_vm'!$F$15,0)</f>
        <v>3.8043478260869565</v>
      </c>
      <c r="G48" s="25">
        <f t="shared" ref="G48:G65" ca="1" si="5">+IFERROR(D48/D$88,0)</f>
        <v>1.1560032988511073E-2</v>
      </c>
      <c r="U48" s="5" t="s">
        <v>166</v>
      </c>
      <c r="V48" s="158">
        <v>1.1000000000000001</v>
      </c>
    </row>
    <row r="49" spans="2:22">
      <c r="B49" t="s">
        <v>92</v>
      </c>
      <c r="C49" s="24" t="s">
        <v>125</v>
      </c>
      <c r="D49" s="75">
        <v>75000</v>
      </c>
      <c r="E49" s="51">
        <f>IFERROR(D49/'Unit Mix_vm'!$D$15,0)</f>
        <v>714.28571428571433</v>
      </c>
      <c r="F49" s="37">
        <f>IFERROR(E49/'Unit Mix_vm'!$F$15,0)</f>
        <v>0.77639751552795033</v>
      </c>
      <c r="G49" s="25">
        <f t="shared" ca="1" si="5"/>
        <v>2.3591904058185864E-3</v>
      </c>
      <c r="U49" s="5" t="s">
        <v>178</v>
      </c>
      <c r="V49" s="159">
        <v>5.2499999999999998E-2</v>
      </c>
    </row>
    <row r="50" spans="2:22">
      <c r="B50" t="s">
        <v>93</v>
      </c>
      <c r="C50" s="24" t="s">
        <v>125</v>
      </c>
      <c r="D50" s="75">
        <v>50000</v>
      </c>
      <c r="E50" s="51">
        <f>IFERROR(D50/'Unit Mix_vm'!$D$15,0)</f>
        <v>476.1904761904762</v>
      </c>
      <c r="F50" s="37">
        <f>IFERROR(E50/'Unit Mix_vm'!$F$15,0)</f>
        <v>0.51759834368530022</v>
      </c>
      <c r="G50" s="25">
        <f t="shared" ca="1" si="5"/>
        <v>1.5727936038790575E-3</v>
      </c>
      <c r="U50" s="160" t="s">
        <v>179</v>
      </c>
      <c r="V50" s="161">
        <f>(('Pro-Forma_vm'!C40*1.03*1.03)/Budget_vm!V49)</f>
        <v>30923478.513337139</v>
      </c>
    </row>
    <row r="51" spans="2:22">
      <c r="B51" t="s">
        <v>94</v>
      </c>
      <c r="C51" s="24" t="s">
        <v>125</v>
      </c>
      <c r="D51" s="51">
        <f>E51*'Unit Mix_vm'!$D$15</f>
        <v>210000</v>
      </c>
      <c r="E51" s="75">
        <v>2000</v>
      </c>
      <c r="F51" s="37">
        <f>IFERROR(E51/'Unit Mix_vm'!$F$15,0)</f>
        <v>2.1739130434782608</v>
      </c>
      <c r="G51" s="25">
        <f t="shared" ca="1" si="5"/>
        <v>6.6057331362920418E-3</v>
      </c>
    </row>
    <row r="52" spans="2:22">
      <c r="B52" t="s">
        <v>95</v>
      </c>
      <c r="C52" s="24" t="s">
        <v>125</v>
      </c>
      <c r="D52" s="75">
        <v>0</v>
      </c>
      <c r="E52" s="51">
        <f>IFERROR(D52/'Unit Mix_vm'!$D$15,0)</f>
        <v>0</v>
      </c>
      <c r="F52" s="37">
        <f>IFERROR(E52/'Unit Mix_vm'!$F$15,0)</f>
        <v>0</v>
      </c>
      <c r="G52" s="25">
        <f t="shared" ca="1" si="5"/>
        <v>0</v>
      </c>
    </row>
    <row r="53" spans="2:22">
      <c r="B53" t="s">
        <v>96</v>
      </c>
      <c r="C53" s="24" t="s">
        <v>125</v>
      </c>
      <c r="D53" s="75">
        <v>150000</v>
      </c>
      <c r="E53" s="51">
        <f>IFERROR(D53/'Unit Mix_vm'!$D$15,0)</f>
        <v>1428.5714285714287</v>
      </c>
      <c r="F53" s="37">
        <f>IFERROR(E53/'Unit Mix_vm'!$F$15,0)</f>
        <v>1.5527950310559007</v>
      </c>
      <c r="G53" s="25">
        <f t="shared" ca="1" si="5"/>
        <v>4.7183808116371727E-3</v>
      </c>
    </row>
    <row r="54" spans="2:22">
      <c r="B54" t="s">
        <v>97</v>
      </c>
      <c r="C54" s="24" t="s">
        <v>125</v>
      </c>
      <c r="D54" s="75">
        <v>35000</v>
      </c>
      <c r="E54" s="51">
        <f>IFERROR(D54/'Unit Mix_vm'!$D$15,0)</f>
        <v>333.33333333333331</v>
      </c>
      <c r="F54" s="37">
        <f>IFERROR(E54/'Unit Mix_vm'!$F$15,0)</f>
        <v>0.36231884057971014</v>
      </c>
      <c r="G54" s="25">
        <f t="shared" ca="1" si="5"/>
        <v>1.1009555227153402E-3</v>
      </c>
    </row>
    <row r="55" spans="2:22">
      <c r="B55" t="s">
        <v>98</v>
      </c>
      <c r="C55" s="24" t="s">
        <v>125</v>
      </c>
      <c r="D55" s="75">
        <v>300000</v>
      </c>
      <c r="E55" s="51">
        <f>IFERROR(D55/'Unit Mix_vm'!$D$15,0)</f>
        <v>2857.1428571428573</v>
      </c>
      <c r="F55" s="37">
        <f>IFERROR(E55/'Unit Mix_vm'!$F$15,0)</f>
        <v>3.1055900621118013</v>
      </c>
      <c r="G55" s="25">
        <f t="shared" ca="1" si="5"/>
        <v>9.4367616232743454E-3</v>
      </c>
    </row>
    <row r="56" spans="2:22">
      <c r="B56" t="s">
        <v>99</v>
      </c>
      <c r="C56" s="24" t="s">
        <v>125</v>
      </c>
      <c r="D56" s="51">
        <f>E56*'Unit Mix_vm'!$D$15</f>
        <v>514500</v>
      </c>
      <c r="E56" s="75">
        <v>4900</v>
      </c>
      <c r="F56" s="37">
        <f>IFERROR(E56/'Unit Mix_vm'!$F$15,0)</f>
        <v>5.3260869565217392</v>
      </c>
      <c r="G56" s="25">
        <f t="shared" ca="1" si="5"/>
        <v>1.6184046183915501E-2</v>
      </c>
    </row>
    <row r="57" spans="2:22">
      <c r="B57" t="s">
        <v>100</v>
      </c>
      <c r="C57" s="24" t="s">
        <v>125</v>
      </c>
      <c r="D57" s="75">
        <v>25000</v>
      </c>
      <c r="E57" s="51">
        <f>IFERROR(D57/'Unit Mix_vm'!$D$15,0)</f>
        <v>238.0952380952381</v>
      </c>
      <c r="F57" s="37">
        <f>IFERROR(E57/'Unit Mix_vm'!$F$15,0)</f>
        <v>0.25879917184265011</v>
      </c>
      <c r="G57" s="25">
        <f t="shared" ca="1" si="5"/>
        <v>7.8639680193952875E-4</v>
      </c>
    </row>
    <row r="58" spans="2:22">
      <c r="B58" t="s">
        <v>101</v>
      </c>
      <c r="C58" s="24" t="s">
        <v>125</v>
      </c>
      <c r="D58" s="75">
        <v>750000</v>
      </c>
      <c r="E58" s="51">
        <f>IFERROR(D58/'Unit Mix_vm'!$D$15,0)</f>
        <v>7142.8571428571431</v>
      </c>
      <c r="F58" s="37">
        <f>IFERROR(E58/'Unit Mix_vm'!$F$15,0)</f>
        <v>7.7639751552795033</v>
      </c>
      <c r="G58" s="25">
        <f t="shared" ca="1" si="5"/>
        <v>2.3591904058185863E-2</v>
      </c>
    </row>
    <row r="59" spans="2:22">
      <c r="B59" t="s">
        <v>102</v>
      </c>
      <c r="C59" s="24" t="s">
        <v>125</v>
      </c>
      <c r="D59" s="75">
        <v>80000</v>
      </c>
      <c r="E59" s="51">
        <f>IFERROR(D59/'Unit Mix_vm'!$D$15,0)</f>
        <v>761.90476190476193</v>
      </c>
      <c r="F59" s="37">
        <f>IFERROR(E59/'Unit Mix_vm'!$F$15,0)</f>
        <v>0.82815734989648038</v>
      </c>
      <c r="G59" s="25">
        <f t="shared" ca="1" si="5"/>
        <v>2.5164697662064923E-3</v>
      </c>
    </row>
    <row r="60" spans="2:22">
      <c r="B60" t="s">
        <v>103</v>
      </c>
      <c r="C60" s="24" t="s">
        <v>125</v>
      </c>
      <c r="D60" s="75">
        <v>100000</v>
      </c>
      <c r="E60" s="51">
        <f>IFERROR(D60/'Unit Mix_vm'!$D$15,0)</f>
        <v>952.38095238095241</v>
      </c>
      <c r="F60" s="37">
        <f>IFERROR(E60/'Unit Mix_vm'!$F$15,0)</f>
        <v>1.0351966873706004</v>
      </c>
      <c r="G60" s="25">
        <f t="shared" ca="1" si="5"/>
        <v>3.145587207758115E-3</v>
      </c>
    </row>
    <row r="61" spans="2:22">
      <c r="B61" t="s">
        <v>104</v>
      </c>
      <c r="C61" s="24" t="s">
        <v>125</v>
      </c>
      <c r="D61" s="75">
        <v>100000</v>
      </c>
      <c r="E61" s="51">
        <f>IFERROR(D61/'Unit Mix_vm'!$D$15,0)</f>
        <v>952.38095238095241</v>
      </c>
      <c r="F61" s="37">
        <f>IFERROR(E61/'Unit Mix_vm'!$F$15,0)</f>
        <v>1.0351966873706004</v>
      </c>
      <c r="G61" s="25">
        <f t="shared" ca="1" si="5"/>
        <v>3.145587207758115E-3</v>
      </c>
    </row>
    <row r="62" spans="2:22">
      <c r="B62" t="s">
        <v>105</v>
      </c>
      <c r="C62" s="24" t="s">
        <v>125</v>
      </c>
      <c r="D62" s="75">
        <v>150000</v>
      </c>
      <c r="E62" s="51">
        <f>IFERROR(D62/'Unit Mix_vm'!$D$15,0)</f>
        <v>1428.5714285714287</v>
      </c>
      <c r="F62" s="37">
        <f>IFERROR(E62/'Unit Mix_vm'!$F$15,0)</f>
        <v>1.5527950310559007</v>
      </c>
      <c r="G62" s="25">
        <f t="shared" ca="1" si="5"/>
        <v>4.7183808116371727E-3</v>
      </c>
    </row>
    <row r="63" spans="2:22">
      <c r="B63" t="s">
        <v>106</v>
      </c>
      <c r="C63" s="24" t="s">
        <v>125</v>
      </c>
      <c r="D63" s="51">
        <f>E63*'Unit Mix_vm'!$D$15</f>
        <v>15750</v>
      </c>
      <c r="E63" s="75">
        <v>150</v>
      </c>
      <c r="F63" s="37">
        <f>IFERROR(E63/'Unit Mix_vm'!$F$15,0)</f>
        <v>0.16304347826086957</v>
      </c>
      <c r="G63" s="25">
        <f t="shared" ca="1" si="5"/>
        <v>4.9542998522190311E-4</v>
      </c>
    </row>
    <row r="64" spans="2:22">
      <c r="B64" t="s">
        <v>107</v>
      </c>
      <c r="C64" s="24" t="s">
        <v>125</v>
      </c>
      <c r="D64" s="75">
        <v>150000</v>
      </c>
      <c r="E64" s="51">
        <f>IFERROR(D64/'Unit Mix_vm'!$D$15,0)</f>
        <v>1428.5714285714287</v>
      </c>
      <c r="F64" s="37">
        <f>IFERROR(E64/'Unit Mix_vm'!$F$15,0)</f>
        <v>1.5527950310559007</v>
      </c>
      <c r="G64" s="25">
        <f t="shared" ca="1" si="5"/>
        <v>4.7183808116371727E-3</v>
      </c>
    </row>
    <row r="65" spans="2:7">
      <c r="B65" t="s">
        <v>180</v>
      </c>
      <c r="C65" s="24" t="s">
        <v>125</v>
      </c>
      <c r="D65" s="16">
        <v>0</v>
      </c>
      <c r="E65" s="37">
        <f>IFERROR(D65/'Unit Mix_vm'!$D$15,0)</f>
        <v>0</v>
      </c>
      <c r="F65" s="37">
        <f>IFERROR(E65/'Unit Mix_vm'!$F$15,0)</f>
        <v>0</v>
      </c>
      <c r="G65" s="25">
        <f t="shared" ca="1" si="5"/>
        <v>0</v>
      </c>
    </row>
    <row r="66" spans="2:7">
      <c r="B66" s="3" t="s">
        <v>181</v>
      </c>
      <c r="C66" s="3"/>
      <c r="D66" s="13">
        <f>+SUM(D48:D65)</f>
        <v>3072750</v>
      </c>
      <c r="E66" s="13">
        <f>SUM(E48:E65)</f>
        <v>29264.285714285717</v>
      </c>
      <c r="F66" s="13">
        <f>SUM(F48:F65)</f>
        <v>31.809006211180126</v>
      </c>
      <c r="G66" s="26">
        <f ca="1">SUM(G48:G65)</f>
        <v>9.6656030926387498E-2</v>
      </c>
    </row>
    <row r="67" spans="2:7">
      <c r="D67" s="14"/>
      <c r="E67" s="14"/>
      <c r="F67" s="14"/>
    </row>
    <row r="68" spans="2:7">
      <c r="B68" s="12" t="s">
        <v>135</v>
      </c>
      <c r="C68" s="12"/>
      <c r="D68" s="15"/>
      <c r="E68" s="15"/>
      <c r="F68" s="15"/>
      <c r="G68" s="12"/>
    </row>
    <row r="69" spans="2:7">
      <c r="B69" t="s">
        <v>108</v>
      </c>
      <c r="C69" s="24" t="s">
        <v>135</v>
      </c>
      <c r="D69" s="31">
        <f>F69*'Unit Mix_vm'!$D$15*'Unit Mix_vm'!$F$15</f>
        <v>17388000</v>
      </c>
      <c r="E69" s="51">
        <f>IFERROR(D69/'Unit Mix_vm'!$D$15,0)</f>
        <v>165600</v>
      </c>
      <c r="F69" s="75">
        <v>180</v>
      </c>
      <c r="G69" s="25">
        <f t="shared" ref="G69:G73" ca="1" si="6">+IFERROR(D69/D$88,0)</f>
        <v>0.546954703684981</v>
      </c>
    </row>
    <row r="70" spans="2:7">
      <c r="B70" t="s">
        <v>182</v>
      </c>
      <c r="C70" s="24" t="s">
        <v>135</v>
      </c>
      <c r="D70" s="31">
        <v>0</v>
      </c>
      <c r="E70" s="51">
        <f>IFERROR(D70/'Unit Mix_vm'!$D$15,0)</f>
        <v>0</v>
      </c>
      <c r="F70" s="51">
        <f>IFERROR(E70/'Unit Mix_vm'!$F$15,0)</f>
        <v>0</v>
      </c>
      <c r="G70" s="25">
        <f t="shared" ca="1" si="6"/>
        <v>0</v>
      </c>
    </row>
    <row r="71" spans="2:7">
      <c r="B71" t="s">
        <v>183</v>
      </c>
      <c r="C71" s="24" t="s">
        <v>135</v>
      </c>
      <c r="D71" s="16">
        <v>0</v>
      </c>
      <c r="E71" s="51">
        <f>IFERROR(D71/'Unit Mix_vm'!$D$15,0)</f>
        <v>0</v>
      </c>
      <c r="F71" s="51">
        <f>IFERROR(E71/'Unit Mix_vm'!$F$15,0)</f>
        <v>0</v>
      </c>
      <c r="G71" s="25">
        <f t="shared" ca="1" si="6"/>
        <v>0</v>
      </c>
    </row>
    <row r="72" spans="2:7">
      <c r="B72" t="s">
        <v>184</v>
      </c>
      <c r="C72" s="24" t="s">
        <v>135</v>
      </c>
      <c r="D72" s="51">
        <f>E72*'Unit Mix_vm'!$D$15</f>
        <v>2100000</v>
      </c>
      <c r="E72" s="75">
        <v>20000</v>
      </c>
      <c r="F72" s="51">
        <f>IFERROR(E72/'Unit Mix_vm'!$F$15,0)</f>
        <v>21.739130434782609</v>
      </c>
      <c r="G72" s="25">
        <f t="shared" ca="1" si="6"/>
        <v>6.6057331362920413E-2</v>
      </c>
    </row>
    <row r="73" spans="2:7">
      <c r="B73" t="s">
        <v>185</v>
      </c>
      <c r="C73" s="24" t="s">
        <v>135</v>
      </c>
      <c r="D73" s="16">
        <v>0</v>
      </c>
      <c r="E73" s="51">
        <f>IFERROR(D73/'Unit Mix_vm'!$D$15,0)</f>
        <v>0</v>
      </c>
      <c r="F73" s="51">
        <f>IFERROR(E73/'Unit Mix_vm'!$F$15,0)</f>
        <v>0</v>
      </c>
      <c r="G73" s="25">
        <f t="shared" ca="1" si="6"/>
        <v>0</v>
      </c>
    </row>
    <row r="74" spans="2:7">
      <c r="B74" s="3" t="s">
        <v>186</v>
      </c>
      <c r="C74" s="3"/>
      <c r="D74" s="13">
        <f>+SUM(D69:D73)</f>
        <v>19488000</v>
      </c>
      <c r="E74" s="13">
        <f>SUM(E69:E73)</f>
        <v>185600</v>
      </c>
      <c r="F74" s="13">
        <f>SUM(F69:F73)</f>
        <v>201.73913043478262</v>
      </c>
      <c r="G74" s="26">
        <f ca="1">SUM(G69:G73)</f>
        <v>0.61301203504790136</v>
      </c>
    </row>
    <row r="75" spans="2:7">
      <c r="D75" s="14"/>
      <c r="E75" s="14"/>
      <c r="F75" s="14"/>
    </row>
    <row r="76" spans="2:7">
      <c r="B76" s="12" t="s">
        <v>187</v>
      </c>
      <c r="C76" s="12"/>
      <c r="D76" s="15"/>
      <c r="E76" s="15"/>
      <c r="F76" s="15"/>
      <c r="G76" s="12"/>
    </row>
    <row r="77" spans="2:7">
      <c r="B77" t="s">
        <v>188</v>
      </c>
      <c r="C77" s="24" t="s">
        <v>125</v>
      </c>
      <c r="D77" s="75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ref="G77:G79" ca="1" si="7">+IFERROR(D77/D$88,0)</f>
        <v>0</v>
      </c>
    </row>
    <row r="78" spans="2:7">
      <c r="B78" t="s">
        <v>189</v>
      </c>
      <c r="C78" s="24" t="s">
        <v>125</v>
      </c>
      <c r="D78" s="75">
        <v>0</v>
      </c>
      <c r="E78" s="37">
        <f>IFERROR(D78/'Unit Mix_vm'!$D$15,0)</f>
        <v>0</v>
      </c>
      <c r="F78" s="37">
        <f>IFERROR(E78/'Unit Mix_vm'!$F$15,0)</f>
        <v>0</v>
      </c>
      <c r="G78" s="25">
        <f t="shared" ca="1" si="7"/>
        <v>0</v>
      </c>
    </row>
    <row r="79" spans="2:7">
      <c r="B79" t="s">
        <v>190</v>
      </c>
      <c r="C79" s="24" t="s">
        <v>125</v>
      </c>
      <c r="D79" s="16">
        <v>0</v>
      </c>
      <c r="E79" s="37">
        <f>IFERROR(D79/'Unit Mix_vm'!$D$15,0)</f>
        <v>0</v>
      </c>
      <c r="F79" s="37">
        <f>IFERROR(E79/'Unit Mix_vm'!$F$15,0)</f>
        <v>0</v>
      </c>
      <c r="G79" s="25">
        <f t="shared" ca="1" si="7"/>
        <v>0</v>
      </c>
    </row>
    <row r="80" spans="2:7">
      <c r="B80" s="3" t="s">
        <v>191</v>
      </c>
      <c r="C80" s="3"/>
      <c r="D80" s="13">
        <f>+SUM(D77:D79)</f>
        <v>0</v>
      </c>
      <c r="E80" s="13">
        <f>SUM(E77:E79)</f>
        <v>0</v>
      </c>
      <c r="F80" s="13">
        <f>SUM(F77:F79)</f>
        <v>0</v>
      </c>
      <c r="G80" s="26">
        <f ca="1">SUM(G77:G79)</f>
        <v>0</v>
      </c>
    </row>
    <row r="81" spans="2:11">
      <c r="D81" s="14"/>
      <c r="E81" s="14"/>
      <c r="F81" s="14"/>
    </row>
    <row r="82" spans="2:11">
      <c r="B82" s="12" t="s">
        <v>192</v>
      </c>
      <c r="C82" s="12"/>
      <c r="D82" s="15"/>
      <c r="E82" s="15"/>
      <c r="F82" s="15"/>
      <c r="G82" s="12"/>
    </row>
    <row r="83" spans="2:11">
      <c r="B83" t="s">
        <v>110</v>
      </c>
      <c r="C83" s="24" t="s">
        <v>125</v>
      </c>
      <c r="D83" s="14">
        <f>+I83*D74</f>
        <v>974400</v>
      </c>
      <c r="E83" s="37">
        <f>IFERROR(D83/'Unit Mix_vm'!$D$15,0)</f>
        <v>9280</v>
      </c>
      <c r="F83" s="37">
        <f>IFERROR(E83/'Unit Mix_vm'!$F$15,0)</f>
        <v>10.086956521739131</v>
      </c>
      <c r="G83" s="25">
        <f t="shared" ref="G83:G85" ca="1" si="8">+IFERROR(D83/D$88,0)</f>
        <v>3.0650601752395073E-2</v>
      </c>
      <c r="I83" s="21">
        <v>0.05</v>
      </c>
      <c r="J83" s="20" t="s">
        <v>193</v>
      </c>
      <c r="K83" s="20"/>
    </row>
    <row r="84" spans="2:11">
      <c r="B84" t="s">
        <v>111</v>
      </c>
      <c r="C84" s="24" t="s">
        <v>125</v>
      </c>
      <c r="D84" s="31">
        <f ca="1">+IF(Global!C16="On",0,I84*N17)</f>
        <v>467628.33597115736</v>
      </c>
      <c r="E84" s="37">
        <f ca="1">IFERROR(D84/'Unit Mix_vm'!$D$15,0)</f>
        <v>4453.6031997253085</v>
      </c>
      <c r="F84" s="37">
        <f ca="1">IFERROR(E84/'Unit Mix_vm'!$F$15,0)</f>
        <v>4.8408730431796831</v>
      </c>
      <c r="G84" s="25">
        <f t="shared" ca="1" si="8"/>
        <v>1.4709657116160867E-2</v>
      </c>
      <c r="I84" s="21">
        <v>0.05</v>
      </c>
      <c r="J84" s="20" t="s">
        <v>194</v>
      </c>
      <c r="K84" s="20"/>
    </row>
    <row r="85" spans="2:11">
      <c r="B85" t="s">
        <v>195</v>
      </c>
      <c r="C85" s="24" t="s">
        <v>125</v>
      </c>
      <c r="D85" s="16">
        <v>0</v>
      </c>
      <c r="E85" s="37">
        <f>IFERROR(D85/'Unit Mix_vm'!$D$15,0)</f>
        <v>0</v>
      </c>
      <c r="F85" s="37">
        <f>IFERROR(E85/'Unit Mix_vm'!$F$15,0)</f>
        <v>0</v>
      </c>
      <c r="G85" s="25">
        <f t="shared" ca="1" si="8"/>
        <v>0</v>
      </c>
    </row>
    <row r="86" spans="2:11">
      <c r="B86" s="3" t="s">
        <v>196</v>
      </c>
      <c r="C86" s="3"/>
      <c r="D86" s="13">
        <f ca="1">+SUM(D83:D85)</f>
        <v>1442028.3359711573</v>
      </c>
      <c r="E86" s="13">
        <f ca="1">SUM(E83:E85)</f>
        <v>13733.603199725309</v>
      </c>
      <c r="F86" s="13">
        <f ca="1">SUM(F83:F85)</f>
        <v>14.927829564918813</v>
      </c>
      <c r="G86" s="26">
        <f ca="1">SUM(G83:G85)</f>
        <v>4.5360258868555936E-2</v>
      </c>
    </row>
    <row r="88" spans="2:11">
      <c r="B88" s="17" t="s">
        <v>197</v>
      </c>
      <c r="C88" s="22"/>
      <c r="D88" s="18">
        <f ca="1">+SUM(D86,D80,D74,D66,D45,D30,D24,D8)</f>
        <v>31790566.719422687</v>
      </c>
      <c r="E88" s="19">
        <f ca="1">+SUM(E86,E80,E74,E66,E45,E30,E24,E8)</f>
        <v>302767.30208973988</v>
      </c>
      <c r="F88" s="19">
        <f ca="1">+SUM(F86,F80,F74,F66,F45,F30,F24,F8)</f>
        <v>329.09489357580424</v>
      </c>
      <c r="G88" s="27">
        <f ca="1">+SUM(G86,G80,G74,G66,G45,G30,G24,G8)</f>
        <v>0.99999999999996869</v>
      </c>
    </row>
    <row r="91" spans="2:11">
      <c r="E91" s="30"/>
    </row>
  </sheetData>
  <dataValidations disablePrompts="1" count="1">
    <dataValidation type="list" allowBlank="1" showInputMessage="1" showErrorMessage="1" sqref="C8 C27:C29 C11:C23 C48:C65 C69:C73 C77:C79 C83:C85 C33:C44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zoomScale="90" zoomScaleNormal="90" workbookViewId="0">
      <selection activeCell="B5" sqref="B5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34" bestFit="1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1" width="12.7109375" style="23" customWidth="1"/>
    <col min="12" max="12" width="13.7109375" style="23" customWidth="1"/>
    <col min="13" max="19" width="12.7109375" style="23" customWidth="1"/>
    <col min="20" max="20" width="12.7109375" customWidth="1"/>
  </cols>
  <sheetData>
    <row r="1" spans="1:20" s="141" customFormat="1" ht="25.9">
      <c r="A1" s="144" t="str">
        <f>TEXT(Global!$C$7,"")</f>
        <v>161 Verdin Rd</v>
      </c>
      <c r="B1" s="143"/>
      <c r="K1" s="142"/>
      <c r="L1" s="142"/>
      <c r="M1" s="142"/>
      <c r="N1" s="142"/>
      <c r="O1" s="142"/>
      <c r="P1" s="142"/>
      <c r="Q1" s="142"/>
      <c r="R1" s="142"/>
      <c r="S1" s="142"/>
    </row>
    <row r="2" spans="1:20" s="141" customFormat="1" ht="19.899999999999999">
      <c r="A2" s="145" t="s">
        <v>198</v>
      </c>
      <c r="B2" s="143"/>
      <c r="K2" s="142"/>
      <c r="L2" s="142"/>
      <c r="M2" s="142"/>
      <c r="N2" s="142"/>
      <c r="O2" s="142"/>
      <c r="P2" s="142"/>
      <c r="Q2" s="142"/>
      <c r="R2" s="142"/>
      <c r="S2" s="142"/>
    </row>
    <row r="6" spans="1:20" ht="16.149999999999999">
      <c r="B6" s="165"/>
      <c r="C6" s="166" t="s">
        <v>199</v>
      </c>
      <c r="D6" s="166"/>
    </row>
    <row r="7" spans="1:20">
      <c r="B7" s="167"/>
      <c r="C7" s="168" t="s">
        <v>116</v>
      </c>
      <c r="D7" s="168" t="s">
        <v>200</v>
      </c>
      <c r="F7" s="139" t="s">
        <v>201</v>
      </c>
      <c r="G7" s="140"/>
      <c r="I7" s="139" t="s">
        <v>202</v>
      </c>
      <c r="J7" s="155" t="s">
        <v>57</v>
      </c>
      <c r="K7" s="155" t="s">
        <v>203</v>
      </c>
      <c r="L7" s="155" t="s">
        <v>47</v>
      </c>
      <c r="M7" s="155" t="s">
        <v>204</v>
      </c>
      <c r="N7" s="155" t="s">
        <v>205</v>
      </c>
      <c r="O7" s="155" t="s">
        <v>206</v>
      </c>
      <c r="P7" s="155" t="s">
        <v>207</v>
      </c>
      <c r="Q7" s="155" t="s">
        <v>208</v>
      </c>
      <c r="R7" s="155" t="s">
        <v>209</v>
      </c>
      <c r="S7" s="155" t="s">
        <v>58</v>
      </c>
      <c r="T7" s="156" t="s">
        <v>210</v>
      </c>
    </row>
    <row r="8" spans="1:20">
      <c r="B8" s="67"/>
      <c r="C8" s="63"/>
      <c r="D8" s="56"/>
      <c r="F8" s="55" t="s">
        <v>211</v>
      </c>
      <c r="G8" s="128">
        <f>G9*'Unit Mix_vm'!$D$15</f>
        <v>666750</v>
      </c>
      <c r="I8" s="243" t="s">
        <v>212</v>
      </c>
      <c r="J8" s="264" t="s">
        <v>57</v>
      </c>
      <c r="K8" s="239">
        <v>461</v>
      </c>
      <c r="L8" s="239">
        <v>2025</v>
      </c>
      <c r="M8" s="239">
        <v>2025</v>
      </c>
      <c r="N8" s="241">
        <f>(8463360+600000)*4%</f>
        <v>362534.40000000002</v>
      </c>
      <c r="O8" s="36">
        <f>N8/$K8</f>
        <v>786.40867678958796</v>
      </c>
      <c r="P8" s="239">
        <f>25.01+5.37</f>
        <v>30.380000000000003</v>
      </c>
      <c r="Q8" s="241">
        <f>22.8+22.8</f>
        <v>45.6</v>
      </c>
      <c r="R8" s="36">
        <f>Q8/$K8</f>
        <v>9.8915401301518435E-2</v>
      </c>
      <c r="S8" s="36">
        <f>N8*P8/100+Q8</f>
        <v>110183.55072000003</v>
      </c>
      <c r="T8" s="230">
        <f>S8/$K8</f>
        <v>239.00987140997836</v>
      </c>
    </row>
    <row r="9" spans="1:20">
      <c r="B9" s="67" t="s">
        <v>213</v>
      </c>
      <c r="C9" s="63">
        <f>+D9*'Unit Mix_vm'!D15*12</f>
        <v>2560320</v>
      </c>
      <c r="D9" s="77">
        <f>+'Unit Mix_vm'!G15</f>
        <v>2032</v>
      </c>
      <c r="F9" s="55" t="s">
        <v>214</v>
      </c>
      <c r="G9" s="247">
        <v>6350</v>
      </c>
      <c r="I9" s="243" t="s">
        <v>215</v>
      </c>
      <c r="J9" s="264" t="s">
        <v>57</v>
      </c>
      <c r="K9" s="239">
        <v>189</v>
      </c>
      <c r="L9" s="239">
        <v>2019</v>
      </c>
      <c r="M9" s="239">
        <v>2025</v>
      </c>
      <c r="N9" s="241">
        <f>30410650 *4%</f>
        <v>1216426</v>
      </c>
      <c r="O9" s="36">
        <f>N9/$K9</f>
        <v>6436.1164021164022</v>
      </c>
      <c r="P9" s="239">
        <f>((25.01+8.14))</f>
        <v>33.150000000000006</v>
      </c>
      <c r="Q9" s="241">
        <v>6134.25</v>
      </c>
      <c r="R9" s="36">
        <f>Q9/$K9</f>
        <v>32.456349206349209</v>
      </c>
      <c r="S9" s="36">
        <f t="shared" ref="S9:S10" si="0">N9*P9/100+Q9</f>
        <v>409379.46900000004</v>
      </c>
      <c r="T9" s="230">
        <f>S9/$K9</f>
        <v>2166.0289365079366</v>
      </c>
    </row>
    <row r="10" spans="1:20">
      <c r="B10" s="67" t="s">
        <v>216</v>
      </c>
      <c r="C10" s="79">
        <f>-D10*C9</f>
        <v>-25603.200000000001</v>
      </c>
      <c r="D10" s="263">
        <v>0.01</v>
      </c>
      <c r="F10" s="55"/>
      <c r="G10" s="56"/>
      <c r="I10" s="244" t="s">
        <v>217</v>
      </c>
      <c r="J10" s="266" t="s">
        <v>57</v>
      </c>
      <c r="K10" s="245">
        <v>159</v>
      </c>
      <c r="L10" s="245">
        <v>2022</v>
      </c>
      <c r="M10" s="245">
        <v>2025</v>
      </c>
      <c r="N10" s="246">
        <f>24713040*4%</f>
        <v>988521.6</v>
      </c>
      <c r="O10" s="227">
        <f>N10/$K10</f>
        <v>6217.1169811320751</v>
      </c>
      <c r="P10" s="245">
        <f>((25.01+8.14))</f>
        <v>33.150000000000006</v>
      </c>
      <c r="Q10" s="246">
        <v>5970.67</v>
      </c>
      <c r="R10" s="227">
        <f>Q10/$K10</f>
        <v>37.551383647798744</v>
      </c>
      <c r="S10" s="227">
        <f t="shared" si="0"/>
        <v>333665.58040000004</v>
      </c>
      <c r="T10" s="236">
        <f>S10/$K10</f>
        <v>2098.525662893082</v>
      </c>
    </row>
    <row r="11" spans="1:20">
      <c r="B11" s="67" t="s">
        <v>218</v>
      </c>
      <c r="C11" s="79">
        <f>-D11*C9</f>
        <v>-24384.000000000004</v>
      </c>
      <c r="D11" s="263">
        <f>1/'Unit Mix_vm'!$D$15</f>
        <v>9.5238095238095247E-3</v>
      </c>
      <c r="F11" s="55" t="s">
        <v>219</v>
      </c>
      <c r="G11" s="283">
        <f>(25.01+5.37)</f>
        <v>30.380000000000003</v>
      </c>
      <c r="I11" s="268"/>
      <c r="J11" s="267"/>
    </row>
    <row r="12" spans="1:20">
      <c r="B12" s="68" t="s">
        <v>220</v>
      </c>
      <c r="C12" s="64">
        <f>SUM(C9:C11)</f>
        <v>2510332.7999999998</v>
      </c>
      <c r="D12" s="71">
        <f>IFERROR(C12/'Unit Mix_vm'!$D$15/12,0)</f>
        <v>1992.327619047619</v>
      </c>
      <c r="F12" s="55" t="s">
        <v>221</v>
      </c>
      <c r="G12" s="128">
        <f>G13*'Unit Mix_vm'!$D$15</f>
        <v>2394</v>
      </c>
      <c r="I12" s="52"/>
    </row>
    <row r="13" spans="1:20">
      <c r="B13" s="67"/>
      <c r="C13" s="63"/>
      <c r="D13" s="56"/>
      <c r="F13" s="55" t="s">
        <v>222</v>
      </c>
      <c r="G13" s="247">
        <v>22.8</v>
      </c>
    </row>
    <row r="14" spans="1:20">
      <c r="B14" s="67" t="s">
        <v>223</v>
      </c>
      <c r="C14" s="63">
        <f>+D14*'Unit Mix_vm'!$D$15*12</f>
        <v>263040.00000000006</v>
      </c>
      <c r="D14" s="128">
        <f>$N$57</f>
        <v>208.76190476190479</v>
      </c>
      <c r="F14" s="55" t="s">
        <v>224</v>
      </c>
      <c r="G14" s="242">
        <v>0</v>
      </c>
      <c r="I14" s="122" t="s">
        <v>225</v>
      </c>
      <c r="J14" s="177"/>
      <c r="K14" s="123"/>
      <c r="L14" s="123" t="s">
        <v>226</v>
      </c>
      <c r="M14" s="123" t="s">
        <v>58</v>
      </c>
      <c r="N14" s="124" t="s">
        <v>70</v>
      </c>
      <c r="P14" s="284"/>
    </row>
    <row r="15" spans="1:20">
      <c r="B15" s="67" t="s">
        <v>227</v>
      </c>
      <c r="C15" s="78">
        <v>0</v>
      </c>
      <c r="D15" s="70">
        <f>IFERROR(C15/'Unit Mix_vm'!$D$15/12,0)</f>
        <v>0</v>
      </c>
      <c r="F15" s="55"/>
      <c r="G15" s="56"/>
      <c r="I15" s="188" t="s">
        <v>228</v>
      </c>
      <c r="J15" s="189"/>
      <c r="K15" s="190"/>
      <c r="L15" s="190"/>
      <c r="M15" s="190"/>
      <c r="N15" s="191"/>
      <c r="P15" s="284"/>
    </row>
    <row r="16" spans="1:20">
      <c r="B16" s="68" t="s">
        <v>229</v>
      </c>
      <c r="C16" s="64">
        <f>SUM(C14:C15,C12)</f>
        <v>2773372.8</v>
      </c>
      <c r="D16" s="71">
        <f>IFERROR(C16/'Unit Mix_vm'!$D$15/12,0)</f>
        <v>2201.0895238095236</v>
      </c>
      <c r="F16" s="55" t="s">
        <v>230</v>
      </c>
      <c r="G16" s="81">
        <f>(G11*G8/100+G12)*(1-G14)</f>
        <v>204952.65</v>
      </c>
      <c r="I16" s="178" t="s">
        <v>231</v>
      </c>
      <c r="J16" s="172"/>
      <c r="K16" s="173"/>
      <c r="L16" s="171">
        <v>3500</v>
      </c>
      <c r="M16" s="179">
        <f>L16*12</f>
        <v>42000</v>
      </c>
      <c r="N16" s="180">
        <f>M16/'Unit Mix_vm'!$D$15</f>
        <v>400</v>
      </c>
      <c r="P16" s="284"/>
    </row>
    <row r="17" spans="2:14">
      <c r="B17" s="67"/>
      <c r="C17" s="63"/>
      <c r="D17" s="56"/>
      <c r="F17" s="55" t="s">
        <v>232</v>
      </c>
      <c r="G17" s="81">
        <f>+G16/'Unit Mix_vm'!$D$15</f>
        <v>1951.9299999999998</v>
      </c>
      <c r="I17" s="178" t="s">
        <v>233</v>
      </c>
      <c r="J17" s="172"/>
      <c r="K17" s="173"/>
      <c r="L17" s="181">
        <v>3</v>
      </c>
      <c r="M17" s="179">
        <f>L17*'Unit Mix_vm'!$D$15*12</f>
        <v>3780</v>
      </c>
      <c r="N17" s="180">
        <f>M17/'Unit Mix_vm'!$D$15</f>
        <v>36</v>
      </c>
    </row>
    <row r="18" spans="2:14">
      <c r="B18" s="67" t="s">
        <v>49</v>
      </c>
      <c r="C18" s="72">
        <f>-D18*SUM(C9,C14)</f>
        <v>-141168</v>
      </c>
      <c r="D18" s="263">
        <v>0.05</v>
      </c>
      <c r="F18" s="55"/>
      <c r="G18" s="56"/>
      <c r="I18" s="178" t="s">
        <v>234</v>
      </c>
      <c r="J18" s="172"/>
      <c r="K18" s="173"/>
      <c r="L18" s="171">
        <v>3000</v>
      </c>
      <c r="M18" s="179">
        <f>L18*12</f>
        <v>36000</v>
      </c>
      <c r="N18" s="180">
        <f>M18/'Unit Mix_vm'!$D$15</f>
        <v>342.85714285714283</v>
      </c>
    </row>
    <row r="19" spans="2:14">
      <c r="B19" s="67" t="s">
        <v>235</v>
      </c>
      <c r="C19" s="72">
        <f>-D19*SUM(C9,C14,C18)</f>
        <v>0</v>
      </c>
      <c r="D19" s="263">
        <v>0</v>
      </c>
      <c r="F19" s="55" t="s">
        <v>236</v>
      </c>
      <c r="G19" s="82">
        <f>-(0.5648%*(G8/4%))</f>
        <v>-94145.099999999991</v>
      </c>
      <c r="I19" s="178" t="s">
        <v>237</v>
      </c>
      <c r="J19" s="172"/>
      <c r="K19" s="173"/>
      <c r="L19" s="181">
        <v>10</v>
      </c>
      <c r="M19" s="179">
        <f>L19*'Unit Mix_vm'!$D$15*12</f>
        <v>12600</v>
      </c>
      <c r="N19" s="180">
        <f>M19/'Unit Mix_vm'!$D$15</f>
        <v>120</v>
      </c>
    </row>
    <row r="20" spans="2:14">
      <c r="B20" s="68" t="s">
        <v>238</v>
      </c>
      <c r="C20" s="64">
        <f>SUM(C18:C19,C16)</f>
        <v>2632204.7999999998</v>
      </c>
      <c r="D20" s="71">
        <f>IFERROR(C20/#REF!/12,0)</f>
        <v>0</v>
      </c>
      <c r="F20" s="55"/>
      <c r="G20" s="56"/>
      <c r="I20" s="178" t="s">
        <v>239</v>
      </c>
      <c r="J20" s="172"/>
      <c r="K20" s="173"/>
      <c r="L20" s="181">
        <v>30</v>
      </c>
      <c r="M20" s="179">
        <f>L20*'Unit Mix_vm'!$D$15*12</f>
        <v>37800</v>
      </c>
      <c r="N20" s="180">
        <f>M20/'Unit Mix_vm'!$D$15</f>
        <v>360</v>
      </c>
    </row>
    <row r="21" spans="2:14">
      <c r="B21" s="67"/>
      <c r="C21" s="63"/>
      <c r="D21" s="56"/>
      <c r="F21" s="55" t="s">
        <v>240</v>
      </c>
      <c r="G21" s="83">
        <f>+G16+G19</f>
        <v>110807.55</v>
      </c>
      <c r="I21" s="178" t="s">
        <v>241</v>
      </c>
      <c r="J21" s="172"/>
      <c r="K21" s="173"/>
      <c r="L21" s="171">
        <v>500</v>
      </c>
      <c r="M21" s="179">
        <f>L21*12</f>
        <v>6000</v>
      </c>
      <c r="N21" s="180">
        <f>M21/'Unit Mix_vm'!$D$15</f>
        <v>57.142857142857146</v>
      </c>
    </row>
    <row r="22" spans="2:14">
      <c r="B22" s="67" t="s">
        <v>242</v>
      </c>
      <c r="C22" s="72">
        <f>D22*C20</f>
        <v>72385.631999999998</v>
      </c>
      <c r="D22" s="263">
        <v>2.75E-2</v>
      </c>
      <c r="F22" s="58" t="s">
        <v>243</v>
      </c>
      <c r="G22" s="84">
        <f>+G21/'Unit Mix_vm'!$D$15</f>
        <v>1055.31</v>
      </c>
      <c r="I22" s="178" t="s">
        <v>244</v>
      </c>
      <c r="J22" s="172"/>
      <c r="K22" s="173"/>
      <c r="L22" s="171">
        <v>1000</v>
      </c>
      <c r="M22" s="179">
        <f>L22*12</f>
        <v>12000</v>
      </c>
      <c r="N22" s="180">
        <f>M22/'Unit Mix_vm'!$D$15</f>
        <v>114.28571428571429</v>
      </c>
    </row>
    <row r="23" spans="2:14">
      <c r="B23" s="119" t="s">
        <v>245</v>
      </c>
      <c r="C23" s="129">
        <f>G21</f>
        <v>110807.55</v>
      </c>
      <c r="D23" s="81">
        <f>IFERROR(C23/'Unit Mix_vm'!$D$15,0)</f>
        <v>1055.31</v>
      </c>
      <c r="I23" s="178" t="s">
        <v>246</v>
      </c>
      <c r="J23" s="172"/>
      <c r="K23" s="173"/>
      <c r="L23" s="171">
        <v>0</v>
      </c>
      <c r="M23" s="179">
        <f t="shared" ref="M23" si="1">L23*12</f>
        <v>0</v>
      </c>
      <c r="N23" s="180">
        <f>M23/'Unit Mix_vm'!$D$15</f>
        <v>0</v>
      </c>
    </row>
    <row r="24" spans="2:14">
      <c r="B24" s="67" t="s">
        <v>247</v>
      </c>
      <c r="C24" s="72">
        <f>+D24*'Unit Mix_vm'!$D$15</f>
        <v>65625</v>
      </c>
      <c r="D24" s="82">
        <v>625</v>
      </c>
      <c r="F24" s="122" t="s">
        <v>248</v>
      </c>
      <c r="G24" s="255"/>
      <c r="I24" s="186" t="s">
        <v>249</v>
      </c>
      <c r="J24" s="174"/>
      <c r="K24" s="175"/>
      <c r="L24" s="175"/>
      <c r="M24" s="176">
        <f>SUM(M16:M23)</f>
        <v>150180</v>
      </c>
      <c r="N24" s="187">
        <f>M24/'Unit Mix_vm'!$D$15</f>
        <v>1430.2857142857142</v>
      </c>
    </row>
    <row r="25" spans="2:14">
      <c r="B25" s="67" t="s">
        <v>250</v>
      </c>
      <c r="C25" s="72">
        <f>+D25*'Unit Mix_vm'!$D$15</f>
        <v>0</v>
      </c>
      <c r="D25" s="82">
        <v>0</v>
      </c>
      <c r="F25" s="224" t="s">
        <v>73</v>
      </c>
      <c r="G25" s="225">
        <f>Budget_vm!E8</f>
        <v>28095.238095238095</v>
      </c>
      <c r="I25" s="188" t="s">
        <v>251</v>
      </c>
      <c r="J25" s="189"/>
      <c r="K25" s="190"/>
      <c r="L25" s="190"/>
      <c r="M25" s="190"/>
      <c r="N25" s="191"/>
    </row>
    <row r="26" spans="2:14">
      <c r="B26" s="67" t="s">
        <v>252</v>
      </c>
      <c r="C26" s="72">
        <f>+D26*'Unit Mix_vm'!$D$15</f>
        <v>0</v>
      </c>
      <c r="D26" s="82">
        <v>0</v>
      </c>
      <c r="F26" s="55" t="s">
        <v>135</v>
      </c>
      <c r="G26" s="222">
        <f>Budget_vm!E69</f>
        <v>165600</v>
      </c>
      <c r="I26" s="178" t="s">
        <v>253</v>
      </c>
      <c r="J26" s="172"/>
      <c r="K26" s="173"/>
      <c r="L26" s="181">
        <v>50</v>
      </c>
      <c r="M26" s="179">
        <f>L26*'Unit Mix_vm'!$D$15*12*5%</f>
        <v>3150</v>
      </c>
      <c r="N26" s="180">
        <f>M26/'Unit Mix_vm'!$D$15</f>
        <v>30</v>
      </c>
    </row>
    <row r="27" spans="2:14">
      <c r="B27" s="67" t="s">
        <v>251</v>
      </c>
      <c r="C27" s="72">
        <f>+D27*'Unit Mix_vm'!$D$15</f>
        <v>107850</v>
      </c>
      <c r="D27" s="128">
        <f>N32</f>
        <v>1027.1428571428571</v>
      </c>
      <c r="F27" s="224" t="s">
        <v>58</v>
      </c>
      <c r="G27" s="223">
        <f>SUM(G25:G26)</f>
        <v>193695.23809523811</v>
      </c>
      <c r="I27" s="178" t="s">
        <v>254</v>
      </c>
      <c r="J27" s="172"/>
      <c r="K27" s="173"/>
      <c r="L27" s="181">
        <v>75</v>
      </c>
      <c r="M27" s="179">
        <f>L27*12</f>
        <v>900</v>
      </c>
      <c r="N27" s="180">
        <f>M27/'Unit Mix_vm'!$D$15</f>
        <v>8.5714285714285712</v>
      </c>
    </row>
    <row r="28" spans="2:14">
      <c r="B28" s="67" t="s">
        <v>228</v>
      </c>
      <c r="C28" s="72">
        <f>+D28*'Unit Mix_vm'!$D$15</f>
        <v>150180</v>
      </c>
      <c r="D28" s="128">
        <f>N24</f>
        <v>1430.2857142857142</v>
      </c>
      <c r="F28" s="58" t="s">
        <v>118</v>
      </c>
      <c r="G28" s="226">
        <f>G27/G9</f>
        <v>30.503187101612301</v>
      </c>
      <c r="I28" s="178" t="s">
        <v>255</v>
      </c>
      <c r="J28" s="172"/>
      <c r="K28" s="173"/>
      <c r="L28" s="171">
        <v>5500</v>
      </c>
      <c r="M28" s="179">
        <f>L28*12</f>
        <v>66000</v>
      </c>
      <c r="N28" s="180">
        <f>M28/'Unit Mix_vm'!$D$15</f>
        <v>628.57142857142856</v>
      </c>
    </row>
    <row r="29" spans="2:14">
      <c r="B29" s="67" t="s">
        <v>256</v>
      </c>
      <c r="C29" s="72">
        <f>+D29*'Unit Mix_vm'!$D$15</f>
        <v>13125</v>
      </c>
      <c r="D29" s="82">
        <f>500*0.25</f>
        <v>125</v>
      </c>
      <c r="I29" s="178" t="s">
        <v>257</v>
      </c>
      <c r="J29" s="172"/>
      <c r="K29" s="173"/>
      <c r="L29" s="181">
        <v>30</v>
      </c>
      <c r="M29" s="179">
        <f>L29*'Unit Mix_vm'!$D$15*12</f>
        <v>37800</v>
      </c>
      <c r="N29" s="180">
        <f>M29/'Unit Mix_vm'!$D$15</f>
        <v>360</v>
      </c>
    </row>
    <row r="30" spans="2:14">
      <c r="B30" s="67" t="s">
        <v>258</v>
      </c>
      <c r="C30" s="72">
        <f>+D30*'Unit Mix_vm'!$D$15</f>
        <v>28875</v>
      </c>
      <c r="D30" s="82">
        <v>275</v>
      </c>
      <c r="I30" s="178" t="s">
        <v>259</v>
      </c>
      <c r="J30" s="172"/>
      <c r="K30" s="173"/>
      <c r="L30" s="181">
        <v>0</v>
      </c>
      <c r="M30" s="179">
        <f>L30*'Unit Mix_vm'!$D$15*12*5%</f>
        <v>0</v>
      </c>
      <c r="N30" s="180">
        <f>M30/'Unit Mix_vm'!$D$15</f>
        <v>0</v>
      </c>
    </row>
    <row r="31" spans="2:14">
      <c r="B31" s="67" t="s">
        <v>260</v>
      </c>
      <c r="C31" s="72">
        <f>+D31*'Unit Mix_vm'!$D$15</f>
        <v>4200</v>
      </c>
      <c r="D31" s="82">
        <v>40</v>
      </c>
      <c r="I31" s="178" t="s">
        <v>246</v>
      </c>
      <c r="J31" s="172"/>
      <c r="K31" s="173"/>
      <c r="L31" s="171">
        <v>0</v>
      </c>
      <c r="M31" s="179">
        <f t="shared" ref="M31" si="2">L31*12</f>
        <v>0</v>
      </c>
      <c r="N31" s="180">
        <f>M31/'Unit Mix_vm'!$D$15</f>
        <v>0</v>
      </c>
    </row>
    <row r="32" spans="2:14">
      <c r="B32" s="67" t="s">
        <v>261</v>
      </c>
      <c r="C32" s="72">
        <f>+D32*'Unit Mix_vm'!$D$15</f>
        <v>47250</v>
      </c>
      <c r="D32" s="82">
        <v>450</v>
      </c>
      <c r="I32" s="182" t="s">
        <v>262</v>
      </c>
      <c r="J32" s="183"/>
      <c r="K32" s="184"/>
      <c r="L32" s="184"/>
      <c r="M32" s="170">
        <f>SUM(M26:M31)</f>
        <v>107850</v>
      </c>
      <c r="N32" s="185">
        <f>M32/'Unit Mix_vm'!$D$15</f>
        <v>1027.1428571428571</v>
      </c>
    </row>
    <row r="33" spans="2:15">
      <c r="B33" s="67" t="s">
        <v>82</v>
      </c>
      <c r="C33" s="72">
        <f>+D33*'Unit Mix_vm'!$D$15</f>
        <v>47250</v>
      </c>
      <c r="D33" s="82">
        <v>450</v>
      </c>
      <c r="F33" s="30"/>
      <c r="I33" s="188" t="s">
        <v>263</v>
      </c>
      <c r="J33" s="189"/>
      <c r="K33" s="190"/>
      <c r="L33" s="190"/>
      <c r="M33" s="190"/>
      <c r="N33" s="191"/>
    </row>
    <row r="34" spans="2:15">
      <c r="B34" s="67" t="s">
        <v>263</v>
      </c>
      <c r="C34" s="72">
        <f>+D34*'Unit Mix_vm'!$D$15</f>
        <v>401868.54</v>
      </c>
      <c r="D34" s="128">
        <f>N46</f>
        <v>3827.3194285714285</v>
      </c>
      <c r="I34" s="192" t="s">
        <v>264</v>
      </c>
      <c r="J34" s="172"/>
      <c r="K34" s="193">
        <v>35</v>
      </c>
      <c r="L34" s="194">
        <v>2080</v>
      </c>
      <c r="M34" s="195">
        <f>K34*L34</f>
        <v>72800</v>
      </c>
      <c r="N34" s="196">
        <f>M34/'Unit Mix_vm'!$D$15</f>
        <v>693.33333333333337</v>
      </c>
    </row>
    <row r="35" spans="2:15">
      <c r="B35" s="67" t="s">
        <v>265</v>
      </c>
      <c r="C35" s="72">
        <f>+D35*'Unit Mix_vm'!$D$15</f>
        <v>26250</v>
      </c>
      <c r="D35" s="82">
        <v>250</v>
      </c>
      <c r="I35" s="197" t="s">
        <v>266</v>
      </c>
      <c r="J35" s="172"/>
      <c r="K35" s="171"/>
      <c r="L35" s="198">
        <v>0.2</v>
      </c>
      <c r="M35" s="195">
        <f>M34*L35</f>
        <v>14560</v>
      </c>
      <c r="N35" s="196">
        <f>M35/'Unit Mix_vm'!$D$15</f>
        <v>138.66666666666666</v>
      </c>
    </row>
    <row r="36" spans="2:15">
      <c r="B36" s="67" t="s">
        <v>267</v>
      </c>
      <c r="C36" s="72">
        <f>+D36*'Unit Mix_vm'!$D$15</f>
        <v>26250</v>
      </c>
      <c r="D36" s="82">
        <v>250</v>
      </c>
      <c r="I36" s="192" t="s">
        <v>268</v>
      </c>
      <c r="J36" s="172"/>
      <c r="K36" s="193">
        <v>25</v>
      </c>
      <c r="L36" s="194">
        <v>2080</v>
      </c>
      <c r="M36" s="195">
        <f>K36*L36</f>
        <v>52000</v>
      </c>
      <c r="N36" s="196">
        <f>M36/'Unit Mix_vm'!$D$15</f>
        <v>495.23809523809524</v>
      </c>
    </row>
    <row r="37" spans="2:15">
      <c r="B37" s="67" t="s">
        <v>269</v>
      </c>
      <c r="C37" s="72">
        <f>+D37*'Unit Mix_vm'!$D$15</f>
        <v>0</v>
      </c>
      <c r="D37" s="82">
        <v>0</v>
      </c>
      <c r="I37" s="197" t="s">
        <v>266</v>
      </c>
      <c r="J37" s="172"/>
      <c r="K37" s="171"/>
      <c r="L37" s="198">
        <v>0</v>
      </c>
      <c r="M37" s="195">
        <f>M36*L37</f>
        <v>0</v>
      </c>
      <c r="N37" s="196">
        <f>M37/'Unit Mix_vm'!$D$15</f>
        <v>0</v>
      </c>
    </row>
    <row r="38" spans="2:15">
      <c r="B38" s="68" t="s">
        <v>270</v>
      </c>
      <c r="C38" s="64">
        <f>+SUM(C22:C37)</f>
        <v>1101916.7220000001</v>
      </c>
      <c r="D38" s="71">
        <f>IFERROR(C38/'Unit Mix_vm'!$D$15,0)</f>
        <v>10494.444971428573</v>
      </c>
      <c r="I38" s="192" t="s">
        <v>271</v>
      </c>
      <c r="J38" s="172"/>
      <c r="K38" s="193">
        <v>20</v>
      </c>
      <c r="L38" s="194">
        <v>2080</v>
      </c>
      <c r="M38" s="195">
        <f>K38*L38</f>
        <v>41600</v>
      </c>
      <c r="N38" s="196">
        <f>M38/'Unit Mix_vm'!$D$15</f>
        <v>396.1904761904762</v>
      </c>
    </row>
    <row r="39" spans="2:15">
      <c r="B39" s="55"/>
      <c r="C39" s="63"/>
      <c r="D39" s="56"/>
      <c r="I39" s="192" t="s">
        <v>272</v>
      </c>
      <c r="J39" s="172"/>
      <c r="K39" s="193">
        <v>0</v>
      </c>
      <c r="L39" s="194">
        <v>0</v>
      </c>
      <c r="M39" s="195">
        <f>K39*L39</f>
        <v>0</v>
      </c>
      <c r="N39" s="196">
        <f>M39/'Unit Mix_vm'!$D$15</f>
        <v>0</v>
      </c>
    </row>
    <row r="40" spans="2:15">
      <c r="B40" s="67" t="s">
        <v>273</v>
      </c>
      <c r="C40" s="63">
        <f>+C20-C38</f>
        <v>1530288.0779999997</v>
      </c>
      <c r="D40" s="70">
        <f>IFERROR(C40/#REF!,0)</f>
        <v>0</v>
      </c>
      <c r="I40" s="192" t="s">
        <v>274</v>
      </c>
      <c r="J40" s="172"/>
      <c r="K40" s="193">
        <v>32</v>
      </c>
      <c r="L40" s="194">
        <v>2080</v>
      </c>
      <c r="M40" s="195">
        <f>K40*L40</f>
        <v>66560</v>
      </c>
      <c r="N40" s="196">
        <f>M40/'Unit Mix_vm'!$D$15</f>
        <v>633.90476190476193</v>
      </c>
    </row>
    <row r="41" spans="2:15">
      <c r="B41" s="69" t="s">
        <v>275</v>
      </c>
      <c r="C41" s="65">
        <f>IFERROR(C40/C20,0)</f>
        <v>0.58137120561439593</v>
      </c>
      <c r="D41" s="56"/>
      <c r="I41" s="197" t="s">
        <v>266</v>
      </c>
      <c r="J41" s="172"/>
      <c r="K41" s="171"/>
      <c r="L41" s="198">
        <v>0.1</v>
      </c>
      <c r="M41" s="195">
        <f>M40*L41</f>
        <v>6656</v>
      </c>
      <c r="N41" s="196">
        <f>M41/'Unit Mix_vm'!$D$15</f>
        <v>63.390476190476193</v>
      </c>
    </row>
    <row r="42" spans="2:15">
      <c r="B42" s="55"/>
      <c r="C42" s="55"/>
      <c r="D42" s="56"/>
      <c r="I42" s="192" t="s">
        <v>276</v>
      </c>
      <c r="J42" s="172"/>
      <c r="K42" s="193">
        <v>20</v>
      </c>
      <c r="L42" s="194">
        <v>2080</v>
      </c>
      <c r="M42" s="195">
        <f>K42*L42</f>
        <v>41600</v>
      </c>
      <c r="N42" s="196">
        <f>M42/'Unit Mix_vm'!$D$15</f>
        <v>396.1904761904762</v>
      </c>
    </row>
    <row r="43" spans="2:15">
      <c r="B43" s="61" t="s">
        <v>277</v>
      </c>
      <c r="C43" s="66">
        <f ca="1">C40/Budget_vm!D88</f>
        <v>4.8136546023417028E-2</v>
      </c>
      <c r="D43" s="62"/>
      <c r="I43" s="192" t="s">
        <v>278</v>
      </c>
      <c r="J43" s="172"/>
      <c r="K43" s="193">
        <v>0</v>
      </c>
      <c r="L43" s="194">
        <v>0</v>
      </c>
      <c r="M43" s="195">
        <f>K43*L43</f>
        <v>0</v>
      </c>
      <c r="N43" s="196">
        <f>M43/'Unit Mix_vm'!$D$15</f>
        <v>0</v>
      </c>
    </row>
    <row r="44" spans="2:15">
      <c r="I44" s="192" t="s">
        <v>279</v>
      </c>
      <c r="J44" s="172"/>
      <c r="K44" s="171"/>
      <c r="L44" s="202">
        <v>150</v>
      </c>
      <c r="M44" s="195">
        <f>L44*'Unit Mix_vm'!D15</f>
        <v>15750</v>
      </c>
      <c r="N44" s="196">
        <f>M44/'Unit Mix_vm'!$D$15</f>
        <v>150</v>
      </c>
    </row>
    <row r="45" spans="2:15">
      <c r="I45" s="192" t="s">
        <v>280</v>
      </c>
      <c r="J45" s="172"/>
      <c r="K45" s="171"/>
      <c r="L45" s="198">
        <v>0.28999999999999998</v>
      </c>
      <c r="M45" s="195">
        <f>SUM(M34:M44)*L45</f>
        <v>90342.54</v>
      </c>
      <c r="N45" s="196">
        <f>M45/'Unit Mix_vm'!$D$15</f>
        <v>860.40514285714278</v>
      </c>
    </row>
    <row r="46" spans="2:15">
      <c r="I46" s="199" t="s">
        <v>281</v>
      </c>
      <c r="J46" s="183"/>
      <c r="K46" s="183"/>
      <c r="L46" s="183"/>
      <c r="M46" s="200">
        <f>SUM(M34:M45)</f>
        <v>401868.54</v>
      </c>
      <c r="N46" s="201">
        <f>M46/'Unit Mix_vm'!$D$15</f>
        <v>3827.3194285714285</v>
      </c>
      <c r="O46" s="237"/>
    </row>
    <row r="48" spans="2:15">
      <c r="I48" s="188" t="s">
        <v>223</v>
      </c>
      <c r="J48" s="228" t="s">
        <v>35</v>
      </c>
      <c r="K48" s="228" t="s">
        <v>34</v>
      </c>
      <c r="L48" s="228" t="s">
        <v>226</v>
      </c>
      <c r="M48" s="228" t="s">
        <v>58</v>
      </c>
      <c r="N48" s="229" t="s">
        <v>282</v>
      </c>
    </row>
    <row r="49" spans="9:16">
      <c r="I49" s="192" t="s">
        <v>283</v>
      </c>
      <c r="J49" s="249">
        <v>1</v>
      </c>
      <c r="K49" s="250">
        <f>'Unit Mix_vm'!$D$15</f>
        <v>105</v>
      </c>
      <c r="L49" s="181">
        <v>65</v>
      </c>
      <c r="M49" s="179">
        <f>L49*K49*J49*12</f>
        <v>81900</v>
      </c>
      <c r="N49" s="251">
        <f>M49/'Unit Mix_vm'!$D$15/12</f>
        <v>65</v>
      </c>
      <c r="O49" s="36"/>
      <c r="P49" s="238"/>
    </row>
    <row r="50" spans="9:16">
      <c r="I50" s="192" t="s">
        <v>284</v>
      </c>
      <c r="J50" s="249">
        <v>1</v>
      </c>
      <c r="K50" s="250">
        <f>'Unit Mix_vm'!$D$15</f>
        <v>105</v>
      </c>
      <c r="L50" s="181">
        <v>70</v>
      </c>
      <c r="M50" s="179">
        <f t="shared" ref="M50:M55" si="3">L50*K50*J50*12</f>
        <v>88200</v>
      </c>
      <c r="N50" s="251">
        <f>M50/'Unit Mix_vm'!$D$15/12</f>
        <v>70</v>
      </c>
    </row>
    <row r="51" spans="9:16">
      <c r="I51" s="192" t="s">
        <v>237</v>
      </c>
      <c r="J51" s="249">
        <v>1</v>
      </c>
      <c r="K51" s="250">
        <f>'Unit Mix_vm'!$D$15</f>
        <v>105</v>
      </c>
      <c r="L51" s="181">
        <v>25</v>
      </c>
      <c r="M51" s="179">
        <f t="shared" si="3"/>
        <v>31500</v>
      </c>
      <c r="N51" s="251">
        <f>M51/'Unit Mix_vm'!$D$15/12</f>
        <v>25</v>
      </c>
    </row>
    <row r="52" spans="9:16">
      <c r="I52" s="192" t="s">
        <v>233</v>
      </c>
      <c r="J52" s="249">
        <v>1</v>
      </c>
      <c r="K52" s="250">
        <f>'Unit Mix_vm'!$D$15</f>
        <v>105</v>
      </c>
      <c r="L52" s="181">
        <v>5</v>
      </c>
      <c r="M52" s="179">
        <f t="shared" si="3"/>
        <v>6300</v>
      </c>
      <c r="N52" s="251">
        <f>M52/'Unit Mix_vm'!$D$15/12</f>
        <v>5</v>
      </c>
    </row>
    <row r="53" spans="9:16">
      <c r="I53" s="192" t="s">
        <v>257</v>
      </c>
      <c r="J53" s="249">
        <v>0.9</v>
      </c>
      <c r="K53" s="250">
        <f>'Unit Mix_vm'!$D$15</f>
        <v>105</v>
      </c>
      <c r="L53" s="252">
        <f>$L$29</f>
        <v>30</v>
      </c>
      <c r="M53" s="179">
        <f t="shared" si="3"/>
        <v>34020</v>
      </c>
      <c r="N53" s="251">
        <f>M53/'Unit Mix_vm'!$D$15/12</f>
        <v>27</v>
      </c>
    </row>
    <row r="54" spans="9:16">
      <c r="I54" s="192" t="s">
        <v>285</v>
      </c>
      <c r="J54" s="249">
        <v>1</v>
      </c>
      <c r="K54" s="253">
        <v>32</v>
      </c>
      <c r="L54" s="254">
        <v>55</v>
      </c>
      <c r="M54" s="179">
        <f t="shared" si="3"/>
        <v>21120</v>
      </c>
      <c r="N54" s="251">
        <f>M54/'Unit Mix_vm'!$D$15/12</f>
        <v>16.761904761904763</v>
      </c>
    </row>
    <row r="55" spans="9:16">
      <c r="I55" s="192" t="s">
        <v>286</v>
      </c>
      <c r="J55" s="249">
        <v>1</v>
      </c>
      <c r="K55" s="253">
        <v>0</v>
      </c>
      <c r="L55" s="254">
        <v>200</v>
      </c>
      <c r="M55" s="179">
        <f t="shared" si="3"/>
        <v>0</v>
      </c>
      <c r="N55" s="251">
        <f>M55/'Unit Mix_vm'!$D$15/12</f>
        <v>0</v>
      </c>
    </row>
    <row r="56" spans="9:16">
      <c r="I56" s="192" t="s">
        <v>287</v>
      </c>
      <c r="J56" s="249">
        <v>1</v>
      </c>
      <c r="K56" s="250">
        <f>'Unit Mix_vm'!$D$15</f>
        <v>105</v>
      </c>
      <c r="L56" s="181">
        <v>0</v>
      </c>
      <c r="M56" s="179">
        <f t="shared" ref="M56" si="4">L56*K56*J56*12</f>
        <v>0</v>
      </c>
      <c r="N56" s="251">
        <f>M56/'Unit Mix_vm'!$D$15/12</f>
        <v>0</v>
      </c>
    </row>
    <row r="57" spans="9:16">
      <c r="I57" s="231" t="s">
        <v>288</v>
      </c>
      <c r="J57" s="232"/>
      <c r="K57" s="233"/>
      <c r="L57" s="234"/>
      <c r="M57" s="127">
        <f>SUM(M49:M56)</f>
        <v>263040</v>
      </c>
      <c r="N57" s="235">
        <f>M57/'Unit Mix_vm'!$D$15/12</f>
        <v>208.76190476190479</v>
      </c>
    </row>
  </sheetData>
  <hyperlinks>
    <hyperlink ref="J9" r:id="rId1" xr:uid="{CB7B8628-2A71-464B-811C-D6BC05F8FA90}"/>
    <hyperlink ref="J10" r:id="rId2" xr:uid="{E494C3E1-8F72-413A-9AE5-D9B5F8E2DBD2}"/>
    <hyperlink ref="J8" r:id="rId3" xr:uid="{1A31A044-7440-409B-A10E-5ED39FA51C98}"/>
  </hyperlinks>
  <pageMargins left="0.7" right="0.7" top="0.75" bottom="0.75" header="0.3" footer="0.3"/>
  <pageSetup orientation="portrait" verticalDpi="0"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6" t="s">
        <v>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6" t="s">
        <v>290</v>
      </c>
    </row>
    <row r="3" spans="2:2" ht="130.9">
      <c r="B3" s="76" t="s">
        <v>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161 Verdin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8" t="s">
        <v>293</v>
      </c>
      <c r="D6" s="88" t="s">
        <v>294</v>
      </c>
      <c r="E6" s="88" t="s">
        <v>295</v>
      </c>
      <c r="F6" s="88" t="s">
        <v>296</v>
      </c>
      <c r="G6" s="88" t="s">
        <v>297</v>
      </c>
      <c r="H6" s="88" t="s">
        <v>298</v>
      </c>
      <c r="I6" s="88" t="s">
        <v>299</v>
      </c>
      <c r="J6" s="88" t="s">
        <v>300</v>
      </c>
      <c r="K6" s="88" t="s">
        <v>301</v>
      </c>
      <c r="L6"/>
      <c r="M6" s="111">
        <v>45382</v>
      </c>
      <c r="N6" s="108">
        <f>EOMONTH(M6,1)</f>
        <v>45412</v>
      </c>
      <c r="O6" s="108">
        <f t="shared" ref="O6:AQ6" si="0">EOMONTH(N6,1)</f>
        <v>45443</v>
      </c>
      <c r="P6" s="108">
        <f t="shared" si="0"/>
        <v>45473</v>
      </c>
      <c r="Q6" s="108">
        <f t="shared" si="0"/>
        <v>45504</v>
      </c>
      <c r="R6" s="108">
        <f t="shared" si="0"/>
        <v>45535</v>
      </c>
      <c r="S6" s="108">
        <f t="shared" si="0"/>
        <v>45565</v>
      </c>
      <c r="T6" s="108">
        <f t="shared" si="0"/>
        <v>45596</v>
      </c>
      <c r="U6" s="108">
        <f t="shared" si="0"/>
        <v>45626</v>
      </c>
      <c r="V6" s="108">
        <f t="shared" si="0"/>
        <v>45657</v>
      </c>
      <c r="W6" s="108">
        <f t="shared" si="0"/>
        <v>45688</v>
      </c>
      <c r="X6" s="108">
        <f t="shared" si="0"/>
        <v>45716</v>
      </c>
      <c r="Y6" s="108">
        <f t="shared" si="0"/>
        <v>45747</v>
      </c>
      <c r="Z6" s="108">
        <f t="shared" si="0"/>
        <v>45777</v>
      </c>
      <c r="AA6" s="108">
        <f t="shared" si="0"/>
        <v>45808</v>
      </c>
      <c r="AB6" s="108">
        <f t="shared" si="0"/>
        <v>45838</v>
      </c>
      <c r="AC6" s="108">
        <f t="shared" si="0"/>
        <v>45869</v>
      </c>
      <c r="AD6" s="108">
        <f t="shared" si="0"/>
        <v>45900</v>
      </c>
      <c r="AE6" s="108">
        <f t="shared" si="0"/>
        <v>45930</v>
      </c>
      <c r="AF6" s="108">
        <f t="shared" si="0"/>
        <v>45961</v>
      </c>
      <c r="AG6" s="108">
        <f t="shared" si="0"/>
        <v>45991</v>
      </c>
      <c r="AH6" s="108">
        <f t="shared" si="0"/>
        <v>46022</v>
      </c>
      <c r="AI6" s="108">
        <f t="shared" si="0"/>
        <v>46053</v>
      </c>
      <c r="AJ6" s="108">
        <f t="shared" si="0"/>
        <v>46081</v>
      </c>
      <c r="AK6" s="108">
        <f t="shared" si="0"/>
        <v>46112</v>
      </c>
      <c r="AL6" s="108">
        <f t="shared" si="0"/>
        <v>46142</v>
      </c>
      <c r="AM6" s="108">
        <f t="shared" si="0"/>
        <v>46173</v>
      </c>
      <c r="AN6" s="108">
        <f t="shared" si="0"/>
        <v>46203</v>
      </c>
      <c r="AO6" s="108">
        <f t="shared" si="0"/>
        <v>46234</v>
      </c>
      <c r="AP6" s="108">
        <f t="shared" si="0"/>
        <v>46265</v>
      </c>
      <c r="AQ6" s="108">
        <f t="shared" si="0"/>
        <v>46295</v>
      </c>
      <c r="AR6" s="108">
        <f t="shared" ref="AR6:BI6" si="1">EOMONTH(AQ6,1)</f>
        <v>46326</v>
      </c>
      <c r="AS6" s="108">
        <f t="shared" si="1"/>
        <v>46356</v>
      </c>
      <c r="AT6" s="108">
        <f t="shared" si="1"/>
        <v>46387</v>
      </c>
      <c r="AU6" s="108">
        <f t="shared" si="1"/>
        <v>46418</v>
      </c>
      <c r="AV6" s="108">
        <f t="shared" si="1"/>
        <v>46446</v>
      </c>
      <c r="AW6" s="108">
        <f t="shared" si="1"/>
        <v>46477</v>
      </c>
      <c r="AX6" s="108">
        <f t="shared" si="1"/>
        <v>46507</v>
      </c>
      <c r="AY6" s="108">
        <f t="shared" si="1"/>
        <v>46538</v>
      </c>
      <c r="AZ6" s="108">
        <f t="shared" si="1"/>
        <v>46568</v>
      </c>
      <c r="BA6" s="108">
        <f t="shared" si="1"/>
        <v>46599</v>
      </c>
      <c r="BB6" s="108">
        <f t="shared" si="1"/>
        <v>46630</v>
      </c>
      <c r="BC6" s="108">
        <f t="shared" si="1"/>
        <v>46660</v>
      </c>
      <c r="BD6" s="108">
        <f t="shared" si="1"/>
        <v>46691</v>
      </c>
      <c r="BE6" s="108">
        <f t="shared" si="1"/>
        <v>46721</v>
      </c>
      <c r="BF6" s="108">
        <f t="shared" si="1"/>
        <v>46752</v>
      </c>
      <c r="BG6" s="108">
        <f t="shared" si="1"/>
        <v>46783</v>
      </c>
      <c r="BH6" s="108">
        <f t="shared" si="1"/>
        <v>46812</v>
      </c>
      <c r="BI6" s="108">
        <f t="shared" si="1"/>
        <v>46843</v>
      </c>
      <c r="BJ6" s="108">
        <f t="shared" ref="BJ6:BO6" si="2">EOMONTH(BI6,1)</f>
        <v>46873</v>
      </c>
      <c r="BK6" s="108">
        <f t="shared" si="2"/>
        <v>46904</v>
      </c>
      <c r="BL6" s="108">
        <f t="shared" si="2"/>
        <v>46934</v>
      </c>
      <c r="BM6" s="108">
        <f t="shared" si="2"/>
        <v>46965</v>
      </c>
      <c r="BN6" s="108">
        <f t="shared" si="2"/>
        <v>46996</v>
      </c>
      <c r="BO6" s="108">
        <f t="shared" si="2"/>
        <v>47026</v>
      </c>
      <c r="BP6" s="108">
        <f t="shared" ref="BP6:BS6" si="3">EOMONTH(BO6,1)</f>
        <v>47057</v>
      </c>
      <c r="BQ6" s="108">
        <f t="shared" si="3"/>
        <v>47087</v>
      </c>
      <c r="BR6" s="108">
        <f t="shared" si="3"/>
        <v>47118</v>
      </c>
      <c r="BS6" s="108">
        <f t="shared" si="3"/>
        <v>47149</v>
      </c>
      <c r="BT6" s="109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302</v>
      </c>
      <c r="C8"/>
      <c r="D8"/>
      <c r="E8"/>
      <c r="F8"/>
      <c r="G8"/>
      <c r="H8"/>
      <c r="I8"/>
      <c r="J8"/>
      <c r="K8"/>
      <c r="L8"/>
      <c r="M8" s="110" t="s">
        <v>303</v>
      </c>
      <c r="N8" s="110" t="s">
        <v>303</v>
      </c>
      <c r="O8" s="110" t="s">
        <v>303</v>
      </c>
      <c r="P8" s="110" t="s">
        <v>303</v>
      </c>
      <c r="Q8" s="110" t="s">
        <v>303</v>
      </c>
      <c r="R8" s="110" t="s">
        <v>303</v>
      </c>
      <c r="S8" s="110" t="s">
        <v>303</v>
      </c>
      <c r="T8" s="110" t="s">
        <v>303</v>
      </c>
      <c r="U8" s="110" t="s">
        <v>303</v>
      </c>
      <c r="V8" s="110" t="s">
        <v>303</v>
      </c>
      <c r="W8" s="110" t="s">
        <v>303</v>
      </c>
      <c r="X8" s="110" t="s">
        <v>303</v>
      </c>
      <c r="Y8" s="110" t="s">
        <v>303</v>
      </c>
      <c r="Z8" s="110" t="s">
        <v>303</v>
      </c>
      <c r="AA8" s="110" t="s">
        <v>303</v>
      </c>
      <c r="AB8" s="110" t="s">
        <v>303</v>
      </c>
      <c r="AC8" s="110" t="s">
        <v>303</v>
      </c>
      <c r="AD8" s="110" t="s">
        <v>303</v>
      </c>
      <c r="AE8" s="110" t="s">
        <v>303</v>
      </c>
      <c r="AF8" s="110" t="s">
        <v>303</v>
      </c>
      <c r="AG8" s="110" t="s">
        <v>303</v>
      </c>
      <c r="AH8" s="110" t="s">
        <v>303</v>
      </c>
      <c r="AI8" s="110" t="s">
        <v>303</v>
      </c>
      <c r="AJ8" s="110" t="s">
        <v>303</v>
      </c>
      <c r="AK8" s="110" t="s">
        <v>303</v>
      </c>
      <c r="AL8" s="110" t="s">
        <v>303</v>
      </c>
      <c r="AM8" s="110" t="s">
        <v>303</v>
      </c>
      <c r="AN8" s="110" t="s">
        <v>303</v>
      </c>
      <c r="AO8" s="110" t="s">
        <v>303</v>
      </c>
      <c r="AP8" s="110" t="s">
        <v>303</v>
      </c>
      <c r="AQ8" s="110" t="s">
        <v>303</v>
      </c>
      <c r="AR8" s="110" t="s">
        <v>303</v>
      </c>
      <c r="AS8" s="110" t="s">
        <v>303</v>
      </c>
      <c r="AT8" s="110" t="s">
        <v>303</v>
      </c>
      <c r="AU8" s="110" t="s">
        <v>303</v>
      </c>
      <c r="AV8" s="110" t="s">
        <v>303</v>
      </c>
      <c r="AW8" s="110" t="s">
        <v>303</v>
      </c>
      <c r="AX8" s="110" t="s">
        <v>303</v>
      </c>
      <c r="AY8" s="110" t="s">
        <v>303</v>
      </c>
      <c r="AZ8" s="110" t="s">
        <v>303</v>
      </c>
      <c r="BA8" s="110" t="s">
        <v>303</v>
      </c>
      <c r="BB8" s="110" t="s">
        <v>303</v>
      </c>
      <c r="BC8" s="110" t="s">
        <v>303</v>
      </c>
      <c r="BD8" s="110" t="s">
        <v>303</v>
      </c>
      <c r="BE8" s="110" t="s">
        <v>303</v>
      </c>
      <c r="BF8" s="110" t="s">
        <v>303</v>
      </c>
      <c r="BG8" s="110" t="s">
        <v>303</v>
      </c>
      <c r="BH8" s="110" t="s">
        <v>303</v>
      </c>
      <c r="BI8" s="110" t="s">
        <v>303</v>
      </c>
      <c r="BJ8" s="110" t="s">
        <v>303</v>
      </c>
      <c r="BK8" s="110" t="s">
        <v>303</v>
      </c>
      <c r="BL8" s="110" t="s">
        <v>303</v>
      </c>
      <c r="BM8" s="110" t="s">
        <v>303</v>
      </c>
      <c r="BN8" s="110" t="s">
        <v>303</v>
      </c>
      <c r="BO8" s="110" t="s">
        <v>303</v>
      </c>
      <c r="BP8" s="110" t="s">
        <v>303</v>
      </c>
      <c r="BQ8" s="110" t="s">
        <v>303</v>
      </c>
      <c r="BR8" s="110" t="s">
        <v>303</v>
      </c>
      <c r="BS8" s="110" t="s">
        <v>303</v>
      </c>
      <c r="BT8" s="110" t="s">
        <v>303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4" t="s">
        <v>304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305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306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127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128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4" t="s">
        <v>307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120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74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75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129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130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133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134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136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138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140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76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141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78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143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79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80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308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157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85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309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86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87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165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168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90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172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91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94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93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92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95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96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97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98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99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100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101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102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103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104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105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106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107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310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108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182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183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311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312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188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189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190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110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111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195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139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313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161 Verdin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314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89" t="s">
        <v>315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>
      <c r="A7"/>
      <c r="B7" s="90" t="s">
        <v>316</v>
      </c>
      <c r="C7" s="101" t="str">
        <f>IF(ISBLANK(C6),"",0)</f>
        <v/>
      </c>
      <c r="D7" s="101" t="str">
        <f>IF(ISBLANK(D6),"",D6-C6)</f>
        <v/>
      </c>
      <c r="E7" s="101" t="str">
        <f t="shared" ref="E7:F7" si="0">IF(ISBLANK(E6),"",E6-D6)</f>
        <v/>
      </c>
      <c r="F7" s="101" t="str">
        <f t="shared" si="0"/>
        <v/>
      </c>
      <c r="G7" s="101" t="str">
        <f t="shared" ref="G7" si="1">IF(ISBLANK(G6),"",G6-F6)</f>
        <v/>
      </c>
      <c r="H7" s="101" t="str">
        <f t="shared" ref="H7" si="2">IF(ISBLANK(H6),"",H6-G6)</f>
        <v/>
      </c>
      <c r="I7" s="101" t="str">
        <f t="shared" ref="I7" si="3">IF(ISBLANK(I6),"",I6-H6)</f>
        <v/>
      </c>
      <c r="J7" s="101" t="str">
        <f t="shared" ref="J7" si="4">IF(ISBLANK(J6),"",J6-I6)</f>
        <v/>
      </c>
      <c r="K7" s="101" t="str">
        <f t="shared" ref="K7" si="5">IF(ISBLANK(K6),"",K6-J6)</f>
        <v/>
      </c>
      <c r="L7" s="101" t="str">
        <f t="shared" ref="L7" si="6">IF(ISBLANK(L6),"",L6-K6)</f>
        <v/>
      </c>
      <c r="M7" s="101" t="str">
        <f t="shared" ref="M7" si="7">IF(ISBLANK(M6),"",M6-L6)</f>
        <v/>
      </c>
      <c r="N7" s="101" t="str">
        <f t="shared" ref="N7" si="8">IF(ISBLANK(N6),"",N6-M6)</f>
        <v/>
      </c>
      <c r="O7" s="101" t="str">
        <f t="shared" ref="O7" si="9">IF(ISBLANK(O6),"",O6-N6)</f>
        <v/>
      </c>
      <c r="P7" s="101" t="str">
        <f t="shared" ref="P7" si="10">IF(ISBLANK(P6),"",P6-O6)</f>
        <v/>
      </c>
      <c r="Q7" s="101" t="str">
        <f t="shared" ref="Q7" si="11">IF(ISBLANK(Q6),"",Q6-P6)</f>
        <v/>
      </c>
      <c r="R7" s="101" t="str">
        <f t="shared" ref="R7" si="12">IF(ISBLANK(R6),"",R6-Q6)</f>
        <v/>
      </c>
      <c r="S7" s="101" t="str">
        <f t="shared" ref="S7" si="13">IF(ISBLANK(S6),"",S6-R6)</f>
        <v/>
      </c>
      <c r="T7" s="101" t="str">
        <f t="shared" ref="T7" si="14">IF(ISBLANK(T6),"",T6-S6)</f>
        <v/>
      </c>
      <c r="U7" s="101" t="str">
        <f t="shared" ref="U7" si="15">IF(ISBLANK(U6),"",U6-T6)</f>
        <v/>
      </c>
      <c r="V7" s="101" t="str">
        <f t="shared" ref="V7" si="16">IF(ISBLANK(V6),"",V6-U6)</f>
        <v/>
      </c>
      <c r="W7" s="101" t="str">
        <f t="shared" ref="W7" si="17">IF(ISBLANK(W6),"",W6-V6)</f>
        <v/>
      </c>
      <c r="X7" s="101" t="str">
        <f t="shared" ref="X7" si="18">IF(ISBLANK(X6),"",X6-W6)</f>
        <v/>
      </c>
      <c r="Y7" s="101" t="str">
        <f t="shared" ref="Y7" si="19">IF(ISBLANK(Y6),"",Y6-X6)</f>
        <v/>
      </c>
      <c r="Z7" s="101" t="str">
        <f t="shared" ref="Z7" si="20">IF(ISBLANK(Z6),"",Z6-Y6)</f>
        <v/>
      </c>
      <c r="AA7" s="101" t="str">
        <f t="shared" ref="AA7" si="21">IF(ISBLANK(AA6),"",AA6-Z6)</f>
        <v/>
      </c>
      <c r="AB7" s="101" t="str">
        <f t="shared" ref="AB7" si="22">IF(ISBLANK(AB6),"",AB6-AA6)</f>
        <v/>
      </c>
      <c r="AC7" s="101" t="str">
        <f t="shared" ref="AC7" si="23">IF(ISBLANK(AC6),"",AC6-AB6)</f>
        <v/>
      </c>
      <c r="AD7" s="101" t="str">
        <f t="shared" ref="AD7" si="24">IF(ISBLANK(AD6),"",AD6-AC6)</f>
        <v/>
      </c>
      <c r="AE7" s="101" t="str">
        <f t="shared" ref="AE7" si="25">IF(ISBLANK(AE6),"",AE6-AD6)</f>
        <v/>
      </c>
      <c r="AF7" s="101" t="str">
        <f t="shared" ref="AF7" si="26">IF(ISBLANK(AF6),"",AF6-AE6)</f>
        <v/>
      </c>
      <c r="AG7" s="101" t="str">
        <f t="shared" ref="AG7" si="27">IF(ISBLANK(AG6),"",AG6-AF6)</f>
        <v/>
      </c>
      <c r="AH7" s="101" t="str">
        <f t="shared" ref="AH7" si="28">IF(ISBLANK(AH6),"",AH6-AG6)</f>
        <v/>
      </c>
      <c r="AI7" s="101" t="str">
        <f t="shared" ref="AI7" si="29">IF(ISBLANK(AI6),"",AI6-AH6)</f>
        <v/>
      </c>
      <c r="AJ7" s="101" t="str">
        <f t="shared" ref="AJ7" si="30">IF(ISBLANK(AJ6),"",AJ6-AI6)</f>
        <v/>
      </c>
      <c r="AK7" s="101" t="str">
        <f t="shared" ref="AK7" si="31">IF(ISBLANK(AK6),"",AK6-AJ6)</f>
        <v/>
      </c>
      <c r="AL7" s="101" t="str">
        <f t="shared" ref="AL7" si="32">IF(ISBLANK(AL6),"",AL6-AK6)</f>
        <v/>
      </c>
      <c r="AM7" s="101" t="str">
        <f t="shared" ref="AM7" si="33">IF(ISBLANK(AM6),"",AM6-AL6)</f>
        <v/>
      </c>
      <c r="AN7" s="101" t="str">
        <f t="shared" ref="AN7" si="34">IF(ISBLANK(AN6),"",AN6-AM6)</f>
        <v/>
      </c>
      <c r="AO7" s="101" t="str">
        <f t="shared" ref="AO7" si="35">IF(ISBLANK(AO6),"",AO6-AN6)</f>
        <v/>
      </c>
      <c r="AP7" s="101" t="str">
        <f t="shared" ref="AP7" si="36">IF(ISBLANK(AP6),"",AP6-AO6)</f>
        <v/>
      </c>
      <c r="AQ7" s="101" t="str">
        <f t="shared" ref="AQ7" si="37">IF(ISBLANK(AQ6),"",AQ6-AP6)</f>
        <v/>
      </c>
      <c r="AR7" s="101" t="str">
        <f t="shared" ref="AR7" si="38">IF(ISBLANK(AR6),"",AR6-AQ6)</f>
        <v/>
      </c>
      <c r="AS7" s="101" t="str">
        <f t="shared" ref="AS7" si="39">IF(ISBLANK(AS6),"",AS6-AR6)</f>
        <v/>
      </c>
      <c r="AT7" s="101" t="str">
        <f t="shared" ref="AT7" si="40">IF(ISBLANK(AT6),"",AT6-AS6)</f>
        <v/>
      </c>
      <c r="AU7" s="101" t="str">
        <f t="shared" ref="AU7" si="41">IF(ISBLANK(AU6),"",AU6-AT6)</f>
        <v/>
      </c>
      <c r="AV7" s="101" t="str">
        <f t="shared" ref="AV7" si="42">IF(ISBLANK(AV6),"",AV6-AU6)</f>
        <v/>
      </c>
      <c r="AW7" s="101" t="str">
        <f t="shared" ref="AW7" si="43">IF(ISBLANK(AW6),"",AW6-AV6)</f>
        <v/>
      </c>
      <c r="AX7" s="101" t="str">
        <f t="shared" ref="AX7" si="44">IF(ISBLANK(AX6),"",AX6-AW6)</f>
        <v/>
      </c>
      <c r="AY7" s="101" t="str">
        <f t="shared" ref="AY7" si="45">IF(ISBLANK(AY6),"",AY6-AX6)</f>
        <v/>
      </c>
      <c r="AZ7" s="101" t="str">
        <f t="shared" ref="AZ7" si="46">IF(ISBLANK(AZ6),"",AZ6-AY6)</f>
        <v/>
      </c>
      <c r="BA7" s="101" t="str">
        <f t="shared" ref="BA7" si="47">IF(ISBLANK(BA6),"",BA6-AZ6)</f>
        <v/>
      </c>
      <c r="BB7" s="101" t="str">
        <f t="shared" ref="BB7" si="48">IF(ISBLANK(BB6),"",BB6-BA6)</f>
        <v/>
      </c>
      <c r="BC7" s="101" t="str">
        <f t="shared" ref="BC7" si="49">IF(ISBLANK(BC6),"",BC6-BB6)</f>
        <v/>
      </c>
      <c r="BD7" s="101" t="str">
        <f t="shared" ref="BD7" si="50">IF(ISBLANK(BD6),"",BD6-BC6)</f>
        <v/>
      </c>
      <c r="BE7" s="101" t="str">
        <f t="shared" ref="BE7" si="51">IF(ISBLANK(BE6),"",BE6-BD6)</f>
        <v/>
      </c>
      <c r="BF7" s="101" t="str">
        <f t="shared" ref="BF7" si="52">IF(ISBLANK(BF6),"",BF6-BE6)</f>
        <v/>
      </c>
      <c r="BG7" s="101" t="str">
        <f t="shared" ref="BG7" si="53">IF(ISBLANK(BG6),"",BG6-BF6)</f>
        <v/>
      </c>
      <c r="BH7" s="101" t="str">
        <f t="shared" ref="BH7" si="54">IF(ISBLANK(BH6),"",BH6-BG6)</f>
        <v/>
      </c>
      <c r="BI7" s="101" t="str">
        <f t="shared" ref="BI7" si="55">IF(ISBLANK(BI6),"",BI6-BH6)</f>
        <v/>
      </c>
      <c r="BJ7" s="102" t="str">
        <f t="shared" ref="BJ7" si="56">IF(ISBLANK(BJ6),"",BJ6-BI6)</f>
        <v/>
      </c>
      <c r="BK7"/>
      <c r="BL7" s="5"/>
    </row>
    <row r="8" spans="1:64">
      <c r="A8"/>
      <c r="B8" s="90" t="s">
        <v>317</v>
      </c>
      <c r="C8" s="100" t="str">
        <f t="shared" ref="C8:AH8" si="57">IFERROR(C7/365,"")</f>
        <v/>
      </c>
      <c r="D8" s="100" t="str">
        <f t="shared" si="57"/>
        <v/>
      </c>
      <c r="E8" s="100" t="str">
        <f t="shared" si="57"/>
        <v/>
      </c>
      <c r="F8" s="100" t="str">
        <f t="shared" si="57"/>
        <v/>
      </c>
      <c r="G8" s="100" t="str">
        <f t="shared" si="57"/>
        <v/>
      </c>
      <c r="H8" s="100" t="str">
        <f t="shared" si="57"/>
        <v/>
      </c>
      <c r="I8" s="100" t="str">
        <f t="shared" si="57"/>
        <v/>
      </c>
      <c r="J8" s="100" t="str">
        <f t="shared" si="57"/>
        <v/>
      </c>
      <c r="K8" s="100" t="str">
        <f t="shared" si="57"/>
        <v/>
      </c>
      <c r="L8" s="100" t="str">
        <f t="shared" si="57"/>
        <v/>
      </c>
      <c r="M8" s="100" t="str">
        <f t="shared" si="57"/>
        <v/>
      </c>
      <c r="N8" s="100" t="str">
        <f t="shared" si="57"/>
        <v/>
      </c>
      <c r="O8" s="100" t="str">
        <f t="shared" si="57"/>
        <v/>
      </c>
      <c r="P8" s="100" t="str">
        <f t="shared" si="57"/>
        <v/>
      </c>
      <c r="Q8" s="100" t="str">
        <f t="shared" si="57"/>
        <v/>
      </c>
      <c r="R8" s="100" t="str">
        <f t="shared" si="57"/>
        <v/>
      </c>
      <c r="S8" s="100" t="str">
        <f t="shared" si="57"/>
        <v/>
      </c>
      <c r="T8" s="100" t="str">
        <f t="shared" si="57"/>
        <v/>
      </c>
      <c r="U8" s="100" t="str">
        <f t="shared" si="57"/>
        <v/>
      </c>
      <c r="V8" s="100" t="str">
        <f t="shared" si="57"/>
        <v/>
      </c>
      <c r="W8" s="100" t="str">
        <f t="shared" si="57"/>
        <v/>
      </c>
      <c r="X8" s="100" t="str">
        <f t="shared" si="57"/>
        <v/>
      </c>
      <c r="Y8" s="100" t="str">
        <f t="shared" si="57"/>
        <v/>
      </c>
      <c r="Z8" s="100" t="str">
        <f t="shared" si="57"/>
        <v/>
      </c>
      <c r="AA8" s="100" t="str">
        <f t="shared" si="57"/>
        <v/>
      </c>
      <c r="AB8" s="100" t="str">
        <f t="shared" si="57"/>
        <v/>
      </c>
      <c r="AC8" s="100" t="str">
        <f t="shared" si="57"/>
        <v/>
      </c>
      <c r="AD8" s="100" t="str">
        <f t="shared" si="57"/>
        <v/>
      </c>
      <c r="AE8" s="100" t="str">
        <f t="shared" si="57"/>
        <v/>
      </c>
      <c r="AF8" s="100" t="str">
        <f t="shared" si="57"/>
        <v/>
      </c>
      <c r="AG8" s="100" t="str">
        <f t="shared" si="57"/>
        <v/>
      </c>
      <c r="AH8" s="100" t="str">
        <f t="shared" si="57"/>
        <v/>
      </c>
      <c r="AI8" s="100" t="str">
        <f t="shared" ref="AI8:BJ8" si="58">IFERROR(AI7/365,"")</f>
        <v/>
      </c>
      <c r="AJ8" s="100" t="str">
        <f t="shared" si="58"/>
        <v/>
      </c>
      <c r="AK8" s="100" t="str">
        <f t="shared" si="58"/>
        <v/>
      </c>
      <c r="AL8" s="100" t="str">
        <f t="shared" si="58"/>
        <v/>
      </c>
      <c r="AM8" s="100" t="str">
        <f t="shared" si="58"/>
        <v/>
      </c>
      <c r="AN8" s="100" t="str">
        <f t="shared" si="58"/>
        <v/>
      </c>
      <c r="AO8" s="100" t="str">
        <f t="shared" si="58"/>
        <v/>
      </c>
      <c r="AP8" s="100" t="str">
        <f t="shared" si="58"/>
        <v/>
      </c>
      <c r="AQ8" s="100" t="str">
        <f t="shared" si="58"/>
        <v/>
      </c>
      <c r="AR8" s="100" t="str">
        <f t="shared" si="58"/>
        <v/>
      </c>
      <c r="AS8" s="100" t="str">
        <f t="shared" si="58"/>
        <v/>
      </c>
      <c r="AT8" s="100" t="str">
        <f t="shared" si="58"/>
        <v/>
      </c>
      <c r="AU8" s="100" t="str">
        <f t="shared" si="58"/>
        <v/>
      </c>
      <c r="AV8" s="100" t="str">
        <f t="shared" si="58"/>
        <v/>
      </c>
      <c r="AW8" s="100" t="str">
        <f t="shared" si="58"/>
        <v/>
      </c>
      <c r="AX8" s="100" t="str">
        <f t="shared" si="58"/>
        <v/>
      </c>
      <c r="AY8" s="100" t="str">
        <f t="shared" si="58"/>
        <v/>
      </c>
      <c r="AZ8" s="100" t="str">
        <f t="shared" si="58"/>
        <v/>
      </c>
      <c r="BA8" s="100" t="str">
        <f t="shared" si="58"/>
        <v/>
      </c>
      <c r="BB8" s="100" t="str">
        <f t="shared" si="58"/>
        <v/>
      </c>
      <c r="BC8" s="100" t="str">
        <f t="shared" si="58"/>
        <v/>
      </c>
      <c r="BD8" s="100" t="str">
        <f t="shared" si="58"/>
        <v/>
      </c>
      <c r="BE8" s="100" t="str">
        <f t="shared" si="58"/>
        <v/>
      </c>
      <c r="BF8" s="100" t="str">
        <f t="shared" si="58"/>
        <v/>
      </c>
      <c r="BG8" s="100" t="str">
        <f t="shared" si="58"/>
        <v/>
      </c>
      <c r="BH8" s="100" t="str">
        <f t="shared" si="58"/>
        <v/>
      </c>
      <c r="BI8" s="100" t="str">
        <f t="shared" si="58"/>
        <v/>
      </c>
      <c r="BJ8" s="103" t="str">
        <f t="shared" si="58"/>
        <v/>
      </c>
      <c r="BK8"/>
      <c r="BL8" s="5"/>
    </row>
    <row r="9" spans="1:64">
      <c r="A9"/>
      <c r="B9" s="91" t="s">
        <v>302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0" t="s">
        <v>318</v>
      </c>
      <c r="C11" s="95" t="s">
        <v>319</v>
      </c>
      <c r="D11" s="95" t="s">
        <v>320</v>
      </c>
      <c r="E11" s="95" t="s">
        <v>122</v>
      </c>
      <c r="F11" s="95" t="s">
        <v>321</v>
      </c>
      <c r="G11" s="95" t="s">
        <v>322</v>
      </c>
      <c r="H11" s="96" t="s">
        <v>323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324</v>
      </c>
      <c r="C12" s="48">
        <f>IFERROR(XIRR(C66:BJ66,C6:BJ6,0),0)</f>
        <v>0</v>
      </c>
      <c r="D12" s="48">
        <f>IFERROR(XIRR(C112:BJ112,C6:BJ6,0),0)</f>
        <v>0</v>
      </c>
      <c r="E12" s="48">
        <f>IFERROR(XIRR(C122:BJ122,C6:BJ6,0),0)</f>
        <v>0</v>
      </c>
      <c r="F12" s="48">
        <f>IFERROR(XIRR(C256:BJ256,C6:BJ6,0),0)</f>
        <v>0</v>
      </c>
      <c r="G12" s="48">
        <f>IFERROR(XIRR(C247:BJ247,C6:BJ6,0),0)</f>
        <v>0</v>
      </c>
      <c r="H12" s="48" t="s">
        <v>67</v>
      </c>
      <c r="I12"/>
      <c r="J12" s="112" t="s">
        <v>325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326</v>
      </c>
      <c r="C13" s="97">
        <f>IFERROR(C15/C14,0)</f>
        <v>0</v>
      </c>
      <c r="D13" s="97">
        <f t="shared" ref="D13:G13" si="59">IFERROR(D15/D14,0)</f>
        <v>0</v>
      </c>
      <c r="E13" s="97">
        <f t="shared" si="59"/>
        <v>0</v>
      </c>
      <c r="F13" s="97">
        <f t="shared" si="59"/>
        <v>0</v>
      </c>
      <c r="G13" s="97">
        <f t="shared" si="59"/>
        <v>0</v>
      </c>
      <c r="H13" s="97" t="s">
        <v>67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327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67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328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329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67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4" t="s">
        <v>330</v>
      </c>
      <c r="C18" s="73" t="s">
        <v>331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332</v>
      </c>
      <c r="C19" s="43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333</v>
      </c>
      <c r="C20" s="23" t="s">
        <v>334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335</v>
      </c>
      <c r="C21" s="49">
        <v>1</v>
      </c>
      <c r="D21" s="24" t="s">
        <v>336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4" t="s">
        <v>337</v>
      </c>
      <c r="C23" s="73" t="e">
        <f>+TEXT(#REF!,"")</f>
        <v>#REF!</v>
      </c>
      <c r="D23" s="73" t="e">
        <f>+TEXT(#REF!,"")</f>
        <v>#REF!</v>
      </c>
      <c r="E23" s="73" t="e">
        <f>+TEXT(#REF!,"")</f>
        <v>#REF!</v>
      </c>
      <c r="F23" s="73" t="e">
        <f>+TEXT(#REF!,"")</f>
        <v>#REF!</v>
      </c>
      <c r="G23" s="73" t="e">
        <f>+TEXT(#REF!,"")</f>
        <v>#REF!</v>
      </c>
      <c r="H23" s="7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7" t="e">
        <f>+#REF!</f>
        <v>#REF!</v>
      </c>
      <c r="E24" s="87" t="e">
        <f>+#REF!</f>
        <v>#REF!</v>
      </c>
      <c r="F24" s="87" t="e">
        <f>+#REF!</f>
        <v>#REF!</v>
      </c>
      <c r="G24" s="42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7" t="e">
        <f>+#REF!</f>
        <v>#REF!</v>
      </c>
      <c r="E25" s="87" t="e">
        <f>+#REF!</f>
        <v>#REF!</v>
      </c>
      <c r="F25" s="87" t="e">
        <f>+#REF!</f>
        <v>#REF!</v>
      </c>
      <c r="G25" s="42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338</v>
      </c>
      <c r="D26" s="87" t="e">
        <f>+#REF!</f>
        <v>#REF!</v>
      </c>
      <c r="E26" s="87" t="e">
        <f>+#REF!</f>
        <v>#REF!</v>
      </c>
      <c r="F26" s="87" t="e">
        <f>+#REF!</f>
        <v>#REF!</v>
      </c>
      <c r="G26" s="42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338</v>
      </c>
      <c r="D27" s="87" t="e">
        <f>+#REF!</f>
        <v>#REF!</v>
      </c>
      <c r="E27" s="87" t="e">
        <f>+#REF!</f>
        <v>#REF!</v>
      </c>
      <c r="F27" s="87" t="e">
        <f>+#REF!</f>
        <v>#REF!</v>
      </c>
      <c r="G27" s="42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7" t="e">
        <f>+#REF!</f>
        <v>#REF!</v>
      </c>
      <c r="E28" s="87" t="e">
        <f>+#REF!</f>
        <v>#REF!</v>
      </c>
      <c r="F28" s="87" t="e">
        <f>+#REF!</f>
        <v>#REF!</v>
      </c>
      <c r="G28" s="42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4" t="s">
        <v>339</v>
      </c>
      <c r="C30" s="73" t="s">
        <v>116</v>
      </c>
      <c r="D30" s="73" t="s">
        <v>35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322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321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58</v>
      </c>
      <c r="C33" s="35">
        <f>SUM(C31:C32)</f>
        <v>0</v>
      </c>
      <c r="D33" s="98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4" t="s">
        <v>340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341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342</v>
      </c>
      <c r="C38" s="73" t="s">
        <v>116</v>
      </c>
      <c r="D38" s="73" t="s">
        <v>70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343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344</v>
      </c>
      <c r="C40" s="14">
        <f>-E40*C39</f>
        <v>-572000</v>
      </c>
      <c r="D40" s="14">
        <f t="shared" ref="D40:D48" si="62">IFERROR(C40/$C$51,0)</f>
        <v>0</v>
      </c>
      <c r="E40" s="47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85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345</v>
      </c>
      <c r="C42" s="14">
        <f>-E42*C39</f>
        <v>-228800</v>
      </c>
      <c r="D42" s="14">
        <f t="shared" si="62"/>
        <v>0</v>
      </c>
      <c r="E42" s="47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346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287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347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348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349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350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351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203</v>
      </c>
      <c r="C51" s="99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4" t="s">
        <v>352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353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322</v>
      </c>
      <c r="C55" s="99">
        <v>0</v>
      </c>
      <c r="D55" s="99">
        <v>0</v>
      </c>
      <c r="E55" s="99">
        <v>0</v>
      </c>
      <c r="F55" s="99">
        <v>0</v>
      </c>
      <c r="G55" s="99">
        <v>0</v>
      </c>
      <c r="H55" s="99">
        <v>0</v>
      </c>
      <c r="I55" s="99">
        <v>0</v>
      </c>
      <c r="J55" s="99">
        <v>0</v>
      </c>
      <c r="K55" s="99">
        <v>0</v>
      </c>
      <c r="L55" s="99">
        <v>0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99">
        <v>0</v>
      </c>
      <c r="S55" s="99">
        <v>0</v>
      </c>
      <c r="T55" s="99">
        <v>0</v>
      </c>
      <c r="U55" s="99">
        <v>0</v>
      </c>
      <c r="V55" s="99">
        <v>0</v>
      </c>
      <c r="W55" s="99">
        <v>0</v>
      </c>
      <c r="X55" s="99">
        <v>0</v>
      </c>
      <c r="Y55" s="99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99">
        <v>0</v>
      </c>
      <c r="AG55" s="99">
        <v>0</v>
      </c>
      <c r="AH55" s="99">
        <v>0</v>
      </c>
      <c r="AI55" s="99">
        <v>0</v>
      </c>
      <c r="AJ55" s="99">
        <v>0</v>
      </c>
      <c r="AK55" s="99">
        <v>0</v>
      </c>
      <c r="AL55" s="99">
        <v>0</v>
      </c>
      <c r="AM55" s="99">
        <v>0</v>
      </c>
      <c r="AN55" s="99">
        <v>0</v>
      </c>
      <c r="AO55" s="99">
        <v>0</v>
      </c>
      <c r="AP55" s="99">
        <v>0</v>
      </c>
      <c r="AQ55" s="99">
        <v>0</v>
      </c>
      <c r="AR55" s="99">
        <v>0</v>
      </c>
      <c r="AS55" s="99">
        <v>0</v>
      </c>
      <c r="AT55" s="99">
        <v>0</v>
      </c>
      <c r="AU55" s="99">
        <v>0</v>
      </c>
      <c r="AV55" s="99">
        <v>0</v>
      </c>
      <c r="AW55" s="99">
        <v>0</v>
      </c>
      <c r="AX55" s="99">
        <v>0</v>
      </c>
      <c r="AY55" s="99">
        <v>0</v>
      </c>
      <c r="AZ55" s="99">
        <v>0</v>
      </c>
      <c r="BA55" s="99">
        <v>0</v>
      </c>
      <c r="BB55" s="99">
        <v>0</v>
      </c>
      <c r="BC55" s="99">
        <v>0</v>
      </c>
      <c r="BD55" s="99">
        <v>0</v>
      </c>
      <c r="BE55" s="99">
        <v>0</v>
      </c>
      <c r="BF55" s="99">
        <v>0</v>
      </c>
      <c r="BG55" s="99">
        <v>0</v>
      </c>
      <c r="BH55" s="99">
        <v>0</v>
      </c>
      <c r="BI55" s="99">
        <v>0</v>
      </c>
      <c r="BJ55" s="99">
        <v>0</v>
      </c>
      <c r="BK55"/>
      <c r="BL55" s="5"/>
    </row>
    <row r="56" spans="1:64">
      <c r="A56"/>
      <c r="B56" t="s">
        <v>321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99">
        <v>0</v>
      </c>
      <c r="AG56" s="99">
        <v>0</v>
      </c>
      <c r="AH56" s="99">
        <v>0</v>
      </c>
      <c r="AI56" s="99">
        <v>0</v>
      </c>
      <c r="AJ56" s="99">
        <v>0</v>
      </c>
      <c r="AK56" s="99">
        <v>0</v>
      </c>
      <c r="AL56" s="99">
        <v>0</v>
      </c>
      <c r="AM56" s="99">
        <v>0</v>
      </c>
      <c r="AN56" s="99">
        <v>0</v>
      </c>
      <c r="AO56" s="99">
        <v>0</v>
      </c>
      <c r="AP56" s="99">
        <v>0</v>
      </c>
      <c r="AQ56" s="99">
        <v>0</v>
      </c>
      <c r="AR56" s="99">
        <v>0</v>
      </c>
      <c r="AS56" s="99">
        <v>0</v>
      </c>
      <c r="AT56" s="99">
        <v>0</v>
      </c>
      <c r="AU56" s="99">
        <v>0</v>
      </c>
      <c r="AV56" s="99">
        <v>0</v>
      </c>
      <c r="AW56" s="99">
        <v>0</v>
      </c>
      <c r="AX56" s="99">
        <v>0</v>
      </c>
      <c r="AY56" s="99">
        <v>0</v>
      </c>
      <c r="AZ56" s="99">
        <v>0</v>
      </c>
      <c r="BA56" s="99">
        <v>0</v>
      </c>
      <c r="BB56" s="99">
        <v>0</v>
      </c>
      <c r="BC56" s="99">
        <v>0</v>
      </c>
      <c r="BD56" s="99">
        <v>0</v>
      </c>
      <c r="BE56" s="99">
        <v>0</v>
      </c>
      <c r="BF56" s="99">
        <v>0</v>
      </c>
      <c r="BG56" s="99">
        <v>0</v>
      </c>
      <c r="BH56" s="99">
        <v>0</v>
      </c>
      <c r="BI56" s="99">
        <v>0</v>
      </c>
      <c r="BJ56" s="99">
        <v>0</v>
      </c>
      <c r="BK56"/>
      <c r="BL56" s="5"/>
    </row>
    <row r="57" spans="1:64">
      <c r="A57"/>
      <c r="B57" t="s">
        <v>124</v>
      </c>
      <c r="C57" s="99" t="e">
        <f>-#REF!</f>
        <v>#REF!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99">
        <v>0</v>
      </c>
      <c r="AI57" s="99">
        <v>0</v>
      </c>
      <c r="AJ57" s="99">
        <v>0</v>
      </c>
      <c r="AK57" s="99">
        <v>0</v>
      </c>
      <c r="AL57" s="99">
        <v>0</v>
      </c>
      <c r="AM57" s="99">
        <v>0</v>
      </c>
      <c r="AN57" s="99">
        <v>0</v>
      </c>
      <c r="AO57" s="99">
        <v>0</v>
      </c>
      <c r="AP57" s="99">
        <v>0</v>
      </c>
      <c r="AQ57" s="99">
        <v>0</v>
      </c>
      <c r="AR57" s="99">
        <v>0</v>
      </c>
      <c r="AS57" s="99">
        <v>0</v>
      </c>
      <c r="AT57" s="99">
        <v>0</v>
      </c>
      <c r="AU57" s="99">
        <v>0</v>
      </c>
      <c r="AV57" s="99">
        <v>0</v>
      </c>
      <c r="AW57" s="99">
        <v>0</v>
      </c>
      <c r="AX57" s="99">
        <v>0</v>
      </c>
      <c r="AY57" s="99">
        <v>0</v>
      </c>
      <c r="AZ57" s="99">
        <v>0</v>
      </c>
      <c r="BA57" s="99">
        <v>0</v>
      </c>
      <c r="BB57" s="99">
        <v>0</v>
      </c>
      <c r="BC57" s="99">
        <v>0</v>
      </c>
      <c r="BD57" s="99">
        <v>0</v>
      </c>
      <c r="BE57" s="99">
        <v>0</v>
      </c>
      <c r="BF57" s="99">
        <v>0</v>
      </c>
      <c r="BG57" s="99">
        <v>0</v>
      </c>
      <c r="BH57" s="99">
        <v>0</v>
      </c>
      <c r="BI57" s="99">
        <v>0</v>
      </c>
      <c r="BJ57" s="99">
        <v>0</v>
      </c>
      <c r="BK57"/>
      <c r="BL57" s="5"/>
    </row>
    <row r="58" spans="1:64">
      <c r="A58"/>
      <c r="B58" s="3" t="s">
        <v>354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355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351</v>
      </c>
      <c r="C61" s="99">
        <v>0</v>
      </c>
      <c r="D61" s="99">
        <v>0</v>
      </c>
      <c r="E61" s="99">
        <v>0</v>
      </c>
      <c r="F61" s="99">
        <v>0</v>
      </c>
      <c r="G61" s="99">
        <v>0</v>
      </c>
      <c r="H61" s="99">
        <v>0</v>
      </c>
      <c r="I61" s="99">
        <v>0</v>
      </c>
      <c r="J61" s="99">
        <v>0</v>
      </c>
      <c r="K61" s="99">
        <v>0</v>
      </c>
      <c r="L61" s="99">
        <v>0</v>
      </c>
      <c r="M61" s="99">
        <v>0</v>
      </c>
      <c r="N61" s="99">
        <v>0</v>
      </c>
      <c r="O61" s="99">
        <v>0</v>
      </c>
      <c r="P61" s="99">
        <v>0</v>
      </c>
      <c r="Q61" s="99">
        <v>0</v>
      </c>
      <c r="R61" s="99">
        <v>0</v>
      </c>
      <c r="S61" s="99">
        <v>0</v>
      </c>
      <c r="T61" s="99">
        <v>0</v>
      </c>
      <c r="U61" s="99">
        <v>0</v>
      </c>
      <c r="V61" s="99">
        <v>0</v>
      </c>
      <c r="W61" s="99">
        <v>0</v>
      </c>
      <c r="X61" s="99">
        <v>0</v>
      </c>
      <c r="Y61" s="99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99">
        <v>0</v>
      </c>
      <c r="AG61" s="99">
        <v>0</v>
      </c>
      <c r="AH61" s="99">
        <v>0</v>
      </c>
      <c r="AI61" s="99">
        <v>0</v>
      </c>
      <c r="AJ61" s="99">
        <v>0</v>
      </c>
      <c r="AK61" s="99">
        <v>0</v>
      </c>
      <c r="AL61" s="99">
        <v>0</v>
      </c>
      <c r="AM61" s="99">
        <v>0</v>
      </c>
      <c r="AN61" s="99">
        <v>0</v>
      </c>
      <c r="AO61" s="99">
        <v>0</v>
      </c>
      <c r="AP61" s="99">
        <v>0</v>
      </c>
      <c r="AQ61" s="99">
        <v>0</v>
      </c>
      <c r="AR61" s="99">
        <v>0</v>
      </c>
      <c r="AS61" s="99">
        <v>0</v>
      </c>
      <c r="AT61" s="99">
        <v>0</v>
      </c>
      <c r="AU61" s="99">
        <v>0</v>
      </c>
      <c r="AV61" s="99">
        <v>0</v>
      </c>
      <c r="AW61" s="99">
        <v>0</v>
      </c>
      <c r="AX61" s="99">
        <v>0</v>
      </c>
      <c r="AY61" s="99">
        <v>0</v>
      </c>
      <c r="AZ61" s="99">
        <v>0</v>
      </c>
      <c r="BA61" s="99">
        <v>0</v>
      </c>
      <c r="BB61" s="99">
        <v>0</v>
      </c>
      <c r="BC61" s="99">
        <v>0</v>
      </c>
      <c r="BD61" s="99">
        <v>0</v>
      </c>
      <c r="BE61" s="99">
        <v>0</v>
      </c>
      <c r="BF61" s="99">
        <v>0</v>
      </c>
      <c r="BG61" s="99">
        <v>0</v>
      </c>
      <c r="BH61" s="99">
        <v>0</v>
      </c>
      <c r="BI61" s="99">
        <v>0</v>
      </c>
      <c r="BJ61" s="99">
        <v>0</v>
      </c>
      <c r="BK61"/>
      <c r="BL61" s="5"/>
    </row>
    <row r="62" spans="1:64">
      <c r="A62"/>
      <c r="B62" t="s">
        <v>356</v>
      </c>
      <c r="C62" s="99">
        <v>0</v>
      </c>
      <c r="D62" s="99">
        <v>0</v>
      </c>
      <c r="E62" s="99">
        <v>0</v>
      </c>
      <c r="F62" s="99">
        <v>0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99">
        <v>0</v>
      </c>
      <c r="O62" s="99">
        <v>0</v>
      </c>
      <c r="P62" s="99">
        <v>0</v>
      </c>
      <c r="Q62" s="99">
        <v>0</v>
      </c>
      <c r="R62" s="99">
        <v>0</v>
      </c>
      <c r="S62" s="99">
        <v>0</v>
      </c>
      <c r="T62" s="99">
        <v>0</v>
      </c>
      <c r="U62" s="99">
        <v>0</v>
      </c>
      <c r="V62" s="99">
        <v>0</v>
      </c>
      <c r="W62" s="99">
        <v>0</v>
      </c>
      <c r="X62" s="99">
        <v>0</v>
      </c>
      <c r="Y62" s="99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99">
        <v>0</v>
      </c>
      <c r="AG62" s="99">
        <v>0</v>
      </c>
      <c r="AH62" s="99">
        <v>0</v>
      </c>
      <c r="AI62" s="99">
        <v>0</v>
      </c>
      <c r="AJ62" s="99">
        <v>0</v>
      </c>
      <c r="AK62" s="99">
        <v>0</v>
      </c>
      <c r="AL62" s="99">
        <v>0</v>
      </c>
      <c r="AM62" s="99">
        <v>0</v>
      </c>
      <c r="AN62" s="99">
        <v>0</v>
      </c>
      <c r="AO62" s="99">
        <v>0</v>
      </c>
      <c r="AP62" s="99">
        <v>0</v>
      </c>
      <c r="AQ62" s="99">
        <v>0</v>
      </c>
      <c r="AR62" s="99">
        <v>0</v>
      </c>
      <c r="AS62" s="99">
        <v>0</v>
      </c>
      <c r="AT62" s="99">
        <v>0</v>
      </c>
      <c r="AU62" s="99">
        <v>0</v>
      </c>
      <c r="AV62" s="99">
        <v>0</v>
      </c>
      <c r="AW62" s="99">
        <v>0</v>
      </c>
      <c r="AX62" s="99">
        <v>0</v>
      </c>
      <c r="AY62" s="99">
        <v>0</v>
      </c>
      <c r="AZ62" s="99">
        <v>0</v>
      </c>
      <c r="BA62" s="99">
        <v>0</v>
      </c>
      <c r="BB62" s="99">
        <v>0</v>
      </c>
      <c r="BC62" s="99">
        <v>0</v>
      </c>
      <c r="BD62" s="99">
        <v>0</v>
      </c>
      <c r="BE62" s="99">
        <v>0</v>
      </c>
      <c r="BF62" s="99">
        <v>0</v>
      </c>
      <c r="BG62" s="99">
        <v>0</v>
      </c>
      <c r="BH62" s="99">
        <v>0</v>
      </c>
      <c r="BI62" s="99">
        <v>0</v>
      </c>
      <c r="BJ62" s="99">
        <v>0</v>
      </c>
      <c r="BK62"/>
      <c r="BL62" s="5"/>
    </row>
    <row r="63" spans="1:64">
      <c r="A63"/>
      <c r="B63" t="s">
        <v>357</v>
      </c>
      <c r="C63" s="99">
        <v>0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99">
        <v>0</v>
      </c>
      <c r="S63" s="99">
        <v>0</v>
      </c>
      <c r="T63" s="99">
        <v>0</v>
      </c>
      <c r="U63" s="99">
        <v>0</v>
      </c>
      <c r="V63" s="99">
        <v>0</v>
      </c>
      <c r="W63" s="99">
        <v>0</v>
      </c>
      <c r="X63" s="99">
        <v>0</v>
      </c>
      <c r="Y63" s="99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99">
        <v>0</v>
      </c>
      <c r="AG63" s="99">
        <v>0</v>
      </c>
      <c r="AH63" s="99">
        <v>0</v>
      </c>
      <c r="AI63" s="99">
        <v>0</v>
      </c>
      <c r="AJ63" s="99">
        <v>0</v>
      </c>
      <c r="AK63" s="99">
        <v>0</v>
      </c>
      <c r="AL63" s="99">
        <v>0</v>
      </c>
      <c r="AM63" s="99">
        <v>0</v>
      </c>
      <c r="AN63" s="99">
        <v>0</v>
      </c>
      <c r="AO63" s="99">
        <v>0</v>
      </c>
      <c r="AP63" s="99">
        <v>0</v>
      </c>
      <c r="AQ63" s="99">
        <v>0</v>
      </c>
      <c r="AR63" s="99">
        <v>0</v>
      </c>
      <c r="AS63" s="99">
        <v>0</v>
      </c>
      <c r="AT63" s="99">
        <v>0</v>
      </c>
      <c r="AU63" s="99">
        <v>0</v>
      </c>
      <c r="AV63" s="99">
        <v>0</v>
      </c>
      <c r="AW63" s="99">
        <v>0</v>
      </c>
      <c r="AX63" s="99">
        <v>0</v>
      </c>
      <c r="AY63" s="99">
        <v>0</v>
      </c>
      <c r="AZ63" s="99">
        <v>0</v>
      </c>
      <c r="BA63" s="99">
        <v>0</v>
      </c>
      <c r="BB63" s="99">
        <v>0</v>
      </c>
      <c r="BC63" s="99">
        <v>0</v>
      </c>
      <c r="BD63" s="99">
        <v>0</v>
      </c>
      <c r="BE63" s="99">
        <v>0</v>
      </c>
      <c r="BF63" s="99">
        <v>0</v>
      </c>
      <c r="BG63" s="99">
        <v>0</v>
      </c>
      <c r="BH63" s="99">
        <v>0</v>
      </c>
      <c r="BI63" s="99">
        <v>0</v>
      </c>
      <c r="BJ63" s="99">
        <v>0</v>
      </c>
      <c r="BK63"/>
      <c r="BL63" s="5"/>
    </row>
    <row r="64" spans="1:64">
      <c r="A64"/>
      <c r="B64" s="3" t="s">
        <v>358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352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4" t="s">
        <v>124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359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360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361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362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363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364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365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362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366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363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367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368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369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370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360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371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366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367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372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373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360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374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369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373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375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376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375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377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327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378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379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380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58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4" t="s">
        <v>381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353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322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321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354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358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382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360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4" t="s">
        <v>383</v>
      </c>
      <c r="C126" s="106" t="e">
        <f>C125*$F$24</f>
        <v>#REF!</v>
      </c>
      <c r="D126" s="106" t="e">
        <f t="shared" ref="D126:BJ126" si="106">D125*$F$24</f>
        <v>#REF!</v>
      </c>
      <c r="E126" s="106" t="e">
        <f t="shared" si="106"/>
        <v>#REF!</v>
      </c>
      <c r="F126" s="106" t="e">
        <f t="shared" si="106"/>
        <v>#REF!</v>
      </c>
      <c r="G126" s="106" t="e">
        <f t="shared" si="106"/>
        <v>#REF!</v>
      </c>
      <c r="H126" s="106" t="e">
        <f t="shared" si="106"/>
        <v>#REF!</v>
      </c>
      <c r="I126" s="106" t="e">
        <f t="shared" si="106"/>
        <v>#REF!</v>
      </c>
      <c r="J126" s="106" t="e">
        <f t="shared" si="106"/>
        <v>#REF!</v>
      </c>
      <c r="K126" s="106" t="e">
        <f t="shared" si="106"/>
        <v>#REF!</v>
      </c>
      <c r="L126" s="106" t="e">
        <f t="shared" si="106"/>
        <v>#REF!</v>
      </c>
      <c r="M126" s="106" t="e">
        <f t="shared" si="106"/>
        <v>#REF!</v>
      </c>
      <c r="N126" s="106" t="e">
        <f t="shared" si="106"/>
        <v>#REF!</v>
      </c>
      <c r="O126" s="106" t="e">
        <f t="shared" si="106"/>
        <v>#REF!</v>
      </c>
      <c r="P126" s="106" t="e">
        <f t="shared" si="106"/>
        <v>#REF!</v>
      </c>
      <c r="Q126" s="106" t="e">
        <f t="shared" si="106"/>
        <v>#REF!</v>
      </c>
      <c r="R126" s="106" t="e">
        <f t="shared" si="106"/>
        <v>#REF!</v>
      </c>
      <c r="S126" s="106" t="e">
        <f t="shared" si="106"/>
        <v>#REF!</v>
      </c>
      <c r="T126" s="106" t="e">
        <f t="shared" si="106"/>
        <v>#REF!</v>
      </c>
      <c r="U126" s="106" t="e">
        <f t="shared" si="106"/>
        <v>#REF!</v>
      </c>
      <c r="V126" s="106" t="e">
        <f t="shared" si="106"/>
        <v>#REF!</v>
      </c>
      <c r="W126" s="106" t="e">
        <f t="shared" si="106"/>
        <v>#REF!</v>
      </c>
      <c r="X126" s="106" t="e">
        <f t="shared" si="106"/>
        <v>#REF!</v>
      </c>
      <c r="Y126" s="106" t="e">
        <f t="shared" si="106"/>
        <v>#REF!</v>
      </c>
      <c r="Z126" s="106" t="e">
        <f t="shared" si="106"/>
        <v>#REF!</v>
      </c>
      <c r="AA126" s="106" t="e">
        <f t="shared" si="106"/>
        <v>#REF!</v>
      </c>
      <c r="AB126" s="106" t="e">
        <f t="shared" si="106"/>
        <v>#REF!</v>
      </c>
      <c r="AC126" s="106" t="e">
        <f t="shared" si="106"/>
        <v>#REF!</v>
      </c>
      <c r="AD126" s="106" t="e">
        <f t="shared" si="106"/>
        <v>#REF!</v>
      </c>
      <c r="AE126" s="106" t="e">
        <f t="shared" si="106"/>
        <v>#REF!</v>
      </c>
      <c r="AF126" s="106" t="e">
        <f t="shared" si="106"/>
        <v>#REF!</v>
      </c>
      <c r="AG126" s="106" t="e">
        <f t="shared" si="106"/>
        <v>#REF!</v>
      </c>
      <c r="AH126" s="106" t="e">
        <f t="shared" si="106"/>
        <v>#REF!</v>
      </c>
      <c r="AI126" s="106" t="e">
        <f t="shared" si="106"/>
        <v>#REF!</v>
      </c>
      <c r="AJ126" s="106" t="e">
        <f t="shared" si="106"/>
        <v>#REF!</v>
      </c>
      <c r="AK126" s="106" t="e">
        <f t="shared" si="106"/>
        <v>#REF!</v>
      </c>
      <c r="AL126" s="106" t="e">
        <f t="shared" si="106"/>
        <v>#REF!</v>
      </c>
      <c r="AM126" s="106" t="e">
        <f t="shared" si="106"/>
        <v>#REF!</v>
      </c>
      <c r="AN126" s="106" t="e">
        <f t="shared" si="106"/>
        <v>#REF!</v>
      </c>
      <c r="AO126" s="106" t="e">
        <f t="shared" si="106"/>
        <v>#REF!</v>
      </c>
      <c r="AP126" s="106" t="e">
        <f t="shared" si="106"/>
        <v>#REF!</v>
      </c>
      <c r="AQ126" s="106" t="e">
        <f t="shared" si="106"/>
        <v>#REF!</v>
      </c>
      <c r="AR126" s="106" t="e">
        <f t="shared" si="106"/>
        <v>#REF!</v>
      </c>
      <c r="AS126" s="106" t="e">
        <f t="shared" si="106"/>
        <v>#REF!</v>
      </c>
      <c r="AT126" s="106" t="e">
        <f t="shared" si="106"/>
        <v>#REF!</v>
      </c>
      <c r="AU126" s="106" t="e">
        <f t="shared" si="106"/>
        <v>#REF!</v>
      </c>
      <c r="AV126" s="106" t="e">
        <f t="shared" si="106"/>
        <v>#REF!</v>
      </c>
      <c r="AW126" s="106" t="e">
        <f t="shared" si="106"/>
        <v>#REF!</v>
      </c>
      <c r="AX126" s="106" t="e">
        <f t="shared" si="106"/>
        <v>#REF!</v>
      </c>
      <c r="AY126" s="106" t="e">
        <f t="shared" si="106"/>
        <v>#REF!</v>
      </c>
      <c r="AZ126" s="106" t="e">
        <f t="shared" si="106"/>
        <v>#REF!</v>
      </c>
      <c r="BA126" s="106" t="e">
        <f t="shared" si="106"/>
        <v>#REF!</v>
      </c>
      <c r="BB126" s="106" t="e">
        <f t="shared" si="106"/>
        <v>#REF!</v>
      </c>
      <c r="BC126" s="106" t="e">
        <f t="shared" si="106"/>
        <v>#REF!</v>
      </c>
      <c r="BD126" s="106" t="e">
        <f t="shared" si="106"/>
        <v>#REF!</v>
      </c>
      <c r="BE126" s="106" t="e">
        <f t="shared" si="106"/>
        <v>#REF!</v>
      </c>
      <c r="BF126" s="106" t="e">
        <f t="shared" si="106"/>
        <v>#REF!</v>
      </c>
      <c r="BG126" s="106" t="e">
        <f t="shared" si="106"/>
        <v>#REF!</v>
      </c>
      <c r="BH126" s="106" t="e">
        <f t="shared" si="106"/>
        <v>#REF!</v>
      </c>
      <c r="BI126" s="106" t="e">
        <f t="shared" si="106"/>
        <v>#REF!</v>
      </c>
      <c r="BJ126" s="106" t="e">
        <f t="shared" si="106"/>
        <v>#REF!</v>
      </c>
      <c r="BK126"/>
      <c r="BL126" s="5"/>
    </row>
    <row r="127" spans="1:64">
      <c r="A127"/>
      <c r="B127" s="74" t="s">
        <v>384</v>
      </c>
      <c r="C127" s="106" t="e">
        <f>+C125*$G$24</f>
        <v>#REF!</v>
      </c>
      <c r="D127" s="106" t="e">
        <f t="shared" ref="D127" si="107">+D125*$G$24</f>
        <v>#REF!</v>
      </c>
      <c r="E127" s="106" t="e">
        <f t="shared" ref="E127:BJ127" si="108">+E125*$G$24</f>
        <v>#REF!</v>
      </c>
      <c r="F127" s="106" t="e">
        <f t="shared" si="108"/>
        <v>#REF!</v>
      </c>
      <c r="G127" s="106" t="e">
        <f t="shared" si="108"/>
        <v>#REF!</v>
      </c>
      <c r="H127" s="106" t="e">
        <f t="shared" si="108"/>
        <v>#REF!</v>
      </c>
      <c r="I127" s="106" t="e">
        <f t="shared" si="108"/>
        <v>#REF!</v>
      </c>
      <c r="J127" s="106" t="e">
        <f t="shared" si="108"/>
        <v>#REF!</v>
      </c>
      <c r="K127" s="106" t="e">
        <f t="shared" si="108"/>
        <v>#REF!</v>
      </c>
      <c r="L127" s="106" t="e">
        <f t="shared" si="108"/>
        <v>#REF!</v>
      </c>
      <c r="M127" s="106" t="e">
        <f t="shared" si="108"/>
        <v>#REF!</v>
      </c>
      <c r="N127" s="106" t="e">
        <f t="shared" si="108"/>
        <v>#REF!</v>
      </c>
      <c r="O127" s="106" t="e">
        <f t="shared" si="108"/>
        <v>#REF!</v>
      </c>
      <c r="P127" s="106" t="e">
        <f t="shared" si="108"/>
        <v>#REF!</v>
      </c>
      <c r="Q127" s="106" t="e">
        <f t="shared" si="108"/>
        <v>#REF!</v>
      </c>
      <c r="R127" s="106" t="e">
        <f t="shared" si="108"/>
        <v>#REF!</v>
      </c>
      <c r="S127" s="106" t="e">
        <f t="shared" si="108"/>
        <v>#REF!</v>
      </c>
      <c r="T127" s="106" t="e">
        <f t="shared" si="108"/>
        <v>#REF!</v>
      </c>
      <c r="U127" s="106" t="e">
        <f t="shared" si="108"/>
        <v>#REF!</v>
      </c>
      <c r="V127" s="106" t="e">
        <f t="shared" si="108"/>
        <v>#REF!</v>
      </c>
      <c r="W127" s="106" t="e">
        <f t="shared" si="108"/>
        <v>#REF!</v>
      </c>
      <c r="X127" s="106" t="e">
        <f t="shared" si="108"/>
        <v>#REF!</v>
      </c>
      <c r="Y127" s="106" t="e">
        <f t="shared" si="108"/>
        <v>#REF!</v>
      </c>
      <c r="Z127" s="106" t="e">
        <f t="shared" si="108"/>
        <v>#REF!</v>
      </c>
      <c r="AA127" s="106" t="e">
        <f t="shared" si="108"/>
        <v>#REF!</v>
      </c>
      <c r="AB127" s="106" t="e">
        <f t="shared" si="108"/>
        <v>#REF!</v>
      </c>
      <c r="AC127" s="106" t="e">
        <f t="shared" si="108"/>
        <v>#REF!</v>
      </c>
      <c r="AD127" s="106" t="e">
        <f t="shared" si="108"/>
        <v>#REF!</v>
      </c>
      <c r="AE127" s="106" t="e">
        <f t="shared" si="108"/>
        <v>#REF!</v>
      </c>
      <c r="AF127" s="106" t="e">
        <f t="shared" si="108"/>
        <v>#REF!</v>
      </c>
      <c r="AG127" s="106" t="e">
        <f t="shared" si="108"/>
        <v>#REF!</v>
      </c>
      <c r="AH127" s="106" t="e">
        <f t="shared" si="108"/>
        <v>#REF!</v>
      </c>
      <c r="AI127" s="106" t="e">
        <f t="shared" si="108"/>
        <v>#REF!</v>
      </c>
      <c r="AJ127" s="106" t="e">
        <f t="shared" si="108"/>
        <v>#REF!</v>
      </c>
      <c r="AK127" s="106" t="e">
        <f t="shared" si="108"/>
        <v>#REF!</v>
      </c>
      <c r="AL127" s="106" t="e">
        <f t="shared" si="108"/>
        <v>#REF!</v>
      </c>
      <c r="AM127" s="106" t="e">
        <f t="shared" si="108"/>
        <v>#REF!</v>
      </c>
      <c r="AN127" s="106" t="e">
        <f t="shared" si="108"/>
        <v>#REF!</v>
      </c>
      <c r="AO127" s="106" t="e">
        <f t="shared" si="108"/>
        <v>#REF!</v>
      </c>
      <c r="AP127" s="106" t="e">
        <f t="shared" si="108"/>
        <v>#REF!</v>
      </c>
      <c r="AQ127" s="106" t="e">
        <f t="shared" si="108"/>
        <v>#REF!</v>
      </c>
      <c r="AR127" s="106" t="e">
        <f t="shared" si="108"/>
        <v>#REF!</v>
      </c>
      <c r="AS127" s="106" t="e">
        <f t="shared" si="108"/>
        <v>#REF!</v>
      </c>
      <c r="AT127" s="106" t="e">
        <f t="shared" si="108"/>
        <v>#REF!</v>
      </c>
      <c r="AU127" s="106" t="e">
        <f t="shared" si="108"/>
        <v>#REF!</v>
      </c>
      <c r="AV127" s="106" t="e">
        <f t="shared" si="108"/>
        <v>#REF!</v>
      </c>
      <c r="AW127" s="106" t="e">
        <f t="shared" si="108"/>
        <v>#REF!</v>
      </c>
      <c r="AX127" s="106" t="e">
        <f t="shared" si="108"/>
        <v>#REF!</v>
      </c>
      <c r="AY127" s="106" t="e">
        <f t="shared" si="108"/>
        <v>#REF!</v>
      </c>
      <c r="AZ127" s="106" t="e">
        <f t="shared" si="108"/>
        <v>#REF!</v>
      </c>
      <c r="BA127" s="106" t="e">
        <f t="shared" si="108"/>
        <v>#REF!</v>
      </c>
      <c r="BB127" s="106" t="e">
        <f t="shared" si="108"/>
        <v>#REF!</v>
      </c>
      <c r="BC127" s="106" t="e">
        <f t="shared" si="108"/>
        <v>#REF!</v>
      </c>
      <c r="BD127" s="106" t="e">
        <f t="shared" si="108"/>
        <v>#REF!</v>
      </c>
      <c r="BE127" s="106" t="e">
        <f t="shared" si="108"/>
        <v>#REF!</v>
      </c>
      <c r="BF127" s="106" t="e">
        <f t="shared" si="108"/>
        <v>#REF!</v>
      </c>
      <c r="BG127" s="106" t="e">
        <f t="shared" si="108"/>
        <v>#REF!</v>
      </c>
      <c r="BH127" s="106" t="e">
        <f t="shared" si="108"/>
        <v>#REF!</v>
      </c>
      <c r="BI127" s="106" t="e">
        <f t="shared" si="108"/>
        <v>#REF!</v>
      </c>
      <c r="BJ127" s="106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385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362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363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386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387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362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388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363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389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390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391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362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363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392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393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362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388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363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389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394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395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396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397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360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4" t="s">
        <v>383</v>
      </c>
      <c r="C159" s="106" t="e">
        <f>C158*$F$25</f>
        <v>#REF!</v>
      </c>
      <c r="D159" s="106" t="e">
        <f t="shared" ref="D159:BJ159" si="133">D158*$F$25</f>
        <v>#REF!</v>
      </c>
      <c r="E159" s="106" t="e">
        <f t="shared" si="133"/>
        <v>#REF!</v>
      </c>
      <c r="F159" s="106" t="e">
        <f t="shared" si="133"/>
        <v>#REF!</v>
      </c>
      <c r="G159" s="106" t="e">
        <f t="shared" si="133"/>
        <v>#REF!</v>
      </c>
      <c r="H159" s="106" t="e">
        <f t="shared" si="133"/>
        <v>#REF!</v>
      </c>
      <c r="I159" s="106" t="e">
        <f t="shared" si="133"/>
        <v>#REF!</v>
      </c>
      <c r="J159" s="106" t="e">
        <f t="shared" si="133"/>
        <v>#REF!</v>
      </c>
      <c r="K159" s="106" t="e">
        <f t="shared" si="133"/>
        <v>#REF!</v>
      </c>
      <c r="L159" s="106" t="e">
        <f t="shared" si="133"/>
        <v>#REF!</v>
      </c>
      <c r="M159" s="106" t="e">
        <f t="shared" si="133"/>
        <v>#REF!</v>
      </c>
      <c r="N159" s="106" t="e">
        <f t="shared" si="133"/>
        <v>#REF!</v>
      </c>
      <c r="O159" s="106" t="e">
        <f t="shared" si="133"/>
        <v>#REF!</v>
      </c>
      <c r="P159" s="106" t="e">
        <f t="shared" si="133"/>
        <v>#REF!</v>
      </c>
      <c r="Q159" s="106" t="e">
        <f t="shared" si="133"/>
        <v>#REF!</v>
      </c>
      <c r="R159" s="106" t="e">
        <f t="shared" si="133"/>
        <v>#REF!</v>
      </c>
      <c r="S159" s="106" t="e">
        <f t="shared" si="133"/>
        <v>#REF!</v>
      </c>
      <c r="T159" s="106" t="e">
        <f t="shared" si="133"/>
        <v>#REF!</v>
      </c>
      <c r="U159" s="106" t="e">
        <f t="shared" si="133"/>
        <v>#REF!</v>
      </c>
      <c r="V159" s="106" t="e">
        <f t="shared" si="133"/>
        <v>#REF!</v>
      </c>
      <c r="W159" s="106" t="e">
        <f t="shared" si="133"/>
        <v>#REF!</v>
      </c>
      <c r="X159" s="106" t="e">
        <f t="shared" si="133"/>
        <v>#REF!</v>
      </c>
      <c r="Y159" s="106" t="e">
        <f t="shared" si="133"/>
        <v>#REF!</v>
      </c>
      <c r="Z159" s="106" t="e">
        <f t="shared" si="133"/>
        <v>#REF!</v>
      </c>
      <c r="AA159" s="106" t="e">
        <f t="shared" si="133"/>
        <v>#REF!</v>
      </c>
      <c r="AB159" s="106" t="e">
        <f t="shared" si="133"/>
        <v>#REF!</v>
      </c>
      <c r="AC159" s="106" t="e">
        <f t="shared" si="133"/>
        <v>#REF!</v>
      </c>
      <c r="AD159" s="106" t="e">
        <f t="shared" si="133"/>
        <v>#REF!</v>
      </c>
      <c r="AE159" s="106" t="e">
        <f t="shared" si="133"/>
        <v>#REF!</v>
      </c>
      <c r="AF159" s="106" t="e">
        <f t="shared" si="133"/>
        <v>#REF!</v>
      </c>
      <c r="AG159" s="106" t="e">
        <f t="shared" si="133"/>
        <v>#REF!</v>
      </c>
      <c r="AH159" s="106" t="e">
        <f t="shared" si="133"/>
        <v>#REF!</v>
      </c>
      <c r="AI159" s="106" t="e">
        <f t="shared" si="133"/>
        <v>#REF!</v>
      </c>
      <c r="AJ159" s="106" t="e">
        <f t="shared" si="133"/>
        <v>#REF!</v>
      </c>
      <c r="AK159" s="106" t="e">
        <f t="shared" si="133"/>
        <v>#REF!</v>
      </c>
      <c r="AL159" s="106" t="e">
        <f t="shared" si="133"/>
        <v>#REF!</v>
      </c>
      <c r="AM159" s="106" t="e">
        <f t="shared" si="133"/>
        <v>#REF!</v>
      </c>
      <c r="AN159" s="106" t="e">
        <f t="shared" si="133"/>
        <v>#REF!</v>
      </c>
      <c r="AO159" s="106" t="e">
        <f t="shared" si="133"/>
        <v>#REF!</v>
      </c>
      <c r="AP159" s="106" t="e">
        <f t="shared" si="133"/>
        <v>#REF!</v>
      </c>
      <c r="AQ159" s="106" t="e">
        <f t="shared" si="133"/>
        <v>#REF!</v>
      </c>
      <c r="AR159" s="106" t="e">
        <f t="shared" si="133"/>
        <v>#REF!</v>
      </c>
      <c r="AS159" s="106" t="e">
        <f t="shared" si="133"/>
        <v>#REF!</v>
      </c>
      <c r="AT159" s="106" t="e">
        <f t="shared" si="133"/>
        <v>#REF!</v>
      </c>
      <c r="AU159" s="106" t="e">
        <f t="shared" si="133"/>
        <v>#REF!</v>
      </c>
      <c r="AV159" s="106" t="e">
        <f t="shared" si="133"/>
        <v>#REF!</v>
      </c>
      <c r="AW159" s="106" t="e">
        <f t="shared" si="133"/>
        <v>#REF!</v>
      </c>
      <c r="AX159" s="106" t="e">
        <f t="shared" si="133"/>
        <v>#REF!</v>
      </c>
      <c r="AY159" s="106" t="e">
        <f t="shared" si="133"/>
        <v>#REF!</v>
      </c>
      <c r="AZ159" s="106" t="e">
        <f t="shared" si="133"/>
        <v>#REF!</v>
      </c>
      <c r="BA159" s="106" t="e">
        <f t="shared" si="133"/>
        <v>#REF!</v>
      </c>
      <c r="BB159" s="106" t="e">
        <f t="shared" si="133"/>
        <v>#REF!</v>
      </c>
      <c r="BC159" s="106" t="e">
        <f t="shared" si="133"/>
        <v>#REF!</v>
      </c>
      <c r="BD159" s="106" t="e">
        <f t="shared" si="133"/>
        <v>#REF!</v>
      </c>
      <c r="BE159" s="106" t="e">
        <f t="shared" si="133"/>
        <v>#REF!</v>
      </c>
      <c r="BF159" s="106" t="e">
        <f t="shared" si="133"/>
        <v>#REF!</v>
      </c>
      <c r="BG159" s="106" t="e">
        <f t="shared" si="133"/>
        <v>#REF!</v>
      </c>
      <c r="BH159" s="106" t="e">
        <f t="shared" si="133"/>
        <v>#REF!</v>
      </c>
      <c r="BI159" s="106" t="e">
        <f t="shared" si="133"/>
        <v>#REF!</v>
      </c>
      <c r="BJ159" s="106" t="e">
        <f t="shared" si="133"/>
        <v>#REF!</v>
      </c>
      <c r="BK159"/>
      <c r="BL159" s="5"/>
    </row>
    <row r="160" spans="1:64">
      <c r="A160"/>
      <c r="B160" s="74" t="s">
        <v>384</v>
      </c>
      <c r="C160" s="106" t="e">
        <f>+C158*$G$25</f>
        <v>#REF!</v>
      </c>
      <c r="D160" s="106" t="e">
        <f t="shared" ref="D160" si="134">+D158*$G$25</f>
        <v>#REF!</v>
      </c>
      <c r="E160" s="106" t="e">
        <f t="shared" ref="E160:BJ160" si="135">+E158*$G$25</f>
        <v>#REF!</v>
      </c>
      <c r="F160" s="106" t="e">
        <f t="shared" si="135"/>
        <v>#REF!</v>
      </c>
      <c r="G160" s="106" t="e">
        <f t="shared" si="135"/>
        <v>#REF!</v>
      </c>
      <c r="H160" s="106" t="e">
        <f t="shared" si="135"/>
        <v>#REF!</v>
      </c>
      <c r="I160" s="106" t="e">
        <f t="shared" si="135"/>
        <v>#REF!</v>
      </c>
      <c r="J160" s="106" t="e">
        <f t="shared" si="135"/>
        <v>#REF!</v>
      </c>
      <c r="K160" s="106" t="e">
        <f t="shared" si="135"/>
        <v>#REF!</v>
      </c>
      <c r="L160" s="106" t="e">
        <f t="shared" si="135"/>
        <v>#REF!</v>
      </c>
      <c r="M160" s="106" t="e">
        <f t="shared" si="135"/>
        <v>#REF!</v>
      </c>
      <c r="N160" s="106" t="e">
        <f t="shared" si="135"/>
        <v>#REF!</v>
      </c>
      <c r="O160" s="106" t="e">
        <f t="shared" si="135"/>
        <v>#REF!</v>
      </c>
      <c r="P160" s="106" t="e">
        <f t="shared" si="135"/>
        <v>#REF!</v>
      </c>
      <c r="Q160" s="106" t="e">
        <f t="shared" si="135"/>
        <v>#REF!</v>
      </c>
      <c r="R160" s="106" t="e">
        <f t="shared" si="135"/>
        <v>#REF!</v>
      </c>
      <c r="S160" s="106" t="e">
        <f t="shared" si="135"/>
        <v>#REF!</v>
      </c>
      <c r="T160" s="106" t="e">
        <f t="shared" si="135"/>
        <v>#REF!</v>
      </c>
      <c r="U160" s="106" t="e">
        <f t="shared" si="135"/>
        <v>#REF!</v>
      </c>
      <c r="V160" s="106" t="e">
        <f t="shared" si="135"/>
        <v>#REF!</v>
      </c>
      <c r="W160" s="106" t="e">
        <f t="shared" si="135"/>
        <v>#REF!</v>
      </c>
      <c r="X160" s="106" t="e">
        <f t="shared" si="135"/>
        <v>#REF!</v>
      </c>
      <c r="Y160" s="106" t="e">
        <f t="shared" si="135"/>
        <v>#REF!</v>
      </c>
      <c r="Z160" s="106" t="e">
        <f t="shared" si="135"/>
        <v>#REF!</v>
      </c>
      <c r="AA160" s="106" t="e">
        <f t="shared" si="135"/>
        <v>#REF!</v>
      </c>
      <c r="AB160" s="106" t="e">
        <f t="shared" si="135"/>
        <v>#REF!</v>
      </c>
      <c r="AC160" s="106" t="e">
        <f t="shared" si="135"/>
        <v>#REF!</v>
      </c>
      <c r="AD160" s="106" t="e">
        <f t="shared" si="135"/>
        <v>#REF!</v>
      </c>
      <c r="AE160" s="106" t="e">
        <f t="shared" si="135"/>
        <v>#REF!</v>
      </c>
      <c r="AF160" s="106" t="e">
        <f t="shared" si="135"/>
        <v>#REF!</v>
      </c>
      <c r="AG160" s="106" t="e">
        <f t="shared" si="135"/>
        <v>#REF!</v>
      </c>
      <c r="AH160" s="106" t="e">
        <f t="shared" si="135"/>
        <v>#REF!</v>
      </c>
      <c r="AI160" s="106" t="e">
        <f t="shared" si="135"/>
        <v>#REF!</v>
      </c>
      <c r="AJ160" s="106" t="e">
        <f t="shared" si="135"/>
        <v>#REF!</v>
      </c>
      <c r="AK160" s="106" t="e">
        <f t="shared" si="135"/>
        <v>#REF!</v>
      </c>
      <c r="AL160" s="106" t="e">
        <f t="shared" si="135"/>
        <v>#REF!</v>
      </c>
      <c r="AM160" s="106" t="e">
        <f t="shared" si="135"/>
        <v>#REF!</v>
      </c>
      <c r="AN160" s="106" t="e">
        <f t="shared" si="135"/>
        <v>#REF!</v>
      </c>
      <c r="AO160" s="106" t="e">
        <f t="shared" si="135"/>
        <v>#REF!</v>
      </c>
      <c r="AP160" s="106" t="e">
        <f t="shared" si="135"/>
        <v>#REF!</v>
      </c>
      <c r="AQ160" s="106" t="e">
        <f t="shared" si="135"/>
        <v>#REF!</v>
      </c>
      <c r="AR160" s="106" t="e">
        <f t="shared" si="135"/>
        <v>#REF!</v>
      </c>
      <c r="AS160" s="106" t="e">
        <f t="shared" si="135"/>
        <v>#REF!</v>
      </c>
      <c r="AT160" s="106" t="e">
        <f t="shared" si="135"/>
        <v>#REF!</v>
      </c>
      <c r="AU160" s="106" t="e">
        <f t="shared" si="135"/>
        <v>#REF!</v>
      </c>
      <c r="AV160" s="106" t="e">
        <f t="shared" si="135"/>
        <v>#REF!</v>
      </c>
      <c r="AW160" s="106" t="e">
        <f t="shared" si="135"/>
        <v>#REF!</v>
      </c>
      <c r="AX160" s="106" t="e">
        <f t="shared" si="135"/>
        <v>#REF!</v>
      </c>
      <c r="AY160" s="106" t="e">
        <f t="shared" si="135"/>
        <v>#REF!</v>
      </c>
      <c r="AZ160" s="106" t="e">
        <f t="shared" si="135"/>
        <v>#REF!</v>
      </c>
      <c r="BA160" s="106" t="e">
        <f t="shared" si="135"/>
        <v>#REF!</v>
      </c>
      <c r="BB160" s="106" t="e">
        <f t="shared" si="135"/>
        <v>#REF!</v>
      </c>
      <c r="BC160" s="106" t="e">
        <f t="shared" si="135"/>
        <v>#REF!</v>
      </c>
      <c r="BD160" s="106" t="e">
        <f t="shared" si="135"/>
        <v>#REF!</v>
      </c>
      <c r="BE160" s="106" t="e">
        <f t="shared" si="135"/>
        <v>#REF!</v>
      </c>
      <c r="BF160" s="106" t="e">
        <f t="shared" si="135"/>
        <v>#REF!</v>
      </c>
      <c r="BG160" s="106" t="e">
        <f t="shared" si="135"/>
        <v>#REF!</v>
      </c>
      <c r="BH160" s="106" t="e">
        <f t="shared" si="135"/>
        <v>#REF!</v>
      </c>
      <c r="BI160" s="106" t="e">
        <f t="shared" si="135"/>
        <v>#REF!</v>
      </c>
      <c r="BJ160" s="106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398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388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389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399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400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388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389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401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402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403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404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405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395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402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406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407</v>
      </c>
      <c r="C181" s="107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408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396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403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409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407</v>
      </c>
      <c r="C188" s="107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360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4" t="s">
        <v>383</v>
      </c>
      <c r="C192" s="106" t="e">
        <f>C191*$F$26</f>
        <v>#REF!</v>
      </c>
      <c r="D192" s="106" t="e">
        <f t="shared" ref="D192:BJ192" si="272">D191*$F$26</f>
        <v>#REF!</v>
      </c>
      <c r="E192" s="106" t="e">
        <f t="shared" si="272"/>
        <v>#REF!</v>
      </c>
      <c r="F192" s="106" t="e">
        <f t="shared" si="272"/>
        <v>#REF!</v>
      </c>
      <c r="G192" s="106" t="e">
        <f t="shared" si="272"/>
        <v>#REF!</v>
      </c>
      <c r="H192" s="106" t="e">
        <f t="shared" si="272"/>
        <v>#REF!</v>
      </c>
      <c r="I192" s="106" t="e">
        <f t="shared" si="272"/>
        <v>#REF!</v>
      </c>
      <c r="J192" s="106" t="e">
        <f t="shared" si="272"/>
        <v>#REF!</v>
      </c>
      <c r="K192" s="106" t="e">
        <f t="shared" si="272"/>
        <v>#REF!</v>
      </c>
      <c r="L192" s="106" t="e">
        <f t="shared" si="272"/>
        <v>#REF!</v>
      </c>
      <c r="M192" s="106" t="e">
        <f t="shared" si="272"/>
        <v>#REF!</v>
      </c>
      <c r="N192" s="106" t="e">
        <f t="shared" si="272"/>
        <v>#REF!</v>
      </c>
      <c r="O192" s="106" t="e">
        <f t="shared" si="272"/>
        <v>#REF!</v>
      </c>
      <c r="P192" s="106" t="e">
        <f t="shared" si="272"/>
        <v>#REF!</v>
      </c>
      <c r="Q192" s="106" t="e">
        <f t="shared" si="272"/>
        <v>#REF!</v>
      </c>
      <c r="R192" s="106" t="e">
        <f t="shared" si="272"/>
        <v>#REF!</v>
      </c>
      <c r="S192" s="106" t="e">
        <f t="shared" si="272"/>
        <v>#REF!</v>
      </c>
      <c r="T192" s="106" t="e">
        <f t="shared" si="272"/>
        <v>#REF!</v>
      </c>
      <c r="U192" s="106" t="e">
        <f t="shared" si="272"/>
        <v>#REF!</v>
      </c>
      <c r="V192" s="106" t="e">
        <f t="shared" si="272"/>
        <v>#REF!</v>
      </c>
      <c r="W192" s="106" t="e">
        <f t="shared" si="272"/>
        <v>#REF!</v>
      </c>
      <c r="X192" s="106" t="e">
        <f t="shared" si="272"/>
        <v>#REF!</v>
      </c>
      <c r="Y192" s="106" t="e">
        <f t="shared" si="272"/>
        <v>#REF!</v>
      </c>
      <c r="Z192" s="106" t="e">
        <f t="shared" si="272"/>
        <v>#REF!</v>
      </c>
      <c r="AA192" s="106" t="e">
        <f t="shared" si="272"/>
        <v>#REF!</v>
      </c>
      <c r="AB192" s="106" t="e">
        <f t="shared" si="272"/>
        <v>#REF!</v>
      </c>
      <c r="AC192" s="106" t="e">
        <f t="shared" si="272"/>
        <v>#REF!</v>
      </c>
      <c r="AD192" s="106" t="e">
        <f t="shared" si="272"/>
        <v>#REF!</v>
      </c>
      <c r="AE192" s="106" t="e">
        <f t="shared" si="272"/>
        <v>#REF!</v>
      </c>
      <c r="AF192" s="106" t="e">
        <f t="shared" si="272"/>
        <v>#REF!</v>
      </c>
      <c r="AG192" s="106" t="e">
        <f t="shared" si="272"/>
        <v>#REF!</v>
      </c>
      <c r="AH192" s="106" t="e">
        <f t="shared" si="272"/>
        <v>#REF!</v>
      </c>
      <c r="AI192" s="106" t="e">
        <f t="shared" si="272"/>
        <v>#REF!</v>
      </c>
      <c r="AJ192" s="106" t="e">
        <f t="shared" si="272"/>
        <v>#REF!</v>
      </c>
      <c r="AK192" s="106" t="e">
        <f t="shared" si="272"/>
        <v>#REF!</v>
      </c>
      <c r="AL192" s="106" t="e">
        <f t="shared" si="272"/>
        <v>#REF!</v>
      </c>
      <c r="AM192" s="106" t="e">
        <f t="shared" si="272"/>
        <v>#REF!</v>
      </c>
      <c r="AN192" s="106" t="e">
        <f t="shared" si="272"/>
        <v>#REF!</v>
      </c>
      <c r="AO192" s="106" t="e">
        <f t="shared" si="272"/>
        <v>#REF!</v>
      </c>
      <c r="AP192" s="106" t="e">
        <f t="shared" si="272"/>
        <v>#REF!</v>
      </c>
      <c r="AQ192" s="106" t="e">
        <f t="shared" si="272"/>
        <v>#REF!</v>
      </c>
      <c r="AR192" s="106" t="e">
        <f t="shared" si="272"/>
        <v>#REF!</v>
      </c>
      <c r="AS192" s="106" t="e">
        <f t="shared" si="272"/>
        <v>#REF!</v>
      </c>
      <c r="AT192" s="106" t="e">
        <f t="shared" si="272"/>
        <v>#REF!</v>
      </c>
      <c r="AU192" s="106" t="e">
        <f t="shared" si="272"/>
        <v>#REF!</v>
      </c>
      <c r="AV192" s="106" t="e">
        <f t="shared" si="272"/>
        <v>#REF!</v>
      </c>
      <c r="AW192" s="106" t="e">
        <f t="shared" si="272"/>
        <v>#REF!</v>
      </c>
      <c r="AX192" s="106" t="e">
        <f t="shared" si="272"/>
        <v>#REF!</v>
      </c>
      <c r="AY192" s="106" t="e">
        <f t="shared" si="272"/>
        <v>#REF!</v>
      </c>
      <c r="AZ192" s="106" t="e">
        <f t="shared" si="272"/>
        <v>#REF!</v>
      </c>
      <c r="BA192" s="106" t="e">
        <f t="shared" si="272"/>
        <v>#REF!</v>
      </c>
      <c r="BB192" s="106" t="e">
        <f t="shared" si="272"/>
        <v>#REF!</v>
      </c>
      <c r="BC192" s="106" t="e">
        <f t="shared" si="272"/>
        <v>#REF!</v>
      </c>
      <c r="BD192" s="106" t="e">
        <f t="shared" si="272"/>
        <v>#REF!</v>
      </c>
      <c r="BE192" s="106" t="e">
        <f t="shared" si="272"/>
        <v>#REF!</v>
      </c>
      <c r="BF192" s="106" t="e">
        <f t="shared" si="272"/>
        <v>#REF!</v>
      </c>
      <c r="BG192" s="106" t="e">
        <f t="shared" si="272"/>
        <v>#REF!</v>
      </c>
      <c r="BH192" s="106" t="e">
        <f t="shared" si="272"/>
        <v>#REF!</v>
      </c>
      <c r="BI192" s="106" t="e">
        <f t="shared" si="272"/>
        <v>#REF!</v>
      </c>
      <c r="BJ192" s="106" t="e">
        <f t="shared" si="272"/>
        <v>#REF!</v>
      </c>
      <c r="BK192"/>
      <c r="BL192" s="5"/>
    </row>
    <row r="193" spans="1:64">
      <c r="A193"/>
      <c r="B193" s="74" t="s">
        <v>384</v>
      </c>
      <c r="C193" s="106" t="e">
        <f>+C191*$G$26</f>
        <v>#REF!</v>
      </c>
      <c r="D193" s="106" t="e">
        <f t="shared" ref="D193" si="273">+D191*$G$26</f>
        <v>#REF!</v>
      </c>
      <c r="E193" s="106" t="e">
        <f t="shared" ref="E193:BJ193" si="274">+E191*$G$26</f>
        <v>#REF!</v>
      </c>
      <c r="F193" s="106" t="e">
        <f t="shared" si="274"/>
        <v>#REF!</v>
      </c>
      <c r="G193" s="106" t="e">
        <f t="shared" si="274"/>
        <v>#REF!</v>
      </c>
      <c r="H193" s="106" t="e">
        <f t="shared" si="274"/>
        <v>#REF!</v>
      </c>
      <c r="I193" s="106" t="e">
        <f t="shared" si="274"/>
        <v>#REF!</v>
      </c>
      <c r="J193" s="106" t="e">
        <f t="shared" si="274"/>
        <v>#REF!</v>
      </c>
      <c r="K193" s="106" t="e">
        <f t="shared" si="274"/>
        <v>#REF!</v>
      </c>
      <c r="L193" s="106" t="e">
        <f t="shared" si="274"/>
        <v>#REF!</v>
      </c>
      <c r="M193" s="106" t="e">
        <f t="shared" si="274"/>
        <v>#REF!</v>
      </c>
      <c r="N193" s="106" t="e">
        <f t="shared" si="274"/>
        <v>#REF!</v>
      </c>
      <c r="O193" s="106" t="e">
        <f t="shared" si="274"/>
        <v>#REF!</v>
      </c>
      <c r="P193" s="106" t="e">
        <f t="shared" si="274"/>
        <v>#REF!</v>
      </c>
      <c r="Q193" s="106" t="e">
        <f t="shared" si="274"/>
        <v>#REF!</v>
      </c>
      <c r="R193" s="106" t="e">
        <f t="shared" si="274"/>
        <v>#REF!</v>
      </c>
      <c r="S193" s="106" t="e">
        <f t="shared" si="274"/>
        <v>#REF!</v>
      </c>
      <c r="T193" s="106" t="e">
        <f t="shared" si="274"/>
        <v>#REF!</v>
      </c>
      <c r="U193" s="106" t="e">
        <f t="shared" si="274"/>
        <v>#REF!</v>
      </c>
      <c r="V193" s="106" t="e">
        <f t="shared" si="274"/>
        <v>#REF!</v>
      </c>
      <c r="W193" s="106" t="e">
        <f t="shared" si="274"/>
        <v>#REF!</v>
      </c>
      <c r="X193" s="106" t="e">
        <f t="shared" si="274"/>
        <v>#REF!</v>
      </c>
      <c r="Y193" s="106" t="e">
        <f t="shared" si="274"/>
        <v>#REF!</v>
      </c>
      <c r="Z193" s="106" t="e">
        <f t="shared" si="274"/>
        <v>#REF!</v>
      </c>
      <c r="AA193" s="106" t="e">
        <f t="shared" si="274"/>
        <v>#REF!</v>
      </c>
      <c r="AB193" s="106" t="e">
        <f t="shared" si="274"/>
        <v>#REF!</v>
      </c>
      <c r="AC193" s="106" t="e">
        <f t="shared" si="274"/>
        <v>#REF!</v>
      </c>
      <c r="AD193" s="106" t="e">
        <f t="shared" si="274"/>
        <v>#REF!</v>
      </c>
      <c r="AE193" s="106" t="e">
        <f t="shared" si="274"/>
        <v>#REF!</v>
      </c>
      <c r="AF193" s="106" t="e">
        <f t="shared" si="274"/>
        <v>#REF!</v>
      </c>
      <c r="AG193" s="106" t="e">
        <f t="shared" si="274"/>
        <v>#REF!</v>
      </c>
      <c r="AH193" s="106" t="e">
        <f t="shared" si="274"/>
        <v>#REF!</v>
      </c>
      <c r="AI193" s="106" t="e">
        <f t="shared" si="274"/>
        <v>#REF!</v>
      </c>
      <c r="AJ193" s="106" t="e">
        <f t="shared" si="274"/>
        <v>#REF!</v>
      </c>
      <c r="AK193" s="106" t="e">
        <f t="shared" si="274"/>
        <v>#REF!</v>
      </c>
      <c r="AL193" s="106" t="e">
        <f t="shared" si="274"/>
        <v>#REF!</v>
      </c>
      <c r="AM193" s="106" t="e">
        <f t="shared" si="274"/>
        <v>#REF!</v>
      </c>
      <c r="AN193" s="106" t="e">
        <f t="shared" si="274"/>
        <v>#REF!</v>
      </c>
      <c r="AO193" s="106" t="e">
        <f t="shared" si="274"/>
        <v>#REF!</v>
      </c>
      <c r="AP193" s="106" t="e">
        <f t="shared" si="274"/>
        <v>#REF!</v>
      </c>
      <c r="AQ193" s="106" t="e">
        <f t="shared" si="274"/>
        <v>#REF!</v>
      </c>
      <c r="AR193" s="106" t="e">
        <f t="shared" si="274"/>
        <v>#REF!</v>
      </c>
      <c r="AS193" s="106" t="e">
        <f t="shared" si="274"/>
        <v>#REF!</v>
      </c>
      <c r="AT193" s="106" t="e">
        <f t="shared" si="274"/>
        <v>#REF!</v>
      </c>
      <c r="AU193" s="106" t="e">
        <f t="shared" si="274"/>
        <v>#REF!</v>
      </c>
      <c r="AV193" s="106" t="e">
        <f t="shared" si="274"/>
        <v>#REF!</v>
      </c>
      <c r="AW193" s="106" t="e">
        <f t="shared" si="274"/>
        <v>#REF!</v>
      </c>
      <c r="AX193" s="106" t="e">
        <f t="shared" si="274"/>
        <v>#REF!</v>
      </c>
      <c r="AY193" s="106" t="e">
        <f t="shared" si="274"/>
        <v>#REF!</v>
      </c>
      <c r="AZ193" s="106" t="e">
        <f t="shared" si="274"/>
        <v>#REF!</v>
      </c>
      <c r="BA193" s="106" t="e">
        <f t="shared" si="274"/>
        <v>#REF!</v>
      </c>
      <c r="BB193" s="106" t="e">
        <f t="shared" si="274"/>
        <v>#REF!</v>
      </c>
      <c r="BC193" s="106" t="e">
        <f t="shared" si="274"/>
        <v>#REF!</v>
      </c>
      <c r="BD193" s="106" t="e">
        <f t="shared" si="274"/>
        <v>#REF!</v>
      </c>
      <c r="BE193" s="106" t="e">
        <f t="shared" si="274"/>
        <v>#REF!</v>
      </c>
      <c r="BF193" s="106" t="e">
        <f t="shared" si="274"/>
        <v>#REF!</v>
      </c>
      <c r="BG193" s="106" t="e">
        <f t="shared" si="274"/>
        <v>#REF!</v>
      </c>
      <c r="BH193" s="106" t="e">
        <f t="shared" si="274"/>
        <v>#REF!</v>
      </c>
      <c r="BI193" s="106" t="e">
        <f t="shared" si="274"/>
        <v>#REF!</v>
      </c>
      <c r="BJ193" s="106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410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411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388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369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373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375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412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413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414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415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416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360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4" t="s">
        <v>383</v>
      </c>
      <c r="C211" s="106" t="e">
        <f>C210*$F$27</f>
        <v>#REF!</v>
      </c>
      <c r="D211" s="106" t="e">
        <f t="shared" ref="D211:BJ211" si="289">D210*$F$27</f>
        <v>#REF!</v>
      </c>
      <c r="E211" s="106" t="e">
        <f t="shared" si="289"/>
        <v>#REF!</v>
      </c>
      <c r="F211" s="106" t="e">
        <f t="shared" si="289"/>
        <v>#REF!</v>
      </c>
      <c r="G211" s="106" t="e">
        <f t="shared" si="289"/>
        <v>#REF!</v>
      </c>
      <c r="H211" s="106" t="e">
        <f t="shared" si="289"/>
        <v>#REF!</v>
      </c>
      <c r="I211" s="106" t="e">
        <f t="shared" si="289"/>
        <v>#REF!</v>
      </c>
      <c r="J211" s="106" t="e">
        <f t="shared" si="289"/>
        <v>#REF!</v>
      </c>
      <c r="K211" s="106" t="e">
        <f t="shared" si="289"/>
        <v>#REF!</v>
      </c>
      <c r="L211" s="106" t="e">
        <f t="shared" si="289"/>
        <v>#REF!</v>
      </c>
      <c r="M211" s="106" t="e">
        <f t="shared" si="289"/>
        <v>#REF!</v>
      </c>
      <c r="N211" s="106" t="e">
        <f t="shared" si="289"/>
        <v>#REF!</v>
      </c>
      <c r="O211" s="106" t="e">
        <f t="shared" si="289"/>
        <v>#REF!</v>
      </c>
      <c r="P211" s="106" t="e">
        <f t="shared" si="289"/>
        <v>#REF!</v>
      </c>
      <c r="Q211" s="106" t="e">
        <f t="shared" si="289"/>
        <v>#REF!</v>
      </c>
      <c r="R211" s="106" t="e">
        <f t="shared" si="289"/>
        <v>#REF!</v>
      </c>
      <c r="S211" s="106" t="e">
        <f t="shared" si="289"/>
        <v>#REF!</v>
      </c>
      <c r="T211" s="106" t="e">
        <f t="shared" si="289"/>
        <v>#REF!</v>
      </c>
      <c r="U211" s="106" t="e">
        <f t="shared" si="289"/>
        <v>#REF!</v>
      </c>
      <c r="V211" s="106" t="e">
        <f t="shared" si="289"/>
        <v>#REF!</v>
      </c>
      <c r="W211" s="106" t="e">
        <f t="shared" si="289"/>
        <v>#REF!</v>
      </c>
      <c r="X211" s="106" t="e">
        <f t="shared" si="289"/>
        <v>#REF!</v>
      </c>
      <c r="Y211" s="106" t="e">
        <f t="shared" si="289"/>
        <v>#REF!</v>
      </c>
      <c r="Z211" s="106" t="e">
        <f t="shared" si="289"/>
        <v>#REF!</v>
      </c>
      <c r="AA211" s="106" t="e">
        <f t="shared" si="289"/>
        <v>#REF!</v>
      </c>
      <c r="AB211" s="106" t="e">
        <f t="shared" si="289"/>
        <v>#REF!</v>
      </c>
      <c r="AC211" s="106" t="e">
        <f t="shared" si="289"/>
        <v>#REF!</v>
      </c>
      <c r="AD211" s="106" t="e">
        <f t="shared" si="289"/>
        <v>#REF!</v>
      </c>
      <c r="AE211" s="106" t="e">
        <f t="shared" si="289"/>
        <v>#REF!</v>
      </c>
      <c r="AF211" s="106" t="e">
        <f t="shared" si="289"/>
        <v>#REF!</v>
      </c>
      <c r="AG211" s="106" t="e">
        <f t="shared" si="289"/>
        <v>#REF!</v>
      </c>
      <c r="AH211" s="106" t="e">
        <f t="shared" si="289"/>
        <v>#REF!</v>
      </c>
      <c r="AI211" s="106" t="e">
        <f t="shared" si="289"/>
        <v>#REF!</v>
      </c>
      <c r="AJ211" s="106" t="e">
        <f t="shared" si="289"/>
        <v>#REF!</v>
      </c>
      <c r="AK211" s="106" t="e">
        <f t="shared" si="289"/>
        <v>#REF!</v>
      </c>
      <c r="AL211" s="106" t="e">
        <f t="shared" si="289"/>
        <v>#REF!</v>
      </c>
      <c r="AM211" s="106" t="e">
        <f t="shared" si="289"/>
        <v>#REF!</v>
      </c>
      <c r="AN211" s="106" t="e">
        <f t="shared" si="289"/>
        <v>#REF!</v>
      </c>
      <c r="AO211" s="106" t="e">
        <f t="shared" si="289"/>
        <v>#REF!</v>
      </c>
      <c r="AP211" s="106" t="e">
        <f t="shared" si="289"/>
        <v>#REF!</v>
      </c>
      <c r="AQ211" s="106" t="e">
        <f t="shared" si="289"/>
        <v>#REF!</v>
      </c>
      <c r="AR211" s="106" t="e">
        <f t="shared" si="289"/>
        <v>#REF!</v>
      </c>
      <c r="AS211" s="106" t="e">
        <f t="shared" si="289"/>
        <v>#REF!</v>
      </c>
      <c r="AT211" s="106" t="e">
        <f t="shared" si="289"/>
        <v>#REF!</v>
      </c>
      <c r="AU211" s="106" t="e">
        <f t="shared" si="289"/>
        <v>#REF!</v>
      </c>
      <c r="AV211" s="106" t="e">
        <f t="shared" si="289"/>
        <v>#REF!</v>
      </c>
      <c r="AW211" s="106" t="e">
        <f t="shared" si="289"/>
        <v>#REF!</v>
      </c>
      <c r="AX211" s="106" t="e">
        <f t="shared" si="289"/>
        <v>#REF!</v>
      </c>
      <c r="AY211" s="106" t="e">
        <f t="shared" si="289"/>
        <v>#REF!</v>
      </c>
      <c r="AZ211" s="106" t="e">
        <f t="shared" si="289"/>
        <v>#REF!</v>
      </c>
      <c r="BA211" s="106" t="e">
        <f t="shared" si="289"/>
        <v>#REF!</v>
      </c>
      <c r="BB211" s="106" t="e">
        <f t="shared" si="289"/>
        <v>#REF!</v>
      </c>
      <c r="BC211" s="106" t="e">
        <f t="shared" si="289"/>
        <v>#REF!</v>
      </c>
      <c r="BD211" s="106" t="e">
        <f t="shared" si="289"/>
        <v>#REF!</v>
      </c>
      <c r="BE211" s="106" t="e">
        <f t="shared" si="289"/>
        <v>#REF!</v>
      </c>
      <c r="BF211" s="106" t="e">
        <f t="shared" si="289"/>
        <v>#REF!</v>
      </c>
      <c r="BG211" s="106" t="e">
        <f t="shared" si="289"/>
        <v>#REF!</v>
      </c>
      <c r="BH211" s="106" t="e">
        <f t="shared" si="289"/>
        <v>#REF!</v>
      </c>
      <c r="BI211" s="106" t="e">
        <f t="shared" si="289"/>
        <v>#REF!</v>
      </c>
      <c r="BJ211" s="106" t="e">
        <f t="shared" si="289"/>
        <v>#REF!</v>
      </c>
      <c r="BK211"/>
      <c r="BL211" s="5"/>
    </row>
    <row r="212" spans="1:64">
      <c r="A212"/>
      <c r="B212" s="74" t="s">
        <v>384</v>
      </c>
      <c r="C212" s="106" t="e">
        <f>+C210*$G$27</f>
        <v>#REF!</v>
      </c>
      <c r="D212" s="106" t="e">
        <f t="shared" ref="D212:BJ212" si="290">+D210*$G$27</f>
        <v>#REF!</v>
      </c>
      <c r="E212" s="106" t="e">
        <f t="shared" si="290"/>
        <v>#REF!</v>
      </c>
      <c r="F212" s="106" t="e">
        <f t="shared" si="290"/>
        <v>#REF!</v>
      </c>
      <c r="G212" s="106" t="e">
        <f t="shared" si="290"/>
        <v>#REF!</v>
      </c>
      <c r="H212" s="106" t="e">
        <f t="shared" si="290"/>
        <v>#REF!</v>
      </c>
      <c r="I212" s="106" t="e">
        <f t="shared" si="290"/>
        <v>#REF!</v>
      </c>
      <c r="J212" s="106" t="e">
        <f t="shared" si="290"/>
        <v>#REF!</v>
      </c>
      <c r="K212" s="106" t="e">
        <f t="shared" si="290"/>
        <v>#REF!</v>
      </c>
      <c r="L212" s="106" t="e">
        <f t="shared" si="290"/>
        <v>#REF!</v>
      </c>
      <c r="M212" s="106" t="e">
        <f t="shared" si="290"/>
        <v>#REF!</v>
      </c>
      <c r="N212" s="106" t="e">
        <f t="shared" si="290"/>
        <v>#REF!</v>
      </c>
      <c r="O212" s="106" t="e">
        <f t="shared" si="290"/>
        <v>#REF!</v>
      </c>
      <c r="P212" s="106" t="e">
        <f t="shared" si="290"/>
        <v>#REF!</v>
      </c>
      <c r="Q212" s="106" t="e">
        <f t="shared" si="290"/>
        <v>#REF!</v>
      </c>
      <c r="R212" s="106" t="e">
        <f t="shared" si="290"/>
        <v>#REF!</v>
      </c>
      <c r="S212" s="106" t="e">
        <f t="shared" si="290"/>
        <v>#REF!</v>
      </c>
      <c r="T212" s="106" t="e">
        <f t="shared" si="290"/>
        <v>#REF!</v>
      </c>
      <c r="U212" s="106" t="e">
        <f t="shared" si="290"/>
        <v>#REF!</v>
      </c>
      <c r="V212" s="106" t="e">
        <f t="shared" si="290"/>
        <v>#REF!</v>
      </c>
      <c r="W212" s="106" t="e">
        <f t="shared" si="290"/>
        <v>#REF!</v>
      </c>
      <c r="X212" s="106" t="e">
        <f t="shared" si="290"/>
        <v>#REF!</v>
      </c>
      <c r="Y212" s="106" t="e">
        <f t="shared" si="290"/>
        <v>#REF!</v>
      </c>
      <c r="Z212" s="106" t="e">
        <f t="shared" si="290"/>
        <v>#REF!</v>
      </c>
      <c r="AA212" s="106" t="e">
        <f t="shared" si="290"/>
        <v>#REF!</v>
      </c>
      <c r="AB212" s="106" t="e">
        <f t="shared" si="290"/>
        <v>#REF!</v>
      </c>
      <c r="AC212" s="106" t="e">
        <f t="shared" si="290"/>
        <v>#REF!</v>
      </c>
      <c r="AD212" s="106" t="e">
        <f t="shared" si="290"/>
        <v>#REF!</v>
      </c>
      <c r="AE212" s="106" t="e">
        <f t="shared" si="290"/>
        <v>#REF!</v>
      </c>
      <c r="AF212" s="106" t="e">
        <f t="shared" si="290"/>
        <v>#REF!</v>
      </c>
      <c r="AG212" s="106" t="e">
        <f t="shared" si="290"/>
        <v>#REF!</v>
      </c>
      <c r="AH212" s="106" t="e">
        <f t="shared" si="290"/>
        <v>#REF!</v>
      </c>
      <c r="AI212" s="106" t="e">
        <f t="shared" si="290"/>
        <v>#REF!</v>
      </c>
      <c r="AJ212" s="106" t="e">
        <f t="shared" si="290"/>
        <v>#REF!</v>
      </c>
      <c r="AK212" s="106" t="e">
        <f t="shared" si="290"/>
        <v>#REF!</v>
      </c>
      <c r="AL212" s="106" t="e">
        <f t="shared" si="290"/>
        <v>#REF!</v>
      </c>
      <c r="AM212" s="106" t="e">
        <f t="shared" si="290"/>
        <v>#REF!</v>
      </c>
      <c r="AN212" s="106" t="e">
        <f t="shared" si="290"/>
        <v>#REF!</v>
      </c>
      <c r="AO212" s="106" t="e">
        <f t="shared" si="290"/>
        <v>#REF!</v>
      </c>
      <c r="AP212" s="106" t="e">
        <f t="shared" si="290"/>
        <v>#REF!</v>
      </c>
      <c r="AQ212" s="106" t="e">
        <f t="shared" si="290"/>
        <v>#REF!</v>
      </c>
      <c r="AR212" s="106" t="e">
        <f t="shared" si="290"/>
        <v>#REF!</v>
      </c>
      <c r="AS212" s="106" t="e">
        <f t="shared" si="290"/>
        <v>#REF!</v>
      </c>
      <c r="AT212" s="106" t="e">
        <f t="shared" si="290"/>
        <v>#REF!</v>
      </c>
      <c r="AU212" s="106" t="e">
        <f t="shared" si="290"/>
        <v>#REF!</v>
      </c>
      <c r="AV212" s="106" t="e">
        <f t="shared" si="290"/>
        <v>#REF!</v>
      </c>
      <c r="AW212" s="106" t="e">
        <f t="shared" si="290"/>
        <v>#REF!</v>
      </c>
      <c r="AX212" s="106" t="e">
        <f t="shared" si="290"/>
        <v>#REF!</v>
      </c>
      <c r="AY212" s="106" t="e">
        <f t="shared" si="290"/>
        <v>#REF!</v>
      </c>
      <c r="AZ212" s="106" t="e">
        <f t="shared" si="290"/>
        <v>#REF!</v>
      </c>
      <c r="BA212" s="106" t="e">
        <f t="shared" si="290"/>
        <v>#REF!</v>
      </c>
      <c r="BB212" s="106" t="e">
        <f t="shared" si="290"/>
        <v>#REF!</v>
      </c>
      <c r="BC212" s="106" t="e">
        <f t="shared" si="290"/>
        <v>#REF!</v>
      </c>
      <c r="BD212" s="106" t="e">
        <f t="shared" si="290"/>
        <v>#REF!</v>
      </c>
      <c r="BE212" s="106" t="e">
        <f t="shared" si="290"/>
        <v>#REF!</v>
      </c>
      <c r="BF212" s="106" t="e">
        <f t="shared" si="290"/>
        <v>#REF!</v>
      </c>
      <c r="BG212" s="106" t="e">
        <f t="shared" si="290"/>
        <v>#REF!</v>
      </c>
      <c r="BH212" s="106" t="e">
        <f t="shared" si="290"/>
        <v>#REF!</v>
      </c>
      <c r="BI212" s="106" t="e">
        <f t="shared" si="290"/>
        <v>#REF!</v>
      </c>
      <c r="BJ212" s="106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417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411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388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369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373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375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418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412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419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420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421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422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360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4" t="s">
        <v>383</v>
      </c>
      <c r="C231" s="106" t="e">
        <f>C230*$F$28</f>
        <v>#REF!</v>
      </c>
      <c r="D231" s="106" t="e">
        <f t="shared" ref="D231:BJ231" si="417">D230*$F$28</f>
        <v>#REF!</v>
      </c>
      <c r="E231" s="106" t="e">
        <f t="shared" si="417"/>
        <v>#REF!</v>
      </c>
      <c r="F231" s="106" t="e">
        <f t="shared" si="417"/>
        <v>#REF!</v>
      </c>
      <c r="G231" s="106" t="e">
        <f t="shared" si="417"/>
        <v>#REF!</v>
      </c>
      <c r="H231" s="106" t="e">
        <f t="shared" si="417"/>
        <v>#REF!</v>
      </c>
      <c r="I231" s="106" t="e">
        <f t="shared" si="417"/>
        <v>#REF!</v>
      </c>
      <c r="J231" s="106" t="e">
        <f t="shared" si="417"/>
        <v>#REF!</v>
      </c>
      <c r="K231" s="106" t="e">
        <f t="shared" si="417"/>
        <v>#REF!</v>
      </c>
      <c r="L231" s="106" t="e">
        <f t="shared" si="417"/>
        <v>#REF!</v>
      </c>
      <c r="M231" s="106" t="e">
        <f t="shared" si="417"/>
        <v>#REF!</v>
      </c>
      <c r="N231" s="106" t="e">
        <f t="shared" si="417"/>
        <v>#REF!</v>
      </c>
      <c r="O231" s="106" t="e">
        <f t="shared" si="417"/>
        <v>#REF!</v>
      </c>
      <c r="P231" s="106" t="e">
        <f t="shared" si="417"/>
        <v>#REF!</v>
      </c>
      <c r="Q231" s="106" t="e">
        <f t="shared" si="417"/>
        <v>#REF!</v>
      </c>
      <c r="R231" s="106" t="e">
        <f t="shared" si="417"/>
        <v>#REF!</v>
      </c>
      <c r="S231" s="106" t="e">
        <f t="shared" si="417"/>
        <v>#REF!</v>
      </c>
      <c r="T231" s="106" t="e">
        <f t="shared" si="417"/>
        <v>#REF!</v>
      </c>
      <c r="U231" s="106" t="e">
        <f t="shared" si="417"/>
        <v>#REF!</v>
      </c>
      <c r="V231" s="106" t="e">
        <f t="shared" si="417"/>
        <v>#REF!</v>
      </c>
      <c r="W231" s="106" t="e">
        <f t="shared" si="417"/>
        <v>#REF!</v>
      </c>
      <c r="X231" s="106" t="e">
        <f t="shared" si="417"/>
        <v>#REF!</v>
      </c>
      <c r="Y231" s="106" t="e">
        <f t="shared" si="417"/>
        <v>#REF!</v>
      </c>
      <c r="Z231" s="106" t="e">
        <f t="shared" si="417"/>
        <v>#REF!</v>
      </c>
      <c r="AA231" s="106" t="e">
        <f t="shared" si="417"/>
        <v>#REF!</v>
      </c>
      <c r="AB231" s="106" t="e">
        <f t="shared" si="417"/>
        <v>#REF!</v>
      </c>
      <c r="AC231" s="106" t="e">
        <f t="shared" si="417"/>
        <v>#REF!</v>
      </c>
      <c r="AD231" s="106" t="e">
        <f t="shared" si="417"/>
        <v>#REF!</v>
      </c>
      <c r="AE231" s="106" t="e">
        <f t="shared" si="417"/>
        <v>#REF!</v>
      </c>
      <c r="AF231" s="106" t="e">
        <f t="shared" si="417"/>
        <v>#REF!</v>
      </c>
      <c r="AG231" s="106" t="e">
        <f t="shared" si="417"/>
        <v>#REF!</v>
      </c>
      <c r="AH231" s="106" t="e">
        <f t="shared" si="417"/>
        <v>#REF!</v>
      </c>
      <c r="AI231" s="106" t="e">
        <f t="shared" si="417"/>
        <v>#REF!</v>
      </c>
      <c r="AJ231" s="106" t="e">
        <f t="shared" si="417"/>
        <v>#REF!</v>
      </c>
      <c r="AK231" s="106" t="e">
        <f t="shared" si="417"/>
        <v>#REF!</v>
      </c>
      <c r="AL231" s="106" t="e">
        <f t="shared" si="417"/>
        <v>#REF!</v>
      </c>
      <c r="AM231" s="106" t="e">
        <f t="shared" si="417"/>
        <v>#REF!</v>
      </c>
      <c r="AN231" s="106" t="e">
        <f t="shared" si="417"/>
        <v>#REF!</v>
      </c>
      <c r="AO231" s="106" t="e">
        <f t="shared" si="417"/>
        <v>#REF!</v>
      </c>
      <c r="AP231" s="106" t="e">
        <f t="shared" si="417"/>
        <v>#REF!</v>
      </c>
      <c r="AQ231" s="106" t="e">
        <f t="shared" si="417"/>
        <v>#REF!</v>
      </c>
      <c r="AR231" s="106" t="e">
        <f t="shared" si="417"/>
        <v>#REF!</v>
      </c>
      <c r="AS231" s="106" t="e">
        <f t="shared" si="417"/>
        <v>#REF!</v>
      </c>
      <c r="AT231" s="106" t="e">
        <f t="shared" si="417"/>
        <v>#REF!</v>
      </c>
      <c r="AU231" s="106" t="e">
        <f t="shared" si="417"/>
        <v>#REF!</v>
      </c>
      <c r="AV231" s="106" t="e">
        <f t="shared" si="417"/>
        <v>#REF!</v>
      </c>
      <c r="AW231" s="106" t="e">
        <f t="shared" si="417"/>
        <v>#REF!</v>
      </c>
      <c r="AX231" s="106" t="e">
        <f t="shared" si="417"/>
        <v>#REF!</v>
      </c>
      <c r="AY231" s="106" t="e">
        <f t="shared" si="417"/>
        <v>#REF!</v>
      </c>
      <c r="AZ231" s="106" t="e">
        <f t="shared" si="417"/>
        <v>#REF!</v>
      </c>
      <c r="BA231" s="106" t="e">
        <f t="shared" si="417"/>
        <v>#REF!</v>
      </c>
      <c r="BB231" s="106" t="e">
        <f t="shared" si="417"/>
        <v>#REF!</v>
      </c>
      <c r="BC231" s="106" t="e">
        <f t="shared" si="417"/>
        <v>#REF!</v>
      </c>
      <c r="BD231" s="106" t="e">
        <f t="shared" si="417"/>
        <v>#REF!</v>
      </c>
      <c r="BE231" s="106" t="e">
        <f t="shared" si="417"/>
        <v>#REF!</v>
      </c>
      <c r="BF231" s="106" t="e">
        <f t="shared" si="417"/>
        <v>#REF!</v>
      </c>
      <c r="BG231" s="106" t="e">
        <f t="shared" si="417"/>
        <v>#REF!</v>
      </c>
      <c r="BH231" s="106" t="e">
        <f t="shared" si="417"/>
        <v>#REF!</v>
      </c>
      <c r="BI231" s="106" t="e">
        <f t="shared" si="417"/>
        <v>#REF!</v>
      </c>
      <c r="BJ231" s="106" t="e">
        <f t="shared" si="417"/>
        <v>#REF!</v>
      </c>
      <c r="BK231"/>
      <c r="BL231" s="5"/>
    </row>
    <row r="232" spans="1:64">
      <c r="A232"/>
      <c r="B232" s="74" t="s">
        <v>384</v>
      </c>
      <c r="C232" s="106" t="e">
        <f>+C230*$G$28</f>
        <v>#REF!</v>
      </c>
      <c r="D232" s="106" t="e">
        <f t="shared" ref="D232:BJ232" si="418">+D230*$G$28</f>
        <v>#REF!</v>
      </c>
      <c r="E232" s="106" t="e">
        <f t="shared" si="418"/>
        <v>#REF!</v>
      </c>
      <c r="F232" s="106" t="e">
        <f t="shared" si="418"/>
        <v>#REF!</v>
      </c>
      <c r="G232" s="106" t="e">
        <f t="shared" si="418"/>
        <v>#REF!</v>
      </c>
      <c r="H232" s="106" t="e">
        <f t="shared" si="418"/>
        <v>#REF!</v>
      </c>
      <c r="I232" s="106" t="e">
        <f t="shared" si="418"/>
        <v>#REF!</v>
      </c>
      <c r="J232" s="106" t="e">
        <f t="shared" si="418"/>
        <v>#REF!</v>
      </c>
      <c r="K232" s="106" t="e">
        <f t="shared" si="418"/>
        <v>#REF!</v>
      </c>
      <c r="L232" s="106" t="e">
        <f t="shared" si="418"/>
        <v>#REF!</v>
      </c>
      <c r="M232" s="106" t="e">
        <f t="shared" si="418"/>
        <v>#REF!</v>
      </c>
      <c r="N232" s="106" t="e">
        <f t="shared" si="418"/>
        <v>#REF!</v>
      </c>
      <c r="O232" s="106" t="e">
        <f t="shared" si="418"/>
        <v>#REF!</v>
      </c>
      <c r="P232" s="106" t="e">
        <f t="shared" si="418"/>
        <v>#REF!</v>
      </c>
      <c r="Q232" s="106" t="e">
        <f t="shared" si="418"/>
        <v>#REF!</v>
      </c>
      <c r="R232" s="106" t="e">
        <f t="shared" si="418"/>
        <v>#REF!</v>
      </c>
      <c r="S232" s="106" t="e">
        <f t="shared" si="418"/>
        <v>#REF!</v>
      </c>
      <c r="T232" s="106" t="e">
        <f t="shared" si="418"/>
        <v>#REF!</v>
      </c>
      <c r="U232" s="106" t="e">
        <f t="shared" si="418"/>
        <v>#REF!</v>
      </c>
      <c r="V232" s="106" t="e">
        <f t="shared" si="418"/>
        <v>#REF!</v>
      </c>
      <c r="W232" s="106" t="e">
        <f t="shared" si="418"/>
        <v>#REF!</v>
      </c>
      <c r="X232" s="106" t="e">
        <f t="shared" si="418"/>
        <v>#REF!</v>
      </c>
      <c r="Y232" s="106" t="e">
        <f t="shared" si="418"/>
        <v>#REF!</v>
      </c>
      <c r="Z232" s="106" t="e">
        <f t="shared" si="418"/>
        <v>#REF!</v>
      </c>
      <c r="AA232" s="106" t="e">
        <f t="shared" si="418"/>
        <v>#REF!</v>
      </c>
      <c r="AB232" s="106" t="e">
        <f t="shared" si="418"/>
        <v>#REF!</v>
      </c>
      <c r="AC232" s="106" t="e">
        <f t="shared" si="418"/>
        <v>#REF!</v>
      </c>
      <c r="AD232" s="106" t="e">
        <f t="shared" si="418"/>
        <v>#REF!</v>
      </c>
      <c r="AE232" s="106" t="e">
        <f t="shared" si="418"/>
        <v>#REF!</v>
      </c>
      <c r="AF232" s="106" t="e">
        <f t="shared" si="418"/>
        <v>#REF!</v>
      </c>
      <c r="AG232" s="106" t="e">
        <f t="shared" si="418"/>
        <v>#REF!</v>
      </c>
      <c r="AH232" s="106" t="e">
        <f t="shared" si="418"/>
        <v>#REF!</v>
      </c>
      <c r="AI232" s="106" t="e">
        <f t="shared" si="418"/>
        <v>#REF!</v>
      </c>
      <c r="AJ232" s="106" t="e">
        <f t="shared" si="418"/>
        <v>#REF!</v>
      </c>
      <c r="AK232" s="106" t="e">
        <f t="shared" si="418"/>
        <v>#REF!</v>
      </c>
      <c r="AL232" s="106" t="e">
        <f t="shared" si="418"/>
        <v>#REF!</v>
      </c>
      <c r="AM232" s="106" t="e">
        <f t="shared" si="418"/>
        <v>#REF!</v>
      </c>
      <c r="AN232" s="106" t="e">
        <f t="shared" si="418"/>
        <v>#REF!</v>
      </c>
      <c r="AO232" s="106" t="e">
        <f t="shared" si="418"/>
        <v>#REF!</v>
      </c>
      <c r="AP232" s="106" t="e">
        <f t="shared" si="418"/>
        <v>#REF!</v>
      </c>
      <c r="AQ232" s="106" t="e">
        <f t="shared" si="418"/>
        <v>#REF!</v>
      </c>
      <c r="AR232" s="106" t="e">
        <f t="shared" si="418"/>
        <v>#REF!</v>
      </c>
      <c r="AS232" s="106" t="e">
        <f t="shared" si="418"/>
        <v>#REF!</v>
      </c>
      <c r="AT232" s="106" t="e">
        <f t="shared" si="418"/>
        <v>#REF!</v>
      </c>
      <c r="AU232" s="106" t="e">
        <f t="shared" si="418"/>
        <v>#REF!</v>
      </c>
      <c r="AV232" s="106" t="e">
        <f t="shared" si="418"/>
        <v>#REF!</v>
      </c>
      <c r="AW232" s="106" t="e">
        <f t="shared" si="418"/>
        <v>#REF!</v>
      </c>
      <c r="AX232" s="106" t="e">
        <f t="shared" si="418"/>
        <v>#REF!</v>
      </c>
      <c r="AY232" s="106" t="e">
        <f t="shared" si="418"/>
        <v>#REF!</v>
      </c>
      <c r="AZ232" s="106" t="e">
        <f t="shared" si="418"/>
        <v>#REF!</v>
      </c>
      <c r="BA232" s="106" t="e">
        <f t="shared" si="418"/>
        <v>#REF!</v>
      </c>
      <c r="BB232" s="106" t="e">
        <f t="shared" si="418"/>
        <v>#REF!</v>
      </c>
      <c r="BC232" s="106" t="e">
        <f t="shared" si="418"/>
        <v>#REF!</v>
      </c>
      <c r="BD232" s="106" t="e">
        <f t="shared" si="418"/>
        <v>#REF!</v>
      </c>
      <c r="BE232" s="106" t="e">
        <f t="shared" si="418"/>
        <v>#REF!</v>
      </c>
      <c r="BF232" s="106" t="e">
        <f t="shared" si="418"/>
        <v>#REF!</v>
      </c>
      <c r="BG232" s="106" t="e">
        <f t="shared" si="418"/>
        <v>#REF!</v>
      </c>
      <c r="BH232" s="106" t="e">
        <f t="shared" si="418"/>
        <v>#REF!</v>
      </c>
      <c r="BI232" s="106" t="e">
        <f t="shared" si="418"/>
        <v>#REF!</v>
      </c>
      <c r="BJ232" s="106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423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424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425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426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427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327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378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379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380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428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429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58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430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327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378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379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380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428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429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58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382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327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378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379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380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428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429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58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323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416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422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426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58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431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432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433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434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435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436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437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313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161 Verdin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89" t="s">
        <v>315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>
      <c r="A7"/>
      <c r="B7" s="90" t="s">
        <v>316</v>
      </c>
      <c r="C7" s="101" t="str">
        <f>IF(ISBLANK(C6),"",0)</f>
        <v/>
      </c>
      <c r="D7" s="101" t="str">
        <f>IF(ISBLANK(D6),"",D6-C6)</f>
        <v/>
      </c>
      <c r="E7" s="101" t="str">
        <f t="shared" ref="E7:BJ7" si="0">IF(ISBLANK(E6),"",E6-D6)</f>
        <v/>
      </c>
      <c r="F7" s="101" t="str">
        <f t="shared" si="0"/>
        <v/>
      </c>
      <c r="G7" s="101" t="str">
        <f t="shared" si="0"/>
        <v/>
      </c>
      <c r="H7" s="101" t="str">
        <f t="shared" si="0"/>
        <v/>
      </c>
      <c r="I7" s="101" t="str">
        <f t="shared" si="0"/>
        <v/>
      </c>
      <c r="J7" s="101" t="str">
        <f t="shared" si="0"/>
        <v/>
      </c>
      <c r="K7" s="101" t="str">
        <f t="shared" si="0"/>
        <v/>
      </c>
      <c r="L7" s="101" t="str">
        <f t="shared" si="0"/>
        <v/>
      </c>
      <c r="M7" s="101" t="str">
        <f t="shared" si="0"/>
        <v/>
      </c>
      <c r="N7" s="101" t="str">
        <f t="shared" si="0"/>
        <v/>
      </c>
      <c r="O7" s="101" t="str">
        <f t="shared" si="0"/>
        <v/>
      </c>
      <c r="P7" s="101" t="str">
        <f t="shared" si="0"/>
        <v/>
      </c>
      <c r="Q7" s="101" t="str">
        <f t="shared" si="0"/>
        <v/>
      </c>
      <c r="R7" s="101" t="str">
        <f t="shared" si="0"/>
        <v/>
      </c>
      <c r="S7" s="101" t="str">
        <f t="shared" si="0"/>
        <v/>
      </c>
      <c r="T7" s="101" t="str">
        <f t="shared" si="0"/>
        <v/>
      </c>
      <c r="U7" s="101" t="str">
        <f t="shared" si="0"/>
        <v/>
      </c>
      <c r="V7" s="101" t="str">
        <f t="shared" si="0"/>
        <v/>
      </c>
      <c r="W7" s="101" t="str">
        <f t="shared" si="0"/>
        <v/>
      </c>
      <c r="X7" s="101" t="str">
        <f t="shared" si="0"/>
        <v/>
      </c>
      <c r="Y7" s="101" t="str">
        <f t="shared" si="0"/>
        <v/>
      </c>
      <c r="Z7" s="101" t="str">
        <f t="shared" si="0"/>
        <v/>
      </c>
      <c r="AA7" s="101" t="str">
        <f t="shared" si="0"/>
        <v/>
      </c>
      <c r="AB7" s="101" t="str">
        <f t="shared" si="0"/>
        <v/>
      </c>
      <c r="AC7" s="101" t="str">
        <f t="shared" si="0"/>
        <v/>
      </c>
      <c r="AD7" s="101" t="str">
        <f t="shared" si="0"/>
        <v/>
      </c>
      <c r="AE7" s="101" t="str">
        <f t="shared" si="0"/>
        <v/>
      </c>
      <c r="AF7" s="101" t="str">
        <f t="shared" si="0"/>
        <v/>
      </c>
      <c r="AG7" s="101" t="str">
        <f t="shared" si="0"/>
        <v/>
      </c>
      <c r="AH7" s="101" t="str">
        <f t="shared" si="0"/>
        <v/>
      </c>
      <c r="AI7" s="101" t="str">
        <f t="shared" si="0"/>
        <v/>
      </c>
      <c r="AJ7" s="101" t="str">
        <f t="shared" si="0"/>
        <v/>
      </c>
      <c r="AK7" s="101" t="str">
        <f t="shared" si="0"/>
        <v/>
      </c>
      <c r="AL7" s="101" t="str">
        <f t="shared" si="0"/>
        <v/>
      </c>
      <c r="AM7" s="101" t="str">
        <f t="shared" si="0"/>
        <v/>
      </c>
      <c r="AN7" s="101" t="str">
        <f t="shared" si="0"/>
        <v/>
      </c>
      <c r="AO7" s="101" t="str">
        <f t="shared" si="0"/>
        <v/>
      </c>
      <c r="AP7" s="101" t="str">
        <f t="shared" si="0"/>
        <v/>
      </c>
      <c r="AQ7" s="101" t="str">
        <f t="shared" si="0"/>
        <v/>
      </c>
      <c r="AR7" s="101" t="str">
        <f t="shared" si="0"/>
        <v/>
      </c>
      <c r="AS7" s="101" t="str">
        <f t="shared" si="0"/>
        <v/>
      </c>
      <c r="AT7" s="101" t="str">
        <f t="shared" si="0"/>
        <v/>
      </c>
      <c r="AU7" s="101" t="str">
        <f t="shared" si="0"/>
        <v/>
      </c>
      <c r="AV7" s="101" t="str">
        <f t="shared" si="0"/>
        <v/>
      </c>
      <c r="AW7" s="101" t="str">
        <f t="shared" si="0"/>
        <v/>
      </c>
      <c r="AX7" s="101" t="str">
        <f t="shared" si="0"/>
        <v/>
      </c>
      <c r="AY7" s="101" t="str">
        <f t="shared" si="0"/>
        <v/>
      </c>
      <c r="AZ7" s="101" t="str">
        <f t="shared" si="0"/>
        <v/>
      </c>
      <c r="BA7" s="101" t="str">
        <f t="shared" si="0"/>
        <v/>
      </c>
      <c r="BB7" s="101" t="str">
        <f t="shared" si="0"/>
        <v/>
      </c>
      <c r="BC7" s="101" t="str">
        <f t="shared" si="0"/>
        <v/>
      </c>
      <c r="BD7" s="101" t="str">
        <f t="shared" si="0"/>
        <v/>
      </c>
      <c r="BE7" s="101" t="str">
        <f t="shared" si="0"/>
        <v/>
      </c>
      <c r="BF7" s="101" t="str">
        <f t="shared" si="0"/>
        <v/>
      </c>
      <c r="BG7" s="101" t="str">
        <f t="shared" si="0"/>
        <v/>
      </c>
      <c r="BH7" s="101" t="str">
        <f t="shared" si="0"/>
        <v/>
      </c>
      <c r="BI7" s="101" t="str">
        <f t="shared" si="0"/>
        <v/>
      </c>
      <c r="BJ7" s="102" t="str">
        <f t="shared" si="0"/>
        <v/>
      </c>
      <c r="BK7"/>
      <c r="BL7" s="5"/>
    </row>
    <row r="8" spans="1:64">
      <c r="A8"/>
      <c r="B8" s="90" t="s">
        <v>317</v>
      </c>
      <c r="C8" s="100" t="str">
        <f t="shared" ref="C8:BJ8" si="1">IFERROR(C7/365,"")</f>
        <v/>
      </c>
      <c r="D8" s="100" t="str">
        <f t="shared" si="1"/>
        <v/>
      </c>
      <c r="E8" s="100" t="str">
        <f t="shared" si="1"/>
        <v/>
      </c>
      <c r="F8" s="100" t="str">
        <f t="shared" si="1"/>
        <v/>
      </c>
      <c r="G8" s="100" t="str">
        <f t="shared" si="1"/>
        <v/>
      </c>
      <c r="H8" s="100" t="str">
        <f t="shared" si="1"/>
        <v/>
      </c>
      <c r="I8" s="100" t="str">
        <f t="shared" si="1"/>
        <v/>
      </c>
      <c r="J8" s="100" t="str">
        <f t="shared" si="1"/>
        <v/>
      </c>
      <c r="K8" s="100" t="str">
        <f t="shared" si="1"/>
        <v/>
      </c>
      <c r="L8" s="100" t="str">
        <f t="shared" si="1"/>
        <v/>
      </c>
      <c r="M8" s="100" t="str">
        <f t="shared" si="1"/>
        <v/>
      </c>
      <c r="N8" s="100" t="str">
        <f t="shared" si="1"/>
        <v/>
      </c>
      <c r="O8" s="100" t="str">
        <f t="shared" si="1"/>
        <v/>
      </c>
      <c r="P8" s="100" t="str">
        <f t="shared" si="1"/>
        <v/>
      </c>
      <c r="Q8" s="100" t="str">
        <f t="shared" si="1"/>
        <v/>
      </c>
      <c r="R8" s="100" t="str">
        <f t="shared" si="1"/>
        <v/>
      </c>
      <c r="S8" s="100" t="str">
        <f t="shared" si="1"/>
        <v/>
      </c>
      <c r="T8" s="100" t="str">
        <f t="shared" si="1"/>
        <v/>
      </c>
      <c r="U8" s="100" t="str">
        <f t="shared" si="1"/>
        <v/>
      </c>
      <c r="V8" s="100" t="str">
        <f t="shared" si="1"/>
        <v/>
      </c>
      <c r="W8" s="100" t="str">
        <f t="shared" si="1"/>
        <v/>
      </c>
      <c r="X8" s="100" t="str">
        <f t="shared" si="1"/>
        <v/>
      </c>
      <c r="Y8" s="100" t="str">
        <f t="shared" si="1"/>
        <v/>
      </c>
      <c r="Z8" s="100" t="str">
        <f t="shared" si="1"/>
        <v/>
      </c>
      <c r="AA8" s="100" t="str">
        <f t="shared" si="1"/>
        <v/>
      </c>
      <c r="AB8" s="100" t="str">
        <f t="shared" si="1"/>
        <v/>
      </c>
      <c r="AC8" s="100" t="str">
        <f t="shared" si="1"/>
        <v/>
      </c>
      <c r="AD8" s="100" t="str">
        <f t="shared" si="1"/>
        <v/>
      </c>
      <c r="AE8" s="100" t="str">
        <f t="shared" si="1"/>
        <v/>
      </c>
      <c r="AF8" s="100" t="str">
        <f t="shared" si="1"/>
        <v/>
      </c>
      <c r="AG8" s="100" t="str">
        <f t="shared" si="1"/>
        <v/>
      </c>
      <c r="AH8" s="100" t="str">
        <f t="shared" si="1"/>
        <v/>
      </c>
      <c r="AI8" s="100" t="str">
        <f t="shared" si="1"/>
        <v/>
      </c>
      <c r="AJ8" s="100" t="str">
        <f t="shared" si="1"/>
        <v/>
      </c>
      <c r="AK8" s="100" t="str">
        <f t="shared" si="1"/>
        <v/>
      </c>
      <c r="AL8" s="100" t="str">
        <f t="shared" si="1"/>
        <v/>
      </c>
      <c r="AM8" s="100" t="str">
        <f t="shared" si="1"/>
        <v/>
      </c>
      <c r="AN8" s="100" t="str">
        <f t="shared" si="1"/>
        <v/>
      </c>
      <c r="AO8" s="100" t="str">
        <f t="shared" si="1"/>
        <v/>
      </c>
      <c r="AP8" s="100" t="str">
        <f t="shared" si="1"/>
        <v/>
      </c>
      <c r="AQ8" s="100" t="str">
        <f t="shared" si="1"/>
        <v/>
      </c>
      <c r="AR8" s="100" t="str">
        <f t="shared" si="1"/>
        <v/>
      </c>
      <c r="AS8" s="100" t="str">
        <f t="shared" si="1"/>
        <v/>
      </c>
      <c r="AT8" s="100" t="str">
        <f t="shared" si="1"/>
        <v/>
      </c>
      <c r="AU8" s="100" t="str">
        <f t="shared" si="1"/>
        <v/>
      </c>
      <c r="AV8" s="100" t="str">
        <f t="shared" si="1"/>
        <v/>
      </c>
      <c r="AW8" s="100" t="str">
        <f t="shared" si="1"/>
        <v/>
      </c>
      <c r="AX8" s="100" t="str">
        <f t="shared" si="1"/>
        <v/>
      </c>
      <c r="AY8" s="100" t="str">
        <f t="shared" si="1"/>
        <v/>
      </c>
      <c r="AZ8" s="100" t="str">
        <f t="shared" si="1"/>
        <v/>
      </c>
      <c r="BA8" s="100" t="str">
        <f t="shared" si="1"/>
        <v/>
      </c>
      <c r="BB8" s="100" t="str">
        <f t="shared" si="1"/>
        <v/>
      </c>
      <c r="BC8" s="100" t="str">
        <f t="shared" si="1"/>
        <v/>
      </c>
      <c r="BD8" s="100" t="str">
        <f t="shared" si="1"/>
        <v/>
      </c>
      <c r="BE8" s="100" t="str">
        <f t="shared" si="1"/>
        <v/>
      </c>
      <c r="BF8" s="100" t="str">
        <f t="shared" si="1"/>
        <v/>
      </c>
      <c r="BG8" s="100" t="str">
        <f t="shared" si="1"/>
        <v/>
      </c>
      <c r="BH8" s="100" t="str">
        <f t="shared" si="1"/>
        <v/>
      </c>
      <c r="BI8" s="100" t="str">
        <f t="shared" si="1"/>
        <v/>
      </c>
      <c r="BJ8" s="103" t="str">
        <f t="shared" si="1"/>
        <v/>
      </c>
      <c r="BK8"/>
      <c r="BL8" s="5"/>
    </row>
    <row r="9" spans="1:64">
      <c r="A9"/>
      <c r="B9" s="91" t="s">
        <v>302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6"/>
      <c r="C11" s="95" t="s">
        <v>439</v>
      </c>
      <c r="D11" s="95" t="s">
        <v>440</v>
      </c>
      <c r="E11" s="95" t="s">
        <v>441</v>
      </c>
      <c r="F11" s="95" t="s">
        <v>442</v>
      </c>
      <c r="G11" s="96" t="s">
        <v>443</v>
      </c>
      <c r="H11"/>
      <c r="I11" s="113" t="s">
        <v>444</v>
      </c>
      <c r="J11" s="114"/>
      <c r="K11" s="115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324</v>
      </c>
      <c r="C12" s="48">
        <f>IFERROR(XIRR(C39:BJ39,C6:BJ6,0),0)</f>
        <v>0</v>
      </c>
      <c r="D12" s="48">
        <f>IFERROR(XIRR(C81:BJ81,C6:BJ6,0),0)</f>
        <v>0</v>
      </c>
      <c r="E12" s="48" t="s">
        <v>67</v>
      </c>
      <c r="F12" s="48">
        <f>IFERROR(XIRR(C107:BJ107,C6:BJ6,0),0)</f>
        <v>0</v>
      </c>
      <c r="G12" s="48">
        <f>IFERROR(XIRR(C101:BJ101,C6:BJ6,0),0)</f>
        <v>0</v>
      </c>
      <c r="H12" s="48"/>
      <c r="I12" t="s">
        <v>445</v>
      </c>
      <c r="J12"/>
      <c r="K12" s="36" t="e">
        <f>-SUM(C36:BJ36)</f>
        <v>#REF!</v>
      </c>
      <c r="L12"/>
      <c r="M12" s="112" t="s">
        <v>325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326</v>
      </c>
      <c r="C13" s="118">
        <f>IFERROR(C15/C14,0)</f>
        <v>0</v>
      </c>
      <c r="D13" s="118">
        <f t="shared" ref="D13:G13" si="2">IFERROR(D15/D14,0)</f>
        <v>0</v>
      </c>
      <c r="E13" s="118" t="s">
        <v>67</v>
      </c>
      <c r="F13" s="118">
        <f t="shared" si="2"/>
        <v>0</v>
      </c>
      <c r="G13" s="118">
        <f t="shared" si="2"/>
        <v>0</v>
      </c>
      <c r="H13" s="97"/>
      <c r="I13" t="s">
        <v>443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327</v>
      </c>
      <c r="C14" s="36">
        <f>-SUM(C32:BJ32)</f>
        <v>0</v>
      </c>
      <c r="D14" s="36">
        <f>-SUM(C77:BJ77)</f>
        <v>0</v>
      </c>
      <c r="E14" s="36" t="s">
        <v>67</v>
      </c>
      <c r="F14" s="36">
        <f>-SUM(C104:BJ104)</f>
        <v>0</v>
      </c>
      <c r="G14" s="36">
        <f>-SUM(C98:BJ98)</f>
        <v>0</v>
      </c>
      <c r="H14" s="36"/>
      <c r="I14" s="3" t="s">
        <v>446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328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329</v>
      </c>
      <c r="C16" s="36" t="e">
        <f>+C15-C14</f>
        <v>#REF!</v>
      </c>
      <c r="D16" s="36" t="e">
        <f>+D15-D14</f>
        <v>#REF!</v>
      </c>
      <c r="E16" s="36" t="s">
        <v>67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4" t="s">
        <v>447</v>
      </c>
      <c r="C18" s="73" t="s">
        <v>116</v>
      </c>
      <c r="D18" s="73" t="s">
        <v>35</v>
      </c>
      <c r="E18" s="73" t="e">
        <f>+TEXT(#REF!,"")</f>
        <v>#REF!</v>
      </c>
      <c r="F18" s="73" t="e">
        <f>+TEXT(#REF!,"")</f>
        <v>#REF!</v>
      </c>
      <c r="G18" s="73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443</v>
      </c>
      <c r="C19" s="34" t="e">
        <f>+#REF!</f>
        <v>#REF!</v>
      </c>
      <c r="D19" s="85">
        <f>IFERROR(C19/C$21,0)</f>
        <v>0</v>
      </c>
      <c r="E19" s="73" t="e">
        <f>+TEXT(#REF!,"")</f>
        <v>#REF!</v>
      </c>
      <c r="F19" s="73" t="e">
        <f>+TEXT(#REF!,"")</f>
        <v>#REF!</v>
      </c>
      <c r="G19" s="73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442</v>
      </c>
      <c r="C20" s="34" t="e">
        <f>+#REF!</f>
        <v>#REF!</v>
      </c>
      <c r="D20" s="85">
        <f>IFERROR(C20/C$21,0)</f>
        <v>0</v>
      </c>
      <c r="E20" s="73" t="e">
        <f>+TEXT(#REF!,"")</f>
        <v>#REF!</v>
      </c>
      <c r="F20" s="73" t="e">
        <f>+TEXT(#REF!,"")</f>
        <v>#REF!</v>
      </c>
      <c r="G20" s="73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58</v>
      </c>
      <c r="C21" s="35" t="e">
        <f>SUM(C19:C20)</f>
        <v>#REF!</v>
      </c>
      <c r="D21" s="86">
        <f>SUM(D19:D20)</f>
        <v>0</v>
      </c>
      <c r="E21" s="73" t="e">
        <f>+TEXT(#REF!,"")</f>
        <v>#REF!</v>
      </c>
      <c r="F21" s="73" t="e">
        <f>+TEXT(#REF!,"")</f>
        <v>#REF!</v>
      </c>
      <c r="G21" s="73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7"/>
      <c r="E22" s="73"/>
      <c r="F22" s="73"/>
      <c r="G22" s="73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4" t="s">
        <v>448</v>
      </c>
      <c r="C23" s="73" t="s">
        <v>331</v>
      </c>
      <c r="D23" s="73" t="s">
        <v>449</v>
      </c>
      <c r="E23" s="73" t="s">
        <v>450</v>
      </c>
      <c r="F23" s="73" t="s">
        <v>451</v>
      </c>
      <c r="G23" s="73" t="s">
        <v>452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7" t="e">
        <f>+#REF!</f>
        <v>#REF!</v>
      </c>
      <c r="D24" s="85">
        <v>0</v>
      </c>
      <c r="E24" s="85">
        <f>1-D24</f>
        <v>1</v>
      </c>
      <c r="F24" s="85">
        <f t="shared" ref="F24:F25" si="4">+D24+$D$19*E24</f>
        <v>0</v>
      </c>
      <c r="G24" s="85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5" t="e">
        <f>+#REF!</f>
        <v>#REF!</v>
      </c>
      <c r="D25" s="85">
        <v>0</v>
      </c>
      <c r="E25" s="85">
        <f t="shared" ref="E25:E26" si="5">1-D25</f>
        <v>1</v>
      </c>
      <c r="F25" s="85">
        <f t="shared" si="4"/>
        <v>0</v>
      </c>
      <c r="G25" s="85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5" t="e">
        <f>+#REF!</f>
        <v>#REF!</v>
      </c>
      <c r="D26" s="87" t="e">
        <f>+#REF!</f>
        <v>#REF!</v>
      </c>
      <c r="E26" s="85" t="e">
        <f t="shared" si="5"/>
        <v>#REF!</v>
      </c>
      <c r="F26" s="85" t="e">
        <f>+D26+$D$19*E26</f>
        <v>#REF!</v>
      </c>
      <c r="G26" s="85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3"/>
      <c r="F27" s="73"/>
      <c r="G27" s="73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4" t="s">
        <v>453</v>
      </c>
      <c r="C28"/>
      <c r="D28"/>
      <c r="E28" s="73"/>
      <c r="F28" s="73"/>
      <c r="G28" s="73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353</v>
      </c>
      <c r="C29"/>
      <c r="D29"/>
      <c r="E29" s="73"/>
      <c r="F29" s="73"/>
      <c r="G29" s="73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454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455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354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456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457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458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358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459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4" t="s">
        <v>460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360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361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362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363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364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461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362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388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363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389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462</v>
      </c>
      <c r="C55" s="117">
        <f>SUM(C50:C54)</f>
        <v>0</v>
      </c>
      <c r="D55" s="117" t="e">
        <f t="shared" ref="D55:BJ55" si="136">SUM(D50:D54)</f>
        <v>#REF!</v>
      </c>
      <c r="E55" s="117" t="e">
        <f t="shared" si="136"/>
        <v>#REF!</v>
      </c>
      <c r="F55" s="117" t="e">
        <f t="shared" si="136"/>
        <v>#REF!</v>
      </c>
      <c r="G55" s="117" t="e">
        <f t="shared" si="136"/>
        <v>#REF!</v>
      </c>
      <c r="H55" s="117" t="e">
        <f t="shared" si="136"/>
        <v>#REF!</v>
      </c>
      <c r="I55" s="117" t="e">
        <f t="shared" si="136"/>
        <v>#REF!</v>
      </c>
      <c r="J55" s="117" t="e">
        <f t="shared" si="136"/>
        <v>#REF!</v>
      </c>
      <c r="K55" s="117" t="e">
        <f t="shared" si="136"/>
        <v>#REF!</v>
      </c>
      <c r="L55" s="117" t="e">
        <f t="shared" si="136"/>
        <v>#REF!</v>
      </c>
      <c r="M55" s="117" t="e">
        <f t="shared" si="136"/>
        <v>#REF!</v>
      </c>
      <c r="N55" s="117" t="e">
        <f t="shared" si="136"/>
        <v>#REF!</v>
      </c>
      <c r="O55" s="117" t="e">
        <f t="shared" si="136"/>
        <v>#REF!</v>
      </c>
      <c r="P55" s="117" t="e">
        <f t="shared" si="136"/>
        <v>#REF!</v>
      </c>
      <c r="Q55" s="117" t="e">
        <f t="shared" si="136"/>
        <v>#REF!</v>
      </c>
      <c r="R55" s="117" t="e">
        <f t="shared" si="136"/>
        <v>#REF!</v>
      </c>
      <c r="S55" s="117" t="e">
        <f t="shared" si="136"/>
        <v>#REF!</v>
      </c>
      <c r="T55" s="117" t="e">
        <f t="shared" si="136"/>
        <v>#REF!</v>
      </c>
      <c r="U55" s="117" t="e">
        <f t="shared" si="136"/>
        <v>#REF!</v>
      </c>
      <c r="V55" s="117" t="e">
        <f t="shared" si="136"/>
        <v>#REF!</v>
      </c>
      <c r="W55" s="117" t="e">
        <f t="shared" si="136"/>
        <v>#REF!</v>
      </c>
      <c r="X55" s="117" t="e">
        <f t="shared" si="136"/>
        <v>#REF!</v>
      </c>
      <c r="Y55" s="117" t="e">
        <f t="shared" si="136"/>
        <v>#REF!</v>
      </c>
      <c r="Z55" s="117" t="e">
        <f t="shared" si="136"/>
        <v>#REF!</v>
      </c>
      <c r="AA55" s="117" t="e">
        <f t="shared" si="136"/>
        <v>#REF!</v>
      </c>
      <c r="AB55" s="117" t="e">
        <f t="shared" si="136"/>
        <v>#REF!</v>
      </c>
      <c r="AC55" s="117" t="e">
        <f t="shared" si="136"/>
        <v>#REF!</v>
      </c>
      <c r="AD55" s="117" t="e">
        <f t="shared" si="136"/>
        <v>#REF!</v>
      </c>
      <c r="AE55" s="117" t="e">
        <f t="shared" si="136"/>
        <v>#REF!</v>
      </c>
      <c r="AF55" s="117" t="e">
        <f t="shared" si="136"/>
        <v>#REF!</v>
      </c>
      <c r="AG55" s="117" t="e">
        <f t="shared" si="136"/>
        <v>#REF!</v>
      </c>
      <c r="AH55" s="117" t="e">
        <f t="shared" si="136"/>
        <v>#REF!</v>
      </c>
      <c r="AI55" s="117" t="e">
        <f t="shared" si="136"/>
        <v>#REF!</v>
      </c>
      <c r="AJ55" s="117" t="e">
        <f t="shared" si="136"/>
        <v>#REF!</v>
      </c>
      <c r="AK55" s="117" t="e">
        <f t="shared" si="136"/>
        <v>#REF!</v>
      </c>
      <c r="AL55" s="117" t="e">
        <f t="shared" si="136"/>
        <v>#REF!</v>
      </c>
      <c r="AM55" s="117" t="e">
        <f t="shared" si="136"/>
        <v>#REF!</v>
      </c>
      <c r="AN55" s="117" t="e">
        <f t="shared" si="136"/>
        <v>#REF!</v>
      </c>
      <c r="AO55" s="117" t="e">
        <f t="shared" si="136"/>
        <v>#REF!</v>
      </c>
      <c r="AP55" s="117" t="e">
        <f t="shared" si="136"/>
        <v>#REF!</v>
      </c>
      <c r="AQ55" s="117" t="e">
        <f t="shared" si="136"/>
        <v>#REF!</v>
      </c>
      <c r="AR55" s="117" t="e">
        <f t="shared" si="136"/>
        <v>#REF!</v>
      </c>
      <c r="AS55" s="117" t="e">
        <f t="shared" si="136"/>
        <v>#REF!</v>
      </c>
      <c r="AT55" s="117" t="e">
        <f t="shared" si="136"/>
        <v>#REF!</v>
      </c>
      <c r="AU55" s="117" t="e">
        <f t="shared" si="136"/>
        <v>#REF!</v>
      </c>
      <c r="AV55" s="117" t="e">
        <f t="shared" si="136"/>
        <v>#REF!</v>
      </c>
      <c r="AW55" s="117" t="e">
        <f t="shared" si="136"/>
        <v>#REF!</v>
      </c>
      <c r="AX55" s="117" t="e">
        <f t="shared" si="136"/>
        <v>#REF!</v>
      </c>
      <c r="AY55" s="117" t="e">
        <f t="shared" si="136"/>
        <v>#REF!</v>
      </c>
      <c r="AZ55" s="117" t="e">
        <f t="shared" si="136"/>
        <v>#REF!</v>
      </c>
      <c r="BA55" s="117" t="e">
        <f t="shared" si="136"/>
        <v>#REF!</v>
      </c>
      <c r="BB55" s="117" t="e">
        <f t="shared" si="136"/>
        <v>#REF!</v>
      </c>
      <c r="BC55" s="117" t="e">
        <f t="shared" si="136"/>
        <v>#REF!</v>
      </c>
      <c r="BD55" s="117" t="e">
        <f t="shared" si="136"/>
        <v>#REF!</v>
      </c>
      <c r="BE55" s="117" t="e">
        <f t="shared" si="136"/>
        <v>#REF!</v>
      </c>
      <c r="BF55" s="117" t="e">
        <f t="shared" si="136"/>
        <v>#REF!</v>
      </c>
      <c r="BG55" s="117" t="e">
        <f t="shared" si="136"/>
        <v>#REF!</v>
      </c>
      <c r="BH55" s="117" t="e">
        <f t="shared" si="136"/>
        <v>#REF!</v>
      </c>
      <c r="BI55" s="117" t="e">
        <f t="shared" si="136"/>
        <v>#REF!</v>
      </c>
      <c r="BJ55" s="117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369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360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463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388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389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464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373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360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465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466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415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467</v>
      </c>
      <c r="C76"/>
      <c r="D76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/>
      <c r="BL76" s="5"/>
    </row>
    <row r="77" spans="1:64">
      <c r="A77"/>
      <c r="B77" t="s">
        <v>327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369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373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375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58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468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327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369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373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375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58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459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327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369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373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375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58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469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327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470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471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58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472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327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470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471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58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431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473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474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58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435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436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437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313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161 Verdin Rd</v>
      </c>
      <c r="B1"/>
      <c r="C1"/>
      <c r="D1"/>
      <c r="E1"/>
      <c r="F1" s="5"/>
    </row>
    <row r="2" spans="1:7" ht="20.45" thickBot="1">
      <c r="A2" s="8" t="s">
        <v>475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315</v>
      </c>
      <c r="C6" s="11" t="s">
        <v>476</v>
      </c>
      <c r="D6" s="11" t="s">
        <v>149</v>
      </c>
      <c r="E6"/>
      <c r="F6" s="5"/>
      <c r="G6" s="60"/>
    </row>
    <row r="7" spans="1:7">
      <c r="A7"/>
      <c r="B7" s="38">
        <v>45443</v>
      </c>
      <c r="C7" s="39">
        <f>EOMONTH(B7,0)</f>
        <v>45443</v>
      </c>
      <c r="D7" s="59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59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59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59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59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59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59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59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59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59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59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59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59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59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59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59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59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59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59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59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59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59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59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59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59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59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59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59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59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59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59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59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59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59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59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59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59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59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59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59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59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59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59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59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59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59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59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59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59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59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59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59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59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59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59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59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59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59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59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59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59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59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59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59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59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59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59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59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59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59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59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59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59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59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59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59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59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59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59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59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59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59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59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59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59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59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59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59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59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59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59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59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59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59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59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59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59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59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59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59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59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59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59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59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59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59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59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59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59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59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59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59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59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59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59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59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59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59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59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59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49082EFF-04D5-4BF3-9159-A11267B5C375}"/>
</file>

<file path=customXml/itemProps2.xml><?xml version="1.0" encoding="utf-8"?>
<ds:datastoreItem xmlns:ds="http://schemas.openxmlformats.org/officeDocument/2006/customXml" ds:itemID="{925EE4B4-E307-41EE-9FB0-2152597E229F}"/>
</file>

<file path=customXml/itemProps3.xml><?xml version="1.0" encoding="utf-8"?>
<ds:datastoreItem xmlns:ds="http://schemas.openxmlformats.org/officeDocument/2006/customXml" ds:itemID="{646F55AF-1E59-4690-9D1F-04A969E61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2026-04-27T19:35:27Z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