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atalystcp.sharepoint.com/sites/CCPTeam/Shared Documents/General/Models - Analysis/G&amp;M Underwriting Templates/Apartments/"/>
    </mc:Choice>
  </mc:AlternateContent>
  <xr:revisionPtr revIDLastSave="88" documentId="8_{1913D524-CD66-43C2-A81D-E742BA896135}" xr6:coauthVersionLast="47" xr6:coauthVersionMax="47" xr10:uidLastSave="{31FD6F7C-608B-4AA0-8B67-8435A3DDE741}"/>
  <bookViews>
    <workbookView xWindow="-120" yWindow="-120" windowWidth="29040" windowHeight="17520" activeTab="1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39" l="1"/>
  <c r="T10" i="39" s="1"/>
  <c r="R10" i="39"/>
  <c r="O10" i="39"/>
  <c r="S9" i="39"/>
  <c r="T9" i="39" s="1"/>
  <c r="R9" i="39"/>
  <c r="O9" i="39"/>
  <c r="Q8" i="39"/>
  <c r="R8" i="39" s="1"/>
  <c r="P8" i="39"/>
  <c r="S8" i="39" s="1"/>
  <c r="T8" i="39" s="1"/>
  <c r="O8" i="39"/>
  <c r="O32" i="38"/>
  <c r="N32" i="38"/>
  <c r="O23" i="38"/>
  <c r="N23" i="38"/>
  <c r="M29" i="39"/>
  <c r="D11" i="38"/>
  <c r="D10" i="38"/>
  <c r="D9" i="38"/>
  <c r="D8" i="38"/>
  <c r="D7" i="38"/>
  <c r="M32" i="38"/>
  <c r="L32" i="38"/>
  <c r="P31" i="38"/>
  <c r="M31" i="38"/>
  <c r="P30" i="38"/>
  <c r="M30" i="38"/>
  <c r="P29" i="38"/>
  <c r="M29" i="38"/>
  <c r="P28" i="38"/>
  <c r="M28" i="38"/>
  <c r="P27" i="38"/>
  <c r="M27" i="38"/>
  <c r="M23" i="38"/>
  <c r="L23" i="38"/>
  <c r="P22" i="38"/>
  <c r="M22" i="38"/>
  <c r="P21" i="38"/>
  <c r="M21" i="38"/>
  <c r="P20" i="38"/>
  <c r="M20" i="38"/>
  <c r="P19" i="38"/>
  <c r="M19" i="38"/>
  <c r="P18" i="38"/>
  <c r="M18" i="38"/>
  <c r="M55" i="39"/>
  <c r="M54" i="39"/>
  <c r="L53" i="39"/>
  <c r="P32" i="38" l="1"/>
  <c r="P23" i="38"/>
  <c r="G25" i="39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11" i="38" l="1"/>
  <c r="M13" i="38"/>
  <c r="N14" i="38"/>
  <c r="M9" i="38"/>
  <c r="M14" i="38" s="1"/>
  <c r="M10" i="38"/>
  <c r="M12" i="38"/>
  <c r="O14" i="38"/>
  <c r="M41" i="39"/>
  <c r="M35" i="39"/>
  <c r="P14" i="38" l="1"/>
  <c r="N37" i="35" l="1"/>
  <c r="D15" i="38" l="1"/>
  <c r="D11" i="39" l="1"/>
  <c r="D70" i="35"/>
  <c r="D49" i="35"/>
  <c r="D46" i="35"/>
  <c r="D8" i="35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1" i="35"/>
  <c r="G12" i="39"/>
  <c r="D54" i="35"/>
  <c r="D22" i="35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E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E19" i="38"/>
  <c r="F41" i="35"/>
  <c r="F29" i="35"/>
  <c r="E64" i="35"/>
  <c r="F19" i="35"/>
  <c r="F56" i="35"/>
  <c r="F52" i="35"/>
  <c r="E21" i="38"/>
  <c r="E20" i="38"/>
  <c r="F42" i="35"/>
  <c r="F36" i="35"/>
  <c r="F20" i="35"/>
  <c r="E18" i="38"/>
  <c r="F22" i="38"/>
  <c r="H17" i="38"/>
  <c r="G22" i="38"/>
  <c r="E78" i="35"/>
  <c r="G15" i="38" l="1"/>
  <c r="V39" i="35" s="1"/>
  <c r="H22" i="38"/>
  <c r="F64" i="35"/>
  <c r="F78" i="35"/>
  <c r="E22" i="38"/>
  <c r="D9" i="39" l="1"/>
  <c r="H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G26" i="39" s="1"/>
  <c r="G27" i="39" s="1"/>
  <c r="G28" i="39" s="1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 l="1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<sst xmlns="http://schemas.openxmlformats.org/spreadsheetml/2006/main" count="888" uniqueCount="441">
  <si>
    <t>Global Assumptions</t>
  </si>
  <si>
    <t>Property Name</t>
  </si>
  <si>
    <t>Project Type</t>
  </si>
  <si>
    <t>4-Story Elevatored</t>
  </si>
  <si>
    <t>Market</t>
  </si>
  <si>
    <t>Submarket</t>
  </si>
  <si>
    <t>Address</t>
  </si>
  <si>
    <t>City, State</t>
  </si>
  <si>
    <t>ZIP Code</t>
  </si>
  <si>
    <t>Circuit Breaker</t>
  </si>
  <si>
    <t>Off</t>
  </si>
  <si>
    <t>Unit Mix (Vetting Model Only)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</si>
  <si>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</si>
  <si>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</si>
  <si>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</si>
  <si>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</si>
  <si>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</si>
  <si>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</si>
  <si>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</si>
  <si>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</si>
  <si>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 Bedroom</t>
  </si>
  <si>
    <t>2 Bedroom</t>
  </si>
  <si>
    <t>3 Bedroom</t>
  </si>
  <si>
    <t>Townhouse</t>
  </si>
  <si>
    <t>Total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</si>
  <si>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</si>
  <si>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</si>
  <si>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</si>
  <si>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</si>
  <si>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</si>
  <si>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</si>
  <si>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</si>
  <si>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</si>
  <si>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</si>
  <si>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</si>
  <si>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</si>
  <si>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</si>
  <si>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</si>
  <si>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</si>
  <si>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</si>
  <si>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</si>
  <si>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</si>
  <si>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</si>
  <si>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</si>
  <si>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</si>
  <si>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</si>
  <si>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</si>
  <si>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</si>
  <si>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</si>
  <si>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</si>
  <si>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</si>
  <si>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</si>
  <si>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</si>
  <si>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</si>
  <si>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</si>
  <si>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</si>
  <si>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</si>
  <si>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</si>
  <si>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</si>
  <si>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</si>
  <si>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</si>
  <si>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</si>
  <si>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</si>
  <si>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</si>
  <si>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</si>
  <si>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</si>
  <si>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</si>
  <si>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</si>
  <si>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</si>
  <si>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</si>
  <si>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</si>
  <si>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</si>
  <si>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</si>
  <si>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</si>
  <si>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</si>
  <si>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</si>
  <si>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</si>
  <si>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</si>
  <si>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</si>
  <si>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</si>
  <si>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</si>
  <si>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</si>
  <si>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 (FL Only)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</si>
  <si>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</si>
  <si>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</si>
  <si>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</si>
  <si>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</si>
  <si>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</si>
  <si>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</si>
  <si>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</si>
  <si>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</si>
  <si>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</si>
  <si>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</si>
  <si>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</si>
  <si>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</si>
  <si>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</si>
  <si>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</si>
  <si>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</si>
  <si>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</si>
  <si>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</si>
  <si>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</si>
  <si>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</si>
  <si>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</si>
  <si>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</si>
  <si>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</si>
  <si>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</si>
  <si>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</si>
  <si>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</si>
  <si>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</si>
  <si>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</si>
  <si>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</si>
  <si>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</si>
  <si>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</si>
  <si>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</si>
  <si>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</si>
  <si>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</si>
  <si>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</si>
  <si>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</si>
  <si>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</si>
  <si>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</si>
  <si>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</si>
  <si>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</si>
  <si>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</si>
  <si>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</si>
  <si>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</si>
  <si>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</si>
  <si>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</si>
  <si>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</si>
  <si>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</si>
  <si>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</si>
  <si>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</si>
  <si>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</si>
  <si>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</si>
  <si>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Units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</si>
  <si>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</si>
  <si>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</si>
  <si>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</si>
  <si>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</si>
  <si>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</si>
  <si>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</si>
  <si>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</si>
  <si>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</si>
  <si>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</si>
  <si>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</si>
  <si>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</si>
  <si>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</si>
  <si>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</si>
  <si>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</si>
  <si>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</si>
  <si>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</si>
  <si>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</si>
  <si>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</si>
  <si>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</si>
  <si>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</si>
  <si>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</si>
  <si>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</si>
  <si>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</si>
  <si>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</si>
  <si>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</si>
  <si>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</si>
  <si>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</si>
  <si>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</si>
  <si>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</si>
  <si>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</si>
  <si>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</si>
  <si>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</si>
  <si>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</si>
  <si>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</si>
  <si>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</si>
  <si>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</si>
  <si>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</si>
  <si>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</si>
  <si>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</si>
  <si>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</si>
  <si>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</si>
  <si>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Vacancy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</si>
  <si>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</si>
  <si>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</si>
  <si>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</si>
  <si>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</si>
  <si>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</si>
  <si>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</si>
  <si>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</si>
  <si>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</si>
  <si>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</si>
  <si>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</si>
  <si>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</si>
  <si>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</si>
  <si>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</si>
  <si>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</si>
  <si>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</si>
  <si>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</si>
  <si>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</si>
  <si>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</si>
  <si>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</si>
  <si>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</si>
  <si>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</si>
  <si>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</si>
  <si>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</si>
  <si>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</si>
  <si>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</si>
  <si>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</si>
  <si>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</si>
  <si>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</si>
  <si>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</si>
  <si>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</si>
  <si>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</si>
  <si>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</si>
  <si>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</si>
  <si>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</si>
  <si>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</si>
  <si>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</si>
  <si>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</si>
  <si>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</si>
  <si>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</si>
  <si>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</si>
  <si>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</si>
  <si>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</si>
  <si>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</si>
  <si>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</si>
  <si>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</si>
  <si>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</si>
  <si>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</si>
  <si>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</si>
  <si>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</si>
  <si>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</si>
  <si>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</si>
  <si>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</si>
  <si>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</si>
  <si>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</si>
  <si>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</si>
  <si>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</si>
  <si>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</si>
  <si>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</si>
  <si>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</si>
  <si>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</si>
  <si>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</si>
  <si>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</si>
  <si>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</si>
  <si>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</si>
  <si>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</si>
  <si>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</si>
  <si>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</si>
  <si>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</si>
  <si>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</si>
  <si>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</si>
  <si>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</si>
  <si>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</si>
  <si>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</si>
  <si>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</si>
  <si>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</si>
  <si>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</si>
  <si>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</si>
  <si>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</si>
  <si>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</si>
  <si>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</si>
  <si>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</si>
  <si>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</si>
  <si>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</si>
  <si>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</si>
  <si>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</si>
  <si>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</si>
  <si>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</si>
  <si>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</si>
  <si>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</si>
  <si>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</si>
  <si>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</si>
  <si>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</si>
  <si>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</si>
  <si>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</si>
  <si>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</si>
  <si>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</si>
  <si>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</si>
  <si>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</si>
  <si>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</si>
  <si>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</si>
  <si>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</si>
  <si>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</si>
  <si>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</si>
  <si>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Miscellaneous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</si>
  <si>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</si>
  <si>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</si>
  <si>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</si>
  <si>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</si>
  <si>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</si>
  <si>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</si>
  <si>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</si>
  <si>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</si>
  <si>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</si>
  <si>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</si>
  <si>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</si>
  <si>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</si>
  <si>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</si>
  <si>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</si>
  <si>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</si>
  <si>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</si>
  <si>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</si>
  <si>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</si>
  <si>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</si>
  <si>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</si>
  <si>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</si>
  <si>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</si>
  <si>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</si>
  <si>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</si>
  <si>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</si>
  <si>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</si>
  <si>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</si>
  <si>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</si>
  <si>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</si>
  <si>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</si>
  <si>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</si>
  <si>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</si>
  <si>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</si>
  <si>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</si>
  <si>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</si>
  <si>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</si>
  <si>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</si>
  <si>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</si>
  <si>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</si>
  <si>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</si>
  <si>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</si>
  <si>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</si>
  <si>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</si>
  <si>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</si>
  <si>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</si>
  <si>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</si>
  <si>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</si>
  <si>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</si>
  <si>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</si>
  <si>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</si>
  <si>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</si>
  <si>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</si>
  <si>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</si>
  <si>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</si>
  <si>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</si>
  <si>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</si>
  <si>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</si>
  <si>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</si>
  <si>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</si>
  <si>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</si>
  <si>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</si>
  <si>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</si>
  <si>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</si>
  <si>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</si>
  <si>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</si>
  <si>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</si>
  <si>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</si>
  <si>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</si>
  <si>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</si>
  <si>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</si>
  <si>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</si>
  <si>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</si>
  <si>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</si>
  <si>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</si>
  <si>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</si>
  <si>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</si>
  <si>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</si>
  <si>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</si>
  <si>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</si>
  <si>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</si>
  <si>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</si>
  <si>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</si>
  <si>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</si>
  <si>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</si>
  <si>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</si>
  <si>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</si>
  <si>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</si>
  <si>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</si>
  <si>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</si>
  <si>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</si>
  <si>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</si>
  <si>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</si>
  <si>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</si>
  <si>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</si>
  <si>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</si>
  <si>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</si>
  <si>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</si>
  <si>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</si>
  <si>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</si>
  <si>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</si>
  <si>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</si>
  <si>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</si>
  <si>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</si>
  <si>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</si>
  <si>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</si>
  <si>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</si>
  <si>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</si>
  <si>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</si>
  <si>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</si>
  <si>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</si>
  <si>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</si>
  <si>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</si>
  <si>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</si>
  <si>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</si>
  <si>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</si>
  <si>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</si>
  <si>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</si>
  <si>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</si>
  <si>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</si>
  <si>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</si>
  <si>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</si>
  <si>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</si>
  <si>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</si>
  <si>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</si>
  <si>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</si>
  <si>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</si>
  <si>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</si>
  <si>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</si>
  <si>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</si>
  <si>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</si>
  <si>
    <t>SF</t>
  </si>
  <si>
    <t>Rent</t>
  </si>
  <si>
    <t>Rent PSF</t>
  </si>
  <si>
    <t>1 BR</t>
  </si>
  <si>
    <t>2 BR</t>
  </si>
  <si>
    <t>3 BR</t>
  </si>
  <si>
    <t>TH</t>
  </si>
  <si>
    <t>Year Built</t>
  </si>
  <si>
    <t>Developer</t>
  </si>
  <si>
    <t>Owner</t>
  </si>
  <si>
    <t>RETAX Gut Check:</t>
  </si>
  <si>
    <t>Per Unit / Mo.</t>
  </si>
  <si>
    <t>General Other Income</t>
  </si>
  <si>
    <t>Cable / Internet</t>
  </si>
  <si>
    <t>Water / Sewer</t>
  </si>
  <si>
    <t>Storage</t>
  </si>
  <si>
    <t>Garages</t>
  </si>
  <si>
    <t>Total Other Income</t>
  </si>
  <si>
    <t>Debt Recording Fee</t>
  </si>
  <si>
    <t>1) Comp #1</t>
  </si>
  <si>
    <t>2) Comp #2</t>
  </si>
  <si>
    <t>3) Comp #3</t>
  </si>
  <si>
    <t>Comp #2</t>
  </si>
  <si>
    <t>Comp #3</t>
  </si>
  <si>
    <t>Make-Ready / Turnover</t>
  </si>
  <si>
    <t>Zip Code</t>
  </si>
  <si>
    <t>County</t>
  </si>
  <si>
    <t>Total Units</t>
  </si>
  <si>
    <t>Link</t>
  </si>
  <si>
    <t>Blake Optimist Park</t>
  </si>
  <si>
    <t>Link to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</si>
</sst>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69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0" fontId="7" fillId="7" borderId="13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4" fontId="9" fillId="0" borderId="11" xfId="0" applyNumberFormat="1" applyFont="1" applyBorder="1"/>
    <xf numFmtId="164" fontId="0" fillId="0" borderId="9" xfId="0" applyNumberFormat="1" applyBorder="1"/>
    <xf numFmtId="0" fontId="0" fillId="0" borderId="10" xfId="0" applyBorder="1"/>
    <xf numFmtId="164" fontId="9" fillId="0" borderId="9" xfId="0" applyNumberFormat="1" applyFont="1" applyBorder="1"/>
    <xf numFmtId="173" fontId="13" fillId="0" borderId="13" xfId="1" applyNumberFormat="1" applyFont="1" applyFill="1" applyBorder="1"/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7" fontId="7" fillId="10" borderId="11" xfId="1" applyNumberFormat="1" applyFont="1" applyFill="1" applyBorder="1"/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0" fontId="0" fillId="0" borderId="0" xfId="0" applyFill="1" applyAlignment="1">
      <alignment horizontal="center"/>
    </xf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0" fontId="0" fillId="8" borderId="9" xfId="0" applyFill="1" applyBorder="1"/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3" fontId="13" fillId="0" borderId="0" xfId="0" applyNumberFormat="1" applyFont="1" applyFill="1" applyAlignment="1">
      <alignment horizontal="center"/>
    </xf>
    <xf numFmtId="167" fontId="7" fillId="0" borderId="11" xfId="1" applyNumberFormat="1" applyFont="1" applyFill="1" applyBorder="1"/>
    <xf numFmtId="0" fontId="7" fillId="0" borderId="3" xfId="0" applyFont="1" applyFill="1" applyBorder="1" applyAlignment="1">
      <alignment horizontal="left"/>
    </xf>
    <xf numFmtId="0" fontId="7" fillId="0" borderId="0" xfId="0" applyFont="1" applyFill="1" applyAlignment="1">
      <alignment horizontal="center"/>
    </xf>
    <xf numFmtId="165" fontId="7" fillId="0" borderId="0" xfId="2" applyNumberFormat="1" applyFont="1" applyFill="1" applyBorder="1" applyAlignment="1">
      <alignment horizontal="center"/>
    </xf>
    <xf numFmtId="3" fontId="7" fillId="0" borderId="0" xfId="0" applyNumberFormat="1" applyFont="1" applyFill="1" applyAlignment="1">
      <alignment horizontal="center"/>
    </xf>
    <xf numFmtId="0" fontId="24" fillId="10" borderId="0" xfId="3" applyFill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axbill.co.mecklenburg.nc.us/publicwebaccess/BillDetails.aspx?BillPk=152776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C16"/>
  <sheetViews>
    <sheetView showGridLines="0" zoomScale="130" zoomScaleNormal="130" workbookViewId="0"/>
  </sheetViews>
  <sheetFormatPr defaultColWidth="9.140625" defaultRowHeight="15" x14ac:dyDescent="0.25"/>
  <cols>
    <col min="1" max="1" width="3.7109375" customWidth="1"/>
    <col min="2" max="3" width="35.7109375" customWidth="1"/>
    <col min="4" max="5" width="3.7109375" customWidth="1"/>
  </cols>
  <sheetData>
    <row r="1" spans="1:3" s="142" customFormat="1" ht="26.25" x14ac:dyDescent="0.4">
      <c r="A1" s="145" t="str">
        <f>TEXT(C7,"")</f>
        <v>Property Name</v>
      </c>
    </row>
    <row r="2" spans="1:3" s="142" customFormat="1" ht="19.5" x14ac:dyDescent="0.3">
      <c r="A2" s="146" t="s">
        <v>0</v>
      </c>
    </row>
    <row r="6" spans="1:3" x14ac:dyDescent="0.25">
      <c r="B6" s="123" t="s">
        <v>0</v>
      </c>
      <c r="C6" s="163"/>
    </row>
    <row r="7" spans="1:3" x14ac:dyDescent="0.25">
      <c r="B7" s="56" t="s">
        <v>1</v>
      </c>
      <c r="C7" s="164" t="s">
        <v>1</v>
      </c>
    </row>
    <row r="8" spans="1:3" x14ac:dyDescent="0.25">
      <c r="B8" s="56" t="s">
        <v>2</v>
      </c>
      <c r="C8" s="164" t="s">
        <v>3</v>
      </c>
    </row>
    <row r="9" spans="1:3" x14ac:dyDescent="0.25">
      <c r="B9" s="56" t="s">
        <v>4</v>
      </c>
      <c r="C9" s="164" t="s">
        <v>4</v>
      </c>
    </row>
    <row r="10" spans="1:3" x14ac:dyDescent="0.25">
      <c r="B10" s="56" t="s">
        <v>5</v>
      </c>
      <c r="C10" s="164" t="s">
        <v>5</v>
      </c>
    </row>
    <row r="11" spans="1:3" x14ac:dyDescent="0.25">
      <c r="B11" s="56" t="s">
        <v>6</v>
      </c>
      <c r="C11" s="164" t="s">
        <v>6</v>
      </c>
    </row>
    <row r="12" spans="1:3" x14ac:dyDescent="0.25">
      <c r="B12" s="56" t="s">
        <v>7</v>
      </c>
      <c r="C12" s="164" t="s">
        <v>7</v>
      </c>
    </row>
    <row r="13" spans="1:3" x14ac:dyDescent="0.25">
      <c r="B13" s="56" t="s">
        <v>8</v>
      </c>
      <c r="C13" s="164" t="s">
        <v>435</v>
      </c>
    </row>
    <row r="14" spans="1:3" x14ac:dyDescent="0.25">
      <c r="B14" s="56" t="s">
        <v>436</v>
      </c>
      <c r="C14" s="164" t="s">
        <v>436</v>
      </c>
    </row>
    <row r="15" spans="1:3" x14ac:dyDescent="0.25">
      <c r="B15" s="56"/>
      <c r="C15" s="57"/>
    </row>
    <row r="16" spans="1:3" x14ac:dyDescent="0.25">
      <c r="B16" s="59" t="s">
        <v>9</v>
      </c>
      <c r="C16" s="165" t="s">
        <v>10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tabSelected="1" zoomScaleNormal="100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.7109375" customWidth="1"/>
    <col min="2" max="2" width="12.7109375" style="208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8" customWidth="1"/>
    <col min="19" max="19" width="20.7109375" style="208" customWidth="1"/>
  </cols>
  <sheetData>
    <row r="1" spans="1:19" s="142" customFormat="1" ht="26.25" x14ac:dyDescent="0.4">
      <c r="A1" s="145" t="str">
        <f>TEXT(Global!$C$7,"")</f>
        <v>Property Name</v>
      </c>
      <c r="B1" s="205"/>
      <c r="R1" s="205"/>
      <c r="S1" s="205"/>
    </row>
    <row r="2" spans="1:19" s="142" customFormat="1" ht="19.5" x14ac:dyDescent="0.3">
      <c r="A2" s="146" t="s">
        <v>11</v>
      </c>
      <c r="B2" s="205"/>
      <c r="R2" s="205"/>
      <c r="S2" s="205"/>
    </row>
    <row r="4" spans="1:19" x14ac:dyDescent="0.25">
      <c r="B4" s="233" t="s">
        <v>437</v>
      </c>
      <c r="C4" s="260"/>
      <c r="D4" s="261">
        <v>250</v>
      </c>
    </row>
    <row r="6" spans="1:19" x14ac:dyDescent="0.25">
      <c r="B6" s="206" t="s">
        <v>12</v>
      </c>
      <c r="C6" s="156" t="s">
        <v>13</v>
      </c>
      <c r="D6" s="156" t="s">
        <v>14</v>
      </c>
      <c r="E6" s="156" t="s">
        <v>15</v>
      </c>
      <c r="F6" s="156" t="s">
        <v>16</v>
      </c>
      <c r="G6" s="156" t="s">
        <v>17</v>
      </c>
      <c r="H6" s="157" t="s">
        <v>18</v>
      </c>
    </row>
    <row r="7" spans="1:19" x14ac:dyDescent="0.25">
      <c r="B7" s="264" t="s">
        <v>19</v>
      </c>
      <c r="C7" s="265" t="s">
        <v>19</v>
      </c>
      <c r="D7" s="262">
        <f>ROUND($D$4*E7,0)</f>
        <v>0</v>
      </c>
      <c r="E7" s="266">
        <v>0</v>
      </c>
      <c r="F7" s="267">
        <v>0</v>
      </c>
      <c r="G7" s="243">
        <v>0</v>
      </c>
      <c r="H7" s="148">
        <f>IFERROR(G7/F7,0)</f>
        <v>0</v>
      </c>
      <c r="K7" s="140" t="s">
        <v>429</v>
      </c>
      <c r="L7" s="170"/>
      <c r="M7" s="170"/>
      <c r="N7" s="170"/>
      <c r="O7" s="170"/>
      <c r="P7" s="141"/>
    </row>
    <row r="8" spans="1:19" x14ac:dyDescent="0.25">
      <c r="B8" s="264" t="s">
        <v>20</v>
      </c>
      <c r="C8" s="265" t="s">
        <v>20</v>
      </c>
      <c r="D8" s="262">
        <f t="shared" ref="D8:D11" si="0">ROUND($D$4*E8,0)</f>
        <v>150</v>
      </c>
      <c r="E8" s="266">
        <v>0.6</v>
      </c>
      <c r="F8" s="267">
        <v>800</v>
      </c>
      <c r="G8" s="243">
        <v>1600</v>
      </c>
      <c r="H8" s="148">
        <f t="shared" ref="H8:H14" si="1">IFERROR(G8/F8,0)</f>
        <v>2</v>
      </c>
      <c r="K8" s="211" t="s">
        <v>13</v>
      </c>
      <c r="L8" s="212" t="s">
        <v>14</v>
      </c>
      <c r="M8" s="212" t="s">
        <v>15</v>
      </c>
      <c r="N8" s="212" t="s">
        <v>410</v>
      </c>
      <c r="O8" s="212" t="s">
        <v>411</v>
      </c>
      <c r="P8" s="213" t="s">
        <v>412</v>
      </c>
      <c r="R8" s="218" t="s">
        <v>13</v>
      </c>
      <c r="S8" s="220"/>
    </row>
    <row r="9" spans="1:19" x14ac:dyDescent="0.25">
      <c r="B9" s="264" t="s">
        <v>21</v>
      </c>
      <c r="C9" s="265" t="s">
        <v>21</v>
      </c>
      <c r="D9" s="262">
        <f t="shared" si="0"/>
        <v>100</v>
      </c>
      <c r="E9" s="266">
        <v>0.4</v>
      </c>
      <c r="F9" s="267">
        <v>1050</v>
      </c>
      <c r="G9" s="243">
        <v>2150</v>
      </c>
      <c r="H9" s="148">
        <f t="shared" si="1"/>
        <v>2.0476190476190474</v>
      </c>
      <c r="K9" s="56" t="s">
        <v>19</v>
      </c>
      <c r="L9" s="241"/>
      <c r="M9" s="204" t="e">
        <f>L9/$L$14</f>
        <v>#DIV/0!</v>
      </c>
      <c r="N9" s="242"/>
      <c r="O9" s="243"/>
      <c r="P9" s="216" t="str">
        <f>IFERROR(O9/N9,"-")</f>
        <v>-</v>
      </c>
      <c r="R9" s="193" t="s">
        <v>417</v>
      </c>
      <c r="S9" s="221"/>
    </row>
    <row r="10" spans="1:19" x14ac:dyDescent="0.25">
      <c r="B10" s="264" t="s">
        <v>22</v>
      </c>
      <c r="C10" s="265" t="s">
        <v>22</v>
      </c>
      <c r="D10" s="262">
        <f t="shared" si="0"/>
        <v>0</v>
      </c>
      <c r="E10" s="266">
        <v>0</v>
      </c>
      <c r="F10" s="267">
        <v>0</v>
      </c>
      <c r="G10" s="243">
        <v>0</v>
      </c>
      <c r="H10" s="148">
        <f t="shared" si="1"/>
        <v>0</v>
      </c>
      <c r="K10" s="56" t="s">
        <v>413</v>
      </c>
      <c r="L10" s="241"/>
      <c r="M10" s="204" t="e">
        <f t="shared" ref="M10:M13" si="2">L10/$L$14</f>
        <v>#DIV/0!</v>
      </c>
      <c r="N10" s="242"/>
      <c r="O10" s="243"/>
      <c r="P10" s="216" t="str">
        <f t="shared" ref="P10:P14" si="3">IFERROR(O10/N10,"-")</f>
        <v>-</v>
      </c>
      <c r="R10" s="193" t="s">
        <v>175</v>
      </c>
      <c r="S10" s="223"/>
    </row>
    <row r="11" spans="1:19" x14ac:dyDescent="0.25">
      <c r="B11" s="264" t="s">
        <v>23</v>
      </c>
      <c r="C11" s="265" t="s">
        <v>23</v>
      </c>
      <c r="D11" s="262">
        <f t="shared" si="0"/>
        <v>0</v>
      </c>
      <c r="E11" s="266">
        <v>0</v>
      </c>
      <c r="F11" s="267">
        <v>0</v>
      </c>
      <c r="G11" s="243">
        <v>0</v>
      </c>
      <c r="H11" s="148">
        <f t="shared" si="1"/>
        <v>0</v>
      </c>
      <c r="K11" s="56" t="s">
        <v>414</v>
      </c>
      <c r="L11" s="241"/>
      <c r="M11" s="204" t="e">
        <f t="shared" si="2"/>
        <v>#DIV/0!</v>
      </c>
      <c r="N11" s="242"/>
      <c r="O11" s="243"/>
      <c r="P11" s="216" t="str">
        <f t="shared" si="3"/>
        <v>-</v>
      </c>
      <c r="R11" s="193" t="s">
        <v>418</v>
      </c>
      <c r="S11" s="221"/>
    </row>
    <row r="12" spans="1:19" ht="15" customHeight="1" x14ac:dyDescent="0.25">
      <c r="B12" s="264"/>
      <c r="C12" s="265"/>
      <c r="D12" s="262"/>
      <c r="E12" s="266">
        <v>0</v>
      </c>
      <c r="F12" s="267"/>
      <c r="G12" s="243"/>
      <c r="H12" s="148">
        <f t="shared" si="1"/>
        <v>0</v>
      </c>
      <c r="K12" s="56" t="s">
        <v>415</v>
      </c>
      <c r="L12" s="241"/>
      <c r="M12" s="204" t="e">
        <f t="shared" si="2"/>
        <v>#DIV/0!</v>
      </c>
      <c r="N12" s="242"/>
      <c r="O12" s="243"/>
      <c r="P12" s="216" t="str">
        <f t="shared" si="3"/>
        <v>-</v>
      </c>
      <c r="R12" s="193" t="s">
        <v>419</v>
      </c>
      <c r="S12" s="221"/>
    </row>
    <row r="13" spans="1:19" ht="15" customHeight="1" x14ac:dyDescent="0.25">
      <c r="B13" s="264"/>
      <c r="C13" s="265"/>
      <c r="D13" s="262"/>
      <c r="E13" s="266">
        <v>0</v>
      </c>
      <c r="F13" s="267"/>
      <c r="G13" s="243"/>
      <c r="H13" s="148">
        <f t="shared" si="1"/>
        <v>0</v>
      </c>
      <c r="K13" s="56" t="s">
        <v>416</v>
      </c>
      <c r="L13" s="241"/>
      <c r="M13" s="204" t="e">
        <f t="shared" si="2"/>
        <v>#DIV/0!</v>
      </c>
      <c r="N13" s="242"/>
      <c r="O13" s="243"/>
      <c r="P13" s="216" t="str">
        <f t="shared" si="3"/>
        <v>-</v>
      </c>
      <c r="R13" s="219" t="s">
        <v>440</v>
      </c>
      <c r="S13" s="222"/>
    </row>
    <row r="14" spans="1:19" ht="15" customHeight="1" x14ac:dyDescent="0.25">
      <c r="B14" s="264"/>
      <c r="C14" s="265"/>
      <c r="D14" s="262"/>
      <c r="E14" s="266">
        <v>0</v>
      </c>
      <c r="F14" s="267"/>
      <c r="G14" s="243"/>
      <c r="H14" s="148">
        <f t="shared" si="1"/>
        <v>0</v>
      </c>
      <c r="K14" s="126" t="s">
        <v>24</v>
      </c>
      <c r="L14" s="214">
        <f>SUM(L9:L13)</f>
        <v>0</v>
      </c>
      <c r="M14" s="215" t="e">
        <f>SUM(M9:M13)</f>
        <v>#DIV/0!</v>
      </c>
      <c r="N14" s="127" t="e">
        <f>SUMPRODUCT(N9:N13,L9:L13)/L14</f>
        <v>#DIV/0!</v>
      </c>
      <c r="O14" s="128" t="e">
        <f>SUMPRODUCT(O9:O13,$L$9:$L$13)/$L$14</f>
        <v>#DIV/0!</v>
      </c>
      <c r="P14" s="217" t="str">
        <f t="shared" si="3"/>
        <v>-</v>
      </c>
    </row>
    <row r="15" spans="1:19" ht="15" customHeight="1" x14ac:dyDescent="0.25">
      <c r="B15" s="207" t="s">
        <v>24</v>
      </c>
      <c r="C15" s="22"/>
      <c r="D15" s="149">
        <f>+SUM(D7:D14)</f>
        <v>250</v>
      </c>
      <c r="E15" s="150">
        <f>+SUM(E7:E14)</f>
        <v>1</v>
      </c>
      <c r="F15" s="149">
        <f>IFERROR(SUMPRODUCT(F7:F14,D7:D14)/D15,0)</f>
        <v>900</v>
      </c>
      <c r="G15" s="151">
        <f>IFERROR(SUMPRODUCT(G7:G14,E7:E14)/E15,0)</f>
        <v>1820</v>
      </c>
      <c r="H15" s="152">
        <f>IFERROR(G15/F15,0)</f>
        <v>2.0222222222222221</v>
      </c>
    </row>
    <row r="16" spans="1:19" x14ac:dyDescent="0.25">
      <c r="K16" s="140" t="s">
        <v>430</v>
      </c>
      <c r="L16" s="170"/>
      <c r="M16" s="170"/>
      <c r="N16" s="170"/>
      <c r="O16" s="170"/>
      <c r="P16" s="141"/>
    </row>
    <row r="17" spans="2:19" x14ac:dyDescent="0.25">
      <c r="B17" s="209" t="s">
        <v>19</v>
      </c>
      <c r="C17" s="3"/>
      <c r="D17" s="153">
        <f>SUMIF($C$7:$C$14,$B17,D$7:D$14)</f>
        <v>0</v>
      </c>
      <c r="E17" s="99">
        <f>IFERROR(D17/D$22,0)</f>
        <v>0</v>
      </c>
      <c r="F17" s="153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4">
        <f>IFERROR(G17/F17,0)</f>
        <v>0</v>
      </c>
      <c r="K17" s="211" t="s">
        <v>13</v>
      </c>
      <c r="L17" s="212" t="s">
        <v>14</v>
      </c>
      <c r="M17" s="212" t="s">
        <v>15</v>
      </c>
      <c r="N17" s="212" t="s">
        <v>410</v>
      </c>
      <c r="O17" s="212" t="s">
        <v>411</v>
      </c>
      <c r="P17" s="213" t="s">
        <v>412</v>
      </c>
      <c r="R17" s="218" t="s">
        <v>13</v>
      </c>
      <c r="S17" s="220"/>
    </row>
    <row r="18" spans="2:19" x14ac:dyDescent="0.25">
      <c r="B18" s="210" t="s">
        <v>20</v>
      </c>
      <c r="D18" s="155">
        <f>SUMIF($C$7:$C$14,$B18,D$7:D$14)</f>
        <v>150</v>
      </c>
      <c r="E18" s="147">
        <f t="shared" ref="E18:E21" si="4">IFERROR(D18/D$22,0)</f>
        <v>0.6</v>
      </c>
      <c r="F18" s="155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1600</v>
      </c>
      <c r="H18" s="148">
        <f t="shared" ref="H18:H22" si="5">IFERROR(G18/F18,0)</f>
        <v>2</v>
      </c>
      <c r="K18" s="56" t="s">
        <v>19</v>
      </c>
      <c r="L18" s="241"/>
      <c r="M18" s="204" t="e">
        <f>L18/$L$14</f>
        <v>#DIV/0!</v>
      </c>
      <c r="N18" s="242"/>
      <c r="O18" s="243"/>
      <c r="P18" s="216" t="str">
        <f>IFERROR(O18/N18,"-")</f>
        <v>-</v>
      </c>
      <c r="R18" s="193" t="s">
        <v>417</v>
      </c>
      <c r="S18" s="221"/>
    </row>
    <row r="19" spans="2:19" x14ac:dyDescent="0.25">
      <c r="B19" s="210" t="s">
        <v>21</v>
      </c>
      <c r="D19" s="155">
        <f>SUMIF($C$7:$C$14,$B19,D$7:D$14)</f>
        <v>100</v>
      </c>
      <c r="E19" s="147">
        <f t="shared" si="4"/>
        <v>0.4</v>
      </c>
      <c r="F19" s="155" cm="1">
        <f t="array" ref="F19">IFERROR(SUMPRODUCT(($C$7:$C$14=$B19)*($D$7:$D$14)*($F$7:$F$14))/$D19,0)</f>
        <v>1050</v>
      </c>
      <c r="G19" s="36" cm="1">
        <f t="array" ref="G19">IFERROR(SUMPRODUCT(($C$7:$C$14=$B19)*($D$7:$D$14)*($G$7:$G$14))/$D19,0)</f>
        <v>2150</v>
      </c>
      <c r="H19" s="148">
        <f t="shared" si="5"/>
        <v>2.0476190476190474</v>
      </c>
      <c r="K19" s="56" t="s">
        <v>413</v>
      </c>
      <c r="L19" s="241"/>
      <c r="M19" s="204" t="e">
        <f t="shared" ref="M19:M22" si="6">L19/$L$14</f>
        <v>#DIV/0!</v>
      </c>
      <c r="N19" s="242"/>
      <c r="O19" s="243"/>
      <c r="P19" s="216" t="str">
        <f t="shared" ref="P19:P23" si="7">IFERROR(O19/N19,"-")</f>
        <v>-</v>
      </c>
      <c r="R19" s="193" t="s">
        <v>175</v>
      </c>
      <c r="S19" s="223"/>
    </row>
    <row r="20" spans="2:19" x14ac:dyDescent="0.25">
      <c r="B20" s="210" t="s">
        <v>22</v>
      </c>
      <c r="D20" s="155">
        <f>SUMIF($C$7:$C$14,$B20,D$7:D$14)</f>
        <v>0</v>
      </c>
      <c r="E20" s="147">
        <f t="shared" si="4"/>
        <v>0</v>
      </c>
      <c r="F20" s="155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8">
        <f t="shared" si="5"/>
        <v>0</v>
      </c>
      <c r="K20" s="56" t="s">
        <v>414</v>
      </c>
      <c r="L20" s="241"/>
      <c r="M20" s="204" t="e">
        <f t="shared" si="6"/>
        <v>#DIV/0!</v>
      </c>
      <c r="N20" s="242"/>
      <c r="O20" s="243"/>
      <c r="P20" s="216" t="str">
        <f t="shared" si="7"/>
        <v>-</v>
      </c>
      <c r="R20" s="193" t="s">
        <v>418</v>
      </c>
      <c r="S20" s="221"/>
    </row>
    <row r="21" spans="2:19" x14ac:dyDescent="0.25">
      <c r="B21" s="210" t="s">
        <v>23</v>
      </c>
      <c r="D21" s="155">
        <f>SUMIF($C$7:$C$14,$B21,D$7:D$14)</f>
        <v>0</v>
      </c>
      <c r="E21" s="147">
        <f t="shared" si="4"/>
        <v>0</v>
      </c>
      <c r="F21" s="155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8">
        <f t="shared" si="5"/>
        <v>0</v>
      </c>
      <c r="K21" s="56" t="s">
        <v>415</v>
      </c>
      <c r="L21" s="241"/>
      <c r="M21" s="204" t="e">
        <f t="shared" si="6"/>
        <v>#DIV/0!</v>
      </c>
      <c r="N21" s="242"/>
      <c r="O21" s="243"/>
      <c r="P21" s="216" t="str">
        <f t="shared" si="7"/>
        <v>-</v>
      </c>
      <c r="R21" s="193" t="s">
        <v>419</v>
      </c>
      <c r="S21" s="221"/>
    </row>
    <row r="22" spans="2:19" x14ac:dyDescent="0.25">
      <c r="B22" s="207" t="s">
        <v>24</v>
      </c>
      <c r="C22" s="22"/>
      <c r="D22" s="149">
        <f>SUM(D17:D21)</f>
        <v>250</v>
      </c>
      <c r="E22" s="150">
        <f>SUM(E17:E21)</f>
        <v>1</v>
      </c>
      <c r="F22" s="149">
        <f>IFERROR(SUMPRODUCT(F17:F21,$D17:$D21)/$D22,0)</f>
        <v>900</v>
      </c>
      <c r="G22" s="151">
        <f>IFERROR(SUMPRODUCT(G17:G21,$D17:$D21)/$D22,0)</f>
        <v>1820</v>
      </c>
      <c r="H22" s="152">
        <f t="shared" si="5"/>
        <v>2.0222222222222221</v>
      </c>
      <c r="K22" s="56" t="s">
        <v>416</v>
      </c>
      <c r="L22" s="241"/>
      <c r="M22" s="204" t="e">
        <f t="shared" si="6"/>
        <v>#DIV/0!</v>
      </c>
      <c r="N22" s="242"/>
      <c r="O22" s="243"/>
      <c r="P22" s="216" t="str">
        <f t="shared" si="7"/>
        <v>-</v>
      </c>
      <c r="R22" s="219" t="s">
        <v>440</v>
      </c>
      <c r="S22" s="222"/>
    </row>
    <row r="23" spans="2:19" x14ac:dyDescent="0.25">
      <c r="K23" s="126" t="s">
        <v>24</v>
      </c>
      <c r="L23" s="214">
        <f>SUM(L18:L22)</f>
        <v>0</v>
      </c>
      <c r="M23" s="215" t="e">
        <f>SUM(M18:M22)</f>
        <v>#DIV/0!</v>
      </c>
      <c r="N23" s="127" t="e">
        <f>SUMPRODUCT(N18:N22,$L$18:$L$22)/$L$23</f>
        <v>#DIV/0!</v>
      </c>
      <c r="O23" s="128" t="e">
        <f>SUMPRODUCT(O18:O22,$L$18:$L$22)/$L$23</f>
        <v>#DIV/0!</v>
      </c>
      <c r="P23" s="217" t="str">
        <f t="shared" si="7"/>
        <v>-</v>
      </c>
    </row>
    <row r="24" spans="2:19" x14ac:dyDescent="0.25">
      <c r="C24" s="208"/>
      <c r="D24" s="208"/>
      <c r="E24" s="208"/>
      <c r="F24" s="208"/>
    </row>
    <row r="25" spans="2:19" x14ac:dyDescent="0.25">
      <c r="C25" s="208"/>
      <c r="D25" s="208"/>
      <c r="E25" s="208"/>
      <c r="F25" s="208"/>
      <c r="K25" s="140" t="s">
        <v>431</v>
      </c>
      <c r="L25" s="170"/>
      <c r="M25" s="170"/>
      <c r="N25" s="170"/>
      <c r="O25" s="170"/>
      <c r="P25" s="141"/>
    </row>
    <row r="26" spans="2:19" x14ac:dyDescent="0.25">
      <c r="C26" s="208"/>
      <c r="D26" s="208"/>
      <c r="E26" s="208"/>
      <c r="F26" s="208"/>
      <c r="K26" s="211" t="s">
        <v>13</v>
      </c>
      <c r="L26" s="212" t="s">
        <v>14</v>
      </c>
      <c r="M26" s="212" t="s">
        <v>15</v>
      </c>
      <c r="N26" s="212" t="s">
        <v>410</v>
      </c>
      <c r="O26" s="212" t="s">
        <v>411</v>
      </c>
      <c r="P26" s="213" t="s">
        <v>412</v>
      </c>
      <c r="R26" s="218" t="s">
        <v>13</v>
      </c>
      <c r="S26" s="220"/>
    </row>
    <row r="27" spans="2:19" x14ac:dyDescent="0.25">
      <c r="C27" s="208"/>
      <c r="D27" s="208"/>
      <c r="E27" s="208"/>
      <c r="F27" s="208"/>
      <c r="K27" s="56" t="s">
        <v>19</v>
      </c>
      <c r="L27" s="241"/>
      <c r="M27" s="204" t="e">
        <f>L27/$L$14</f>
        <v>#DIV/0!</v>
      </c>
      <c r="N27" s="242"/>
      <c r="O27" s="243"/>
      <c r="P27" s="216" t="str">
        <f>IFERROR(O27/N27,"-")</f>
        <v>-</v>
      </c>
      <c r="R27" s="193" t="s">
        <v>417</v>
      </c>
      <c r="S27" s="221"/>
    </row>
    <row r="28" spans="2:19" x14ac:dyDescent="0.25">
      <c r="C28" s="208"/>
      <c r="D28" s="208"/>
      <c r="E28" s="208"/>
      <c r="F28" s="208"/>
      <c r="K28" s="56" t="s">
        <v>413</v>
      </c>
      <c r="L28" s="241"/>
      <c r="M28" s="204" t="e">
        <f t="shared" ref="M28:M31" si="8">L28/$L$14</f>
        <v>#DIV/0!</v>
      </c>
      <c r="N28" s="242"/>
      <c r="O28" s="243"/>
      <c r="P28" s="216" t="str">
        <f t="shared" ref="P28:P32" si="9">IFERROR(O28/N28,"-")</f>
        <v>-</v>
      </c>
      <c r="R28" s="193" t="s">
        <v>175</v>
      </c>
      <c r="S28" s="223"/>
    </row>
    <row r="29" spans="2:19" x14ac:dyDescent="0.25">
      <c r="C29" s="208"/>
      <c r="D29" s="208"/>
      <c r="E29" s="208"/>
      <c r="F29" s="208"/>
      <c r="K29" s="56" t="s">
        <v>414</v>
      </c>
      <c r="L29" s="241"/>
      <c r="M29" s="204" t="e">
        <f t="shared" si="8"/>
        <v>#DIV/0!</v>
      </c>
      <c r="N29" s="242"/>
      <c r="O29" s="243"/>
      <c r="P29" s="216" t="str">
        <f t="shared" si="9"/>
        <v>-</v>
      </c>
      <c r="R29" s="193" t="s">
        <v>418</v>
      </c>
      <c r="S29" s="221"/>
    </row>
    <row r="30" spans="2:19" x14ac:dyDescent="0.25">
      <c r="C30" s="208"/>
      <c r="D30" s="208"/>
      <c r="E30" s="208"/>
      <c r="F30" s="208"/>
      <c r="K30" s="56" t="s">
        <v>415</v>
      </c>
      <c r="L30" s="241"/>
      <c r="M30" s="204" t="e">
        <f t="shared" si="8"/>
        <v>#DIV/0!</v>
      </c>
      <c r="N30" s="242"/>
      <c r="O30" s="243"/>
      <c r="P30" s="216" t="str">
        <f t="shared" si="9"/>
        <v>-</v>
      </c>
      <c r="R30" s="193" t="s">
        <v>419</v>
      </c>
      <c r="S30" s="221"/>
    </row>
    <row r="31" spans="2:19" x14ac:dyDescent="0.25">
      <c r="C31" s="208"/>
      <c r="D31" s="208"/>
      <c r="E31" s="208"/>
      <c r="F31" s="208"/>
      <c r="K31" s="56" t="s">
        <v>416</v>
      </c>
      <c r="L31" s="241"/>
      <c r="M31" s="204" t="e">
        <f t="shared" si="8"/>
        <v>#DIV/0!</v>
      </c>
      <c r="N31" s="242"/>
      <c r="O31" s="243"/>
      <c r="P31" s="216" t="str">
        <f t="shared" si="9"/>
        <v>-</v>
      </c>
      <c r="R31" s="219" t="s">
        <v>440</v>
      </c>
      <c r="S31" s="222"/>
    </row>
    <row r="32" spans="2:19" x14ac:dyDescent="0.25">
      <c r="C32" s="208"/>
      <c r="D32" s="208"/>
      <c r="E32" s="208"/>
      <c r="F32" s="208"/>
      <c r="K32" s="126" t="s">
        <v>24</v>
      </c>
      <c r="L32" s="214">
        <f>SUM(L27:L31)</f>
        <v>0</v>
      </c>
      <c r="M32" s="215" t="e">
        <f>SUM(M27:M31)</f>
        <v>#DIV/0!</v>
      </c>
      <c r="N32" s="127" t="e">
        <f>SUMPRODUCT(N27:N31,$L$27:$L$31)/$L$32</f>
        <v>#DIV/0!</v>
      </c>
      <c r="O32" s="128" t="e">
        <f>SUMPRODUCT(O27:O31,$L$27:$L$31)/$L$32</f>
        <v>#DIV/0!</v>
      </c>
      <c r="P32" s="217" t="str">
        <f t="shared" si="9"/>
        <v>-</v>
      </c>
    </row>
    <row r="33" spans="3:6" x14ac:dyDescent="0.25">
      <c r="C33" s="208"/>
      <c r="D33" s="208"/>
      <c r="E33" s="208"/>
      <c r="F33" s="208"/>
    </row>
    <row r="34" spans="3:6" x14ac:dyDescent="0.25">
      <c r="C34" s="208"/>
      <c r="D34" s="208"/>
      <c r="E34" s="208"/>
      <c r="F34" s="208"/>
    </row>
    <row r="35" spans="3:6" x14ac:dyDescent="0.25">
      <c r="C35" s="208"/>
      <c r="D35" s="208"/>
      <c r="E35" s="208"/>
      <c r="F35" s="208"/>
    </row>
  </sheetData>
  <dataValidations count="1">
    <dataValidation type="list" allowBlank="1" showInputMessage="1" showErrorMessage="1" sqref="C7:C14" xr:uid="{508B2A46-B9EE-4273-B6FC-FA6B422D82CC}">
      <formula1>$B$17:$B$21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130" zoomScaleNormal="130" workbookViewId="0">
      <pane ySplit="6" topLeftCell="A55" activePane="bottomLeft" state="frozen"/>
      <selection pane="bottomLeft" activeCell="G6" sqref="G6"/>
    </sheetView>
  </sheetViews>
  <sheetFormatPr defaultColWidth="9.140625" defaultRowHeight="15" outlineLevelRow="1" x14ac:dyDescent="0.2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6.25" x14ac:dyDescent="0.4">
      <c r="A1" s="145" t="str">
        <f>TEXT(Global!$C$7,"")</f>
        <v>Property Name</v>
      </c>
    </row>
    <row r="2" spans="1:17" s="142" customFormat="1" ht="19.5" x14ac:dyDescent="0.3">
      <c r="A2" s="146" t="s">
        <v>25</v>
      </c>
    </row>
    <row r="6" spans="1:17" x14ac:dyDescent="0.25">
      <c r="B6" s="121" t="s">
        <v>26</v>
      </c>
      <c r="C6" s="122" t="s">
        <v>27</v>
      </c>
      <c r="D6" s="122" t="s">
        <v>28</v>
      </c>
      <c r="E6" s="122" t="s">
        <v>29</v>
      </c>
      <c r="F6" s="122" t="s">
        <v>30</v>
      </c>
      <c r="G6" s="122" t="s">
        <v>31</v>
      </c>
    </row>
    <row r="7" spans="1:17" x14ac:dyDescent="0.25">
      <c r="B7" s="12" t="s">
        <v>32</v>
      </c>
      <c r="C7" s="12"/>
      <c r="D7" s="12"/>
      <c r="E7" s="12"/>
      <c r="F7" s="12"/>
      <c r="G7" s="12"/>
      <c r="M7" s="158" t="s">
        <v>33</v>
      </c>
      <c r="N7" s="122" t="s">
        <v>28</v>
      </c>
      <c r="O7" s="122" t="s">
        <v>29</v>
      </c>
      <c r="P7" s="122" t="s">
        <v>30</v>
      </c>
      <c r="Q7" s="122" t="s">
        <v>31</v>
      </c>
    </row>
    <row r="8" spans="1:17" x14ac:dyDescent="0.25">
      <c r="B8" t="s">
        <v>34</v>
      </c>
      <c r="C8" s="24" t="s">
        <v>32</v>
      </c>
      <c r="D8" s="52">
        <f>E8*'Unit Mix_vm'!$D$15</f>
        <v>7500000</v>
      </c>
      <c r="E8" s="251">
        <v>30000</v>
      </c>
      <c r="F8" s="37">
        <f>IFERROR(E8/'Unit Mix_vm'!$F$15,0)</f>
        <v>33.333333333333336</v>
      </c>
      <c r="G8" s="25">
        <f ca="1">+IFERROR(D8/D$86,0)</f>
        <v>0.12650503608808245</v>
      </c>
      <c r="M8" s="28" t="s">
        <v>35</v>
      </c>
    </row>
    <row r="9" spans="1:17" x14ac:dyDescent="0.25">
      <c r="D9" s="14"/>
      <c r="E9" s="14"/>
      <c r="F9" s="14"/>
      <c r="M9" t="s">
        <v>36</v>
      </c>
      <c r="N9" s="52">
        <f ca="1">N41</f>
        <v>23714470.923601583</v>
      </c>
      <c r="O9" s="37">
        <f ca="1">IFERROR(N9/'Unit Mix_vm'!$D$15,0)</f>
        <v>94857.883694406337</v>
      </c>
      <c r="P9" s="37">
        <f ca="1">IFERROR(O9/'Unit Mix_vm'!$F$15,0)</f>
        <v>105.39764854934037</v>
      </c>
      <c r="Q9" s="25">
        <f ca="1">IFERROR(N9/N$12,0)</f>
        <v>0.40000000000000008</v>
      </c>
    </row>
    <row r="10" spans="1:17" x14ac:dyDescent="0.25">
      <c r="B10" s="12" t="s">
        <v>37</v>
      </c>
      <c r="C10" s="12"/>
      <c r="D10" s="15"/>
      <c r="E10" s="15"/>
      <c r="F10" s="15"/>
      <c r="G10" s="12"/>
      <c r="M10" t="s">
        <v>38</v>
      </c>
      <c r="N10" s="52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 x14ac:dyDescent="0.25">
      <c r="B11" t="s">
        <v>39</v>
      </c>
      <c r="C11" s="24" t="s">
        <v>40</v>
      </c>
      <c r="D11" s="52">
        <f ca="1">+IF(Global!$C$16="On",0,I11*$N$11)</f>
        <v>177858.53192701185</v>
      </c>
      <c r="E11" s="37">
        <f ca="1">IFERROR(D11/'Unit Mix_vm'!$D$15,0)</f>
        <v>711.43412770804741</v>
      </c>
      <c r="F11" s="37">
        <f ca="1">IFERROR(E11/'Unit Mix_vm'!$F$15,0)</f>
        <v>0.79048236412005268</v>
      </c>
      <c r="G11" s="25">
        <f t="shared" ref="G11:G23" ca="1" si="1">+IFERROR(D11/D$86,0)</f>
        <v>3.0000000000000001E-3</v>
      </c>
      <c r="I11" s="21">
        <v>5.0000000000000001E-3</v>
      </c>
      <c r="J11" s="20" t="s">
        <v>41</v>
      </c>
      <c r="M11" t="s">
        <v>42</v>
      </c>
      <c r="N11" s="52">
        <f ca="1">+N23</f>
        <v>35571706.385402367</v>
      </c>
      <c r="O11" s="37">
        <f ca="1">IFERROR(N11/'Unit Mix_vm'!$D$15,0)</f>
        <v>142286.82554160946</v>
      </c>
      <c r="P11" s="37">
        <f ca="1">IFERROR(O11/'Unit Mix_vm'!$F$15,0)</f>
        <v>158.0964728240105</v>
      </c>
      <c r="Q11" s="25">
        <f t="shared" ca="1" si="0"/>
        <v>0.6</v>
      </c>
    </row>
    <row r="12" spans="1:17" x14ac:dyDescent="0.25">
      <c r="B12" t="s">
        <v>43</v>
      </c>
      <c r="C12" s="24" t="s">
        <v>40</v>
      </c>
      <c r="D12" s="52">
        <f ca="1">+IF(Global!$C$16="On",0,I12*$N$11)</f>
        <v>266787.79789051774</v>
      </c>
      <c r="E12" s="37">
        <f ca="1">IFERROR(D12/'Unit Mix_vm'!$D$15,0)</f>
        <v>1067.1511915620711</v>
      </c>
      <c r="F12" s="37">
        <f ca="1">IFERROR(E12/'Unit Mix_vm'!$F$15,0)</f>
        <v>1.185723546180079</v>
      </c>
      <c r="G12" s="25">
        <f t="shared" ca="1" si="1"/>
        <v>4.4999999999999997E-3</v>
      </c>
      <c r="I12" s="21">
        <v>7.4999999999999997E-3</v>
      </c>
      <c r="J12" s="20" t="s">
        <v>41</v>
      </c>
      <c r="M12" s="3" t="s">
        <v>44</v>
      </c>
      <c r="N12" s="13">
        <f ca="1">SUM(N9:N11)</f>
        <v>59286177.309003949</v>
      </c>
      <c r="O12" s="13">
        <f ca="1">SUM(O9:O11)</f>
        <v>237144.7092360158</v>
      </c>
      <c r="P12" s="29">
        <f ca="1">SUM(P9:P11)</f>
        <v>263.49412137335088</v>
      </c>
      <c r="Q12" s="26">
        <f ca="1">SUM(Q9:Q11)</f>
        <v>1</v>
      </c>
    </row>
    <row r="13" spans="1:17" x14ac:dyDescent="0.25">
      <c r="B13" t="s">
        <v>45</v>
      </c>
      <c r="C13" s="24" t="s">
        <v>40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 x14ac:dyDescent="0.25">
      <c r="B14" t="s">
        <v>46</v>
      </c>
      <c r="C14" s="24" t="s">
        <v>40</v>
      </c>
      <c r="D14" s="52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47</v>
      </c>
      <c r="M14" s="28" t="s">
        <v>48</v>
      </c>
    </row>
    <row r="15" spans="1:17" x14ac:dyDescent="0.25">
      <c r="B15" t="s">
        <v>49</v>
      </c>
      <c r="C15" s="24" t="s">
        <v>40</v>
      </c>
      <c r="D15" s="52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47</v>
      </c>
      <c r="M15" t="s">
        <v>32</v>
      </c>
      <c r="N15" s="14">
        <f>+SUMIF($C$8:$C$86,$M15,$D$8:$D$86)</f>
        <v>7500000</v>
      </c>
      <c r="O15" s="37">
        <f>IFERROR(N15/'Unit Mix_vm'!$D$15,0)</f>
        <v>30000</v>
      </c>
      <c r="P15" s="37">
        <f>IFERROR(O15/'Unit Mix_vm'!$F$15,0)</f>
        <v>33.333333333333336</v>
      </c>
      <c r="Q15" s="25">
        <f ca="1">IFERROR(N15/N$18,0)</f>
        <v>0.12650503608808245</v>
      </c>
    </row>
    <row r="16" spans="1:17" x14ac:dyDescent="0.25">
      <c r="B16" t="s">
        <v>50</v>
      </c>
      <c r="C16" s="24" t="s">
        <v>40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51</v>
      </c>
      <c r="N16" s="14">
        <f>+SUMIF($C$8:$C$86,$M16,$D$8:$D$86)</f>
        <v>39375000</v>
      </c>
      <c r="O16" s="37">
        <f>IFERROR(N16/'Unit Mix_vm'!$D$15,0)</f>
        <v>157500</v>
      </c>
      <c r="P16" s="37">
        <f>IFERROR(O16/'Unit Mix_vm'!$F$15,0)</f>
        <v>175</v>
      </c>
      <c r="Q16" s="25">
        <f t="shared" ref="Q16:Q17" ca="1" si="2">IFERROR(N16/N$18,0)</f>
        <v>0.66415143946243282</v>
      </c>
    </row>
    <row r="17" spans="2:17" x14ac:dyDescent="0.25">
      <c r="B17" t="s">
        <v>52</v>
      </c>
      <c r="C17" s="24" t="s">
        <v>40</v>
      </c>
      <c r="D17" s="52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53</v>
      </c>
      <c r="M17" t="s">
        <v>40</v>
      </c>
      <c r="N17" s="14">
        <f ca="1">+SUMIF($C$8:$C$86,$M17,$D$8:$D$86)</f>
        <v>12411177.309003955</v>
      </c>
      <c r="O17" s="37">
        <f ca="1">IFERROR(N17/'Unit Mix_vm'!$D$15,0)</f>
        <v>49644.70923601582</v>
      </c>
      <c r="P17" s="37">
        <f ca="1">IFERROR(O17/'Unit Mix_vm'!$F$15,0)</f>
        <v>55.160788040017579</v>
      </c>
      <c r="Q17" s="25">
        <f t="shared" ca="1" si="2"/>
        <v>0.2093435244494847</v>
      </c>
    </row>
    <row r="18" spans="2:17" x14ac:dyDescent="0.25">
      <c r="B18" t="s">
        <v>54</v>
      </c>
      <c r="C18" s="24" t="s">
        <v>40</v>
      </c>
      <c r="D18" s="52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53</v>
      </c>
      <c r="M18" s="3" t="s">
        <v>55</v>
      </c>
      <c r="N18" s="13">
        <f ca="1">SUM(N15:N17)</f>
        <v>59286177.309003957</v>
      </c>
      <c r="O18" s="29">
        <f ca="1">SUM(O15:O17)</f>
        <v>237144.70923601583</v>
      </c>
      <c r="P18" s="29">
        <f ca="1">SUM(P15:P17)</f>
        <v>263.49412137335094</v>
      </c>
      <c r="Q18" s="26">
        <f ca="1">SUM(Q15:Q17)</f>
        <v>0.99999999999999989</v>
      </c>
    </row>
    <row r="19" spans="2:17" x14ac:dyDescent="0.25">
      <c r="B19" t="s">
        <v>56</v>
      </c>
      <c r="C19" s="24" t="s">
        <v>40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 x14ac:dyDescent="0.25">
      <c r="B20" t="s">
        <v>57</v>
      </c>
      <c r="C20" s="24" t="s">
        <v>40</v>
      </c>
      <c r="D20" s="76">
        <v>300000</v>
      </c>
      <c r="E20" s="52">
        <f>IFERROR(D20/'Unit Mix_vm'!$D$15,0)</f>
        <v>1200</v>
      </c>
      <c r="F20" s="37">
        <f>IFERROR(E20/'Unit Mix_vm'!$F$15,0)</f>
        <v>1.3333333333333333</v>
      </c>
      <c r="G20" s="25">
        <f t="shared" ca="1" si="1"/>
        <v>5.0602014435232982E-3</v>
      </c>
      <c r="M20" s="1"/>
    </row>
    <row r="21" spans="2:17" x14ac:dyDescent="0.25">
      <c r="B21" t="s">
        <v>58</v>
      </c>
      <c r="C21" s="24" t="s">
        <v>40</v>
      </c>
      <c r="D21" s="76">
        <v>300000</v>
      </c>
      <c r="E21" s="52">
        <f>IFERROR(D21/'Unit Mix_vm'!$D$15,0)</f>
        <v>1200</v>
      </c>
      <c r="F21" s="37">
        <f>IFERROR(E21/'Unit Mix_vm'!$F$15,0)</f>
        <v>1.3333333333333333</v>
      </c>
      <c r="G21" s="25">
        <f t="shared" ca="1" si="1"/>
        <v>5.0602014435232982E-3</v>
      </c>
      <c r="M21" s="158" t="s">
        <v>59</v>
      </c>
      <c r="N21" s="122"/>
      <c r="O21" s="122"/>
      <c r="P21" s="122"/>
      <c r="Q21" s="122"/>
    </row>
    <row r="22" spans="2:17" x14ac:dyDescent="0.25">
      <c r="B22" t="s">
        <v>60</v>
      </c>
      <c r="C22" s="24" t="s">
        <v>40</v>
      </c>
      <c r="D22" s="52">
        <f>E22*'Unit Mix_vm'!$D$15</f>
        <v>1500000</v>
      </c>
      <c r="E22" s="76">
        <v>6000</v>
      </c>
      <c r="F22" s="37">
        <f>IFERROR(E22/'Unit Mix_vm'!$F$15,0)</f>
        <v>6.666666666666667</v>
      </c>
      <c r="G22" s="25">
        <f t="shared" ca="1" si="1"/>
        <v>2.5301007217616491E-2</v>
      </c>
      <c r="M22" s="55" t="s">
        <v>42</v>
      </c>
    </row>
    <row r="23" spans="2:17" x14ac:dyDescent="0.25">
      <c r="B23" t="s">
        <v>61</v>
      </c>
      <c r="C23" s="24" t="s">
        <v>40</v>
      </c>
      <c r="D23" s="76">
        <v>0</v>
      </c>
      <c r="E23" s="52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42</v>
      </c>
      <c r="N23" s="36">
        <f ca="1">D86*N24</f>
        <v>35571706.385402367</v>
      </c>
    </row>
    <row r="24" spans="2:17" x14ac:dyDescent="0.25">
      <c r="B24" s="3" t="s">
        <v>62</v>
      </c>
      <c r="C24" s="3"/>
      <c r="D24" s="13">
        <f ca="1">+SUM(D11:D23)</f>
        <v>2544646.3298175298</v>
      </c>
      <c r="E24" s="13">
        <f ca="1">SUM(E11:E23)</f>
        <v>10178.585319270118</v>
      </c>
      <c r="F24" s="13">
        <f ca="1">SUM(F11:F23)</f>
        <v>11.309539243633466</v>
      </c>
      <c r="G24" s="26">
        <f ca="1">SUM(G11:G23)</f>
        <v>4.2921410104663091E-2</v>
      </c>
      <c r="M24" t="s">
        <v>63</v>
      </c>
      <c r="N24" s="44">
        <v>0.6</v>
      </c>
    </row>
    <row r="25" spans="2:17" x14ac:dyDescent="0.25">
      <c r="D25" s="14"/>
      <c r="E25" s="14"/>
      <c r="F25" s="14"/>
      <c r="M25" t="s">
        <v>64</v>
      </c>
      <c r="N25" s="49">
        <f ca="1">IFERROR('Pro-Forma_vm'!$C$39/Budget_vm!N23,0)</f>
        <v>0.10277423584043358</v>
      </c>
      <c r="O25" s="53"/>
    </row>
    <row r="26" spans="2:17" x14ac:dyDescent="0.25">
      <c r="B26" s="12" t="s">
        <v>65</v>
      </c>
      <c r="C26" s="12"/>
      <c r="D26" s="15"/>
      <c r="E26" s="15"/>
      <c r="F26" s="15"/>
      <c r="G26" s="12"/>
      <c r="O26" s="54"/>
    </row>
    <row r="27" spans="2:17" x14ac:dyDescent="0.25">
      <c r="B27" t="s">
        <v>66</v>
      </c>
      <c r="C27" s="24" t="s">
        <v>40</v>
      </c>
      <c r="D27" s="52">
        <f ca="1">I27*(D86-D8)</f>
        <v>1553585.3192701184</v>
      </c>
      <c r="E27" s="37">
        <f ca="1">IFERROR(D27/'Unit Mix_vm'!$D$15,0)</f>
        <v>6214.3412770804734</v>
      </c>
      <c r="F27" s="37">
        <f ca="1">IFERROR(E27/'Unit Mix_vm'!$F$15,0)</f>
        <v>6.9048236412005259</v>
      </c>
      <c r="G27" s="25">
        <f t="shared" ref="G27:G29" ca="1" si="3">+IFERROR(D27/D$86,0)</f>
        <v>2.6204848917357526E-2</v>
      </c>
      <c r="I27" s="21">
        <v>0.03</v>
      </c>
      <c r="J27" s="20" t="s">
        <v>67</v>
      </c>
      <c r="K27" s="20"/>
      <c r="M27" t="s">
        <v>68</v>
      </c>
      <c r="N27" s="45">
        <v>0.04</v>
      </c>
    </row>
    <row r="28" spans="2:17" x14ac:dyDescent="0.25">
      <c r="B28" t="s">
        <v>69</v>
      </c>
      <c r="C28" s="24" t="s">
        <v>40</v>
      </c>
      <c r="D28" s="14">
        <f>+I28*SUM(D67:D68)</f>
        <v>393750</v>
      </c>
      <c r="E28" s="37">
        <f>IFERROR(D28/'Unit Mix_vm'!$D$15,0)</f>
        <v>1575</v>
      </c>
      <c r="F28" s="37">
        <f>IFERROR(E28/'Unit Mix_vm'!$F$15,0)</f>
        <v>1.75</v>
      </c>
      <c r="G28" s="25">
        <f t="shared" ca="1" si="3"/>
        <v>6.6415143946243291E-3</v>
      </c>
      <c r="I28" s="21">
        <v>0.01</v>
      </c>
      <c r="J28" s="20" t="s">
        <v>70</v>
      </c>
      <c r="K28" s="20"/>
      <c r="M28" t="s">
        <v>71</v>
      </c>
      <c r="N28" s="45">
        <v>0.03</v>
      </c>
      <c r="O28" s="30"/>
    </row>
    <row r="29" spans="2:17" x14ac:dyDescent="0.25">
      <c r="B29" t="s">
        <v>72</v>
      </c>
      <c r="C29" s="24" t="s">
        <v>40</v>
      </c>
      <c r="D29" s="76">
        <v>300000</v>
      </c>
      <c r="E29" s="37">
        <f>IFERROR(D29/'Unit Mix_vm'!$D$15,0)</f>
        <v>1200</v>
      </c>
      <c r="F29" s="37">
        <f>IFERROR(E29/'Unit Mix_vm'!$F$15,0)</f>
        <v>1.3333333333333333</v>
      </c>
      <c r="G29" s="25">
        <f t="shared" ca="1" si="3"/>
        <v>5.0602014435232982E-3</v>
      </c>
      <c r="M29" s="3" t="s">
        <v>73</v>
      </c>
      <c r="N29" s="47">
        <f>SUM(N27:N28)</f>
        <v>7.0000000000000007E-2</v>
      </c>
    </row>
    <row r="30" spans="2:17" x14ac:dyDescent="0.25">
      <c r="B30" s="3" t="s">
        <v>74</v>
      </c>
      <c r="C30" s="3"/>
      <c r="D30" s="13">
        <f ca="1">+SUM(D27:D29)</f>
        <v>2247335.3192701181</v>
      </c>
      <c r="E30" s="13">
        <f ca="1">SUM(E27:E29)</f>
        <v>8989.3412770804734</v>
      </c>
      <c r="F30" s="13">
        <f ca="1">SUM(F27:F29)</f>
        <v>9.9881569745338599</v>
      </c>
      <c r="G30" s="26">
        <f ca="1">SUM(G27:G29)</f>
        <v>3.7906564755505148E-2</v>
      </c>
    </row>
    <row r="31" spans="2:17" x14ac:dyDescent="0.25">
      <c r="D31" s="14"/>
      <c r="E31" s="14"/>
      <c r="F31" s="14"/>
      <c r="M31" t="s">
        <v>75</v>
      </c>
      <c r="N31" s="32">
        <v>21</v>
      </c>
      <c r="O31" s="30"/>
    </row>
    <row r="32" spans="2:17" x14ac:dyDescent="0.25">
      <c r="B32" s="12" t="s">
        <v>76</v>
      </c>
      <c r="C32" s="12"/>
      <c r="D32" s="15"/>
      <c r="E32" s="15"/>
      <c r="F32" s="15"/>
      <c r="G32" s="12"/>
      <c r="M32" t="s">
        <v>77</v>
      </c>
      <c r="N32" s="44">
        <v>0.5</v>
      </c>
    </row>
    <row r="33" spans="2:22" x14ac:dyDescent="0.25">
      <c r="B33" t="s">
        <v>78</v>
      </c>
      <c r="C33" s="24" t="s">
        <v>40</v>
      </c>
      <c r="D33" s="76">
        <v>300000</v>
      </c>
      <c r="E33" s="37">
        <f>IFERROR(D33/'Unit Mix_vm'!$D$15,0)</f>
        <v>1200</v>
      </c>
      <c r="F33" s="37">
        <f>IFERROR(E33/'Unit Mix_vm'!$F$15,0)</f>
        <v>1.3333333333333333</v>
      </c>
      <c r="G33" s="25">
        <f t="shared" ref="G33:G42" ca="1" si="4">+IFERROR(D33/D$86,0)</f>
        <v>5.0602014435232982E-3</v>
      </c>
      <c r="M33" t="s">
        <v>79</v>
      </c>
      <c r="N33" s="36">
        <f ca="1">+N23*N29*N31*N32/12</f>
        <v>2178767.0161058949</v>
      </c>
    </row>
    <row r="34" spans="2:22" x14ac:dyDescent="0.25">
      <c r="B34" t="s">
        <v>80</v>
      </c>
      <c r="C34" s="24" t="s">
        <v>40</v>
      </c>
      <c r="D34" s="76">
        <v>400000</v>
      </c>
      <c r="E34" s="37">
        <f>IFERROR(D34/'Unit Mix_vm'!$D$15,0)</f>
        <v>1600</v>
      </c>
      <c r="F34" s="37">
        <f>IFERROR(E34/'Unit Mix_vm'!$F$15,0)</f>
        <v>1.7777777777777777</v>
      </c>
      <c r="G34" s="25">
        <f t="shared" ca="1" si="4"/>
        <v>6.7469352580310643E-3</v>
      </c>
      <c r="O34" s="42"/>
      <c r="U34" s="136" t="s">
        <v>81</v>
      </c>
      <c r="V34" s="137"/>
    </row>
    <row r="35" spans="2:22" x14ac:dyDescent="0.25">
      <c r="B35" t="s">
        <v>428</v>
      </c>
      <c r="C35" s="24" t="s">
        <v>40</v>
      </c>
      <c r="D35" s="52">
        <f ca="1">+IF(Global!C16="On",0,I35*N11)</f>
        <v>0</v>
      </c>
      <c r="E35" s="37">
        <f ca="1">IFERROR(D35/'Unit Mix_vm'!$D$15,0)</f>
        <v>0</v>
      </c>
      <c r="F35" s="37">
        <f ca="1">IFERROR(E35/'Unit Mix_vm'!$F$15,0)</f>
        <v>0</v>
      </c>
      <c r="G35" s="25">
        <f t="shared" ca="1" si="4"/>
        <v>0</v>
      </c>
      <c r="I35" s="21">
        <v>0</v>
      </c>
      <c r="J35" s="20" t="s">
        <v>41</v>
      </c>
      <c r="K35" s="20"/>
      <c r="M35" s="55" t="s">
        <v>38</v>
      </c>
      <c r="U35" s="131" t="s">
        <v>83</v>
      </c>
      <c r="V35" s="138">
        <v>0.45</v>
      </c>
    </row>
    <row r="36" spans="2:22" x14ac:dyDescent="0.25">
      <c r="B36" t="s">
        <v>84</v>
      </c>
      <c r="C36" s="24" t="s">
        <v>40</v>
      </c>
      <c r="D36" s="76">
        <v>50000</v>
      </c>
      <c r="E36" s="37">
        <f>IFERROR(D36/'Unit Mix_vm'!$D$15,0)</f>
        <v>200</v>
      </c>
      <c r="F36" s="37">
        <f>IFERROR(E36/'Unit Mix_vm'!$F$15,0)</f>
        <v>0.22222222222222221</v>
      </c>
      <c r="G36" s="25">
        <f t="shared" ca="1" si="4"/>
        <v>8.4336690725388304E-4</v>
      </c>
      <c r="M36" t="s">
        <v>38</v>
      </c>
      <c r="N36" s="36">
        <f ca="1">D86*N37-N23</f>
        <v>0</v>
      </c>
      <c r="U36" s="5"/>
      <c r="V36" s="132"/>
    </row>
    <row r="37" spans="2:22" x14ac:dyDescent="0.25">
      <c r="B37" t="s">
        <v>85</v>
      </c>
      <c r="C37" s="24" t="s">
        <v>40</v>
      </c>
      <c r="D37" s="52">
        <f ca="1">I37*D86</f>
        <v>40907.462343212726</v>
      </c>
      <c r="E37" s="37">
        <f ca="1">IFERROR(D37/'Unit Mix_vm'!$D$15,0)</f>
        <v>163.62984937285091</v>
      </c>
      <c r="F37" s="37">
        <f ca="1">IFERROR(E37/'Unit Mix_vm'!$F$15,0)</f>
        <v>0.18181094374761211</v>
      </c>
      <c r="G37" s="25">
        <f t="shared" ca="1" si="4"/>
        <v>6.9000000000000008E-4</v>
      </c>
      <c r="I37" s="21">
        <v>6.8999999999999997E-4</v>
      </c>
      <c r="J37" s="20" t="s">
        <v>67</v>
      </c>
      <c r="M37" t="s">
        <v>86</v>
      </c>
      <c r="N37" s="44">
        <f>+N24</f>
        <v>0.6</v>
      </c>
      <c r="U37" s="5" t="s">
        <v>87</v>
      </c>
      <c r="V37" s="133">
        <f>N16</f>
        <v>39375000</v>
      </c>
    </row>
    <row r="38" spans="2:22" x14ac:dyDescent="0.25">
      <c r="B38" t="s">
        <v>88</v>
      </c>
      <c r="C38" s="24" t="s">
        <v>40</v>
      </c>
      <c r="D38" s="52">
        <f ca="1">(((V40/100)*V35)*2)+60000</f>
        <v>575215.59578103572</v>
      </c>
      <c r="E38" s="52">
        <f ca="1">IFERROR(D38/'Unit Mix_vm'!$D$15,0)</f>
        <v>2300.862383124143</v>
      </c>
      <c r="F38" s="52">
        <f ca="1">IFERROR(E38/'Unit Mix_vm'!$F$15,0)</f>
        <v>2.5565137590268256</v>
      </c>
      <c r="G38" s="139">
        <f t="shared" ca="1" si="4"/>
        <v>9.7023559603610365E-3</v>
      </c>
      <c r="M38" t="s">
        <v>89</v>
      </c>
      <c r="N38" s="49">
        <f ca="1">IFERROR('Pro-Forma_vm'!$C$39/SUM(N36,N23),0)</f>
        <v>0.10277423584043358</v>
      </c>
      <c r="U38" s="5" t="s">
        <v>90</v>
      </c>
      <c r="V38" s="133">
        <f t="shared" ref="V38" ca="1" si="5">N17</f>
        <v>12411177.309003955</v>
      </c>
    </row>
    <row r="39" spans="2:22" x14ac:dyDescent="0.25">
      <c r="B39" t="s">
        <v>91</v>
      </c>
      <c r="C39" s="24" t="s">
        <v>40</v>
      </c>
      <c r="D39" s="52">
        <f>((V45/1000)*V43)+30000</f>
        <v>111263.7363418607</v>
      </c>
      <c r="E39" s="52">
        <f>IFERROR(D39/'Unit Mix_vm'!$D$15,0)</f>
        <v>445.05494536744277</v>
      </c>
      <c r="F39" s="52">
        <f>IFERROR(E39/'Unit Mix_vm'!$F$15,0)</f>
        <v>0.49450549485271417</v>
      </c>
      <c r="G39" s="139">
        <f t="shared" ref="G39" ca="1" si="6">+IFERROR(D39/D$86,0)</f>
        <v>1.8767230641629307E-3</v>
      </c>
      <c r="N39" s="49"/>
      <c r="U39" s="5" t="s">
        <v>92</v>
      </c>
      <c r="V39" s="133">
        <f>'Unit Mix_vm'!D15*'Unit Mix_vm'!G15*12</f>
        <v>5460000</v>
      </c>
    </row>
    <row r="40" spans="2:22" x14ac:dyDescent="0.25">
      <c r="B40" t="s">
        <v>93</v>
      </c>
      <c r="C40" s="24" t="s">
        <v>40</v>
      </c>
      <c r="D40" s="76">
        <v>0</v>
      </c>
      <c r="E40" s="37">
        <f>IFERROR(D40/'Unit Mix_vm'!$D$15,0)</f>
        <v>0</v>
      </c>
      <c r="F40" s="37">
        <f>IFERROR(E40/'Unit Mix_vm'!$F$15,0)</f>
        <v>0</v>
      </c>
      <c r="G40" s="25">
        <f t="shared" ca="1" si="4"/>
        <v>0</v>
      </c>
      <c r="M40" s="55" t="s">
        <v>36</v>
      </c>
      <c r="U40" s="134" t="s">
        <v>24</v>
      </c>
      <c r="V40" s="135">
        <f ca="1">SUM(V37:V39)</f>
        <v>57246177.309003957</v>
      </c>
    </row>
    <row r="41" spans="2:22" x14ac:dyDescent="0.25">
      <c r="B41" t="s">
        <v>94</v>
      </c>
      <c r="C41" s="24" t="s">
        <v>40</v>
      </c>
      <c r="D41" s="76">
        <v>50000</v>
      </c>
      <c r="E41" s="37">
        <f>IFERROR(D41/'Unit Mix_vm'!$D$15,0)</f>
        <v>200</v>
      </c>
      <c r="F41" s="37">
        <f>IFERROR(E41/'Unit Mix_vm'!$F$15,0)</f>
        <v>0.22222222222222221</v>
      </c>
      <c r="G41" s="25">
        <f t="shared" ca="1" si="4"/>
        <v>8.4336690725388304E-4</v>
      </c>
      <c r="M41" t="s">
        <v>95</v>
      </c>
      <c r="N41" s="58">
        <f ca="1">D86-N23-N36</f>
        <v>23714470.923601583</v>
      </c>
      <c r="U41" s="4"/>
      <c r="V41" s="4"/>
    </row>
    <row r="42" spans="2:22" x14ac:dyDescent="0.25">
      <c r="B42" t="s">
        <v>96</v>
      </c>
      <c r="C42" s="24" t="s">
        <v>40</v>
      </c>
      <c r="D42" s="76">
        <v>0</v>
      </c>
      <c r="E42" s="37">
        <f>IFERROR(D42/'Unit Mix_vm'!$D$15,0)</f>
        <v>0</v>
      </c>
      <c r="F42" s="37">
        <f>IFERROR(E42/'Unit Mix_vm'!$F$15,0)</f>
        <v>0</v>
      </c>
      <c r="G42" s="25">
        <f t="shared" ca="1" si="4"/>
        <v>0</v>
      </c>
      <c r="U42" s="136" t="s">
        <v>97</v>
      </c>
      <c r="V42" s="137"/>
    </row>
    <row r="43" spans="2:22" x14ac:dyDescent="0.25">
      <c r="B43" s="3" t="s">
        <v>98</v>
      </c>
      <c r="C43" s="3"/>
      <c r="D43" s="13">
        <f ca="1">+SUM(D33:D42)</f>
        <v>1527386.794466109</v>
      </c>
      <c r="E43" s="13">
        <f ca="1">SUM(E33:E42)</f>
        <v>6109.5471778644369</v>
      </c>
      <c r="F43" s="13">
        <f ca="1">SUM(F33:F42)</f>
        <v>6.7883857531827072</v>
      </c>
      <c r="G43" s="26">
        <f ca="1">SUM(G33:G42)</f>
        <v>2.5762949540586097E-2</v>
      </c>
      <c r="M43" t="s">
        <v>99</v>
      </c>
      <c r="N43" s="34">
        <f ca="1">+N41*0.1</f>
        <v>2371447.0923601585</v>
      </c>
      <c r="O43" s="46">
        <f ca="1">+N43/N41</f>
        <v>0.1</v>
      </c>
      <c r="U43" s="5" t="s">
        <v>83</v>
      </c>
      <c r="V43" s="159">
        <v>1.1000000000000001</v>
      </c>
    </row>
    <row r="44" spans="2:22" x14ac:dyDescent="0.25">
      <c r="D44" s="14"/>
      <c r="E44" s="14"/>
      <c r="F44" s="14"/>
      <c r="M44" t="s">
        <v>100</v>
      </c>
      <c r="N44" s="36">
        <f ca="1">+N41-N43</f>
        <v>21343023.831241425</v>
      </c>
      <c r="O44" s="51">
        <f ca="1">1-O43</f>
        <v>0.9</v>
      </c>
      <c r="U44" s="5" t="s">
        <v>101</v>
      </c>
      <c r="V44" s="160">
        <v>5.2499999999999998E-2</v>
      </c>
    </row>
    <row r="45" spans="2:22" x14ac:dyDescent="0.25">
      <c r="B45" s="12" t="s">
        <v>102</v>
      </c>
      <c r="C45" s="12"/>
      <c r="D45" s="15"/>
      <c r="E45" s="15"/>
      <c r="F45" s="15"/>
      <c r="G45" s="12"/>
      <c r="U45" s="161" t="s">
        <v>103</v>
      </c>
      <c r="V45" s="162">
        <f>(('Pro-Forma_vm'!C39*1.03*1.03)/Budget_vm!V44)</f>
        <v>73876123.947146088</v>
      </c>
    </row>
    <row r="46" spans="2:22" x14ac:dyDescent="0.25">
      <c r="B46" t="s">
        <v>104</v>
      </c>
      <c r="C46" s="24" t="s">
        <v>40</v>
      </c>
      <c r="D46" s="52">
        <f>E46*'Unit Mix_vm'!$D$15</f>
        <v>625000</v>
      </c>
      <c r="E46" s="76">
        <v>2500</v>
      </c>
      <c r="F46" s="37">
        <f>IFERROR(E46/'Unit Mix_vm'!$F$15,0)</f>
        <v>2.7777777777777777</v>
      </c>
      <c r="G46" s="25">
        <f t="shared" ref="G46:G63" ca="1" si="7">+IFERROR(D46/D$86,0)</f>
        <v>1.0542086340673539E-2</v>
      </c>
    </row>
    <row r="47" spans="2:22" x14ac:dyDescent="0.25">
      <c r="B47" t="s">
        <v>105</v>
      </c>
      <c r="C47" s="24" t="s">
        <v>40</v>
      </c>
      <c r="D47" s="76">
        <v>75000</v>
      </c>
      <c r="E47" s="52">
        <f>IFERROR(D47/'Unit Mix_vm'!$D$15,0)</f>
        <v>300</v>
      </c>
      <c r="F47" s="37">
        <f>IFERROR(E47/'Unit Mix_vm'!$F$15,0)</f>
        <v>0.33333333333333331</v>
      </c>
      <c r="G47" s="25">
        <f t="shared" ca="1" si="7"/>
        <v>1.2650503608808246E-3</v>
      </c>
    </row>
    <row r="48" spans="2:22" x14ac:dyDescent="0.25">
      <c r="B48" t="s">
        <v>106</v>
      </c>
      <c r="C48" s="24" t="s">
        <v>40</v>
      </c>
      <c r="D48" s="76">
        <v>50000</v>
      </c>
      <c r="E48" s="52">
        <f>IFERROR(D48/'Unit Mix_vm'!$D$15,0)</f>
        <v>200</v>
      </c>
      <c r="F48" s="37">
        <f>IFERROR(E48/'Unit Mix_vm'!$F$15,0)</f>
        <v>0.22222222222222221</v>
      </c>
      <c r="G48" s="25">
        <f t="shared" ca="1" si="7"/>
        <v>8.4336690725388304E-4</v>
      </c>
    </row>
    <row r="49" spans="2:7" x14ac:dyDescent="0.25">
      <c r="B49" t="s">
        <v>107</v>
      </c>
      <c r="C49" s="24" t="s">
        <v>40</v>
      </c>
      <c r="D49" s="52">
        <f>E49*'Unit Mix_vm'!$D$15</f>
        <v>375000</v>
      </c>
      <c r="E49" s="76">
        <v>1500</v>
      </c>
      <c r="F49" s="37">
        <f>IFERROR(E49/'Unit Mix_vm'!$F$15,0)</f>
        <v>1.6666666666666667</v>
      </c>
      <c r="G49" s="25">
        <f t="shared" ca="1" si="7"/>
        <v>6.3252518044041228E-3</v>
      </c>
    </row>
    <row r="50" spans="2:7" x14ac:dyDescent="0.25">
      <c r="B50" t="s">
        <v>108</v>
      </c>
      <c r="C50" s="24" t="s">
        <v>40</v>
      </c>
      <c r="D50" s="76">
        <v>0</v>
      </c>
      <c r="E50" s="52">
        <f>IFERROR(D50/'Unit Mix_vm'!$D$15,0)</f>
        <v>0</v>
      </c>
      <c r="F50" s="37">
        <f>IFERROR(E50/'Unit Mix_vm'!$F$15,0)</f>
        <v>0</v>
      </c>
      <c r="G50" s="25">
        <f t="shared" ca="1" si="7"/>
        <v>0</v>
      </c>
    </row>
    <row r="51" spans="2:7" x14ac:dyDescent="0.25">
      <c r="B51" t="s">
        <v>109</v>
      </c>
      <c r="C51" s="24" t="s">
        <v>40</v>
      </c>
      <c r="D51" s="76">
        <v>150000</v>
      </c>
      <c r="E51" s="52">
        <f>IFERROR(D51/'Unit Mix_vm'!$D$15,0)</f>
        <v>600</v>
      </c>
      <c r="F51" s="37">
        <f>IFERROR(E51/'Unit Mix_vm'!$F$15,0)</f>
        <v>0.66666666666666663</v>
      </c>
      <c r="G51" s="25">
        <f t="shared" ca="1" si="7"/>
        <v>2.5301007217616491E-3</v>
      </c>
    </row>
    <row r="52" spans="2:7" x14ac:dyDescent="0.25">
      <c r="B52" t="s">
        <v>110</v>
      </c>
      <c r="C52" s="24" t="s">
        <v>40</v>
      </c>
      <c r="D52" s="76">
        <v>35000</v>
      </c>
      <c r="E52" s="52">
        <f>IFERROR(D52/'Unit Mix_vm'!$D$15,0)</f>
        <v>140</v>
      </c>
      <c r="F52" s="37">
        <f>IFERROR(E52/'Unit Mix_vm'!$F$15,0)</f>
        <v>0.15555555555555556</v>
      </c>
      <c r="G52" s="25">
        <f t="shared" ca="1" si="7"/>
        <v>5.9035683507771813E-4</v>
      </c>
    </row>
    <row r="53" spans="2:7" x14ac:dyDescent="0.25">
      <c r="B53" t="s">
        <v>111</v>
      </c>
      <c r="C53" s="24" t="s">
        <v>40</v>
      </c>
      <c r="D53" s="76">
        <v>300000</v>
      </c>
      <c r="E53" s="52">
        <f>IFERROR(D53/'Unit Mix_vm'!$D$15,0)</f>
        <v>1200</v>
      </c>
      <c r="F53" s="37">
        <f>IFERROR(E53/'Unit Mix_vm'!$F$15,0)</f>
        <v>1.3333333333333333</v>
      </c>
      <c r="G53" s="25">
        <f t="shared" ca="1" si="7"/>
        <v>5.0602014435232982E-3</v>
      </c>
    </row>
    <row r="54" spans="2:7" x14ac:dyDescent="0.25">
      <c r="B54" t="s">
        <v>112</v>
      </c>
      <c r="C54" s="24" t="s">
        <v>40</v>
      </c>
      <c r="D54" s="52">
        <f>E54*'Unit Mix_vm'!$D$15</f>
        <v>750000</v>
      </c>
      <c r="E54" s="76">
        <v>3000</v>
      </c>
      <c r="F54" s="37">
        <f>IFERROR(E54/'Unit Mix_vm'!$F$15,0)</f>
        <v>3.3333333333333335</v>
      </c>
      <c r="G54" s="25">
        <f t="shared" ca="1" si="7"/>
        <v>1.2650503608808246E-2</v>
      </c>
    </row>
    <row r="55" spans="2:7" x14ac:dyDescent="0.25">
      <c r="B55" t="s">
        <v>113</v>
      </c>
      <c r="C55" s="24" t="s">
        <v>40</v>
      </c>
      <c r="D55" s="76">
        <v>25000</v>
      </c>
      <c r="E55" s="52">
        <f>IFERROR(D55/'Unit Mix_vm'!$D$15,0)</f>
        <v>100</v>
      </c>
      <c r="F55" s="37">
        <f>IFERROR(E55/'Unit Mix_vm'!$F$15,0)</f>
        <v>0.1111111111111111</v>
      </c>
      <c r="G55" s="25">
        <f t="shared" ca="1" si="7"/>
        <v>4.2168345362694152E-4</v>
      </c>
    </row>
    <row r="56" spans="2:7" x14ac:dyDescent="0.25">
      <c r="B56" t="s">
        <v>114</v>
      </c>
      <c r="C56" s="24" t="s">
        <v>40</v>
      </c>
      <c r="D56" s="76">
        <v>500000</v>
      </c>
      <c r="E56" s="52">
        <f>IFERROR(D56/'Unit Mix_vm'!$D$15,0)</f>
        <v>2000</v>
      </c>
      <c r="F56" s="37">
        <f>IFERROR(E56/'Unit Mix_vm'!$F$15,0)</f>
        <v>2.2222222222222223</v>
      </c>
      <c r="G56" s="25">
        <f t="shared" ca="1" si="7"/>
        <v>8.4336690725388304E-3</v>
      </c>
    </row>
    <row r="57" spans="2:7" x14ac:dyDescent="0.25">
      <c r="B57" t="s">
        <v>115</v>
      </c>
      <c r="C57" s="24" t="s">
        <v>40</v>
      </c>
      <c r="D57" s="76">
        <v>80000</v>
      </c>
      <c r="E57" s="52">
        <f>IFERROR(D57/'Unit Mix_vm'!$D$15,0)</f>
        <v>320</v>
      </c>
      <c r="F57" s="37">
        <f>IFERROR(E57/'Unit Mix_vm'!$F$15,0)</f>
        <v>0.35555555555555557</v>
      </c>
      <c r="G57" s="25">
        <f t="shared" ca="1" si="7"/>
        <v>1.3493870516062129E-3</v>
      </c>
    </row>
    <row r="58" spans="2:7" x14ac:dyDescent="0.25">
      <c r="B58" t="s">
        <v>116</v>
      </c>
      <c r="C58" s="24" t="s">
        <v>40</v>
      </c>
      <c r="D58" s="76">
        <v>100000</v>
      </c>
      <c r="E58" s="52">
        <f>IFERROR(D58/'Unit Mix_vm'!$D$15,0)</f>
        <v>400</v>
      </c>
      <c r="F58" s="37">
        <f>IFERROR(E58/'Unit Mix_vm'!$F$15,0)</f>
        <v>0.44444444444444442</v>
      </c>
      <c r="G58" s="25">
        <f t="shared" ca="1" si="7"/>
        <v>1.6867338145077661E-3</v>
      </c>
    </row>
    <row r="59" spans="2:7" x14ac:dyDescent="0.25">
      <c r="B59" t="s">
        <v>117</v>
      </c>
      <c r="C59" s="24" t="s">
        <v>40</v>
      </c>
      <c r="D59" s="76">
        <v>100000</v>
      </c>
      <c r="E59" s="52">
        <f>IFERROR(D59/'Unit Mix_vm'!$D$15,0)</f>
        <v>400</v>
      </c>
      <c r="F59" s="37">
        <f>IFERROR(E59/'Unit Mix_vm'!$F$15,0)</f>
        <v>0.44444444444444442</v>
      </c>
      <c r="G59" s="25">
        <f t="shared" ca="1" si="7"/>
        <v>1.6867338145077661E-3</v>
      </c>
    </row>
    <row r="60" spans="2:7" x14ac:dyDescent="0.25">
      <c r="B60" t="s">
        <v>118</v>
      </c>
      <c r="C60" s="24" t="s">
        <v>40</v>
      </c>
      <c r="D60" s="76">
        <v>150000</v>
      </c>
      <c r="E60" s="52">
        <f>IFERROR(D60/'Unit Mix_vm'!$D$15,0)</f>
        <v>600</v>
      </c>
      <c r="F60" s="37">
        <f>IFERROR(E60/'Unit Mix_vm'!$F$15,0)</f>
        <v>0.66666666666666663</v>
      </c>
      <c r="G60" s="25">
        <f t="shared" ca="1" si="7"/>
        <v>2.5301007217616491E-3</v>
      </c>
    </row>
    <row r="61" spans="2:7" x14ac:dyDescent="0.25">
      <c r="B61" t="s">
        <v>119</v>
      </c>
      <c r="C61" s="24" t="s">
        <v>40</v>
      </c>
      <c r="D61" s="52">
        <f>E61*'Unit Mix_vm'!$D$15</f>
        <v>37500</v>
      </c>
      <c r="E61" s="76">
        <v>150</v>
      </c>
      <c r="F61" s="37">
        <f>IFERROR(E61/'Unit Mix_vm'!$F$15,0)</f>
        <v>0.16666666666666666</v>
      </c>
      <c r="G61" s="25">
        <f t="shared" ca="1" si="7"/>
        <v>6.3252518044041228E-4</v>
      </c>
    </row>
    <row r="62" spans="2:7" x14ac:dyDescent="0.25">
      <c r="B62" t="s">
        <v>120</v>
      </c>
      <c r="C62" s="24" t="s">
        <v>40</v>
      </c>
      <c r="D62" s="76">
        <v>150000</v>
      </c>
      <c r="E62" s="52">
        <f>IFERROR(D62/'Unit Mix_vm'!$D$15,0)</f>
        <v>600</v>
      </c>
      <c r="F62" s="37">
        <f>IFERROR(E62/'Unit Mix_vm'!$F$15,0)</f>
        <v>0.66666666666666663</v>
      </c>
      <c r="G62" s="25">
        <f t="shared" ca="1" si="7"/>
        <v>2.5301007217616491E-3</v>
      </c>
    </row>
    <row r="63" spans="2:7" x14ac:dyDescent="0.25">
      <c r="B63" t="s">
        <v>121</v>
      </c>
      <c r="C63" s="24" t="s">
        <v>40</v>
      </c>
      <c r="D63" s="76">
        <v>0</v>
      </c>
      <c r="E63" s="52">
        <f>IFERROR(D63/'Unit Mix_vm'!$D$15,0)</f>
        <v>0</v>
      </c>
      <c r="F63" s="37">
        <f>IFERROR(E63/'Unit Mix_vm'!$F$15,0)</f>
        <v>0</v>
      </c>
      <c r="G63" s="25">
        <f t="shared" ca="1" si="7"/>
        <v>0</v>
      </c>
    </row>
    <row r="64" spans="2:7" x14ac:dyDescent="0.25">
      <c r="B64" s="3" t="s">
        <v>122</v>
      </c>
      <c r="C64" s="3"/>
      <c r="D64" s="13">
        <f>+SUM(D46:D63)</f>
        <v>3502500</v>
      </c>
      <c r="E64" s="13">
        <f>SUM(E46:E63)</f>
        <v>14010</v>
      </c>
      <c r="F64" s="13">
        <f>SUM(F46:F63)</f>
        <v>15.566666666666666</v>
      </c>
      <c r="G64" s="26">
        <f ca="1">SUM(G46:G63)</f>
        <v>5.9077851853134501E-2</v>
      </c>
    </row>
    <row r="65" spans="2:7" x14ac:dyDescent="0.25">
      <c r="D65" s="14"/>
      <c r="E65" s="14"/>
      <c r="F65" s="14"/>
    </row>
    <row r="66" spans="2:7" x14ac:dyDescent="0.25">
      <c r="B66" s="12" t="s">
        <v>51</v>
      </c>
      <c r="C66" s="12"/>
      <c r="D66" s="15"/>
      <c r="E66" s="15"/>
      <c r="F66" s="15"/>
      <c r="G66" s="12"/>
    </row>
    <row r="67" spans="2:7" x14ac:dyDescent="0.25">
      <c r="B67" t="s">
        <v>123</v>
      </c>
      <c r="C67" s="24" t="s">
        <v>51</v>
      </c>
      <c r="D67" s="31">
        <f>F67*'Unit Mix_vm'!$D$15*'Unit Mix_vm'!$F$15</f>
        <v>39375000</v>
      </c>
      <c r="E67" s="37">
        <f>IFERROR(D67/'Unit Mix_vm'!$D$15,0)</f>
        <v>157500</v>
      </c>
      <c r="F67" s="76">
        <v>175</v>
      </c>
      <c r="G67" s="25">
        <f t="shared" ref="G67:G71" ca="1" si="8">+IFERROR(D67/D$86,0)</f>
        <v>0.66415143946243294</v>
      </c>
    </row>
    <row r="68" spans="2:7" x14ac:dyDescent="0.25">
      <c r="B68" t="s">
        <v>124</v>
      </c>
      <c r="C68" s="24" t="s">
        <v>51</v>
      </c>
      <c r="D68" s="31">
        <v>0</v>
      </c>
      <c r="E68" s="37">
        <f>IFERROR(D68/'Unit Mix_vm'!$D$15,0)</f>
        <v>0</v>
      </c>
      <c r="F68" s="37">
        <f>IFERROR(E68/'Unit Mix_vm'!$F$15,0)</f>
        <v>0</v>
      </c>
      <c r="G68" s="25">
        <f t="shared" ca="1" si="8"/>
        <v>0</v>
      </c>
    </row>
    <row r="69" spans="2:7" x14ac:dyDescent="0.25">
      <c r="B69" t="s">
        <v>125</v>
      </c>
      <c r="C69" s="24" t="s">
        <v>51</v>
      </c>
      <c r="D69" s="16">
        <v>0</v>
      </c>
      <c r="E69" s="37">
        <f>IFERROR(D69/'Unit Mix_vm'!$D$15,0)</f>
        <v>0</v>
      </c>
      <c r="F69" s="37">
        <f>IFERROR(E69/'Unit Mix_vm'!$F$15,0)</f>
        <v>0</v>
      </c>
      <c r="G69" s="25">
        <f t="shared" ca="1" si="8"/>
        <v>0</v>
      </c>
    </row>
    <row r="70" spans="2:7" x14ac:dyDescent="0.25">
      <c r="B70" t="s">
        <v>126</v>
      </c>
      <c r="C70" s="24" t="s">
        <v>51</v>
      </c>
      <c r="D70" s="52">
        <f>E70*'Unit Mix_vm'!$D$15</f>
        <v>0</v>
      </c>
      <c r="E70" s="76">
        <v>0</v>
      </c>
      <c r="F70" s="37">
        <f>IFERROR(E70/'Unit Mix_vm'!$F$15,0)</f>
        <v>0</v>
      </c>
      <c r="G70" s="25">
        <f t="shared" ca="1" si="8"/>
        <v>0</v>
      </c>
    </row>
    <row r="71" spans="2:7" x14ac:dyDescent="0.25">
      <c r="B71" t="s">
        <v>127</v>
      </c>
      <c r="C71" s="24" t="s">
        <v>51</v>
      </c>
      <c r="D71" s="16">
        <v>0</v>
      </c>
      <c r="E71" s="37">
        <f>IFERROR(D71/'Unit Mix_vm'!$D$15,0)</f>
        <v>0</v>
      </c>
      <c r="F71" s="37">
        <f>IFERROR(E71/'Unit Mix_vm'!$F$15,0)</f>
        <v>0</v>
      </c>
      <c r="G71" s="25">
        <f t="shared" ca="1" si="8"/>
        <v>0</v>
      </c>
    </row>
    <row r="72" spans="2:7" x14ac:dyDescent="0.25">
      <c r="B72" s="3" t="s">
        <v>128</v>
      </c>
      <c r="C72" s="3"/>
      <c r="D72" s="13">
        <f>+SUM(D67:D71)</f>
        <v>39375000</v>
      </c>
      <c r="E72" s="13">
        <f>SUM(E67:E71)</f>
        <v>157500</v>
      </c>
      <c r="F72" s="13">
        <f>SUM(F67:F71)</f>
        <v>175</v>
      </c>
      <c r="G72" s="26">
        <f ca="1">SUM(G67:G71)</f>
        <v>0.66415143946243294</v>
      </c>
    </row>
    <row r="73" spans="2:7" hidden="1" outlineLevel="1" x14ac:dyDescent="0.25">
      <c r="D73" s="14"/>
      <c r="E73" s="14"/>
      <c r="F73" s="14"/>
    </row>
    <row r="74" spans="2:7" hidden="1" outlineLevel="1" x14ac:dyDescent="0.25">
      <c r="B74" s="12" t="s">
        <v>129</v>
      </c>
      <c r="C74" s="12"/>
      <c r="D74" s="15"/>
      <c r="E74" s="15"/>
      <c r="F74" s="15"/>
      <c r="G74" s="12"/>
    </row>
    <row r="75" spans="2:7" hidden="1" outlineLevel="1" x14ac:dyDescent="0.25">
      <c r="B75" t="s">
        <v>130</v>
      </c>
      <c r="C75" s="24" t="s">
        <v>40</v>
      </c>
      <c r="D75" s="76">
        <v>0</v>
      </c>
      <c r="E75" s="37">
        <f>IFERROR(D75/'Unit Mix_vm'!$D$15,0)</f>
        <v>0</v>
      </c>
      <c r="F75" s="37">
        <f>IFERROR(E75/'Unit Mix_vm'!$F$15,0)</f>
        <v>0</v>
      </c>
      <c r="G75" s="25">
        <f t="shared" ref="G75:G77" ca="1" si="9">+IFERROR(D75/D$86,0)</f>
        <v>0</v>
      </c>
    </row>
    <row r="76" spans="2:7" hidden="1" outlineLevel="1" x14ac:dyDescent="0.25">
      <c r="B76" t="s">
        <v>131</v>
      </c>
      <c r="C76" s="24" t="s">
        <v>40</v>
      </c>
      <c r="D76" s="76">
        <v>0</v>
      </c>
      <c r="E76" s="37">
        <f>IFERROR(D76/'Unit Mix_vm'!$D$15,0)</f>
        <v>0</v>
      </c>
      <c r="F76" s="37">
        <f>IFERROR(E76/'Unit Mix_vm'!$F$15,0)</f>
        <v>0</v>
      </c>
      <c r="G76" s="25">
        <f t="shared" ca="1" si="9"/>
        <v>0</v>
      </c>
    </row>
    <row r="77" spans="2:7" hidden="1" outlineLevel="1" x14ac:dyDescent="0.25">
      <c r="B77" t="s">
        <v>132</v>
      </c>
      <c r="C77" s="24" t="s">
        <v>40</v>
      </c>
      <c r="D77" s="16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ca="1" si="9"/>
        <v>0</v>
      </c>
    </row>
    <row r="78" spans="2:7" hidden="1" outlineLevel="1" x14ac:dyDescent="0.25">
      <c r="B78" s="3" t="s">
        <v>134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 collapsed="1" x14ac:dyDescent="0.25">
      <c r="D79" s="14"/>
      <c r="E79" s="14"/>
      <c r="F79" s="14"/>
    </row>
    <row r="80" spans="2:7" x14ac:dyDescent="0.25">
      <c r="B80" s="12" t="s">
        <v>135</v>
      </c>
      <c r="C80" s="12"/>
      <c r="D80" s="15"/>
      <c r="E80" s="15"/>
      <c r="F80" s="15"/>
      <c r="G80" s="12"/>
    </row>
    <row r="81" spans="2:11" x14ac:dyDescent="0.25">
      <c r="B81" t="s">
        <v>136</v>
      </c>
      <c r="C81" s="24" t="s">
        <v>40</v>
      </c>
      <c r="D81" s="14">
        <f>+I81*D72</f>
        <v>1968750</v>
      </c>
      <c r="E81" s="37">
        <f>IFERROR(D81/'Unit Mix_vm'!$D$15,0)</f>
        <v>7875</v>
      </c>
      <c r="F81" s="37">
        <f>IFERROR(E81/'Unit Mix_vm'!$F$15,0)</f>
        <v>8.75</v>
      </c>
      <c r="G81" s="25">
        <f t="shared" ref="G81:G83" ca="1" si="10">+IFERROR(D81/D$86,0)</f>
        <v>3.3207571973121644E-2</v>
      </c>
      <c r="I81" s="21">
        <v>0.05</v>
      </c>
      <c r="J81" s="20" t="s">
        <v>137</v>
      </c>
      <c r="K81" s="20"/>
    </row>
    <row r="82" spans="2:11" x14ac:dyDescent="0.25">
      <c r="B82" t="s">
        <v>138</v>
      </c>
      <c r="C82" s="24" t="s">
        <v>40</v>
      </c>
      <c r="D82" s="31">
        <f ca="1">+IF(Global!C16="On",0,I82*N17)</f>
        <v>620558.86545019771</v>
      </c>
      <c r="E82" s="37">
        <f ca="1">IFERROR(D82/'Unit Mix_vm'!$D$15,0)</f>
        <v>2482.2354618007907</v>
      </c>
      <c r="F82" s="37">
        <f ca="1">IFERROR(E82/'Unit Mix_vm'!$F$15,0)</f>
        <v>2.7580394020008785</v>
      </c>
      <c r="G82" s="25">
        <f t="shared" ca="1" si="10"/>
        <v>1.0467176222474235E-2</v>
      </c>
      <c r="I82" s="21">
        <v>0.05</v>
      </c>
      <c r="J82" s="20" t="s">
        <v>139</v>
      </c>
      <c r="K82" s="20"/>
    </row>
    <row r="83" spans="2:11" x14ac:dyDescent="0.25">
      <c r="B83" t="s">
        <v>140</v>
      </c>
      <c r="C83" s="24" t="s">
        <v>40</v>
      </c>
      <c r="D83" s="16">
        <v>0</v>
      </c>
      <c r="E83" s="37">
        <f>IFERROR(D83/'Unit Mix_vm'!$D$15,0)</f>
        <v>0</v>
      </c>
      <c r="F83" s="37">
        <f>IFERROR(E83/'Unit Mix_vm'!$F$15,0)</f>
        <v>0</v>
      </c>
      <c r="G83" s="25">
        <f t="shared" ca="1" si="10"/>
        <v>0</v>
      </c>
    </row>
    <row r="84" spans="2:11" x14ac:dyDescent="0.25">
      <c r="B84" s="3" t="s">
        <v>141</v>
      </c>
      <c r="C84" s="3"/>
      <c r="D84" s="13">
        <f ca="1">+SUM(D81:D83)</f>
        <v>2589308.8654501978</v>
      </c>
      <c r="E84" s="13">
        <f ca="1">SUM(E81:E83)</f>
        <v>10357.23546180079</v>
      </c>
      <c r="F84" s="13">
        <f ca="1">SUM(F81:F83)</f>
        <v>11.508039402000879</v>
      </c>
      <c r="G84" s="26">
        <f ca="1">SUM(G81:G83)</f>
        <v>4.3674748195595879E-2</v>
      </c>
    </row>
    <row r="86" spans="2:11" x14ac:dyDescent="0.25">
      <c r="B86" s="17" t="s">
        <v>142</v>
      </c>
      <c r="C86" s="22"/>
      <c r="D86" s="18">
        <f ca="1">+SUM(D84,D78,D72,D64,D43,D30,D24,D8)</f>
        <v>59286177.309003949</v>
      </c>
      <c r="E86" s="19">
        <f ca="1">+SUM(E84,E78,E72,E64,E43,E30,E24,E8)</f>
        <v>237144.70923601583</v>
      </c>
      <c r="F86" s="19">
        <f ca="1">+SUM(F84,F78,F72,F64,F43,F30,F24,F8)</f>
        <v>263.49412137335088</v>
      </c>
      <c r="G86" s="27">
        <f ca="1">+SUM(G84,G78,G72,G64,G43,G30,G24,G8)</f>
        <v>1.0000000000000002</v>
      </c>
    </row>
    <row r="89" spans="2:11" x14ac:dyDescent="0.25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zoomScale="94" zoomScaleNormal="100" workbookViewId="0"/>
  </sheetViews>
  <sheetFormatPr defaultColWidth="9.140625" defaultRowHeight="15" x14ac:dyDescent="0.2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6.25" x14ac:dyDescent="0.4">
      <c r="A1" s="145" t="str">
        <f>TEXT(Global!$C$7,"")</f>
        <v>Property Name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5" x14ac:dyDescent="0.3">
      <c r="A2" s="146" t="s">
        <v>143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6" spans="1:20" ht="17.25" x14ac:dyDescent="0.4">
      <c r="B6" s="166"/>
      <c r="C6" s="167" t="s">
        <v>144</v>
      </c>
      <c r="D6" s="167"/>
    </row>
    <row r="7" spans="1:20" x14ac:dyDescent="0.25">
      <c r="B7" s="168"/>
      <c r="C7" s="169" t="s">
        <v>28</v>
      </c>
      <c r="D7" s="169" t="s">
        <v>145</v>
      </c>
      <c r="F7" s="140" t="s">
        <v>146</v>
      </c>
      <c r="G7" s="141"/>
      <c r="I7" s="140" t="s">
        <v>147</v>
      </c>
      <c r="J7" s="156" t="s">
        <v>438</v>
      </c>
      <c r="K7" s="156" t="s">
        <v>133</v>
      </c>
      <c r="L7" s="156" t="s">
        <v>417</v>
      </c>
      <c r="M7" s="156" t="s">
        <v>148</v>
      </c>
      <c r="N7" s="156" t="s">
        <v>149</v>
      </c>
      <c r="O7" s="156" t="s">
        <v>150</v>
      </c>
      <c r="P7" s="156" t="s">
        <v>151</v>
      </c>
      <c r="Q7" s="156" t="s">
        <v>152</v>
      </c>
      <c r="R7" s="156" t="s">
        <v>153</v>
      </c>
      <c r="S7" s="156" t="s">
        <v>24</v>
      </c>
      <c r="T7" s="157" t="s">
        <v>154</v>
      </c>
    </row>
    <row r="8" spans="1:20" x14ac:dyDescent="0.25">
      <c r="B8" s="68"/>
      <c r="C8" s="64"/>
      <c r="D8" s="57"/>
      <c r="F8" s="56" t="s">
        <v>155</v>
      </c>
      <c r="G8" s="129">
        <f>G9*'Unit Mix_vm'!$D$15</f>
        <v>71250000</v>
      </c>
      <c r="I8" s="246" t="s">
        <v>439</v>
      </c>
      <c r="J8" s="268" t="s">
        <v>438</v>
      </c>
      <c r="K8" s="241">
        <v>323</v>
      </c>
      <c r="L8" s="241">
        <v>2023</v>
      </c>
      <c r="M8" s="241">
        <v>2025</v>
      </c>
      <c r="N8" s="243">
        <v>76164400</v>
      </c>
      <c r="O8" s="36">
        <f>N8/$K8</f>
        <v>235803.09597523219</v>
      </c>
      <c r="P8" s="241">
        <f>0.4927+0.2741</f>
        <v>0.76680000000000004</v>
      </c>
      <c r="Q8" s="243">
        <f>17603.5+34497.7</f>
        <v>52101.2</v>
      </c>
      <c r="R8" s="36">
        <f>Q8/$K8</f>
        <v>161.30402476780185</v>
      </c>
      <c r="S8" s="36">
        <f>N8*P8/100+Q8</f>
        <v>636129.81920000003</v>
      </c>
      <c r="T8" s="232">
        <f>S8/$K8</f>
        <v>1969.4421647058825</v>
      </c>
    </row>
    <row r="9" spans="1:20" x14ac:dyDescent="0.25">
      <c r="B9" s="68" t="s">
        <v>156</v>
      </c>
      <c r="C9" s="64">
        <f>+D9*'Unit Mix_vm'!D15*12</f>
        <v>5460000</v>
      </c>
      <c r="D9" s="78">
        <f>+'Unit Mix_vm'!G15</f>
        <v>1820</v>
      </c>
      <c r="F9" s="56" t="s">
        <v>157</v>
      </c>
      <c r="G9" s="250">
        <v>285000</v>
      </c>
      <c r="I9" s="246" t="s">
        <v>432</v>
      </c>
      <c r="J9" s="241"/>
      <c r="K9" s="241"/>
      <c r="L9" s="241"/>
      <c r="M9" s="241"/>
      <c r="N9" s="243"/>
      <c r="O9" s="36" t="e">
        <f>N9/$K9</f>
        <v>#DIV/0!</v>
      </c>
      <c r="P9" s="241"/>
      <c r="Q9" s="243"/>
      <c r="R9" s="36" t="e">
        <f>Q9/$K9</f>
        <v>#DIV/0!</v>
      </c>
      <c r="S9" s="36">
        <f t="shared" ref="S9:S10" si="0">N9*P9/100+Q9</f>
        <v>0</v>
      </c>
      <c r="T9" s="232" t="e">
        <f>S9/$K9</f>
        <v>#DIV/0!</v>
      </c>
    </row>
    <row r="10" spans="1:20" x14ac:dyDescent="0.25">
      <c r="B10" s="68" t="s">
        <v>158</v>
      </c>
      <c r="C10" s="80">
        <f>-D10*C9</f>
        <v>0</v>
      </c>
      <c r="D10" s="263">
        <v>0</v>
      </c>
      <c r="F10" s="56"/>
      <c r="G10" s="57"/>
      <c r="I10" s="247" t="s">
        <v>433</v>
      </c>
      <c r="J10" s="248"/>
      <c r="K10" s="248"/>
      <c r="L10" s="248"/>
      <c r="M10" s="248"/>
      <c r="N10" s="249"/>
      <c r="O10" s="229" t="e">
        <f>N10/$K10</f>
        <v>#DIV/0!</v>
      </c>
      <c r="P10" s="248"/>
      <c r="Q10" s="249"/>
      <c r="R10" s="229" t="e">
        <f>Q10/$K10</f>
        <v>#DIV/0!</v>
      </c>
      <c r="S10" s="229">
        <f t="shared" si="0"/>
        <v>0</v>
      </c>
      <c r="T10" s="238" t="e">
        <f>S10/$K10</f>
        <v>#DIV/0!</v>
      </c>
    </row>
    <row r="11" spans="1:20" x14ac:dyDescent="0.25">
      <c r="B11" s="68" t="s">
        <v>159</v>
      </c>
      <c r="C11" s="80">
        <f>-D11*C9</f>
        <v>-21840</v>
      </c>
      <c r="D11" s="263">
        <f>1/'Unit Mix_vm'!$D$15</f>
        <v>4.0000000000000001E-3</v>
      </c>
      <c r="F11" s="56" t="s">
        <v>160</v>
      </c>
      <c r="G11" s="245">
        <v>0.87209999999999999</v>
      </c>
    </row>
    <row r="12" spans="1:20" x14ac:dyDescent="0.25">
      <c r="B12" s="69" t="s">
        <v>161</v>
      </c>
      <c r="C12" s="65">
        <f>SUM(C9:C11)</f>
        <v>5438160</v>
      </c>
      <c r="D12" s="72">
        <f>IFERROR(C12/'Unit Mix_vm'!$D$15/12,0)</f>
        <v>1812.72</v>
      </c>
      <c r="F12" s="56" t="s">
        <v>162</v>
      </c>
      <c r="G12" s="129">
        <f>G13*'Unit Mix_vm'!$D$15</f>
        <v>5000</v>
      </c>
    </row>
    <row r="13" spans="1:20" x14ac:dyDescent="0.25">
      <c r="B13" s="68"/>
      <c r="C13" s="64"/>
      <c r="D13" s="57"/>
      <c r="F13" s="56" t="s">
        <v>163</v>
      </c>
      <c r="G13" s="250">
        <v>20</v>
      </c>
    </row>
    <row r="14" spans="1:20" x14ac:dyDescent="0.25">
      <c r="B14" s="68" t="s">
        <v>164</v>
      </c>
      <c r="C14" s="64">
        <f>+D14*'Unit Mix_vm'!$D$15*12</f>
        <v>597120</v>
      </c>
      <c r="D14" s="129">
        <f>$N$57</f>
        <v>199.04</v>
      </c>
      <c r="F14" s="56" t="s">
        <v>165</v>
      </c>
      <c r="G14" s="244">
        <v>0</v>
      </c>
      <c r="I14" s="123" t="s">
        <v>166</v>
      </c>
      <c r="J14" s="178"/>
      <c r="K14" s="124"/>
      <c r="L14" s="124" t="s">
        <v>167</v>
      </c>
      <c r="M14" s="124" t="s">
        <v>24</v>
      </c>
      <c r="N14" s="125" t="s">
        <v>29</v>
      </c>
    </row>
    <row r="15" spans="1:20" x14ac:dyDescent="0.25">
      <c r="B15" s="68" t="s">
        <v>168</v>
      </c>
      <c r="C15" s="79">
        <v>0</v>
      </c>
      <c r="D15" s="71">
        <f>IFERROR(C15/'Unit Mix_vm'!$D$15/12,0)</f>
        <v>0</v>
      </c>
      <c r="F15" s="56"/>
      <c r="G15" s="57"/>
      <c r="I15" s="189" t="s">
        <v>169</v>
      </c>
      <c r="J15" s="190"/>
      <c r="K15" s="191"/>
      <c r="L15" s="191"/>
      <c r="M15" s="191"/>
      <c r="N15" s="192"/>
    </row>
    <row r="16" spans="1:20" x14ac:dyDescent="0.25">
      <c r="B16" s="69" t="s">
        <v>170</v>
      </c>
      <c r="C16" s="65">
        <f>SUM(C14:C15,C12)</f>
        <v>6035280</v>
      </c>
      <c r="D16" s="72">
        <f>IFERROR(C16/'Unit Mix_vm'!$D$15/12,0)</f>
        <v>2011.76</v>
      </c>
      <c r="F16" s="56" t="s">
        <v>171</v>
      </c>
      <c r="G16" s="82">
        <f>(G11*G8/100+G12)*(1-G14)</f>
        <v>626371.25</v>
      </c>
      <c r="I16" s="179" t="s">
        <v>172</v>
      </c>
      <c r="J16" s="173"/>
      <c r="K16" s="174"/>
      <c r="L16" s="172">
        <v>4000</v>
      </c>
      <c r="M16" s="180">
        <f>L16*12</f>
        <v>48000</v>
      </c>
      <c r="N16" s="181">
        <f>M16/'Unit Mix_vm'!$D$15</f>
        <v>192</v>
      </c>
    </row>
    <row r="17" spans="2:14" x14ac:dyDescent="0.25">
      <c r="B17" s="68"/>
      <c r="C17" s="64"/>
      <c r="D17" s="57"/>
      <c r="F17" s="56" t="s">
        <v>173</v>
      </c>
      <c r="G17" s="82">
        <f>+G16/'Unit Mix_vm'!$D$15</f>
        <v>2505.4850000000001</v>
      </c>
      <c r="I17" s="179" t="s">
        <v>174</v>
      </c>
      <c r="J17" s="173"/>
      <c r="K17" s="174"/>
      <c r="L17" s="182">
        <v>3</v>
      </c>
      <c r="M17" s="180">
        <f>L17*'Unit Mix_vm'!$D$15*12</f>
        <v>9000</v>
      </c>
      <c r="N17" s="181">
        <f>M17/'Unit Mix_vm'!$D$15</f>
        <v>36</v>
      </c>
    </row>
    <row r="18" spans="2:14" x14ac:dyDescent="0.25">
      <c r="B18" s="68" t="s">
        <v>175</v>
      </c>
      <c r="C18" s="73">
        <f>-D18*SUM(C9,C14)</f>
        <v>-302856</v>
      </c>
      <c r="D18" s="263">
        <v>0.05</v>
      </c>
      <c r="F18" s="56"/>
      <c r="G18" s="57"/>
      <c r="I18" s="179" t="s">
        <v>176</v>
      </c>
      <c r="J18" s="173"/>
      <c r="K18" s="174"/>
      <c r="L18" s="172">
        <v>2000</v>
      </c>
      <c r="M18" s="180">
        <f>L18*12</f>
        <v>24000</v>
      </c>
      <c r="N18" s="181">
        <f>M18/'Unit Mix_vm'!$D$15</f>
        <v>96</v>
      </c>
    </row>
    <row r="19" spans="2:14" x14ac:dyDescent="0.25">
      <c r="B19" s="68" t="s">
        <v>177</v>
      </c>
      <c r="C19" s="73">
        <f>-D19*SUM(C9,C14,C18)</f>
        <v>-28771.32</v>
      </c>
      <c r="D19" s="263">
        <v>5.0000000000000001E-3</v>
      </c>
      <c r="F19" s="56" t="s">
        <v>178</v>
      </c>
      <c r="G19" s="83">
        <v>0</v>
      </c>
      <c r="I19" s="179" t="s">
        <v>179</v>
      </c>
      <c r="J19" s="173"/>
      <c r="K19" s="174"/>
      <c r="L19" s="182">
        <v>10</v>
      </c>
      <c r="M19" s="180">
        <f>L19*'Unit Mix_vm'!$D$15*12</f>
        <v>30000</v>
      </c>
      <c r="N19" s="181">
        <f>M19/'Unit Mix_vm'!$D$15</f>
        <v>120</v>
      </c>
    </row>
    <row r="20" spans="2:14" x14ac:dyDescent="0.25">
      <c r="B20" s="69" t="s">
        <v>180</v>
      </c>
      <c r="C20" s="65">
        <f>SUM(C18:C19,C16)</f>
        <v>5703652.6799999997</v>
      </c>
      <c r="D20" s="72">
        <f>IFERROR(C20/#REF!/12,0)</f>
        <v>0</v>
      </c>
      <c r="F20" s="56"/>
      <c r="G20" s="57"/>
      <c r="I20" s="179" t="s">
        <v>181</v>
      </c>
      <c r="J20" s="173"/>
      <c r="K20" s="174"/>
      <c r="L20" s="182">
        <v>30</v>
      </c>
      <c r="M20" s="180">
        <f>L20*'Unit Mix_vm'!$D$15*12</f>
        <v>90000</v>
      </c>
      <c r="N20" s="181">
        <f>M20/'Unit Mix_vm'!$D$15</f>
        <v>360</v>
      </c>
    </row>
    <row r="21" spans="2:14" x14ac:dyDescent="0.25">
      <c r="B21" s="68"/>
      <c r="C21" s="64"/>
      <c r="D21" s="57"/>
      <c r="F21" s="56" t="s">
        <v>182</v>
      </c>
      <c r="G21" s="84">
        <f>+G16+G19</f>
        <v>626371.25</v>
      </c>
      <c r="I21" s="179" t="s">
        <v>183</v>
      </c>
      <c r="J21" s="173"/>
      <c r="K21" s="174"/>
      <c r="L21" s="172">
        <v>500</v>
      </c>
      <c r="M21" s="180">
        <f>L21*12</f>
        <v>6000</v>
      </c>
      <c r="N21" s="181">
        <f>M21/'Unit Mix_vm'!$D$15</f>
        <v>24</v>
      </c>
    </row>
    <row r="22" spans="2:14" x14ac:dyDescent="0.25">
      <c r="B22" s="68" t="s">
        <v>184</v>
      </c>
      <c r="C22" s="73">
        <f>D22*C20</f>
        <v>156850.44869999998</v>
      </c>
      <c r="D22" s="263">
        <v>2.75E-2</v>
      </c>
      <c r="F22" s="59" t="s">
        <v>185</v>
      </c>
      <c r="G22" s="85">
        <f>+G21/'Unit Mix_vm'!$D$15</f>
        <v>2505.4850000000001</v>
      </c>
      <c r="I22" s="179" t="s">
        <v>186</v>
      </c>
      <c r="J22" s="173"/>
      <c r="K22" s="174"/>
      <c r="L22" s="172">
        <v>1500</v>
      </c>
      <c r="M22" s="180">
        <f>L22*12</f>
        <v>18000</v>
      </c>
      <c r="N22" s="181">
        <f>M22/'Unit Mix_vm'!$D$15</f>
        <v>72</v>
      </c>
    </row>
    <row r="23" spans="2:14" x14ac:dyDescent="0.25">
      <c r="B23" s="120" t="s">
        <v>187</v>
      </c>
      <c r="C23" s="130">
        <f>G21</f>
        <v>626371.25</v>
      </c>
      <c r="D23" s="82">
        <f>IFERROR(C23/'Unit Mix_vm'!$D$15,0)</f>
        <v>2505.4850000000001</v>
      </c>
      <c r="I23" s="179" t="s">
        <v>188</v>
      </c>
      <c r="J23" s="173"/>
      <c r="K23" s="174"/>
      <c r="L23" s="172">
        <v>0</v>
      </c>
      <c r="M23" s="180">
        <f t="shared" ref="M23" si="1">L23*12</f>
        <v>0</v>
      </c>
      <c r="N23" s="181">
        <f>M23/'Unit Mix_vm'!$D$15</f>
        <v>0</v>
      </c>
    </row>
    <row r="24" spans="2:14" x14ac:dyDescent="0.25">
      <c r="B24" s="68" t="s">
        <v>189</v>
      </c>
      <c r="C24" s="73">
        <f>+D24*'Unit Mix_vm'!$D$15</f>
        <v>137500</v>
      </c>
      <c r="D24" s="83">
        <v>550</v>
      </c>
      <c r="F24" s="123" t="s">
        <v>420</v>
      </c>
      <c r="G24" s="259"/>
      <c r="I24" s="187" t="s">
        <v>190</v>
      </c>
      <c r="J24" s="175"/>
      <c r="K24" s="176"/>
      <c r="L24" s="176"/>
      <c r="M24" s="177">
        <f>SUM(M16:M23)</f>
        <v>225000</v>
      </c>
      <c r="N24" s="188">
        <f>M24/'Unit Mix_vm'!$D$15</f>
        <v>900</v>
      </c>
    </row>
    <row r="25" spans="2:14" x14ac:dyDescent="0.25">
      <c r="B25" s="68" t="s">
        <v>191</v>
      </c>
      <c r="C25" s="73">
        <f>+D25*'Unit Mix_vm'!$D$15</f>
        <v>0</v>
      </c>
      <c r="D25" s="83">
        <v>0</v>
      </c>
      <c r="F25" s="226" t="s">
        <v>32</v>
      </c>
      <c r="G25" s="227">
        <f>Budget_vm!E8</f>
        <v>30000</v>
      </c>
      <c r="I25" s="189" t="s">
        <v>192</v>
      </c>
      <c r="J25" s="190"/>
      <c r="K25" s="191"/>
      <c r="L25" s="191"/>
      <c r="M25" s="191"/>
      <c r="N25" s="192"/>
    </row>
    <row r="26" spans="2:14" x14ac:dyDescent="0.25">
      <c r="B26" s="68" t="s">
        <v>193</v>
      </c>
      <c r="C26" s="73">
        <f>+D26*'Unit Mix_vm'!$D$15</f>
        <v>0</v>
      </c>
      <c r="D26" s="83">
        <v>0</v>
      </c>
      <c r="F26" s="56" t="s">
        <v>51</v>
      </c>
      <c r="G26" s="224">
        <f>Budget_vm!E67</f>
        <v>157500</v>
      </c>
      <c r="I26" s="179" t="s">
        <v>194</v>
      </c>
      <c r="J26" s="173"/>
      <c r="K26" s="174"/>
      <c r="L26" s="182">
        <v>50</v>
      </c>
      <c r="M26" s="180">
        <f>L26*'Unit Mix_vm'!$D$15*12*5%</f>
        <v>7500</v>
      </c>
      <c r="N26" s="181">
        <f>M26/'Unit Mix_vm'!$D$15</f>
        <v>30</v>
      </c>
    </row>
    <row r="27" spans="2:14" x14ac:dyDescent="0.25">
      <c r="B27" s="68" t="s">
        <v>192</v>
      </c>
      <c r="C27" s="73">
        <f>+D27*'Unit Mix_vm'!$D$15</f>
        <v>158400</v>
      </c>
      <c r="D27" s="129">
        <f>N32</f>
        <v>633.6</v>
      </c>
      <c r="F27" s="226" t="s">
        <v>24</v>
      </c>
      <c r="G27" s="225">
        <f>SUM(G25:G26)</f>
        <v>187500</v>
      </c>
      <c r="I27" s="179" t="s">
        <v>195</v>
      </c>
      <c r="J27" s="173"/>
      <c r="K27" s="174"/>
      <c r="L27" s="182">
        <v>75</v>
      </c>
      <c r="M27" s="180">
        <f>L27*12</f>
        <v>900</v>
      </c>
      <c r="N27" s="181">
        <f>M27/'Unit Mix_vm'!$D$15</f>
        <v>3.6</v>
      </c>
    </row>
    <row r="28" spans="2:14" x14ac:dyDescent="0.25">
      <c r="B28" s="68" t="s">
        <v>169</v>
      </c>
      <c r="C28" s="73">
        <f>+D28*'Unit Mix_vm'!$D$15</f>
        <v>225000</v>
      </c>
      <c r="D28" s="129">
        <f>N24</f>
        <v>900</v>
      </c>
      <c r="F28" s="59" t="s">
        <v>31</v>
      </c>
      <c r="G28" s="228">
        <f>G27/G9</f>
        <v>0.65789473684210531</v>
      </c>
      <c r="I28" s="179" t="s">
        <v>196</v>
      </c>
      <c r="J28" s="173"/>
      <c r="K28" s="174"/>
      <c r="L28" s="172">
        <v>5000</v>
      </c>
      <c r="M28" s="180">
        <f>L28*12</f>
        <v>60000</v>
      </c>
      <c r="N28" s="181">
        <f>M28/'Unit Mix_vm'!$D$15</f>
        <v>240</v>
      </c>
    </row>
    <row r="29" spans="2:14" x14ac:dyDescent="0.25">
      <c r="B29" s="68" t="s">
        <v>434</v>
      </c>
      <c r="C29" s="73">
        <f>+D29*'Unit Mix_vm'!$D$15</f>
        <v>62500</v>
      </c>
      <c r="D29" s="83">
        <v>250</v>
      </c>
      <c r="I29" s="179" t="s">
        <v>424</v>
      </c>
      <c r="J29" s="173"/>
      <c r="K29" s="174"/>
      <c r="L29" s="182">
        <v>30</v>
      </c>
      <c r="M29" s="180">
        <f>L29*'Unit Mix_vm'!$D$15*12</f>
        <v>90000</v>
      </c>
      <c r="N29" s="181">
        <f>M29/'Unit Mix_vm'!$D$15</f>
        <v>360</v>
      </c>
    </row>
    <row r="30" spans="2:14" x14ac:dyDescent="0.25">
      <c r="B30" s="68" t="s">
        <v>197</v>
      </c>
      <c r="C30" s="73">
        <f>+D30*'Unit Mix_vm'!$D$15</f>
        <v>68750</v>
      </c>
      <c r="D30" s="83">
        <v>275</v>
      </c>
      <c r="I30" s="179" t="s">
        <v>198</v>
      </c>
      <c r="J30" s="173"/>
      <c r="K30" s="174"/>
      <c r="L30" s="182">
        <v>0</v>
      </c>
      <c r="M30" s="180">
        <f>L30*'Unit Mix_vm'!$D$15*12*5%</f>
        <v>0</v>
      </c>
      <c r="N30" s="181">
        <f>M30/'Unit Mix_vm'!$D$15</f>
        <v>0</v>
      </c>
    </row>
    <row r="31" spans="2:14" x14ac:dyDescent="0.25">
      <c r="B31" s="68" t="s">
        <v>199</v>
      </c>
      <c r="C31" s="73">
        <f>+D31*'Unit Mix_vm'!$D$15</f>
        <v>7500</v>
      </c>
      <c r="D31" s="83">
        <v>30</v>
      </c>
      <c r="I31" s="179" t="s">
        <v>188</v>
      </c>
      <c r="J31" s="173"/>
      <c r="K31" s="174"/>
      <c r="L31" s="172">
        <v>0</v>
      </c>
      <c r="M31" s="180">
        <f t="shared" ref="M31" si="2">L31*12</f>
        <v>0</v>
      </c>
      <c r="N31" s="181">
        <f>M31/'Unit Mix_vm'!$D$15</f>
        <v>0</v>
      </c>
    </row>
    <row r="32" spans="2:14" x14ac:dyDescent="0.25">
      <c r="B32" s="68" t="s">
        <v>200</v>
      </c>
      <c r="C32" s="73">
        <f>+D32*'Unit Mix_vm'!$D$15</f>
        <v>87500</v>
      </c>
      <c r="D32" s="83">
        <v>350</v>
      </c>
      <c r="I32" s="183" t="s">
        <v>201</v>
      </c>
      <c r="J32" s="184"/>
      <c r="K32" s="185"/>
      <c r="L32" s="185"/>
      <c r="M32" s="171">
        <f>SUM(M26:M31)</f>
        <v>158400</v>
      </c>
      <c r="N32" s="186">
        <f>M32/'Unit Mix_vm'!$D$15</f>
        <v>633.6</v>
      </c>
    </row>
    <row r="33" spans="2:15" x14ac:dyDescent="0.25">
      <c r="B33" s="68" t="s">
        <v>202</v>
      </c>
      <c r="C33" s="73">
        <f>+D33*'Unit Mix_vm'!$D$15</f>
        <v>429926.04</v>
      </c>
      <c r="D33" s="129">
        <f>N46</f>
        <v>1719.70416</v>
      </c>
      <c r="F33" s="30"/>
      <c r="I33" s="189" t="s">
        <v>202</v>
      </c>
      <c r="J33" s="190"/>
      <c r="K33" s="191"/>
      <c r="L33" s="191"/>
      <c r="M33" s="191"/>
      <c r="N33" s="192"/>
    </row>
    <row r="34" spans="2:15" x14ac:dyDescent="0.25">
      <c r="B34" s="68" t="s">
        <v>203</v>
      </c>
      <c r="C34" s="73">
        <f>+D34*'Unit Mix_vm'!$D$15</f>
        <v>50000</v>
      </c>
      <c r="D34" s="83">
        <v>200</v>
      </c>
      <c r="I34" s="193" t="s">
        <v>204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Mix_vm'!$D$15</f>
        <v>291.2</v>
      </c>
    </row>
    <row r="35" spans="2:15" x14ac:dyDescent="0.25">
      <c r="B35" s="68" t="s">
        <v>205</v>
      </c>
      <c r="C35" s="73">
        <f>+D35*'Unit Mix_vm'!$D$15</f>
        <v>37500</v>
      </c>
      <c r="D35" s="83">
        <v>150</v>
      </c>
      <c r="I35" s="198" t="s">
        <v>206</v>
      </c>
      <c r="J35" s="173"/>
      <c r="K35" s="172"/>
      <c r="L35" s="199">
        <v>0.2</v>
      </c>
      <c r="M35" s="196">
        <f>M34*L35</f>
        <v>14560</v>
      </c>
      <c r="N35" s="197">
        <f>M35/'Unit Mix_vm'!$D$15</f>
        <v>58.24</v>
      </c>
    </row>
    <row r="36" spans="2:15" x14ac:dyDescent="0.25">
      <c r="B36" s="68" t="s">
        <v>207</v>
      </c>
      <c r="C36" s="73">
        <f>+D36*'Unit Mix_vm'!$D$15</f>
        <v>0</v>
      </c>
      <c r="D36" s="83">
        <v>0</v>
      </c>
      <c r="I36" s="193" t="s">
        <v>208</v>
      </c>
      <c r="J36" s="173"/>
      <c r="K36" s="194">
        <v>25</v>
      </c>
      <c r="L36" s="195">
        <v>2080</v>
      </c>
      <c r="M36" s="196">
        <f>K36*L36</f>
        <v>52000</v>
      </c>
      <c r="N36" s="197">
        <f>M36/'Unit Mix_vm'!$D$15</f>
        <v>208</v>
      </c>
    </row>
    <row r="37" spans="2:15" x14ac:dyDescent="0.25">
      <c r="B37" s="69" t="s">
        <v>209</v>
      </c>
      <c r="C37" s="65">
        <f>+SUM(C22:C36)</f>
        <v>2047797.7387000001</v>
      </c>
      <c r="D37" s="72">
        <f>IFERROR(C37/'Unit Mix_vm'!$D$15,0)</f>
        <v>8191.1909548000003</v>
      </c>
      <c r="I37" s="198" t="s">
        <v>206</v>
      </c>
      <c r="J37" s="173"/>
      <c r="K37" s="172"/>
      <c r="L37" s="199">
        <v>0</v>
      </c>
      <c r="M37" s="196">
        <f>M36*L37</f>
        <v>0</v>
      </c>
      <c r="N37" s="197">
        <f>M37/'Unit Mix_vm'!$D$15</f>
        <v>0</v>
      </c>
    </row>
    <row r="38" spans="2:15" x14ac:dyDescent="0.25">
      <c r="B38" s="56"/>
      <c r="C38" s="64"/>
      <c r="D38" s="57"/>
      <c r="I38" s="193" t="s">
        <v>210</v>
      </c>
      <c r="J38" s="173"/>
      <c r="K38" s="194">
        <v>20</v>
      </c>
      <c r="L38" s="195">
        <v>2080</v>
      </c>
      <c r="M38" s="196">
        <f>K38*L38</f>
        <v>41600</v>
      </c>
      <c r="N38" s="197">
        <f>M38/'Unit Mix_vm'!$D$15</f>
        <v>166.4</v>
      </c>
    </row>
    <row r="39" spans="2:15" x14ac:dyDescent="0.25">
      <c r="B39" s="68" t="s">
        <v>211</v>
      </c>
      <c r="C39" s="64">
        <f>+C20-C37</f>
        <v>3655854.9412999996</v>
      </c>
      <c r="D39" s="71">
        <f>IFERROR(C39/#REF!,0)</f>
        <v>0</v>
      </c>
      <c r="I39" s="193" t="s">
        <v>212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Mix_vm'!$D$15</f>
        <v>0</v>
      </c>
    </row>
    <row r="40" spans="2:15" x14ac:dyDescent="0.25">
      <c r="B40" s="70" t="s">
        <v>213</v>
      </c>
      <c r="C40" s="66">
        <f>IFERROR(C39/C20,0)</f>
        <v>0.64096731452799471</v>
      </c>
      <c r="D40" s="57"/>
      <c r="I40" s="193" t="s">
        <v>214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Mix_vm'!$D$15</f>
        <v>266.24</v>
      </c>
    </row>
    <row r="41" spans="2:15" x14ac:dyDescent="0.25">
      <c r="B41" s="56"/>
      <c r="C41" s="56"/>
      <c r="D41" s="57"/>
      <c r="I41" s="198" t="s">
        <v>206</v>
      </c>
      <c r="J41" s="173"/>
      <c r="K41" s="172"/>
      <c r="L41" s="199">
        <v>0.1</v>
      </c>
      <c r="M41" s="196">
        <f>M40*L41</f>
        <v>6656</v>
      </c>
      <c r="N41" s="197">
        <f>M41/'Unit Mix_vm'!$D$15</f>
        <v>26.623999999999999</v>
      </c>
    </row>
    <row r="42" spans="2:15" x14ac:dyDescent="0.25">
      <c r="B42" s="62" t="s">
        <v>215</v>
      </c>
      <c r="C42" s="67">
        <f ca="1">C39/Budget_vm!D86</f>
        <v>6.1664541504260137E-2</v>
      </c>
      <c r="D42" s="63"/>
      <c r="I42" s="193" t="s">
        <v>216</v>
      </c>
      <c r="J42" s="173"/>
      <c r="K42" s="194">
        <v>20</v>
      </c>
      <c r="L42" s="195">
        <v>2080</v>
      </c>
      <c r="M42" s="196">
        <f>K42*L42</f>
        <v>41600</v>
      </c>
      <c r="N42" s="197">
        <f>M42/'Unit Mix_vm'!$D$15</f>
        <v>166.4</v>
      </c>
    </row>
    <row r="43" spans="2:15" x14ac:dyDescent="0.25">
      <c r="I43" s="193" t="s">
        <v>217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Mix_vm'!$D$15</f>
        <v>0</v>
      </c>
    </row>
    <row r="44" spans="2:15" x14ac:dyDescent="0.25">
      <c r="I44" s="193" t="s">
        <v>218</v>
      </c>
      <c r="J44" s="173"/>
      <c r="K44" s="172"/>
      <c r="L44" s="203">
        <v>150</v>
      </c>
      <c r="M44" s="196">
        <f>L44*'Unit Mix_vm'!D15</f>
        <v>37500</v>
      </c>
      <c r="N44" s="197">
        <f>M44/'Unit Mix_vm'!$D$15</f>
        <v>150</v>
      </c>
    </row>
    <row r="45" spans="2:15" x14ac:dyDescent="0.25">
      <c r="I45" s="193" t="s">
        <v>219</v>
      </c>
      <c r="J45" s="173"/>
      <c r="K45" s="172"/>
      <c r="L45" s="199">
        <v>0.28999999999999998</v>
      </c>
      <c r="M45" s="196">
        <f>SUM(M34:M44)*L45</f>
        <v>96650.04</v>
      </c>
      <c r="N45" s="197">
        <f>M45/'Unit Mix_vm'!$D$15</f>
        <v>386.60015999999996</v>
      </c>
    </row>
    <row r="46" spans="2:15" x14ac:dyDescent="0.25">
      <c r="I46" s="200" t="s">
        <v>220</v>
      </c>
      <c r="J46" s="184"/>
      <c r="K46" s="184"/>
      <c r="L46" s="184"/>
      <c r="M46" s="201">
        <f>SUM(M34:M45)</f>
        <v>429926.04</v>
      </c>
      <c r="N46" s="202">
        <f>M46/'Unit Mix_vm'!$D$15</f>
        <v>1719.70416</v>
      </c>
      <c r="O46" s="239"/>
    </row>
    <row r="48" spans="2:15" x14ac:dyDescent="0.25">
      <c r="I48" s="189" t="s">
        <v>164</v>
      </c>
      <c r="J48" s="230" t="s">
        <v>15</v>
      </c>
      <c r="K48" s="230" t="s">
        <v>14</v>
      </c>
      <c r="L48" s="230" t="s">
        <v>167</v>
      </c>
      <c r="M48" s="230" t="s">
        <v>24</v>
      </c>
      <c r="N48" s="231" t="s">
        <v>421</v>
      </c>
    </row>
    <row r="49" spans="9:16" x14ac:dyDescent="0.25">
      <c r="I49" s="193" t="s">
        <v>422</v>
      </c>
      <c r="J49" s="253">
        <v>1</v>
      </c>
      <c r="K49" s="254">
        <f>'Unit Mix_vm'!$D$15</f>
        <v>250</v>
      </c>
      <c r="L49" s="182">
        <v>65</v>
      </c>
      <c r="M49" s="180">
        <f>L49*K49*J49*12</f>
        <v>195000</v>
      </c>
      <c r="N49" s="255">
        <f>M49/'Unit Mix_vm'!$D$15/12</f>
        <v>65</v>
      </c>
      <c r="O49" s="36"/>
      <c r="P49" s="240"/>
    </row>
    <row r="50" spans="9:16" x14ac:dyDescent="0.25">
      <c r="I50" s="193" t="s">
        <v>423</v>
      </c>
      <c r="J50" s="253">
        <v>1</v>
      </c>
      <c r="K50" s="254">
        <f>'Unit Mix_vm'!$D$15</f>
        <v>250</v>
      </c>
      <c r="L50" s="182">
        <v>70</v>
      </c>
      <c r="M50" s="180">
        <f t="shared" ref="M50:M55" si="3">L50*K50*J50*12</f>
        <v>210000</v>
      </c>
      <c r="N50" s="255">
        <f>M50/'Unit Mix_vm'!$D$15/12</f>
        <v>70</v>
      </c>
    </row>
    <row r="51" spans="9:16" x14ac:dyDescent="0.25">
      <c r="I51" s="193" t="s">
        <v>179</v>
      </c>
      <c r="J51" s="253">
        <v>1</v>
      </c>
      <c r="K51" s="254">
        <f>'Unit Mix_vm'!$D$15</f>
        <v>250</v>
      </c>
      <c r="L51" s="182">
        <v>25</v>
      </c>
      <c r="M51" s="180">
        <f t="shared" si="3"/>
        <v>75000</v>
      </c>
      <c r="N51" s="255">
        <f>M51/'Unit Mix_vm'!$D$15/12</f>
        <v>25</v>
      </c>
    </row>
    <row r="52" spans="9:16" x14ac:dyDescent="0.25">
      <c r="I52" s="193" t="s">
        <v>174</v>
      </c>
      <c r="J52" s="253">
        <v>1</v>
      </c>
      <c r="K52" s="254">
        <f>'Unit Mix_vm'!$D$15</f>
        <v>250</v>
      </c>
      <c r="L52" s="182">
        <v>5</v>
      </c>
      <c r="M52" s="180">
        <f t="shared" si="3"/>
        <v>15000</v>
      </c>
      <c r="N52" s="255">
        <f>M52/'Unit Mix_vm'!$D$15/12</f>
        <v>5</v>
      </c>
    </row>
    <row r="53" spans="9:16" x14ac:dyDescent="0.25">
      <c r="I53" s="193" t="s">
        <v>424</v>
      </c>
      <c r="J53" s="253">
        <v>0.9</v>
      </c>
      <c r="K53" s="254">
        <f>'Unit Mix_vm'!$D$15</f>
        <v>250</v>
      </c>
      <c r="L53" s="256">
        <f>$L$29</f>
        <v>30</v>
      </c>
      <c r="M53" s="180">
        <f t="shared" si="3"/>
        <v>81000</v>
      </c>
      <c r="N53" s="255">
        <f>M53/'Unit Mix_vm'!$D$15/12</f>
        <v>27</v>
      </c>
      <c r="P53" s="252"/>
    </row>
    <row r="54" spans="9:16" x14ac:dyDescent="0.25">
      <c r="I54" s="193" t="s">
        <v>425</v>
      </c>
      <c r="J54" s="253">
        <v>1</v>
      </c>
      <c r="K54" s="257">
        <v>32</v>
      </c>
      <c r="L54" s="258">
        <v>55</v>
      </c>
      <c r="M54" s="180">
        <f t="shared" si="3"/>
        <v>21120</v>
      </c>
      <c r="N54" s="255">
        <f>M54/'Unit Mix_vm'!$D$15/12</f>
        <v>7.04</v>
      </c>
    </row>
    <row r="55" spans="9:16" x14ac:dyDescent="0.25">
      <c r="I55" s="193" t="s">
        <v>426</v>
      </c>
      <c r="J55" s="253">
        <v>1</v>
      </c>
      <c r="K55" s="257">
        <v>0</v>
      </c>
      <c r="L55" s="258">
        <v>200</v>
      </c>
      <c r="M55" s="180">
        <f t="shared" si="3"/>
        <v>0</v>
      </c>
      <c r="N55" s="255">
        <f>M55/'Unit Mix_vm'!$D$15/12</f>
        <v>0</v>
      </c>
    </row>
    <row r="56" spans="9:16" x14ac:dyDescent="0.25">
      <c r="I56" s="193" t="s">
        <v>279</v>
      </c>
      <c r="J56" s="253">
        <v>1</v>
      </c>
      <c r="K56" s="254">
        <f>'Unit Mix_vm'!$D$15</f>
        <v>250</v>
      </c>
      <c r="L56" s="182">
        <v>0</v>
      </c>
      <c r="M56" s="180">
        <f t="shared" ref="M56" si="4">L56*K56*J56*12</f>
        <v>0</v>
      </c>
      <c r="N56" s="255">
        <f>M56/'Unit Mix_vm'!$D$15/12</f>
        <v>0</v>
      </c>
    </row>
    <row r="57" spans="9:16" x14ac:dyDescent="0.25">
      <c r="I57" s="233" t="s">
        <v>427</v>
      </c>
      <c r="J57" s="234"/>
      <c r="K57" s="235"/>
      <c r="L57" s="236"/>
      <c r="M57" s="128">
        <f>SUM(M49:M56)</f>
        <v>597120</v>
      </c>
      <c r="N57" s="237">
        <f>M57/'Unit Mix_vm'!$D$15/12</f>
        <v>199.04</v>
      </c>
    </row>
  </sheetData>
  <hyperlinks>
    <hyperlink ref="J8" r:id="rId1" xr:uid="{EC0C9A0D-2673-46BC-9EDF-E877C36C2E58}"/>
  </hyperlinks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5" x14ac:dyDescent="0.25"/>
  <cols>
    <col min="1" max="1" width="3.7109375" customWidth="1"/>
  </cols>
  <sheetData>
    <row r="2" spans="2:2" ht="129.75" x14ac:dyDescent="1.95">
      <c r="B2" s="77" t="s">
        <v>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5" x14ac:dyDescent="0.25"/>
  <cols>
    <col min="1" max="1" width="3.7109375" customWidth="1"/>
  </cols>
  <sheetData>
    <row r="2" spans="2:2" ht="129.75" x14ac:dyDescent="1.95">
      <c r="B2" s="77" t="s">
        <v>222</v>
      </c>
    </row>
    <row r="3" spans="2:2" ht="129.75" x14ac:dyDescent="1.95">
      <c r="B3" s="77" t="s">
        <v>223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25" thickBot="1" x14ac:dyDescent="0.35">
      <c r="A2" s="8" t="s">
        <v>224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30" x14ac:dyDescent="0.25">
      <c r="A6"/>
      <c r="B6" s="10"/>
      <c r="C6" s="89" t="s">
        <v>225</v>
      </c>
      <c r="D6" s="89" t="s">
        <v>226</v>
      </c>
      <c r="E6" s="89" t="s">
        <v>227</v>
      </c>
      <c r="F6" s="89" t="s">
        <v>228</v>
      </c>
      <c r="G6" s="89" t="s">
        <v>229</v>
      </c>
      <c r="H6" s="89" t="s">
        <v>230</v>
      </c>
      <c r="I6" s="89" t="s">
        <v>231</v>
      </c>
      <c r="J6" s="89" t="s">
        <v>232</v>
      </c>
      <c r="K6" s="89" t="s">
        <v>233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 x14ac:dyDescent="0.25">
      <c r="A8"/>
      <c r="B8" t="s">
        <v>234</v>
      </c>
      <c r="C8"/>
      <c r="D8"/>
      <c r="E8"/>
      <c r="F8"/>
      <c r="G8"/>
      <c r="H8"/>
      <c r="I8"/>
      <c r="J8"/>
      <c r="K8"/>
      <c r="L8"/>
      <c r="M8" s="111" t="s">
        <v>235</v>
      </c>
      <c r="N8" s="111" t="s">
        <v>235</v>
      </c>
      <c r="O8" s="111" t="s">
        <v>235</v>
      </c>
      <c r="P8" s="111" t="s">
        <v>235</v>
      </c>
      <c r="Q8" s="111" t="s">
        <v>235</v>
      </c>
      <c r="R8" s="111" t="s">
        <v>235</v>
      </c>
      <c r="S8" s="111" t="s">
        <v>235</v>
      </c>
      <c r="T8" s="111" t="s">
        <v>235</v>
      </c>
      <c r="U8" s="111" t="s">
        <v>235</v>
      </c>
      <c r="V8" s="111" t="s">
        <v>235</v>
      </c>
      <c r="W8" s="111" t="s">
        <v>235</v>
      </c>
      <c r="X8" s="111" t="s">
        <v>235</v>
      </c>
      <c r="Y8" s="111" t="s">
        <v>235</v>
      </c>
      <c r="Z8" s="111" t="s">
        <v>235</v>
      </c>
      <c r="AA8" s="111" t="s">
        <v>235</v>
      </c>
      <c r="AB8" s="111" t="s">
        <v>235</v>
      </c>
      <c r="AC8" s="111" t="s">
        <v>235</v>
      </c>
      <c r="AD8" s="111" t="s">
        <v>235</v>
      </c>
      <c r="AE8" s="111" t="s">
        <v>235</v>
      </c>
      <c r="AF8" s="111" t="s">
        <v>235</v>
      </c>
      <c r="AG8" s="111" t="s">
        <v>235</v>
      </c>
      <c r="AH8" s="111" t="s">
        <v>235</v>
      </c>
      <c r="AI8" s="111" t="s">
        <v>235</v>
      </c>
      <c r="AJ8" s="111" t="s">
        <v>235</v>
      </c>
      <c r="AK8" s="111" t="s">
        <v>235</v>
      </c>
      <c r="AL8" s="111" t="s">
        <v>235</v>
      </c>
      <c r="AM8" s="111" t="s">
        <v>235</v>
      </c>
      <c r="AN8" s="111" t="s">
        <v>235</v>
      </c>
      <c r="AO8" s="111" t="s">
        <v>235</v>
      </c>
      <c r="AP8" s="111" t="s">
        <v>235</v>
      </c>
      <c r="AQ8" s="111" t="s">
        <v>235</v>
      </c>
      <c r="AR8" s="111" t="s">
        <v>235</v>
      </c>
      <c r="AS8" s="111" t="s">
        <v>235</v>
      </c>
      <c r="AT8" s="111" t="s">
        <v>235</v>
      </c>
      <c r="AU8" s="111" t="s">
        <v>235</v>
      </c>
      <c r="AV8" s="111" t="s">
        <v>235</v>
      </c>
      <c r="AW8" s="111" t="s">
        <v>235</v>
      </c>
      <c r="AX8" s="111" t="s">
        <v>235</v>
      </c>
      <c r="AY8" s="111" t="s">
        <v>235</v>
      </c>
      <c r="AZ8" s="111" t="s">
        <v>235</v>
      </c>
      <c r="BA8" s="111" t="s">
        <v>235</v>
      </c>
      <c r="BB8" s="111" t="s">
        <v>235</v>
      </c>
      <c r="BC8" s="111" t="s">
        <v>235</v>
      </c>
      <c r="BD8" s="111" t="s">
        <v>235</v>
      </c>
      <c r="BE8" s="111" t="s">
        <v>235</v>
      </c>
      <c r="BF8" s="111" t="s">
        <v>235</v>
      </c>
      <c r="BG8" s="111" t="s">
        <v>235</v>
      </c>
      <c r="BH8" s="111" t="s">
        <v>235</v>
      </c>
      <c r="BI8" s="111" t="s">
        <v>235</v>
      </c>
      <c r="BJ8" s="111" t="s">
        <v>235</v>
      </c>
      <c r="BK8" s="111" t="s">
        <v>235</v>
      </c>
      <c r="BL8" s="111" t="s">
        <v>235</v>
      </c>
      <c r="BM8" s="111" t="s">
        <v>235</v>
      </c>
      <c r="BN8" s="111" t="s">
        <v>235</v>
      </c>
      <c r="BO8" s="111" t="s">
        <v>235</v>
      </c>
      <c r="BP8" s="111" t="s">
        <v>235</v>
      </c>
      <c r="BQ8" s="111" t="s">
        <v>235</v>
      </c>
      <c r="BR8" s="111" t="s">
        <v>235</v>
      </c>
      <c r="BS8" s="111" t="s">
        <v>235</v>
      </c>
      <c r="BT8" s="111" t="s">
        <v>235</v>
      </c>
      <c r="BU8"/>
      <c r="BV8" s="5"/>
    </row>
    <row r="9" spans="1:74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 x14ac:dyDescent="0.25">
      <c r="A10"/>
      <c r="B10" s="55" t="s">
        <v>236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 x14ac:dyDescent="0.25">
      <c r="A11"/>
      <c r="B11" s="9" t="s">
        <v>237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 x14ac:dyDescent="0.25">
      <c r="A12"/>
      <c r="B12" s="9" t="s">
        <v>238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 x14ac:dyDescent="0.25">
      <c r="A13"/>
      <c r="B13" s="9" t="s">
        <v>42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 x14ac:dyDescent="0.25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 x14ac:dyDescent="0.25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 x14ac:dyDescent="0.25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 x14ac:dyDescent="0.25">
      <c r="A17"/>
      <c r="B17" s="3" t="s">
        <v>44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 x14ac:dyDescent="0.25">
      <c r="A19"/>
      <c r="B19" s="55" t="s">
        <v>239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 x14ac:dyDescent="0.25">
      <c r="A20"/>
      <c r="B20" s="9" t="s">
        <v>34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 x14ac:dyDescent="0.25">
      <c r="A21"/>
      <c r="B21" s="9" t="s">
        <v>39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 x14ac:dyDescent="0.25">
      <c r="A22"/>
      <c r="B22" s="9" t="s">
        <v>43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 x14ac:dyDescent="0.25">
      <c r="A23"/>
      <c r="B23" s="9" t="s">
        <v>45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 x14ac:dyDescent="0.25">
      <c r="A24"/>
      <c r="B24" s="9" t="s">
        <v>46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 x14ac:dyDescent="0.25">
      <c r="A25"/>
      <c r="B25" s="9" t="s">
        <v>49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 x14ac:dyDescent="0.25">
      <c r="A26"/>
      <c r="B26" s="9" t="s">
        <v>50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 x14ac:dyDescent="0.25">
      <c r="A27"/>
      <c r="B27" s="9" t="s">
        <v>52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 x14ac:dyDescent="0.25">
      <c r="A28"/>
      <c r="B28" s="9" t="s">
        <v>54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 x14ac:dyDescent="0.25">
      <c r="A29"/>
      <c r="B29" s="9" t="s">
        <v>56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 x14ac:dyDescent="0.25">
      <c r="A30"/>
      <c r="B30" s="9" t="s">
        <v>57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 x14ac:dyDescent="0.25">
      <c r="A31"/>
      <c r="B31" s="9" t="s">
        <v>58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 x14ac:dyDescent="0.25">
      <c r="A32"/>
      <c r="B32" s="9" t="s">
        <v>60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 x14ac:dyDescent="0.25">
      <c r="A33"/>
      <c r="B33" s="9" t="s">
        <v>61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 x14ac:dyDescent="0.25">
      <c r="A34"/>
      <c r="B34" s="9" t="s">
        <v>66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 x14ac:dyDescent="0.25">
      <c r="A35"/>
      <c r="B35" s="9" t="s">
        <v>69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 x14ac:dyDescent="0.25">
      <c r="A36"/>
      <c r="B36" s="9" t="s">
        <v>240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 x14ac:dyDescent="0.25">
      <c r="A37"/>
      <c r="B37" s="9" t="s">
        <v>78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 x14ac:dyDescent="0.25">
      <c r="A38"/>
      <c r="B38" s="9" t="s">
        <v>80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 x14ac:dyDescent="0.25">
      <c r="A39"/>
      <c r="B39" s="9" t="s">
        <v>82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 x14ac:dyDescent="0.25">
      <c r="A40"/>
      <c r="B40" s="9" t="s">
        <v>84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 x14ac:dyDescent="0.25">
      <c r="A41"/>
      <c r="B41" s="9" t="s">
        <v>85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 x14ac:dyDescent="0.25">
      <c r="A42"/>
      <c r="B42" s="9" t="s">
        <v>88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 x14ac:dyDescent="0.25">
      <c r="A43"/>
      <c r="B43" s="9" t="s">
        <v>93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 x14ac:dyDescent="0.25">
      <c r="A44"/>
      <c r="B44" s="9" t="s">
        <v>94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 x14ac:dyDescent="0.25">
      <c r="A45"/>
      <c r="B45" s="9" t="s">
        <v>96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 x14ac:dyDescent="0.25">
      <c r="A46"/>
      <c r="B46" s="9" t="s">
        <v>104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 x14ac:dyDescent="0.25">
      <c r="A47"/>
      <c r="B47" s="9" t="s">
        <v>107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 x14ac:dyDescent="0.25">
      <c r="A48"/>
      <c r="B48" s="9" t="s">
        <v>106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 x14ac:dyDescent="0.25">
      <c r="A49"/>
      <c r="B49" s="9" t="s">
        <v>105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 x14ac:dyDescent="0.25">
      <c r="A50"/>
      <c r="B50" s="9" t="s">
        <v>108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 x14ac:dyDescent="0.25">
      <c r="A51"/>
      <c r="B51" s="9" t="s">
        <v>109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 x14ac:dyDescent="0.25">
      <c r="A52"/>
      <c r="B52" s="9" t="s">
        <v>110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 x14ac:dyDescent="0.25">
      <c r="A53"/>
      <c r="B53" s="9" t="s">
        <v>111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 x14ac:dyDescent="0.25">
      <c r="A54"/>
      <c r="B54" s="9" t="s">
        <v>112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 x14ac:dyDescent="0.25">
      <c r="A55"/>
      <c r="B55" s="9" t="s">
        <v>113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 x14ac:dyDescent="0.25">
      <c r="A56"/>
      <c r="B56" s="9" t="s">
        <v>114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 x14ac:dyDescent="0.25">
      <c r="A57"/>
      <c r="B57" s="9" t="s">
        <v>115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 x14ac:dyDescent="0.25">
      <c r="A58"/>
      <c r="B58" s="9" t="s">
        <v>116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 x14ac:dyDescent="0.25">
      <c r="A59"/>
      <c r="B59" s="9" t="s">
        <v>117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 x14ac:dyDescent="0.25">
      <c r="A60"/>
      <c r="B60" s="9" t="s">
        <v>118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 x14ac:dyDescent="0.25">
      <c r="A61"/>
      <c r="B61" s="9" t="s">
        <v>119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 x14ac:dyDescent="0.25">
      <c r="A62"/>
      <c r="B62" s="9" t="s">
        <v>120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 x14ac:dyDescent="0.25">
      <c r="A63"/>
      <c r="B63" s="9" t="s">
        <v>241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 x14ac:dyDescent="0.25">
      <c r="A64"/>
      <c r="B64" s="9" t="s">
        <v>123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 x14ac:dyDescent="0.25">
      <c r="A65"/>
      <c r="B65" s="9" t="s">
        <v>124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 x14ac:dyDescent="0.25">
      <c r="A66"/>
      <c r="B66" s="9" t="s">
        <v>125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 x14ac:dyDescent="0.25">
      <c r="A67"/>
      <c r="B67" s="9" t="s">
        <v>242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 x14ac:dyDescent="0.25">
      <c r="A68"/>
      <c r="B68" s="9" t="s">
        <v>243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 x14ac:dyDescent="0.25">
      <c r="A69"/>
      <c r="B69" s="9" t="s">
        <v>130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 x14ac:dyDescent="0.25">
      <c r="A70"/>
      <c r="B70" s="9" t="s">
        <v>131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 x14ac:dyDescent="0.25">
      <c r="A71"/>
      <c r="B71" s="9" t="s">
        <v>132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 x14ac:dyDescent="0.25">
      <c r="A72"/>
      <c r="B72" s="9" t="s">
        <v>136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 x14ac:dyDescent="0.25">
      <c r="A73"/>
      <c r="B73" s="9" t="s">
        <v>138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 x14ac:dyDescent="0.25">
      <c r="A74"/>
      <c r="B74" s="9" t="s">
        <v>140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 x14ac:dyDescent="0.25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 x14ac:dyDescent="0.25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 x14ac:dyDescent="0.25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 x14ac:dyDescent="0.25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 x14ac:dyDescent="0.25">
      <c r="A79"/>
      <c r="B79" s="3" t="s">
        <v>55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 x14ac:dyDescent="0.25">
      <c r="A81"/>
      <c r="B81" t="s">
        <v>244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25" thickBot="1" x14ac:dyDescent="0.35">
      <c r="A2" s="8" t="s">
        <v>245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25">
      <c r="A6"/>
      <c r="B6" s="90" t="s">
        <v>246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25">
      <c r="A7"/>
      <c r="B7" s="91" t="s">
        <v>247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 x14ac:dyDescent="0.25">
      <c r="A8"/>
      <c r="B8" s="91" t="s">
        <v>248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 x14ac:dyDescent="0.25">
      <c r="A9"/>
      <c r="B9" s="92" t="s">
        <v>234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25">
      <c r="A11"/>
      <c r="B11" s="81" t="s">
        <v>249</v>
      </c>
      <c r="C11" s="96" t="s">
        <v>250</v>
      </c>
      <c r="D11" s="96" t="s">
        <v>251</v>
      </c>
      <c r="E11" s="96" t="s">
        <v>36</v>
      </c>
      <c r="F11" s="96" t="s">
        <v>252</v>
      </c>
      <c r="G11" s="96" t="s">
        <v>253</v>
      </c>
      <c r="H11" s="97" t="s">
        <v>254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25">
      <c r="A12"/>
      <c r="B12" t="s">
        <v>255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256</v>
      </c>
      <c r="I12"/>
      <c r="J12" s="113" t="s">
        <v>257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25">
      <c r="A13"/>
      <c r="B13" t="s">
        <v>258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256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25">
      <c r="A14"/>
      <c r="B14" t="s">
        <v>259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256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25">
      <c r="A15"/>
      <c r="B15" t="s">
        <v>260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25">
      <c r="A16"/>
      <c r="B16" t="s">
        <v>261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256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25">
      <c r="A18"/>
      <c r="B18" s="55" t="s">
        <v>262</v>
      </c>
      <c r="C18" s="74" t="s">
        <v>263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25">
      <c r="A19"/>
      <c r="B19" t="s">
        <v>264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25">
      <c r="A20"/>
      <c r="B20" t="s">
        <v>265</v>
      </c>
      <c r="C20" s="23" t="s">
        <v>266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25">
      <c r="A21"/>
      <c r="B21" t="s">
        <v>267</v>
      </c>
      <c r="C21" s="50">
        <v>1</v>
      </c>
      <c r="D21" s="24" t="s">
        <v>268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25">
      <c r="A23"/>
      <c r="B23" s="55" t="s">
        <v>269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25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25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25">
      <c r="A26"/>
      <c r="B26" t="e">
        <f>TEXT(#REF!,"")</f>
        <v>#REF!</v>
      </c>
      <c r="C26" s="24" t="s">
        <v>270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25">
      <c r="A27"/>
      <c r="B27" t="e">
        <f>TEXT(#REF!,"")</f>
        <v>#REF!</v>
      </c>
      <c r="C27" s="24" t="s">
        <v>270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25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25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25">
      <c r="A30"/>
      <c r="B30" s="55" t="s">
        <v>271</v>
      </c>
      <c r="C30" s="74" t="s">
        <v>28</v>
      </c>
      <c r="D30" s="74" t="s">
        <v>15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 x14ac:dyDescent="0.25">
      <c r="A31"/>
      <c r="B31" t="s">
        <v>253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 x14ac:dyDescent="0.25">
      <c r="A32"/>
      <c r="B32" t="s">
        <v>252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 x14ac:dyDescent="0.25">
      <c r="A33"/>
      <c r="B33" s="3" t="s">
        <v>24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25">
      <c r="A35"/>
      <c r="B35" s="55" t="s">
        <v>272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 x14ac:dyDescent="0.25">
      <c r="A36"/>
      <c r="B36" t="s">
        <v>273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 x14ac:dyDescent="0.25">
      <c r="A38"/>
      <c r="B38" s="41" t="s">
        <v>274</v>
      </c>
      <c r="C38" s="74" t="s">
        <v>28</v>
      </c>
      <c r="D38" s="74" t="s">
        <v>29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25">
      <c r="A39"/>
      <c r="B39" t="s">
        <v>275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 x14ac:dyDescent="0.25">
      <c r="A40"/>
      <c r="B40" t="s">
        <v>276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25">
      <c r="A41"/>
      <c r="B41" t="s">
        <v>80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25">
      <c r="A42"/>
      <c r="B42" t="s">
        <v>277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25">
      <c r="A43"/>
      <c r="B43" t="s">
        <v>278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 x14ac:dyDescent="0.25">
      <c r="A44"/>
      <c r="B44" t="s">
        <v>279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25">
      <c r="A45"/>
      <c r="B45" t="s">
        <v>280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 x14ac:dyDescent="0.25">
      <c r="A46"/>
      <c r="B46" t="s">
        <v>281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 x14ac:dyDescent="0.25">
      <c r="A47"/>
      <c r="B47" t="s">
        <v>282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 x14ac:dyDescent="0.25">
      <c r="A48"/>
      <c r="B48" t="s">
        <v>283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 x14ac:dyDescent="0.25">
      <c r="A49"/>
      <c r="B49" s="3" t="s">
        <v>284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 x14ac:dyDescent="0.25">
      <c r="A51"/>
      <c r="B51" t="s">
        <v>133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 x14ac:dyDescent="0.25">
      <c r="A53"/>
      <c r="B53" s="55" t="s">
        <v>285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 x14ac:dyDescent="0.25">
      <c r="A54"/>
      <c r="B54" s="41" t="s">
        <v>286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 x14ac:dyDescent="0.25">
      <c r="A55"/>
      <c r="B55" t="s">
        <v>253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 x14ac:dyDescent="0.25">
      <c r="A56"/>
      <c r="B56" t="s">
        <v>252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 x14ac:dyDescent="0.25">
      <c r="A57"/>
      <c r="B57" t="s">
        <v>38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 x14ac:dyDescent="0.25">
      <c r="A58"/>
      <c r="B58" s="3" t="s">
        <v>287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25">
      <c r="A60"/>
      <c r="B60" s="41" t="s">
        <v>288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 x14ac:dyDescent="0.25">
      <c r="A61"/>
      <c r="B61" t="s">
        <v>284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 x14ac:dyDescent="0.25">
      <c r="A62"/>
      <c r="B62" t="s">
        <v>289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 x14ac:dyDescent="0.25">
      <c r="A63"/>
      <c r="B63" t="s">
        <v>290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 x14ac:dyDescent="0.25">
      <c r="A64"/>
      <c r="B64" s="3" t="s">
        <v>291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 x14ac:dyDescent="0.25">
      <c r="A66"/>
      <c r="B66" t="s">
        <v>285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 x14ac:dyDescent="0.25">
      <c r="A68"/>
      <c r="B68" s="55" t="s">
        <v>38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25">
      <c r="A69"/>
      <c r="B69" s="28" t="s">
        <v>292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25">
      <c r="A70"/>
      <c r="B70" t="s">
        <v>293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25">
      <c r="A72"/>
      <c r="B72" t="s">
        <v>294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 x14ac:dyDescent="0.25">
      <c r="A73"/>
      <c r="B73" t="s">
        <v>295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 x14ac:dyDescent="0.25">
      <c r="A74"/>
      <c r="B74" t="s">
        <v>296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 x14ac:dyDescent="0.25">
      <c r="A75"/>
      <c r="B75" s="3" t="s">
        <v>297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 x14ac:dyDescent="0.25">
      <c r="A77"/>
      <c r="B77" t="s">
        <v>298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 x14ac:dyDescent="0.25">
      <c r="A78"/>
      <c r="B78" t="s">
        <v>295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 x14ac:dyDescent="0.25">
      <c r="A79"/>
      <c r="B79" t="s">
        <v>299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 x14ac:dyDescent="0.25">
      <c r="A80"/>
      <c r="B80" t="s">
        <v>296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 x14ac:dyDescent="0.25">
      <c r="A81"/>
      <c r="B81" t="s">
        <v>300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 x14ac:dyDescent="0.25">
      <c r="A82"/>
      <c r="B82" s="3" t="s">
        <v>301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25">
      <c r="A84"/>
      <c r="B84" t="s">
        <v>302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 x14ac:dyDescent="0.25">
      <c r="A86"/>
      <c r="B86" s="28" t="s">
        <v>303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 x14ac:dyDescent="0.25">
      <c r="A87"/>
      <c r="B87" t="s">
        <v>293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 x14ac:dyDescent="0.25">
      <c r="A89"/>
      <c r="B89" t="s">
        <v>304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 x14ac:dyDescent="0.25">
      <c r="A90"/>
      <c r="B90" t="s">
        <v>299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 x14ac:dyDescent="0.25">
      <c r="A91"/>
      <c r="B91" t="s">
        <v>300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 x14ac:dyDescent="0.25">
      <c r="A92"/>
      <c r="B92" s="3" t="s">
        <v>305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 x14ac:dyDescent="0.25">
      <c r="A94"/>
      <c r="B94" t="s">
        <v>306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 x14ac:dyDescent="0.25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25">
      <c r="A97"/>
      <c r="B97" t="s">
        <v>293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 x14ac:dyDescent="0.25">
      <c r="A99"/>
      <c r="B99" t="s">
        <v>307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 x14ac:dyDescent="0.25">
      <c r="A100"/>
      <c r="B100" t="s">
        <v>302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 x14ac:dyDescent="0.25">
      <c r="A101"/>
      <c r="B101" t="s">
        <v>306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 x14ac:dyDescent="0.25">
      <c r="A102"/>
      <c r="B102" t="s">
        <v>308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 x14ac:dyDescent="0.25">
      <c r="A103"/>
      <c r="B103" s="3" t="s">
        <v>309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 x14ac:dyDescent="0.25">
      <c r="A105"/>
      <c r="B105" t="s">
        <v>308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 x14ac:dyDescent="0.25">
      <c r="A107"/>
      <c r="B107" s="28" t="s">
        <v>310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 x14ac:dyDescent="0.25">
      <c r="A108"/>
      <c r="B108" t="s">
        <v>259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 x14ac:dyDescent="0.25">
      <c r="A109"/>
      <c r="B109" t="s">
        <v>311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 x14ac:dyDescent="0.25">
      <c r="A110"/>
      <c r="B110" t="s">
        <v>312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 x14ac:dyDescent="0.25">
      <c r="A111"/>
      <c r="B111" t="s">
        <v>313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 x14ac:dyDescent="0.25">
      <c r="A112"/>
      <c r="B112" s="3" t="s">
        <v>24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25">
      <c r="A114"/>
      <c r="B114" s="55" t="s">
        <v>314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 x14ac:dyDescent="0.25">
      <c r="A115"/>
      <c r="B115" s="41" t="s">
        <v>286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 x14ac:dyDescent="0.25">
      <c r="A116"/>
      <c r="B116" t="s">
        <v>253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 x14ac:dyDescent="0.25">
      <c r="A117"/>
      <c r="B117" t="s">
        <v>252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 x14ac:dyDescent="0.25">
      <c r="A118"/>
      <c r="B118" s="3" t="s">
        <v>287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25">
      <c r="A120"/>
      <c r="B120" t="s">
        <v>291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 x14ac:dyDescent="0.25">
      <c r="A122"/>
      <c r="B122" t="s">
        <v>315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 x14ac:dyDescent="0.25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 x14ac:dyDescent="0.25">
      <c r="A125"/>
      <c r="B125" t="s">
        <v>293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 x14ac:dyDescent="0.25">
      <c r="A126"/>
      <c r="B126" s="75" t="s">
        <v>316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 x14ac:dyDescent="0.25">
      <c r="A127"/>
      <c r="B127" s="75" t="s">
        <v>317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 x14ac:dyDescent="0.25">
      <c r="A129"/>
      <c r="B129" t="s">
        <v>318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 x14ac:dyDescent="0.25">
      <c r="A130"/>
      <c r="B130" t="s">
        <v>295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 x14ac:dyDescent="0.25">
      <c r="A131"/>
      <c r="B131" t="s">
        <v>296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 x14ac:dyDescent="0.25">
      <c r="A132"/>
      <c r="B132" s="3" t="s">
        <v>319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 x14ac:dyDescent="0.25">
      <c r="A134"/>
      <c r="B134" t="s">
        <v>320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 x14ac:dyDescent="0.25">
      <c r="A135"/>
      <c r="B135" t="s">
        <v>295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 x14ac:dyDescent="0.25">
      <c r="A136"/>
      <c r="B136" t="s">
        <v>321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 x14ac:dyDescent="0.25">
      <c r="A137"/>
      <c r="B137" t="s">
        <v>296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 x14ac:dyDescent="0.25">
      <c r="A138"/>
      <c r="B138" t="s">
        <v>322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 x14ac:dyDescent="0.25">
      <c r="A139"/>
      <c r="B139" s="3" t="s">
        <v>323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 x14ac:dyDescent="0.25">
      <c r="A141"/>
      <c r="B141" t="s">
        <v>324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 x14ac:dyDescent="0.25">
      <c r="A142"/>
      <c r="B142" t="s">
        <v>295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 x14ac:dyDescent="0.25">
      <c r="A143"/>
      <c r="B143" t="s">
        <v>296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 x14ac:dyDescent="0.25">
      <c r="A144"/>
      <c r="B144" s="3" t="s">
        <v>325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 x14ac:dyDescent="0.25">
      <c r="A146"/>
      <c r="B146" t="s">
        <v>326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 x14ac:dyDescent="0.25">
      <c r="A147"/>
      <c r="B147" t="s">
        <v>295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 x14ac:dyDescent="0.25">
      <c r="A148"/>
      <c r="B148" t="s">
        <v>321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 x14ac:dyDescent="0.25">
      <c r="A149"/>
      <c r="B149" t="s">
        <v>296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 x14ac:dyDescent="0.25">
      <c r="A150"/>
      <c r="B150" t="s">
        <v>322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 x14ac:dyDescent="0.25">
      <c r="A151"/>
      <c r="B151" s="3" t="s">
        <v>327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 x14ac:dyDescent="0.25">
      <c r="A153"/>
      <c r="B153" t="s">
        <v>328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 x14ac:dyDescent="0.25">
      <c r="A154"/>
      <c r="B154" t="s">
        <v>329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 x14ac:dyDescent="0.25">
      <c r="A155"/>
      <c r="B155" s="3" t="s">
        <v>330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 x14ac:dyDescent="0.25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 x14ac:dyDescent="0.25">
      <c r="A158"/>
      <c r="B158" t="s">
        <v>293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 x14ac:dyDescent="0.25">
      <c r="A159"/>
      <c r="B159" s="75" t="s">
        <v>316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 x14ac:dyDescent="0.25">
      <c r="A160"/>
      <c r="B160" s="75" t="s">
        <v>317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 x14ac:dyDescent="0.25">
      <c r="A162"/>
      <c r="B162" t="s">
        <v>331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 x14ac:dyDescent="0.25">
      <c r="A163"/>
      <c r="B163" t="s">
        <v>321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 x14ac:dyDescent="0.25">
      <c r="A164"/>
      <c r="B164" t="s">
        <v>322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 x14ac:dyDescent="0.25">
      <c r="A165"/>
      <c r="B165" s="3" t="s">
        <v>332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 x14ac:dyDescent="0.25">
      <c r="A167"/>
      <c r="B167" t="s">
        <v>333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 x14ac:dyDescent="0.25">
      <c r="A168"/>
      <c r="B168" t="s">
        <v>321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 x14ac:dyDescent="0.25">
      <c r="A169"/>
      <c r="B169" t="s">
        <v>322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 x14ac:dyDescent="0.25">
      <c r="A170"/>
      <c r="B170" s="3" t="s">
        <v>334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 x14ac:dyDescent="0.25">
      <c r="A172"/>
      <c r="B172" t="s">
        <v>335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 x14ac:dyDescent="0.25">
      <c r="A173"/>
      <c r="B173" t="s">
        <v>336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 x14ac:dyDescent="0.25">
      <c r="A174"/>
      <c r="B174" s="3" t="s">
        <v>337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 x14ac:dyDescent="0.25">
      <c r="A176"/>
      <c r="B176" t="s">
        <v>338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 x14ac:dyDescent="0.25">
      <c r="A177"/>
      <c r="B177" t="s">
        <v>328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 x14ac:dyDescent="0.25">
      <c r="A178"/>
      <c r="B178" t="s">
        <v>335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 x14ac:dyDescent="0.25">
      <c r="A179"/>
      <c r="B179" s="3" t="s">
        <v>339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 x14ac:dyDescent="0.25">
      <c r="A181"/>
      <c r="B181" t="s">
        <v>340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 x14ac:dyDescent="0.25">
      <c r="A183"/>
      <c r="B183" t="s">
        <v>341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 x14ac:dyDescent="0.25">
      <c r="A184"/>
      <c r="B184" t="s">
        <v>329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 x14ac:dyDescent="0.25">
      <c r="A185"/>
      <c r="B185" t="s">
        <v>336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 x14ac:dyDescent="0.25">
      <c r="A186"/>
      <c r="B186" s="3" t="s">
        <v>342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 x14ac:dyDescent="0.25">
      <c r="A188"/>
      <c r="B188" t="s">
        <v>340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 x14ac:dyDescent="0.25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 x14ac:dyDescent="0.25">
      <c r="A191"/>
      <c r="B191" t="s">
        <v>293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 x14ac:dyDescent="0.25">
      <c r="A192"/>
      <c r="B192" s="75" t="s">
        <v>316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 x14ac:dyDescent="0.25">
      <c r="A193"/>
      <c r="B193" s="75" t="s">
        <v>317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 x14ac:dyDescent="0.25">
      <c r="A195"/>
      <c r="B195" t="s">
        <v>343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 x14ac:dyDescent="0.25">
      <c r="A196"/>
      <c r="B196" t="s">
        <v>344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 x14ac:dyDescent="0.25">
      <c r="A197"/>
      <c r="B197" t="s">
        <v>321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 x14ac:dyDescent="0.25">
      <c r="A198"/>
      <c r="B198" t="s">
        <v>302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 x14ac:dyDescent="0.25">
      <c r="A199"/>
      <c r="B199" t="s">
        <v>306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 x14ac:dyDescent="0.25">
      <c r="A200"/>
      <c r="B200" t="s">
        <v>308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 x14ac:dyDescent="0.25">
      <c r="A201"/>
      <c r="B201" s="3" t="s">
        <v>345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 x14ac:dyDescent="0.25">
      <c r="A203"/>
      <c r="B203" t="s">
        <v>346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 x14ac:dyDescent="0.25">
      <c r="A204"/>
      <c r="B204" t="s">
        <v>347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 x14ac:dyDescent="0.25">
      <c r="A205"/>
      <c r="B205" s="3" t="s">
        <v>348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 x14ac:dyDescent="0.25">
      <c r="A207"/>
      <c r="B207" t="s">
        <v>349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 x14ac:dyDescent="0.25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 x14ac:dyDescent="0.25">
      <c r="A210"/>
      <c r="B210" t="s">
        <v>293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 x14ac:dyDescent="0.25">
      <c r="A211"/>
      <c r="B211" s="75" t="s">
        <v>316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 x14ac:dyDescent="0.25">
      <c r="A212"/>
      <c r="B212" s="75" t="s">
        <v>317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 x14ac:dyDescent="0.25">
      <c r="A214"/>
      <c r="B214" t="s">
        <v>350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 x14ac:dyDescent="0.25">
      <c r="A215"/>
      <c r="B215" t="s">
        <v>344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 x14ac:dyDescent="0.25">
      <c r="A216"/>
      <c r="B216" t="s">
        <v>321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 x14ac:dyDescent="0.25">
      <c r="A217"/>
      <c r="B217" t="s">
        <v>302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 x14ac:dyDescent="0.25">
      <c r="A218"/>
      <c r="B218" t="s">
        <v>306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 x14ac:dyDescent="0.25">
      <c r="A219"/>
      <c r="B219" t="s">
        <v>308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 x14ac:dyDescent="0.25">
      <c r="A220"/>
      <c r="B220" t="s">
        <v>351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 x14ac:dyDescent="0.25">
      <c r="A221"/>
      <c r="B221" s="3" t="s">
        <v>345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 x14ac:dyDescent="0.25">
      <c r="A223"/>
      <c r="B223" t="s">
        <v>352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 x14ac:dyDescent="0.25">
      <c r="A224"/>
      <c r="B224" t="s">
        <v>353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 x14ac:dyDescent="0.25">
      <c r="A225"/>
      <c r="B225" s="3" t="s">
        <v>354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 x14ac:dyDescent="0.25">
      <c r="A227"/>
      <c r="B227" t="s">
        <v>355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 x14ac:dyDescent="0.25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 x14ac:dyDescent="0.25">
      <c r="A230"/>
      <c r="B230" t="s">
        <v>293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 x14ac:dyDescent="0.25">
      <c r="A231"/>
      <c r="B231" s="75" t="s">
        <v>316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 x14ac:dyDescent="0.25">
      <c r="A232"/>
      <c r="B232" s="75" t="s">
        <v>317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 x14ac:dyDescent="0.25">
      <c r="A234"/>
      <c r="B234" t="s">
        <v>356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 x14ac:dyDescent="0.25">
      <c r="A235"/>
      <c r="B235" t="s">
        <v>357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 x14ac:dyDescent="0.25">
      <c r="A236"/>
      <c r="B236" s="3" t="s">
        <v>358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 x14ac:dyDescent="0.25">
      <c r="A238"/>
      <c r="B238" t="s">
        <v>359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 x14ac:dyDescent="0.25">
      <c r="A240"/>
      <c r="B240" s="28" t="s">
        <v>360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 x14ac:dyDescent="0.25">
      <c r="A241"/>
      <c r="B241" t="s">
        <v>259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 x14ac:dyDescent="0.25">
      <c r="A242"/>
      <c r="B242" t="s">
        <v>311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 x14ac:dyDescent="0.25">
      <c r="A243"/>
      <c r="B243" t="s">
        <v>312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 x14ac:dyDescent="0.25">
      <c r="A244"/>
      <c r="B244" t="s">
        <v>313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 x14ac:dyDescent="0.25">
      <c r="A245"/>
      <c r="B245" t="s">
        <v>361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 x14ac:dyDescent="0.25">
      <c r="A246"/>
      <c r="B246" t="s">
        <v>362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 x14ac:dyDescent="0.25">
      <c r="A247"/>
      <c r="B247" s="3" t="s">
        <v>24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 x14ac:dyDescent="0.25">
      <c r="A249"/>
      <c r="B249" s="28" t="s">
        <v>363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 x14ac:dyDescent="0.25">
      <c r="A250"/>
      <c r="B250" t="s">
        <v>259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 x14ac:dyDescent="0.25">
      <c r="A251"/>
      <c r="B251" t="s">
        <v>311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 x14ac:dyDescent="0.25">
      <c r="A252"/>
      <c r="B252" t="s">
        <v>312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 x14ac:dyDescent="0.25">
      <c r="A253"/>
      <c r="B253" t="s">
        <v>313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 x14ac:dyDescent="0.25">
      <c r="A254"/>
      <c r="B254" t="s">
        <v>361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 x14ac:dyDescent="0.25">
      <c r="A255"/>
      <c r="B255" t="s">
        <v>362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 x14ac:dyDescent="0.25">
      <c r="A256"/>
      <c r="B256" s="3" t="s">
        <v>24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 x14ac:dyDescent="0.25">
      <c r="A258"/>
      <c r="B258" s="28" t="s">
        <v>315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 x14ac:dyDescent="0.25">
      <c r="A259"/>
      <c r="B259" t="s">
        <v>259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 x14ac:dyDescent="0.25">
      <c r="A260"/>
      <c r="B260" t="s">
        <v>311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 x14ac:dyDescent="0.25">
      <c r="A261"/>
      <c r="B261" t="s">
        <v>312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 x14ac:dyDescent="0.25">
      <c r="A262"/>
      <c r="B262" t="s">
        <v>313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 x14ac:dyDescent="0.25">
      <c r="A263"/>
      <c r="B263" t="s">
        <v>361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 x14ac:dyDescent="0.25">
      <c r="A264"/>
      <c r="B264" t="s">
        <v>362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 x14ac:dyDescent="0.25">
      <c r="A265"/>
      <c r="B265" s="3" t="s">
        <v>24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 x14ac:dyDescent="0.25">
      <c r="A267"/>
      <c r="B267" s="28" t="s">
        <v>254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 x14ac:dyDescent="0.25">
      <c r="A268"/>
      <c r="B268" t="s">
        <v>349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 x14ac:dyDescent="0.25">
      <c r="A269"/>
      <c r="B269" t="s">
        <v>355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 x14ac:dyDescent="0.25">
      <c r="A270"/>
      <c r="B270" t="s">
        <v>359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 x14ac:dyDescent="0.25">
      <c r="A271"/>
      <c r="B271" s="3" t="s">
        <v>24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 x14ac:dyDescent="0.25">
      <c r="A273"/>
      <c r="B273" s="40" t="s">
        <v>364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 x14ac:dyDescent="0.25">
      <c r="A274"/>
      <c r="B274" t="s">
        <v>365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 x14ac:dyDescent="0.25">
      <c r="A275"/>
      <c r="B275" t="s">
        <v>366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 x14ac:dyDescent="0.25">
      <c r="A276"/>
      <c r="B276" s="3" t="s">
        <v>367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 x14ac:dyDescent="0.25">
      <c r="A278"/>
      <c r="B278" t="s">
        <v>368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 x14ac:dyDescent="0.25">
      <c r="A279"/>
      <c r="B279" t="s">
        <v>369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 x14ac:dyDescent="0.25">
      <c r="A280"/>
      <c r="B280" s="3" t="s">
        <v>370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 x14ac:dyDescent="0.25">
      <c r="A282"/>
      <c r="B282" t="s">
        <v>244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25" thickBot="1" x14ac:dyDescent="0.35">
      <c r="A2" s="8" t="s">
        <v>371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25">
      <c r="A6"/>
      <c r="B6" s="90" t="s">
        <v>246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25">
      <c r="A7"/>
      <c r="B7" s="91" t="s">
        <v>247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 x14ac:dyDescent="0.25">
      <c r="A8"/>
      <c r="B8" s="91" t="s">
        <v>248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 x14ac:dyDescent="0.25">
      <c r="A9"/>
      <c r="B9" s="92" t="s">
        <v>234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25">
      <c r="A11"/>
      <c r="B11" s="117"/>
      <c r="C11" s="96" t="s">
        <v>372</v>
      </c>
      <c r="D11" s="96" t="s">
        <v>373</v>
      </c>
      <c r="E11" s="96" t="s">
        <v>374</v>
      </c>
      <c r="F11" s="96" t="s">
        <v>375</v>
      </c>
      <c r="G11" s="97" t="s">
        <v>376</v>
      </c>
      <c r="H11"/>
      <c r="I11" s="114" t="s">
        <v>377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25">
      <c r="A12"/>
      <c r="B12" t="s">
        <v>255</v>
      </c>
      <c r="C12" s="49">
        <f>IFERROR(XIRR(C39:BJ39,C6:BJ6,0),0)</f>
        <v>0</v>
      </c>
      <c r="D12" s="49">
        <f>IFERROR(XIRR(C81:BJ81,C6:BJ6,0),0)</f>
        <v>0</v>
      </c>
      <c r="E12" s="49" t="s">
        <v>256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378</v>
      </c>
      <c r="J12"/>
      <c r="K12" s="36" t="e">
        <f>-SUM(C36:BJ36)</f>
        <v>#REF!</v>
      </c>
      <c r="L12"/>
      <c r="M12" s="113" t="s">
        <v>257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25">
      <c r="A13"/>
      <c r="B13" t="s">
        <v>258</v>
      </c>
      <c r="C13" s="119">
        <f>IFERROR(C15/C14,0)</f>
        <v>0</v>
      </c>
      <c r="D13" s="119">
        <f t="shared" ref="D13:G13" si="2">IFERROR(D15/D14,0)</f>
        <v>0</v>
      </c>
      <c r="E13" s="119" t="s">
        <v>256</v>
      </c>
      <c r="F13" s="119">
        <f t="shared" si="2"/>
        <v>0</v>
      </c>
      <c r="G13" s="119">
        <f t="shared" si="2"/>
        <v>0</v>
      </c>
      <c r="H13" s="98"/>
      <c r="I13" t="s">
        <v>376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25">
      <c r="A14"/>
      <c r="B14" t="s">
        <v>259</v>
      </c>
      <c r="C14" s="36">
        <f>-SUM(C32:BJ32)</f>
        <v>0</v>
      </c>
      <c r="D14" s="36">
        <f>-SUM(C77:BJ77)</f>
        <v>0</v>
      </c>
      <c r="E14" s="36" t="s">
        <v>256</v>
      </c>
      <c r="F14" s="36">
        <f>-SUM(C104:BJ104)</f>
        <v>0</v>
      </c>
      <c r="G14" s="36">
        <f>-SUM(C98:BJ98)</f>
        <v>0</v>
      </c>
      <c r="H14" s="36"/>
      <c r="I14" s="3" t="s">
        <v>379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25">
      <c r="A15"/>
      <c r="B15" t="s">
        <v>260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25">
      <c r="A16"/>
      <c r="B16" t="s">
        <v>261</v>
      </c>
      <c r="C16" s="36" t="e">
        <f>+C15-C14</f>
        <v>#REF!</v>
      </c>
      <c r="D16" s="36" t="e">
        <f>+D15-D14</f>
        <v>#REF!</v>
      </c>
      <c r="E16" s="36" t="s">
        <v>256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25">
      <c r="A18"/>
      <c r="B18" s="55" t="s">
        <v>380</v>
      </c>
      <c r="C18" s="74" t="s">
        <v>28</v>
      </c>
      <c r="D18" s="74" t="s">
        <v>15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25">
      <c r="A19"/>
      <c r="B19" t="s">
        <v>376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25">
      <c r="A20"/>
      <c r="B20" t="s">
        <v>375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25">
      <c r="A21"/>
      <c r="B21" s="3" t="s">
        <v>24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25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25">
      <c r="A23"/>
      <c r="B23" s="55" t="s">
        <v>381</v>
      </c>
      <c r="C23" s="74" t="s">
        <v>263</v>
      </c>
      <c r="D23" s="74" t="s">
        <v>382</v>
      </c>
      <c r="E23" s="74" t="s">
        <v>383</v>
      </c>
      <c r="F23" s="74" t="s">
        <v>384</v>
      </c>
      <c r="G23" s="74" t="s">
        <v>385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25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25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25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25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25">
      <c r="A28"/>
      <c r="B28" s="55" t="s">
        <v>386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25">
      <c r="A29"/>
      <c r="B29" s="41" t="s">
        <v>286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25">
      <c r="A30"/>
      <c r="B30" t="s">
        <v>387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 x14ac:dyDescent="0.25">
      <c r="A31"/>
      <c r="B31" t="s">
        <v>388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 x14ac:dyDescent="0.25">
      <c r="A32"/>
      <c r="B32" s="3" t="s">
        <v>287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25">
      <c r="A34"/>
      <c r="B34" s="41" t="s">
        <v>389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25">
      <c r="A35"/>
      <c r="B35" t="s">
        <v>390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 x14ac:dyDescent="0.25">
      <c r="A36"/>
      <c r="B36" t="s">
        <v>391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 x14ac:dyDescent="0.25">
      <c r="A37"/>
      <c r="B37" s="3" t="s">
        <v>291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25">
      <c r="A39"/>
      <c r="B39" t="s">
        <v>392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25">
      <c r="A41"/>
      <c r="B41" s="55" t="s">
        <v>393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25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25">
      <c r="A43"/>
      <c r="B43" t="s">
        <v>293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25">
      <c r="A45"/>
      <c r="B45" t="s">
        <v>294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 x14ac:dyDescent="0.25">
      <c r="A46"/>
      <c r="B46" t="s">
        <v>295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 x14ac:dyDescent="0.25">
      <c r="A47"/>
      <c r="B47" t="s">
        <v>296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 x14ac:dyDescent="0.25">
      <c r="A48"/>
      <c r="B48" s="3" t="s">
        <v>297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 x14ac:dyDescent="0.25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 x14ac:dyDescent="0.25">
      <c r="A50"/>
      <c r="B50" t="s">
        <v>394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 x14ac:dyDescent="0.25">
      <c r="A51"/>
      <c r="B51" t="s">
        <v>295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 x14ac:dyDescent="0.25">
      <c r="A52"/>
      <c r="B52" t="s">
        <v>321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 x14ac:dyDescent="0.25">
      <c r="A53"/>
      <c r="B53" t="s">
        <v>296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 x14ac:dyDescent="0.25">
      <c r="A54"/>
      <c r="B54" t="s">
        <v>322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 x14ac:dyDescent="0.25">
      <c r="A55"/>
      <c r="B55" s="3" t="s">
        <v>395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 x14ac:dyDescent="0.25">
      <c r="A57"/>
      <c r="B57" t="s">
        <v>302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 x14ac:dyDescent="0.25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25">
      <c r="A60"/>
      <c r="B60" t="s">
        <v>293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 x14ac:dyDescent="0.25">
      <c r="A62"/>
      <c r="B62" t="s">
        <v>396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 x14ac:dyDescent="0.25">
      <c r="A63"/>
      <c r="B63" t="s">
        <v>321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 x14ac:dyDescent="0.25">
      <c r="A64"/>
      <c r="B64" t="s">
        <v>322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 x14ac:dyDescent="0.25">
      <c r="A65"/>
      <c r="B65" s="3" t="s">
        <v>397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 x14ac:dyDescent="0.25">
      <c r="A67"/>
      <c r="B67" t="s">
        <v>306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25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25">
      <c r="A70"/>
      <c r="B70" t="s">
        <v>293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25">
      <c r="A72"/>
      <c r="B72" t="s">
        <v>398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 x14ac:dyDescent="0.25">
      <c r="A73"/>
      <c r="B73" t="s">
        <v>399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 x14ac:dyDescent="0.25">
      <c r="A74"/>
      <c r="B74" s="3" t="s">
        <v>348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 x14ac:dyDescent="0.25">
      <c r="A76"/>
      <c r="B76" s="28" t="s">
        <v>400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 x14ac:dyDescent="0.25">
      <c r="A77"/>
      <c r="B77" t="s">
        <v>259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 x14ac:dyDescent="0.25">
      <c r="A78"/>
      <c r="B78" t="s">
        <v>302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 x14ac:dyDescent="0.25">
      <c r="A79"/>
      <c r="B79" t="s">
        <v>306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 x14ac:dyDescent="0.25">
      <c r="A80"/>
      <c r="B80" t="s">
        <v>308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 x14ac:dyDescent="0.25">
      <c r="A81"/>
      <c r="B81" s="3" t="s">
        <v>24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 x14ac:dyDescent="0.25">
      <c r="A83"/>
      <c r="B83" s="28" t="s">
        <v>401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25">
      <c r="A84"/>
      <c r="B84" t="s">
        <v>259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 x14ac:dyDescent="0.25">
      <c r="A85"/>
      <c r="B85" t="s">
        <v>302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 x14ac:dyDescent="0.25">
      <c r="A86"/>
      <c r="B86" t="s">
        <v>306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 x14ac:dyDescent="0.25">
      <c r="A87"/>
      <c r="B87" t="s">
        <v>308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 x14ac:dyDescent="0.25">
      <c r="A88"/>
      <c r="B88" s="3" t="s">
        <v>24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 x14ac:dyDescent="0.25">
      <c r="A90"/>
      <c r="B90" s="28" t="s">
        <v>392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 x14ac:dyDescent="0.25">
      <c r="A91"/>
      <c r="B91" t="s">
        <v>259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 x14ac:dyDescent="0.25">
      <c r="A92"/>
      <c r="B92" t="s">
        <v>302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 x14ac:dyDescent="0.25">
      <c r="A93"/>
      <c r="B93" t="s">
        <v>306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 x14ac:dyDescent="0.25">
      <c r="A94"/>
      <c r="B94" t="s">
        <v>308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 x14ac:dyDescent="0.25">
      <c r="A95"/>
      <c r="B95" s="3" t="s">
        <v>24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25">
      <c r="A97"/>
      <c r="B97" s="28" t="s">
        <v>402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 x14ac:dyDescent="0.25">
      <c r="A98"/>
      <c r="B98" t="s">
        <v>259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 x14ac:dyDescent="0.25">
      <c r="A99"/>
      <c r="B99" t="s">
        <v>403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 x14ac:dyDescent="0.25">
      <c r="A100"/>
      <c r="B100" t="s">
        <v>404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 x14ac:dyDescent="0.25">
      <c r="A101"/>
      <c r="B101" s="3" t="s">
        <v>24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 x14ac:dyDescent="0.25">
      <c r="A103"/>
      <c r="B103" s="28" t="s">
        <v>405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 x14ac:dyDescent="0.25">
      <c r="A104"/>
      <c r="B104" t="s">
        <v>259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 x14ac:dyDescent="0.25">
      <c r="A105"/>
      <c r="B105" t="s">
        <v>403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 x14ac:dyDescent="0.25">
      <c r="A106"/>
      <c r="B106" t="s">
        <v>404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 x14ac:dyDescent="0.25">
      <c r="A107"/>
      <c r="B107" s="3" t="s">
        <v>24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 x14ac:dyDescent="0.25">
      <c r="A109"/>
      <c r="B109" s="40" t="s">
        <v>364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 x14ac:dyDescent="0.25">
      <c r="A110"/>
      <c r="B110" t="s">
        <v>406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 x14ac:dyDescent="0.25">
      <c r="A111"/>
      <c r="B111" t="s">
        <v>407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 x14ac:dyDescent="0.25">
      <c r="A112"/>
      <c r="B112" s="3" t="s">
        <v>24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25">
      <c r="A114"/>
      <c r="B114" t="s">
        <v>368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 x14ac:dyDescent="0.25">
      <c r="A115"/>
      <c r="B115" t="s">
        <v>369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 x14ac:dyDescent="0.25">
      <c r="A116"/>
      <c r="B116" s="3" t="s">
        <v>370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 x14ac:dyDescent="0.25">
      <c r="A118"/>
      <c r="B118" t="s">
        <v>244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5" x14ac:dyDescent="0.2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6.25" x14ac:dyDescent="0.4">
      <c r="A1" s="7" t="str">
        <f>TEXT(Global!$C$7,"")</f>
        <v>Property Name</v>
      </c>
      <c r="B1"/>
      <c r="C1"/>
      <c r="D1"/>
      <c r="E1"/>
      <c r="F1" s="5"/>
    </row>
    <row r="2" spans="1:7" ht="20.25" thickBot="1" x14ac:dyDescent="0.35">
      <c r="A2" s="8" t="s">
        <v>408</v>
      </c>
      <c r="B2" s="2"/>
      <c r="C2" s="2"/>
      <c r="D2" s="2"/>
      <c r="E2" s="2"/>
      <c r="F2" s="5"/>
    </row>
    <row r="5" spans="1:7" x14ac:dyDescent="0.25">
      <c r="A5" s="3"/>
      <c r="B5" s="3"/>
      <c r="C5" s="3"/>
      <c r="D5" s="3"/>
      <c r="E5" s="3"/>
      <c r="F5" s="5"/>
    </row>
    <row r="6" spans="1:7" x14ac:dyDescent="0.25">
      <c r="A6"/>
      <c r="B6" s="11" t="s">
        <v>246</v>
      </c>
      <c r="C6" s="11" t="s">
        <v>409</v>
      </c>
      <c r="D6" s="11" t="s">
        <v>68</v>
      </c>
      <c r="E6"/>
      <c r="F6" s="5"/>
      <c r="G6" s="61"/>
    </row>
    <row r="7" spans="1:7" x14ac:dyDescent="0.25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 x14ac:dyDescent="0.25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 x14ac:dyDescent="0.25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 x14ac:dyDescent="0.25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 x14ac:dyDescent="0.25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 x14ac:dyDescent="0.25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 x14ac:dyDescent="0.25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 x14ac:dyDescent="0.25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 x14ac:dyDescent="0.25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 x14ac:dyDescent="0.25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 x14ac:dyDescent="0.25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 x14ac:dyDescent="0.25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 x14ac:dyDescent="0.25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 x14ac:dyDescent="0.25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 x14ac:dyDescent="0.25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 x14ac:dyDescent="0.25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 x14ac:dyDescent="0.25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 x14ac:dyDescent="0.25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 x14ac:dyDescent="0.25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 x14ac:dyDescent="0.25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 x14ac:dyDescent="0.25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 x14ac:dyDescent="0.25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 x14ac:dyDescent="0.25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 x14ac:dyDescent="0.25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 x14ac:dyDescent="0.25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 x14ac:dyDescent="0.25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 x14ac:dyDescent="0.25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 x14ac:dyDescent="0.25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 x14ac:dyDescent="0.25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 x14ac:dyDescent="0.25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 x14ac:dyDescent="0.25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 x14ac:dyDescent="0.25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 x14ac:dyDescent="0.25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 x14ac:dyDescent="0.25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 x14ac:dyDescent="0.25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 x14ac:dyDescent="0.25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 x14ac:dyDescent="0.25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 x14ac:dyDescent="0.25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 x14ac:dyDescent="0.25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 x14ac:dyDescent="0.25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 x14ac:dyDescent="0.25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 x14ac:dyDescent="0.25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 x14ac:dyDescent="0.25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 x14ac:dyDescent="0.25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 x14ac:dyDescent="0.25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 x14ac:dyDescent="0.25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 x14ac:dyDescent="0.25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 x14ac:dyDescent="0.25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 x14ac:dyDescent="0.25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 x14ac:dyDescent="0.25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 x14ac:dyDescent="0.25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 x14ac:dyDescent="0.25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 x14ac:dyDescent="0.25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 x14ac:dyDescent="0.25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 x14ac:dyDescent="0.25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 x14ac:dyDescent="0.25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 x14ac:dyDescent="0.25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 x14ac:dyDescent="0.25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 x14ac:dyDescent="0.25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 x14ac:dyDescent="0.25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 x14ac:dyDescent="0.25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 x14ac:dyDescent="0.25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 x14ac:dyDescent="0.25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 x14ac:dyDescent="0.25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 x14ac:dyDescent="0.25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 x14ac:dyDescent="0.25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 x14ac:dyDescent="0.25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 x14ac:dyDescent="0.25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 x14ac:dyDescent="0.25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 x14ac:dyDescent="0.25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 x14ac:dyDescent="0.25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 x14ac:dyDescent="0.25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 x14ac:dyDescent="0.25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 x14ac:dyDescent="0.25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 x14ac:dyDescent="0.25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 x14ac:dyDescent="0.25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 x14ac:dyDescent="0.25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 x14ac:dyDescent="0.25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 x14ac:dyDescent="0.25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 x14ac:dyDescent="0.25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 x14ac:dyDescent="0.25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 x14ac:dyDescent="0.25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 x14ac:dyDescent="0.25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 x14ac:dyDescent="0.25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 x14ac:dyDescent="0.25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 x14ac:dyDescent="0.25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 x14ac:dyDescent="0.25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 x14ac:dyDescent="0.25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 x14ac:dyDescent="0.25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 x14ac:dyDescent="0.25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 x14ac:dyDescent="0.25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 x14ac:dyDescent="0.25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 x14ac:dyDescent="0.25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 x14ac:dyDescent="0.25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 x14ac:dyDescent="0.25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 x14ac:dyDescent="0.25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 x14ac:dyDescent="0.25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 x14ac:dyDescent="0.25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 x14ac:dyDescent="0.25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 x14ac:dyDescent="0.25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 x14ac:dyDescent="0.25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 x14ac:dyDescent="0.25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 x14ac:dyDescent="0.25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 x14ac:dyDescent="0.25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 x14ac:dyDescent="0.25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 x14ac:dyDescent="0.25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 x14ac:dyDescent="0.25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 x14ac:dyDescent="0.25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 x14ac:dyDescent="0.25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 x14ac:dyDescent="0.25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 x14ac:dyDescent="0.25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 x14ac:dyDescent="0.25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 x14ac:dyDescent="0.25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 x14ac:dyDescent="0.25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 x14ac:dyDescent="0.25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 x14ac:dyDescent="0.25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 x14ac:dyDescent="0.25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 x14ac:dyDescent="0.25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 x14ac:dyDescent="0.25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 x14ac:dyDescent="0.25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 x14ac:dyDescent="0.25">
      <c r="A127"/>
      <c r="B127"/>
      <c r="C127"/>
      <c r="D127"/>
      <c r="E127"/>
      <c r="F127" s="5"/>
    </row>
    <row r="128" spans="1:6" x14ac:dyDescent="0.25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Props1.xml><?xml version="1.0" encoding="utf-8"?>
<ds:datastoreItem xmlns:ds="http://schemas.openxmlformats.org/officeDocument/2006/customXml" ds:itemID="{925EE4B4-E307-41EE-9FB0-2152597E22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082EFF-04D5-4BF3-9159-A11267B5C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cbd9de-38f3-4023-bf37-52b0c987fcdd"/>
    <ds:schemaRef ds:uri="c51240cb-92b5-4df4-8f5e-edd8d705b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6F55AF-1E59-4690-9D1F-04A969E61854}">
  <ds:schemaRefs>
    <ds:schemaRef ds:uri="http://schemas.microsoft.com/office/2006/metadata/properties"/>
    <ds:schemaRef ds:uri="http://schemas.microsoft.com/office/infopath/2007/PartnerControls"/>
    <ds:schemaRef ds:uri="a4cbd9de-38f3-4023-bf37-52b0c987fcdd"/>
    <ds:schemaRef ds:uri="c51240cb-92b5-4df4-8f5e-edd8d705b6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Global</vt:lpstr>
      <vt:lpstr>Unit Mix_vm</vt:lpstr>
      <vt:lpstr>Budget_vm</vt:lpstr>
      <vt:lpstr>Pro-Forma_vm</vt:lpstr>
      <vt:lpstr>&gt;&gt; Full Model &gt;&gt;</vt:lpstr>
      <vt:lpstr>&gt;&gt; Reforecast + Dispo &gt;&gt; </vt:lpstr>
      <vt:lpstr>Reforecast</vt:lpstr>
      <vt:lpstr>Dispo - Deal Waterfall</vt:lpstr>
      <vt:lpstr>Dispo - SRIF I Waterfall</vt:lpstr>
      <vt:lpstr>SOFR - Reforecast</vt:lpstr>
      <vt:lpstr>'Pro-Forma_vm'!Print_Area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Austin Blondell</cp:lastModifiedBy>
  <cp:revision/>
  <dcterms:created xsi:type="dcterms:W3CDTF">2024-03-25T15:55:55Z</dcterms:created>
  <dcterms:modified xsi:type="dcterms:W3CDTF">2026-03-10T18:46:36Z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