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Landlinq Uploaded/"/>
    </mc:Choice>
  </mc:AlternateContent>
  <xr:revisionPtr revIDLastSave="0" documentId="8_{50F0699D-E8D7-49E2-A114-141B7680A9B5}" xr6:coauthVersionLast="47" xr6:coauthVersionMax="47" xr10:uidLastSave="{00000000-0000-0000-0000-000000000000}"/>
  <bookViews>
    <workbookView xWindow="-108" yWindow="-108" windowWidth="23256" windowHeight="12456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39" l="1"/>
  <c r="N10" i="39"/>
  <c r="O10" i="39" s="1"/>
  <c r="N8" i="39"/>
  <c r="D14" i="38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R10" i="39"/>
  <c r="M55" i="39"/>
  <c r="M54" i="39"/>
  <c r="L53" i="39"/>
  <c r="S10" i="39" l="1"/>
  <c r="T10" i="39" s="1"/>
  <c r="S9" i="39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<sst xmlns="http://schemas.openxmlformats.org/spreadsheetml/2006/main" count="895" uniqueCount="451">
  <si>
    <t>Global Assumptions</t>
  </si>
  <si>
    <t>Property Name</t>
  </si>
  <si>
    <t>Lenox Village Nashville</t>
  </si>
  <si>
    <t>Project Type</t>
  </si>
  <si>
    <t>3-Story Walk-Up</t>
  </si>
  <si>
    <t>Market</t>
  </si>
  <si>
    <t>Nashville</t>
  </si>
  <si>
    <t>Submarket</t>
  </si>
  <si>
    <t>Brentwood</t>
  </si>
  <si>
    <t>Address</t>
  </si>
  <si>
    <t>6260 Nolensville Pike</t>
  </si>
  <si>
    <t>City, State</t>
  </si>
  <si>
    <t>Nashville, TN</t>
  </si>
  <si>
    <t>ZIP Code</t>
  </si>
  <si>
    <t>County</t>
  </si>
  <si>
    <t>Davidson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</si>
  <si>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</si>
  <si>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</si>
  <si>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</si>
  <si>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</si>
  <si>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</si>
  <si>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</si>
  <si>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</si>
  <si>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</si>
  <si>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</si>
  <si>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</si>
  <si>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</si>
  <si>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</si>
  <si>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6228 Music City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</si>
  <si>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</si>
  <si>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</si>
  <si>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</si>
  <si>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</si>
  <si>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</si>
  <si>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</si>
  <si>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</si>
  <si>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</si>
  <si>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</si>
  <si>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</si>
  <si>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</si>
  <si>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</si>
  <si>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</si>
  <si>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</si>
  <si>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</si>
  <si>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High 5 Residential</t>
  </si>
  <si>
    <t>TH</t>
  </si>
  <si>
    <t>Link to Website</t>
  </si>
  <si>
    <t>6228 Music City</t>
  </si>
  <si>
    <t>Total</t>
  </si>
  <si>
    <t>2) The Views of Music City Apartments</t>
  </si>
  <si>
    <t>Ramston Capital</t>
  </si>
  <si>
    <t>Independence Realty Trust Irt</t>
  </si>
  <si>
    <t>The Views of Music City Apartments</t>
  </si>
  <si>
    <t>3) Vintage Edge Nashville</t>
  </si>
  <si>
    <t>TDK Companies and Imagine1</t>
  </si>
  <si>
    <t>Mount Auburn Multifamily</t>
  </si>
  <si>
    <t>Vintage Edge Nashville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</si>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</sst>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10" borderId="8" xfId="3" applyFill="1" applyBorder="1" applyAlignment="1">
      <alignment horizontal="center"/>
    </xf>
    <xf numFmtId="0" fontId="25" fillId="7" borderId="13" xfId="3" applyFill="1" applyBorder="1" applyAlignment="1">
      <alignment horizontal="left"/>
    </xf>
    <xf numFmtId="0" fontId="25" fillId="0" borderId="0" xfId="3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tliving.com/Apartments-In/Nashville-TN/The-Views-of-Music-City?switch_cls%5bid%5d=101763&amp;utm_source=zillow&amp;utm_medium=paid&amp;utm_campaign=ils-listings&amp;zgRef=zillow" TargetMode="External"/><Relationship Id="rId2" Type="http://schemas.openxmlformats.org/officeDocument/2006/relationships/hyperlink" Target="https://www.vintageedgenashville.com/" TargetMode="External"/><Relationship Id="rId1" Type="http://schemas.openxmlformats.org/officeDocument/2006/relationships/hyperlink" Target="https://www.6228musiccityapt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ayments.municipay.com/tn_nashville/item/R/17300006500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ayments.municipay.com/tn_nashville/item/R/16100009500" TargetMode="External"/><Relationship Id="rId1" Type="http://schemas.openxmlformats.org/officeDocument/2006/relationships/hyperlink" Target="https://payments.municipay.com/tn_nashville/item/R/17300006300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I16"/>
  <sheetViews>
    <sheetView showGridLines="0" tabSelected="1" topLeftCell="A2" zoomScaleNormal="100" workbookViewId="0">
      <selection activeCell="F16" sqref="F16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9" s="142" customFormat="1" ht="25.9">
      <c r="A1" s="145" t="str">
        <f>TEXT(C7,"")</f>
        <v>Lenox Village Nashville</v>
      </c>
    </row>
    <row r="2" spans="1:9" s="142" customFormat="1" ht="19.899999999999999">
      <c r="A2" s="146" t="s">
        <v>0</v>
      </c>
    </row>
    <row r="6" spans="1:9">
      <c r="B6" s="123" t="s">
        <v>0</v>
      </c>
      <c r="C6" s="163"/>
    </row>
    <row r="7" spans="1:9">
      <c r="B7" s="56" t="s">
        <v>1</v>
      </c>
      <c r="C7" s="258" t="s">
        <v>2</v>
      </c>
      <c r="I7" s="1"/>
    </row>
    <row r="8" spans="1:9">
      <c r="B8" s="56" t="s">
        <v>3</v>
      </c>
      <c r="C8" s="164" t="s">
        <v>4</v>
      </c>
    </row>
    <row r="9" spans="1:9">
      <c r="B9" s="56" t="s">
        <v>5</v>
      </c>
      <c r="C9" s="258" t="s">
        <v>6</v>
      </c>
    </row>
    <row r="10" spans="1:9">
      <c r="B10" s="56" t="s">
        <v>7</v>
      </c>
      <c r="C10" s="258" t="s">
        <v>8</v>
      </c>
    </row>
    <row r="11" spans="1:9">
      <c r="B11" s="56" t="s">
        <v>9</v>
      </c>
      <c r="C11" s="258" t="s">
        <v>10</v>
      </c>
    </row>
    <row r="12" spans="1:9">
      <c r="B12" s="56" t="s">
        <v>11</v>
      </c>
      <c r="C12" s="258" t="s">
        <v>12</v>
      </c>
    </row>
    <row r="13" spans="1:9">
      <c r="B13" s="56" t="s">
        <v>13</v>
      </c>
      <c r="C13" s="258">
        <v>37211</v>
      </c>
    </row>
    <row r="14" spans="1:9">
      <c r="B14" s="56" t="s">
        <v>14</v>
      </c>
      <c r="C14" s="258" t="s">
        <v>15</v>
      </c>
    </row>
    <row r="15" spans="1:9">
      <c r="B15" s="56"/>
      <c r="C15" s="57"/>
    </row>
    <row r="16" spans="1:9">
      <c r="B16" s="59" t="s">
        <v>16</v>
      </c>
      <c r="C16" s="165" t="s">
        <v>17</v>
      </c>
      <c r="F16" s="264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pane="bottomLeft" activeCell="O29" activeCellId="2" sqref="O11 O20 O29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31.5703125" style="208" bestFit="1" customWidth="1"/>
  </cols>
  <sheetData>
    <row r="1" spans="1:19" s="142" customFormat="1" ht="25.9">
      <c r="A1" s="145" t="str">
        <f>TEXT(Global!$C$7,"")</f>
        <v>Lenox Village Nashville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250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150</v>
      </c>
      <c r="E8" s="257">
        <v>0.6</v>
      </c>
      <c r="F8" s="32">
        <v>800</v>
      </c>
      <c r="G8" s="237">
        <v>1450</v>
      </c>
      <c r="H8" s="148">
        <f t="shared" ref="H8:H14" si="1">IFERROR(G8/F8,0)</f>
        <v>1.8125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100</v>
      </c>
      <c r="E9" s="257">
        <v>0.4</v>
      </c>
      <c r="F9" s="32">
        <v>1050</v>
      </c>
      <c r="G9" s="237">
        <v>1850</v>
      </c>
      <c r="H9" s="148">
        <f t="shared" si="1"/>
        <v>1.7619047619047619</v>
      </c>
      <c r="K9" s="56" t="s">
        <v>27</v>
      </c>
      <c r="L9" s="235">
        <v>56</v>
      </c>
      <c r="M9" s="204">
        <f>L9/$L$14</f>
        <v>0.26794258373205743</v>
      </c>
      <c r="N9" s="236">
        <v>540</v>
      </c>
      <c r="O9" s="237">
        <v>1146</v>
      </c>
      <c r="P9" s="216">
        <f>IFERROR(O9/N9,"-")</f>
        <v>2.1222222222222222</v>
      </c>
      <c r="R9" s="193" t="s">
        <v>35</v>
      </c>
      <c r="S9" s="221">
        <v>2023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>
        <v>100</v>
      </c>
      <c r="M10" s="204">
        <f t="shared" ref="M10:M13" si="2">L10/$L$14</f>
        <v>0.4784688995215311</v>
      </c>
      <c r="N10" s="236">
        <v>632</v>
      </c>
      <c r="O10" s="237">
        <v>1209</v>
      </c>
      <c r="P10" s="216">
        <f t="shared" ref="P10:P14" si="3">IFERROR(O10/N10,"-")</f>
        <v>1.9129746835443038</v>
      </c>
      <c r="R10" s="193" t="s">
        <v>38</v>
      </c>
      <c r="S10" s="222">
        <v>0.153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>
        <v>53</v>
      </c>
      <c r="M11" s="204">
        <f t="shared" si="2"/>
        <v>0.25358851674641147</v>
      </c>
      <c r="N11" s="236">
        <v>891</v>
      </c>
      <c r="O11" s="237">
        <v>1629</v>
      </c>
      <c r="P11" s="216">
        <f t="shared" si="3"/>
        <v>1.8282828282828283</v>
      </c>
      <c r="R11" s="193" t="s">
        <v>41</v>
      </c>
      <c r="S11" s="221"/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42</v>
      </c>
      <c r="L12" s="235"/>
      <c r="M12" s="204">
        <f t="shared" si="2"/>
        <v>0</v>
      </c>
      <c r="N12" s="236"/>
      <c r="O12" s="237"/>
      <c r="P12" s="216" t="str">
        <f t="shared" si="3"/>
        <v>-</v>
      </c>
      <c r="R12" s="193" t="s">
        <v>43</v>
      </c>
      <c r="S12" s="221" t="s">
        <v>44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45</v>
      </c>
      <c r="L13" s="235"/>
      <c r="M13" s="204">
        <f t="shared" si="2"/>
        <v>0</v>
      </c>
      <c r="N13" s="236"/>
      <c r="O13" s="237"/>
      <c r="P13" s="216" t="str">
        <f t="shared" si="3"/>
        <v>-</v>
      </c>
      <c r="R13" s="219" t="s">
        <v>46</v>
      </c>
      <c r="S13" s="263" t="s">
        <v>47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48</v>
      </c>
      <c r="L14" s="214">
        <f>SUM(L9:L13)</f>
        <v>209</v>
      </c>
      <c r="M14" s="215">
        <f>SUM(M9:M13)</f>
        <v>1</v>
      </c>
      <c r="N14" s="127">
        <f>SUMPRODUCT(N9:N13,L9:L13)/L14</f>
        <v>673.02870813397124</v>
      </c>
      <c r="O14" s="128">
        <f>SUMPRODUCT(O9:O13,$L$9:$L$13)/$L$14</f>
        <v>1298.6267942583731</v>
      </c>
      <c r="P14" s="217">
        <f t="shared" si="3"/>
        <v>1.929526599034572</v>
      </c>
    </row>
    <row r="15" spans="1:19" ht="15" customHeight="1">
      <c r="B15" s="207" t="s">
        <v>48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1610</v>
      </c>
      <c r="H15" s="152">
        <f>IFERROR(G15/F15,0)</f>
        <v>1.788888888888889</v>
      </c>
    </row>
    <row r="16" spans="1:19">
      <c r="K16" s="140" t="s">
        <v>49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1450</v>
      </c>
      <c r="H18" s="148">
        <f t="shared" ref="H18:H22" si="5">IFERROR(G18/F18,0)</f>
        <v>1.8125</v>
      </c>
      <c r="K18" s="56" t="s">
        <v>27</v>
      </c>
      <c r="L18" s="235"/>
      <c r="M18" s="204">
        <f>L18/$L$14</f>
        <v>0</v>
      </c>
      <c r="N18" s="236">
        <v>587</v>
      </c>
      <c r="O18" s="237">
        <v>1208</v>
      </c>
      <c r="P18" s="216">
        <f>IFERROR(O18/N18,"-")</f>
        <v>2.0579216354344121</v>
      </c>
      <c r="R18" s="193" t="s">
        <v>35</v>
      </c>
      <c r="S18" s="221">
        <v>2022</v>
      </c>
    </row>
    <row r="19" spans="2:19">
      <c r="B19" s="210" t="s">
        <v>34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1850</v>
      </c>
      <c r="H19" s="148">
        <f t="shared" si="5"/>
        <v>1.7619047619047619</v>
      </c>
      <c r="K19" s="56" t="s">
        <v>37</v>
      </c>
      <c r="L19" s="235"/>
      <c r="M19" s="204">
        <f t="shared" ref="M19:M22" si="6">L19/$L$14</f>
        <v>0</v>
      </c>
      <c r="N19" s="236">
        <v>836</v>
      </c>
      <c r="O19" s="237">
        <v>1417</v>
      </c>
      <c r="P19" s="216">
        <f t="shared" ref="P19:P23" si="7">IFERROR(O19/N19,"-")</f>
        <v>1.6949760765550239</v>
      </c>
      <c r="R19" s="193" t="s">
        <v>38</v>
      </c>
      <c r="S19" s="222">
        <v>4.8000000000000001E-2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/>
      <c r="M20" s="204">
        <f t="shared" si="6"/>
        <v>0</v>
      </c>
      <c r="N20" s="236">
        <v>1093</v>
      </c>
      <c r="O20" s="237">
        <v>1744</v>
      </c>
      <c r="P20" s="216">
        <f t="shared" si="7"/>
        <v>1.5956084172003659</v>
      </c>
      <c r="R20" s="193" t="s">
        <v>41</v>
      </c>
      <c r="S20" s="221" t="s">
        <v>50</v>
      </c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42</v>
      </c>
      <c r="L21" s="235"/>
      <c r="M21" s="204">
        <f t="shared" si="6"/>
        <v>0</v>
      </c>
      <c r="N21" s="236"/>
      <c r="O21" s="237"/>
      <c r="P21" s="216" t="str">
        <f t="shared" si="7"/>
        <v>-</v>
      </c>
      <c r="R21" s="193" t="s">
        <v>43</v>
      </c>
      <c r="S21" s="221" t="s">
        <v>51</v>
      </c>
    </row>
    <row r="22" spans="2:19">
      <c r="B22" s="207" t="s">
        <v>48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1610</v>
      </c>
      <c r="H22" s="152">
        <f t="shared" si="5"/>
        <v>1.788888888888889</v>
      </c>
      <c r="K22" s="56" t="s">
        <v>45</v>
      </c>
      <c r="L22" s="235"/>
      <c r="M22" s="204">
        <f t="shared" si="6"/>
        <v>0</v>
      </c>
      <c r="N22" s="236"/>
      <c r="O22" s="237"/>
      <c r="P22" s="216" t="str">
        <f t="shared" si="7"/>
        <v>-</v>
      </c>
      <c r="R22" s="219" t="s">
        <v>46</v>
      </c>
      <c r="S22" s="263" t="s">
        <v>52</v>
      </c>
    </row>
    <row r="23" spans="2:19">
      <c r="K23" s="126" t="s">
        <v>48</v>
      </c>
      <c r="L23" s="214">
        <f>SUM(L18:L22)</f>
        <v>0</v>
      </c>
      <c r="M23" s="215">
        <f>SUM(M18:M22)</f>
        <v>0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53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>
        <f>L27/$L$14</f>
        <v>0</v>
      </c>
      <c r="N27" s="236">
        <v>533</v>
      </c>
      <c r="O27" s="237">
        <v>1291</v>
      </c>
      <c r="P27" s="216">
        <f>IFERROR(O27/N27,"-")</f>
        <v>2.4221388367729833</v>
      </c>
      <c r="R27" s="193" t="s">
        <v>35</v>
      </c>
      <c r="S27" s="221">
        <v>2023</v>
      </c>
    </row>
    <row r="28" spans="2:19">
      <c r="C28" s="208"/>
      <c r="D28" s="208"/>
      <c r="E28" s="208"/>
      <c r="F28" s="208"/>
      <c r="K28" s="56" t="s">
        <v>37</v>
      </c>
      <c r="L28" s="235"/>
      <c r="M28" s="204">
        <f t="shared" ref="M28:M31" si="8">L28/$L$14</f>
        <v>0</v>
      </c>
      <c r="N28" s="236">
        <v>848</v>
      </c>
      <c r="O28" s="237">
        <v>1560</v>
      </c>
      <c r="P28" s="216">
        <f t="shared" ref="P28:P32" si="9">IFERROR(O28/N28,"-")</f>
        <v>1.8396226415094339</v>
      </c>
      <c r="R28" s="193" t="s">
        <v>38</v>
      </c>
      <c r="S28" s="222">
        <v>0.122</v>
      </c>
    </row>
    <row r="29" spans="2:19">
      <c r="C29" s="208"/>
      <c r="D29" s="208"/>
      <c r="E29" s="208"/>
      <c r="F29" s="208"/>
      <c r="K29" s="56" t="s">
        <v>40</v>
      </c>
      <c r="L29" s="235"/>
      <c r="M29" s="204">
        <f t="shared" si="8"/>
        <v>0</v>
      </c>
      <c r="N29" s="236">
        <v>1148</v>
      </c>
      <c r="O29" s="237">
        <v>2000</v>
      </c>
      <c r="P29" s="216">
        <f t="shared" si="9"/>
        <v>1.7421602787456445</v>
      </c>
      <c r="R29" s="193" t="s">
        <v>41</v>
      </c>
      <c r="S29" s="221" t="s">
        <v>54</v>
      </c>
    </row>
    <row r="30" spans="2:19">
      <c r="C30" s="208"/>
      <c r="D30" s="208"/>
      <c r="E30" s="208"/>
      <c r="F30" s="208"/>
      <c r="K30" s="56" t="s">
        <v>42</v>
      </c>
      <c r="L30" s="235"/>
      <c r="M30" s="204">
        <f t="shared" si="8"/>
        <v>0</v>
      </c>
      <c r="N30" s="236"/>
      <c r="O30" s="237"/>
      <c r="P30" s="216" t="str">
        <f t="shared" si="9"/>
        <v>-</v>
      </c>
      <c r="R30" s="193" t="s">
        <v>43</v>
      </c>
      <c r="S30" s="221" t="s">
        <v>55</v>
      </c>
    </row>
    <row r="31" spans="2:19">
      <c r="C31" s="208"/>
      <c r="D31" s="208"/>
      <c r="E31" s="208"/>
      <c r="F31" s="208"/>
      <c r="K31" s="56" t="s">
        <v>45</v>
      </c>
      <c r="L31" s="235"/>
      <c r="M31" s="204">
        <f t="shared" si="8"/>
        <v>0</v>
      </c>
      <c r="N31" s="236"/>
      <c r="O31" s="237"/>
      <c r="P31" s="216" t="str">
        <f t="shared" si="9"/>
        <v>-</v>
      </c>
      <c r="R31" s="219" t="s">
        <v>46</v>
      </c>
      <c r="S31" s="263" t="s">
        <v>56</v>
      </c>
    </row>
    <row r="32" spans="2:19">
      <c r="C32" s="208"/>
      <c r="D32" s="208"/>
      <c r="E32" s="208"/>
      <c r="F32" s="208"/>
      <c r="K32" s="126" t="s">
        <v>48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5B6B682C-B810-49AD-BD00-D78F0587DB02}"/>
    <hyperlink ref="S31" r:id="rId2" xr:uid="{FF871185-3844-4D2E-9C06-566541518BBE}"/>
    <hyperlink ref="S22" r:id="rId3" xr:uid="{16D275F8-673C-4358-BEED-EC0D1E0B3938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pane="bottomLeft" activeCell="E8" sqref="E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Lenox Village Nashville</v>
      </c>
    </row>
    <row r="2" spans="1:17" s="142" customFormat="1" ht="19.899999999999999">
      <c r="A2" s="146" t="s">
        <v>57</v>
      </c>
    </row>
    <row r="6" spans="1:17">
      <c r="B6" s="121" t="s">
        <v>58</v>
      </c>
      <c r="C6" s="122" t="s">
        <v>59</v>
      </c>
      <c r="D6" s="122" t="s">
        <v>60</v>
      </c>
      <c r="E6" s="122" t="s">
        <v>61</v>
      </c>
      <c r="F6" s="122" t="s">
        <v>62</v>
      </c>
      <c r="G6" s="122" t="s">
        <v>63</v>
      </c>
    </row>
    <row r="7" spans="1:17">
      <c r="B7" s="12" t="s">
        <v>64</v>
      </c>
      <c r="C7" s="12"/>
      <c r="D7" s="12"/>
      <c r="E7" s="12"/>
      <c r="F7" s="12"/>
      <c r="G7" s="12"/>
      <c r="M7" s="158" t="s">
        <v>65</v>
      </c>
      <c r="N7" s="122" t="s">
        <v>60</v>
      </c>
      <c r="O7" s="122" t="s">
        <v>61</v>
      </c>
      <c r="P7" s="122" t="s">
        <v>62</v>
      </c>
      <c r="Q7" s="122" t="s">
        <v>63</v>
      </c>
    </row>
    <row r="8" spans="1:17">
      <c r="B8" t="s">
        <v>66</v>
      </c>
      <c r="C8" s="24" t="s">
        <v>64</v>
      </c>
      <c r="D8" s="52">
        <f>E8*'Unit Mix_vm'!$D$15</f>
        <v>7000000</v>
      </c>
      <c r="E8" s="244">
        <v>28000</v>
      </c>
      <c r="F8" s="37">
        <f>IFERROR(E8/'Unit Mix_vm'!$F$15,0)</f>
        <v>31.111111111111111</v>
      </c>
      <c r="G8" s="25">
        <f ca="1">+IFERROR(D8/D$86,0)</f>
        <v>0.11587523682539991</v>
      </c>
      <c r="M8" s="28" t="s">
        <v>67</v>
      </c>
    </row>
    <row r="9" spans="1:17">
      <c r="D9" s="14"/>
      <c r="E9" s="14"/>
      <c r="F9" s="14"/>
      <c r="M9" t="s">
        <v>68</v>
      </c>
      <c r="N9" s="52">
        <f ca="1">N41</f>
        <v>24163920.408801608</v>
      </c>
      <c r="O9" s="37">
        <f ca="1">IFERROR(N9/'Unit Mix_vm'!$D$15,0)</f>
        <v>96655.681635206434</v>
      </c>
      <c r="P9" s="37">
        <f ca="1">IFERROR(O9/'Unit Mix_vm'!$F$15,0)</f>
        <v>107.39520181689603</v>
      </c>
      <c r="Q9" s="25">
        <f ca="1">IFERROR(N9/N$12,0)</f>
        <v>0.40000000000000008</v>
      </c>
    </row>
    <row r="10" spans="1:17">
      <c r="B10" s="12" t="s">
        <v>69</v>
      </c>
      <c r="C10" s="12"/>
      <c r="D10" s="15"/>
      <c r="E10" s="15"/>
      <c r="F10" s="15"/>
      <c r="G10" s="12"/>
      <c r="M10" t="s">
        <v>70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71</v>
      </c>
      <c r="C11" s="24" t="s">
        <v>72</v>
      </c>
      <c r="D11" s="52">
        <f ca="1">+IF(Global!$C$16="On",0,I11*$N$11)</f>
        <v>181229.40306601202</v>
      </c>
      <c r="E11" s="37">
        <f ca="1">IFERROR(D11/'Unit Mix_vm'!$D$15,0)</f>
        <v>724.9176122640481</v>
      </c>
      <c r="F11" s="37">
        <f ca="1">IFERROR(E11/'Unit Mix_vm'!$F$15,0)</f>
        <v>0.80546401362672015</v>
      </c>
      <c r="G11" s="25">
        <f t="shared" ref="G11:G23" ca="1" si="1">+IFERROR(D11/D$86,0)</f>
        <v>3.0000000000000001E-3</v>
      </c>
      <c r="I11" s="21">
        <v>5.0000000000000001E-3</v>
      </c>
      <c r="J11" s="20" t="s">
        <v>73</v>
      </c>
      <c r="M11" t="s">
        <v>74</v>
      </c>
      <c r="N11" s="52">
        <f ca="1">+N23</f>
        <v>36245880.613202401</v>
      </c>
      <c r="O11" s="37">
        <f ca="1">IFERROR(N11/'Unit Mix_vm'!$D$15,0)</f>
        <v>144983.52245280962</v>
      </c>
      <c r="P11" s="37">
        <f ca="1">IFERROR(O11/'Unit Mix_vm'!$F$15,0)</f>
        <v>161.09280272534403</v>
      </c>
      <c r="Q11" s="25">
        <f t="shared" ca="1" si="0"/>
        <v>0.6</v>
      </c>
    </row>
    <row r="12" spans="1:17">
      <c r="B12" t="s">
        <v>75</v>
      </c>
      <c r="C12" s="24" t="s">
        <v>72</v>
      </c>
      <c r="D12" s="52">
        <f ca="1">+IF(Global!$C$16="On",0,I12*$N$11)</f>
        <v>271844.104599018</v>
      </c>
      <c r="E12" s="37">
        <f ca="1">IFERROR(D12/'Unit Mix_vm'!$D$15,0)</f>
        <v>1087.376418396072</v>
      </c>
      <c r="F12" s="37">
        <f ca="1">IFERROR(E12/'Unit Mix_vm'!$F$15,0)</f>
        <v>1.2081960204400801</v>
      </c>
      <c r="G12" s="25">
        <f t="shared" ca="1" si="1"/>
        <v>4.4999999999999997E-3</v>
      </c>
      <c r="I12" s="21">
        <v>7.4999999999999997E-3</v>
      </c>
      <c r="J12" s="20" t="s">
        <v>73</v>
      </c>
      <c r="M12" s="3" t="s">
        <v>76</v>
      </c>
      <c r="N12" s="13">
        <f ca="1">SUM(N9:N11)</f>
        <v>60409801.022004008</v>
      </c>
      <c r="O12" s="13">
        <f ca="1">SUM(O9:O11)</f>
        <v>241639.20408801606</v>
      </c>
      <c r="P12" s="29">
        <f ca="1">SUM(P9:P11)</f>
        <v>268.48800454224005</v>
      </c>
      <c r="Q12" s="26">
        <f ca="1">SUM(Q9:Q11)</f>
        <v>1</v>
      </c>
    </row>
    <row r="13" spans="1:17">
      <c r="B13" t="s">
        <v>77</v>
      </c>
      <c r="C13" s="24" t="s">
        <v>72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78</v>
      </c>
      <c r="C14" s="24" t="s">
        <v>72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79</v>
      </c>
      <c r="M14" s="28" t="s">
        <v>80</v>
      </c>
    </row>
    <row r="15" spans="1:17">
      <c r="B15" t="s">
        <v>81</v>
      </c>
      <c r="C15" s="24" t="s">
        <v>72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79</v>
      </c>
      <c r="M15" t="s">
        <v>64</v>
      </c>
      <c r="N15" s="14">
        <f>+SUMIF($C$8:$C$86,$M15,$D$8:$D$86)</f>
        <v>7000000</v>
      </c>
      <c r="O15" s="37">
        <f>IFERROR(N15/'Unit Mix_vm'!$D$15,0)</f>
        <v>28000</v>
      </c>
      <c r="P15" s="37">
        <f>IFERROR(O15/'Unit Mix_vm'!$F$15,0)</f>
        <v>31.111111111111111</v>
      </c>
      <c r="Q15" s="25">
        <f ca="1">IFERROR(N15/N$18,0)</f>
        <v>0.11587523682539991</v>
      </c>
    </row>
    <row r="16" spans="1:17">
      <c r="B16" t="s">
        <v>82</v>
      </c>
      <c r="C16" s="24" t="s">
        <v>72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83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0.67869781569162801</v>
      </c>
    </row>
    <row r="17" spans="2:17">
      <c r="B17" t="s">
        <v>84</v>
      </c>
      <c r="C17" s="24" t="s">
        <v>72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85</v>
      </c>
      <c r="M17" t="s">
        <v>72</v>
      </c>
      <c r="N17" s="14">
        <f ca="1">+SUMIF($C$8:$C$86,$M17,$D$8:$D$86)</f>
        <v>12409801.022004005</v>
      </c>
      <c r="O17" s="37">
        <f ca="1">IFERROR(N17/'Unit Mix_vm'!$D$15,0)</f>
        <v>49639.20408801602</v>
      </c>
      <c r="P17" s="37">
        <f ca="1">IFERROR(O17/'Unit Mix_vm'!$F$15,0)</f>
        <v>55.154671208906692</v>
      </c>
      <c r="Q17" s="25">
        <f t="shared" ca="1" si="2"/>
        <v>0.20542694748297199</v>
      </c>
    </row>
    <row r="18" spans="2:17">
      <c r="B18" t="s">
        <v>86</v>
      </c>
      <c r="C18" s="24" t="s">
        <v>72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85</v>
      </c>
      <c r="M18" s="3" t="s">
        <v>87</v>
      </c>
      <c r="N18" s="13">
        <f ca="1">SUM(N15:N17)</f>
        <v>60409801.022004008</v>
      </c>
      <c r="O18" s="29">
        <f ca="1">SUM(O15:O17)</f>
        <v>241639.20408801601</v>
      </c>
      <c r="P18" s="29">
        <f ca="1">SUM(P15:P17)</f>
        <v>268.48800454224005</v>
      </c>
      <c r="Q18" s="26">
        <f ca="1">SUM(Q15:Q17)</f>
        <v>0.99999999999999989</v>
      </c>
    </row>
    <row r="19" spans="2:17">
      <c r="B19" t="s">
        <v>88</v>
      </c>
      <c r="C19" s="24" t="s">
        <v>72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89</v>
      </c>
      <c r="C20" s="24" t="s">
        <v>72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4.9660815782314243E-3</v>
      </c>
      <c r="M20" s="1"/>
    </row>
    <row r="21" spans="2:17">
      <c r="B21" t="s">
        <v>90</v>
      </c>
      <c r="C21" s="24" t="s">
        <v>72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4.9660815782314243E-3</v>
      </c>
      <c r="M21" s="158" t="s">
        <v>91</v>
      </c>
      <c r="N21" s="122"/>
      <c r="O21" s="122"/>
      <c r="P21" s="122"/>
      <c r="Q21" s="122"/>
    </row>
    <row r="22" spans="2:17">
      <c r="B22" t="s">
        <v>92</v>
      </c>
      <c r="C22" s="24" t="s">
        <v>72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2.4830407891157123E-2</v>
      </c>
      <c r="M22" s="55" t="s">
        <v>74</v>
      </c>
    </row>
    <row r="23" spans="2:17">
      <c r="B23" t="s">
        <v>93</v>
      </c>
      <c r="C23" s="24" t="s">
        <v>72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74</v>
      </c>
      <c r="N23" s="36">
        <f ca="1">D86*N24</f>
        <v>36245880.613202401</v>
      </c>
    </row>
    <row r="24" spans="2:17">
      <c r="B24" s="3" t="s">
        <v>94</v>
      </c>
      <c r="C24" s="3"/>
      <c r="D24" s="13">
        <f ca="1">+SUM(D11:D23)</f>
        <v>2553073.5076650297</v>
      </c>
      <c r="E24" s="13">
        <f ca="1">SUM(E11:E23)</f>
        <v>10212.294030660119</v>
      </c>
      <c r="F24" s="13">
        <f ca="1">SUM(F11:F23)</f>
        <v>11.346993367400135</v>
      </c>
      <c r="G24" s="26">
        <f ca="1">SUM(G11:G23)</f>
        <v>4.2262571047619976E-2</v>
      </c>
      <c r="M24" t="s">
        <v>95</v>
      </c>
      <c r="N24" s="44">
        <v>0.6</v>
      </c>
    </row>
    <row r="25" spans="2:17">
      <c r="D25" s="14"/>
      <c r="E25" s="14"/>
      <c r="F25" s="14"/>
      <c r="M25" t="s">
        <v>96</v>
      </c>
      <c r="N25" s="49">
        <f ca="1">IFERROR('Pro-Forma_vm'!$C$39/Budget_vm!N23,0)</f>
        <v>8.763010877580478E-2</v>
      </c>
      <c r="O25" s="53"/>
    </row>
    <row r="26" spans="2:17">
      <c r="B26" s="12" t="s">
        <v>97</v>
      </c>
      <c r="C26" s="12"/>
      <c r="D26" s="15"/>
      <c r="E26" s="15"/>
      <c r="F26" s="15"/>
      <c r="G26" s="12"/>
      <c r="O26" s="54"/>
    </row>
    <row r="27" spans="2:17">
      <c r="B27" t="s">
        <v>98</v>
      </c>
      <c r="C27" s="24" t="s">
        <v>72</v>
      </c>
      <c r="D27" s="52">
        <f ca="1">I27*(D86-D8)</f>
        <v>1602294.0306601203</v>
      </c>
      <c r="E27" s="37">
        <f ca="1">IFERROR(D27/'Unit Mix_vm'!$D$15,0)</f>
        <v>6409.1761226404815</v>
      </c>
      <c r="F27" s="37">
        <f ca="1">IFERROR(E27/'Unit Mix_vm'!$F$15,0)</f>
        <v>7.1213068029338684</v>
      </c>
      <c r="G27" s="25">
        <f t="shared" ref="G27:G29" ca="1" si="3">+IFERROR(D27/D$86,0)</f>
        <v>2.6523742895238005E-2</v>
      </c>
      <c r="I27" s="21">
        <v>0.03</v>
      </c>
      <c r="J27" s="20" t="s">
        <v>99</v>
      </c>
      <c r="K27" s="20"/>
      <c r="M27" t="s">
        <v>100</v>
      </c>
      <c r="N27" s="45">
        <v>0.04</v>
      </c>
    </row>
    <row r="28" spans="2:17">
      <c r="B28" t="s">
        <v>101</v>
      </c>
      <c r="C28" s="24" t="s">
        <v>72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5.9592978938777094E-3</v>
      </c>
      <c r="I28" s="21">
        <v>0.01</v>
      </c>
      <c r="J28" s="20" t="s">
        <v>102</v>
      </c>
      <c r="K28" s="20"/>
      <c r="M28" t="s">
        <v>103</v>
      </c>
      <c r="N28" s="45">
        <v>0.03</v>
      </c>
      <c r="O28" s="30"/>
    </row>
    <row r="29" spans="2:17">
      <c r="B29" t="s">
        <v>104</v>
      </c>
      <c r="C29" s="24" t="s">
        <v>72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4.9660815782314243E-3</v>
      </c>
      <c r="M29" s="3" t="s">
        <v>105</v>
      </c>
      <c r="N29" s="47">
        <f>SUM(N27:N28)</f>
        <v>7.0000000000000007E-2</v>
      </c>
    </row>
    <row r="30" spans="2:17">
      <c r="B30" s="3" t="s">
        <v>106</v>
      </c>
      <c r="C30" s="3"/>
      <c r="D30" s="13">
        <f ca="1">+SUM(D27:D29)</f>
        <v>2262294.0306601203</v>
      </c>
      <c r="E30" s="13">
        <f ca="1">SUM(E27:E29)</f>
        <v>9049.1761226404815</v>
      </c>
      <c r="F30" s="13">
        <f ca="1">SUM(F27:F29)</f>
        <v>10.054640136267203</v>
      </c>
      <c r="G30" s="26">
        <f ca="1">SUM(G27:G29)</f>
        <v>3.744912236734714E-2</v>
      </c>
    </row>
    <row r="31" spans="2:17">
      <c r="D31" s="14"/>
      <c r="E31" s="14"/>
      <c r="F31" s="14"/>
      <c r="M31" t="s">
        <v>107</v>
      </c>
      <c r="N31" s="32">
        <v>21</v>
      </c>
      <c r="O31" s="30"/>
    </row>
    <row r="32" spans="2:17">
      <c r="B32" s="12" t="s">
        <v>108</v>
      </c>
      <c r="C32" s="12"/>
      <c r="D32" s="15"/>
      <c r="E32" s="15"/>
      <c r="F32" s="15"/>
      <c r="G32" s="12"/>
      <c r="M32" t="s">
        <v>109</v>
      </c>
      <c r="N32" s="44">
        <v>0.5</v>
      </c>
    </row>
    <row r="33" spans="2:22">
      <c r="B33" t="s">
        <v>110</v>
      </c>
      <c r="C33" s="24" t="s">
        <v>72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4.9660815782314243E-3</v>
      </c>
      <c r="M33" t="s">
        <v>111</v>
      </c>
      <c r="N33" s="36">
        <f ca="1">+N23*N29*N31*N32/12</f>
        <v>2220060.1875586472</v>
      </c>
    </row>
    <row r="34" spans="2:22">
      <c r="B34" t="s">
        <v>112</v>
      </c>
      <c r="C34" s="24" t="s">
        <v>72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6.6214421043085661E-3</v>
      </c>
      <c r="O34" s="42"/>
      <c r="U34" s="136" t="s">
        <v>113</v>
      </c>
      <c r="V34" s="137"/>
    </row>
    <row r="35" spans="2:22">
      <c r="B35" t="s">
        <v>114</v>
      </c>
      <c r="C35" s="24" t="s">
        <v>72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73</v>
      </c>
      <c r="K35" s="20"/>
      <c r="M35" s="55" t="s">
        <v>70</v>
      </c>
      <c r="U35" s="131" t="s">
        <v>115</v>
      </c>
      <c r="V35" s="138">
        <v>0.45</v>
      </c>
    </row>
    <row r="36" spans="2:22">
      <c r="B36" t="s">
        <v>116</v>
      </c>
      <c r="C36" s="24" t="s">
        <v>72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8.2768026303857076E-4</v>
      </c>
      <c r="M36" t="s">
        <v>70</v>
      </c>
      <c r="N36" s="36">
        <f ca="1">D86*N37-N23</f>
        <v>0</v>
      </c>
      <c r="U36" s="5"/>
      <c r="V36" s="132"/>
    </row>
    <row r="37" spans="2:22">
      <c r="B37" t="s">
        <v>117</v>
      </c>
      <c r="C37" s="24" t="s">
        <v>72</v>
      </c>
      <c r="D37" s="52">
        <f ca="1">I37*D86</f>
        <v>41682.762705182766</v>
      </c>
      <c r="E37" s="37">
        <f ca="1">IFERROR(D37/'Unit Mix_vm'!$D$15,0)</f>
        <v>166.73105082073107</v>
      </c>
      <c r="F37" s="37">
        <f ca="1">IFERROR(E37/'Unit Mix_vm'!$F$15,0)</f>
        <v>0.18525672313414562</v>
      </c>
      <c r="G37" s="25">
        <f t="shared" ca="1" si="4"/>
        <v>6.8999999999999997E-4</v>
      </c>
      <c r="I37" s="21">
        <v>6.8999999999999997E-4</v>
      </c>
      <c r="J37" s="20" t="s">
        <v>99</v>
      </c>
      <c r="M37" t="s">
        <v>118</v>
      </c>
      <c r="N37" s="44">
        <f>+N24</f>
        <v>0.6</v>
      </c>
      <c r="U37" s="5" t="s">
        <v>119</v>
      </c>
      <c r="V37" s="133">
        <f>N16</f>
        <v>41000000</v>
      </c>
    </row>
    <row r="38" spans="2:22">
      <c r="B38" t="s">
        <v>120</v>
      </c>
      <c r="C38" s="24" t="s">
        <v>72</v>
      </c>
      <c r="D38" s="52">
        <f ca="1">(((V40/100)*V35)*2)+60000</f>
        <v>584158.20919803611</v>
      </c>
      <c r="E38" s="52">
        <f ca="1">IFERROR(D38/'Unit Mix_vm'!$D$15,0)</f>
        <v>2336.6328367921446</v>
      </c>
      <c r="F38" s="52">
        <f ca="1">IFERROR(E38/'Unit Mix_vm'!$F$15,0)</f>
        <v>2.5962587075468275</v>
      </c>
      <c r="G38" s="139">
        <f t="shared" ca="1" si="4"/>
        <v>9.6699244049034197E-3</v>
      </c>
      <c r="M38" t="s">
        <v>121</v>
      </c>
      <c r="N38" s="49">
        <f ca="1">IFERROR('Pro-Forma_vm'!$C$39/SUM(N36,N23),0)</f>
        <v>8.763010877580478E-2</v>
      </c>
      <c r="U38" s="5" t="s">
        <v>122</v>
      </c>
      <c r="V38" s="133">
        <f t="shared" ref="V38" ca="1" si="5">N17</f>
        <v>12409801.022004005</v>
      </c>
    </row>
    <row r="39" spans="2:22">
      <c r="B39" t="s">
        <v>123</v>
      </c>
      <c r="C39" s="24" t="s">
        <v>72</v>
      </c>
      <c r="D39" s="52">
        <f>((V45/1000)*V43)+30000</f>
        <v>100602.46067543585</v>
      </c>
      <c r="E39" s="52">
        <f>IFERROR(D39/'Unit Mix_vm'!$D$15,0)</f>
        <v>402.4098427017434</v>
      </c>
      <c r="F39" s="52">
        <f>IFERROR(E39/'Unit Mix_vm'!$F$15,0)</f>
        <v>0.44712204744638157</v>
      </c>
      <c r="G39" s="139">
        <f t="shared" ref="G39" ca="1" si="6">+IFERROR(D39/D$86,0)</f>
        <v>1.6653334222834445E-3</v>
      </c>
      <c r="N39" s="49"/>
      <c r="U39" s="5" t="s">
        <v>124</v>
      </c>
      <c r="V39" s="133">
        <f>'Unit Mix_vm'!D15*'Unit Mix_vm'!G15*12</f>
        <v>4830000</v>
      </c>
    </row>
    <row r="40" spans="2:22">
      <c r="B40" t="s">
        <v>125</v>
      </c>
      <c r="C40" s="24" t="s">
        <v>72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68</v>
      </c>
      <c r="U40" s="134" t="s">
        <v>48</v>
      </c>
      <c r="V40" s="135">
        <f ca="1">SUM(V37:V39)</f>
        <v>58239801.022004008</v>
      </c>
    </row>
    <row r="41" spans="2:22">
      <c r="B41" t="s">
        <v>126</v>
      </c>
      <c r="C41" s="24" t="s">
        <v>72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8.2768026303857076E-4</v>
      </c>
      <c r="M41" t="s">
        <v>127</v>
      </c>
      <c r="N41" s="58">
        <f ca="1">D86-N23-N36</f>
        <v>24163920.408801608</v>
      </c>
      <c r="U41" s="4"/>
      <c r="V41" s="4"/>
    </row>
    <row r="42" spans="2:22">
      <c r="B42" t="s">
        <v>128</v>
      </c>
      <c r="C42" s="24" t="s">
        <v>72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129</v>
      </c>
      <c r="V42" s="137"/>
    </row>
    <row r="43" spans="2:22">
      <c r="B43" s="3" t="s">
        <v>130</v>
      </c>
      <c r="C43" s="3"/>
      <c r="D43" s="13">
        <f ca="1">+SUM(D33:D42)</f>
        <v>1526443.4325786547</v>
      </c>
      <c r="E43" s="13">
        <f ca="1">SUM(E33:E42)</f>
        <v>6105.7737303146187</v>
      </c>
      <c r="F43" s="13">
        <f ca="1">SUM(F33:F42)</f>
        <v>6.7841930336829099</v>
      </c>
      <c r="G43" s="26">
        <f ca="1">SUM(G33:G42)</f>
        <v>2.5268142035803999E-2</v>
      </c>
      <c r="M43" t="s">
        <v>131</v>
      </c>
      <c r="N43" s="34">
        <f ca="1">+N41*0.1</f>
        <v>2416392.0408801609</v>
      </c>
      <c r="O43" s="46">
        <f ca="1">+N43/N41</f>
        <v>0.1</v>
      </c>
      <c r="U43" s="5" t="s">
        <v>115</v>
      </c>
      <c r="V43" s="159">
        <v>1.1000000000000001</v>
      </c>
    </row>
    <row r="44" spans="2:22">
      <c r="D44" s="14"/>
      <c r="E44" s="14"/>
      <c r="F44" s="14"/>
      <c r="M44" t="s">
        <v>132</v>
      </c>
      <c r="N44" s="36">
        <f ca="1">+N41-N43</f>
        <v>21747528.367921446</v>
      </c>
      <c r="O44" s="51">
        <f ca="1">1-O43</f>
        <v>0.9</v>
      </c>
      <c r="U44" s="5" t="s">
        <v>133</v>
      </c>
      <c r="V44" s="160">
        <v>5.2499999999999998E-2</v>
      </c>
    </row>
    <row r="45" spans="2:22">
      <c r="B45" s="12" t="s">
        <v>134</v>
      </c>
      <c r="C45" s="12"/>
      <c r="D45" s="15"/>
      <c r="E45" s="15"/>
      <c r="F45" s="15"/>
      <c r="G45" s="12"/>
      <c r="U45" s="161" t="s">
        <v>135</v>
      </c>
      <c r="V45" s="162">
        <f>(('Pro-Forma_vm'!C39*1.03*1.03)/Budget_vm!V44)</f>
        <v>64184055.159487136</v>
      </c>
    </row>
    <row r="46" spans="2:22">
      <c r="B46" t="s">
        <v>136</v>
      </c>
      <c r="C46" s="24" t="s">
        <v>72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9.9321631564628487E-3</v>
      </c>
    </row>
    <row r="47" spans="2:22">
      <c r="B47" t="s">
        <v>137</v>
      </c>
      <c r="C47" s="24" t="s">
        <v>72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1.2415203945578561E-3</v>
      </c>
    </row>
    <row r="48" spans="2:22">
      <c r="B48" t="s">
        <v>138</v>
      </c>
      <c r="C48" s="24" t="s">
        <v>72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1.2415203945578561E-3</v>
      </c>
    </row>
    <row r="49" spans="2:7">
      <c r="B49" t="s">
        <v>139</v>
      </c>
      <c r="C49" s="24" t="s">
        <v>72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6.2076019727892806E-3</v>
      </c>
    </row>
    <row r="50" spans="2:7">
      <c r="B50" t="s">
        <v>140</v>
      </c>
      <c r="C50" s="24" t="s">
        <v>72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141</v>
      </c>
      <c r="C51" s="24" t="s">
        <v>72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2.4830407891157122E-3</v>
      </c>
    </row>
    <row r="52" spans="2:7">
      <c r="B52" t="s">
        <v>142</v>
      </c>
      <c r="C52" s="24" t="s">
        <v>72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9.9321631564628504E-4</v>
      </c>
    </row>
    <row r="53" spans="2:7">
      <c r="B53" t="s">
        <v>143</v>
      </c>
      <c r="C53" s="24" t="s">
        <v>72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4.9660815782314243E-3</v>
      </c>
    </row>
    <row r="54" spans="2:7">
      <c r="B54" t="s">
        <v>144</v>
      </c>
      <c r="C54" s="24" t="s">
        <v>72</v>
      </c>
      <c r="D54" s="52">
        <f>E54*'Unit Mix_vm'!$D$15</f>
        <v>750000</v>
      </c>
      <c r="E54" s="76">
        <v>3000</v>
      </c>
      <c r="F54" s="37">
        <f>IFERROR(E54/'Unit Mix_vm'!$F$15,0)</f>
        <v>3.3333333333333335</v>
      </c>
      <c r="G54" s="25">
        <f t="shared" ca="1" si="7"/>
        <v>1.2415203945578561E-2</v>
      </c>
    </row>
    <row r="55" spans="2:7">
      <c r="B55" t="s">
        <v>145</v>
      </c>
      <c r="C55" s="24" t="s">
        <v>72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4.1384013151928538E-4</v>
      </c>
    </row>
    <row r="56" spans="2:7">
      <c r="B56" t="s">
        <v>146</v>
      </c>
      <c r="C56" s="24" t="s">
        <v>72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8.2768026303857087E-3</v>
      </c>
    </row>
    <row r="57" spans="2:7">
      <c r="B57" t="s">
        <v>147</v>
      </c>
      <c r="C57" s="24" t="s">
        <v>72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1.6553605260771415E-3</v>
      </c>
    </row>
    <row r="58" spans="2:7">
      <c r="B58" t="s">
        <v>148</v>
      </c>
      <c r="C58" s="24" t="s">
        <v>72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149</v>
      </c>
      <c r="C59" s="24" t="s">
        <v>72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1.6553605260771415E-3</v>
      </c>
    </row>
    <row r="60" spans="2:7">
      <c r="B60" t="s">
        <v>150</v>
      </c>
      <c r="C60" s="24" t="s">
        <v>72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2.4830407891157122E-3</v>
      </c>
    </row>
    <row r="61" spans="2:7">
      <c r="B61" t="s">
        <v>151</v>
      </c>
      <c r="C61" s="24" t="s">
        <v>72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6.2076019727892804E-4</v>
      </c>
    </row>
    <row r="62" spans="2:7">
      <c r="B62" t="s">
        <v>152</v>
      </c>
      <c r="C62" s="24" t="s">
        <v>72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1.6553605260771415E-3</v>
      </c>
    </row>
    <row r="63" spans="2:7">
      <c r="B63" t="s">
        <v>153</v>
      </c>
      <c r="C63" s="24" t="s">
        <v>72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154</v>
      </c>
      <c r="C64" s="3"/>
      <c r="D64" s="13">
        <f>+SUM(D46:D63)</f>
        <v>3397500</v>
      </c>
      <c r="E64" s="13">
        <f>SUM(E46:E63)</f>
        <v>13590</v>
      </c>
      <c r="F64" s="13">
        <f>SUM(F46:F63)</f>
        <v>15.1</v>
      </c>
      <c r="G64" s="26">
        <f ca="1">SUM(G46:G63)</f>
        <v>5.6240873873470883E-2</v>
      </c>
    </row>
    <row r="65" spans="2:7">
      <c r="D65" s="14"/>
      <c r="E65" s="14"/>
      <c r="F65" s="14"/>
    </row>
    <row r="66" spans="2:7">
      <c r="B66" s="12" t="s">
        <v>83</v>
      </c>
      <c r="C66" s="12"/>
      <c r="D66" s="15"/>
      <c r="E66" s="15"/>
      <c r="F66" s="15"/>
      <c r="G66" s="12"/>
    </row>
    <row r="67" spans="2:7">
      <c r="B67" t="s">
        <v>155</v>
      </c>
      <c r="C67" s="24" t="s">
        <v>83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0.59592978938777097</v>
      </c>
    </row>
    <row r="68" spans="2:7">
      <c r="B68" t="s">
        <v>156</v>
      </c>
      <c r="C68" s="24" t="s">
        <v>83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157</v>
      </c>
      <c r="C69" s="24" t="s">
        <v>83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158</v>
      </c>
      <c r="C70" s="24" t="s">
        <v>83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8.2768026303857073E-2</v>
      </c>
    </row>
    <row r="71" spans="2:7">
      <c r="B71" t="s">
        <v>159</v>
      </c>
      <c r="C71" s="24" t="s">
        <v>83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160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0.67869781569162801</v>
      </c>
    </row>
    <row r="73" spans="2:7">
      <c r="D73" s="14"/>
      <c r="E73" s="14"/>
      <c r="F73" s="14"/>
    </row>
    <row r="74" spans="2:7">
      <c r="B74" s="12" t="s">
        <v>161</v>
      </c>
      <c r="C74" s="12"/>
      <c r="D74" s="15"/>
      <c r="E74" s="15"/>
      <c r="F74" s="15"/>
      <c r="G74" s="12"/>
    </row>
    <row r="75" spans="2:7">
      <c r="B75" t="s">
        <v>162</v>
      </c>
      <c r="C75" s="24" t="s">
        <v>72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163</v>
      </c>
      <c r="C76" s="24" t="s">
        <v>72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164</v>
      </c>
      <c r="C77" s="24" t="s">
        <v>72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165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166</v>
      </c>
      <c r="C80" s="12"/>
      <c r="D80" s="15"/>
      <c r="E80" s="15"/>
      <c r="F80" s="15"/>
      <c r="G80" s="12"/>
    </row>
    <row r="81" spans="2:11">
      <c r="B81" t="s">
        <v>167</v>
      </c>
      <c r="C81" s="24" t="s">
        <v>72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3.3934890784581402E-2</v>
      </c>
      <c r="I81" s="21">
        <v>0.05</v>
      </c>
      <c r="J81" s="20" t="s">
        <v>168</v>
      </c>
      <c r="K81" s="20"/>
    </row>
    <row r="82" spans="2:11">
      <c r="B82" t="s">
        <v>169</v>
      </c>
      <c r="C82" s="24" t="s">
        <v>72</v>
      </c>
      <c r="D82" s="31">
        <f ca="1">+IF(Global!C16="On",0,I82*N17)</f>
        <v>620490.05110020027</v>
      </c>
      <c r="E82" s="37">
        <f ca="1">IFERROR(D82/'Unit Mix_vm'!$D$15,0)</f>
        <v>2481.9602044008011</v>
      </c>
      <c r="F82" s="37">
        <f ca="1">IFERROR(E82/'Unit Mix_vm'!$F$15,0)</f>
        <v>2.7577335604453346</v>
      </c>
      <c r="G82" s="25">
        <f t="shared" ca="1" si="10"/>
        <v>1.0271347374148599E-2</v>
      </c>
      <c r="I82" s="21">
        <v>0.05</v>
      </c>
      <c r="J82" s="20" t="s">
        <v>170</v>
      </c>
      <c r="K82" s="20"/>
    </row>
    <row r="83" spans="2:11">
      <c r="B83" t="s">
        <v>171</v>
      </c>
      <c r="C83" s="24" t="s">
        <v>72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172</v>
      </c>
      <c r="C84" s="3"/>
      <c r="D84" s="13">
        <f ca="1">+SUM(D81:D83)</f>
        <v>2670490.0511002</v>
      </c>
      <c r="E84" s="13">
        <f ca="1">SUM(E81:E83)</f>
        <v>10681.960204400801</v>
      </c>
      <c r="F84" s="13">
        <f ca="1">SUM(F81:F83)</f>
        <v>11.868844671556445</v>
      </c>
      <c r="G84" s="26">
        <f ca="1">SUM(G81:G83)</f>
        <v>4.4206238158730003E-2</v>
      </c>
    </row>
    <row r="86" spans="2:11">
      <c r="B86" s="17" t="s">
        <v>173</v>
      </c>
      <c r="C86" s="22"/>
      <c r="D86" s="18">
        <f ca="1">+SUM(D84,D78,D72,D64,D43,D30,D24,D8)</f>
        <v>60409801.022004008</v>
      </c>
      <c r="E86" s="19">
        <f ca="1">+SUM(E84,E78,E72,E64,E43,E30,E24,E8)</f>
        <v>241639.20408801603</v>
      </c>
      <c r="F86" s="19">
        <f ca="1">+SUM(F84,F78,F72,F64,F43,F30,F24,F8)</f>
        <v>268.48800454223999</v>
      </c>
      <c r="G86" s="27">
        <f ca="1">+SUM(G84,G78,G72,G64,G43,G30,G24,G8)</f>
        <v>0.99999999999999989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12" zoomScale="70" zoomScaleNormal="70" workbookViewId="0">
      <selection activeCell="S8" sqref="S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Lenox Village Nashville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174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175</v>
      </c>
      <c r="D6" s="167"/>
    </row>
    <row r="7" spans="1:20">
      <c r="B7" s="168"/>
      <c r="C7" s="169" t="s">
        <v>60</v>
      </c>
      <c r="D7" s="169" t="s">
        <v>176</v>
      </c>
      <c r="F7" s="140" t="s">
        <v>177</v>
      </c>
      <c r="G7" s="141"/>
      <c r="I7" s="140" t="s">
        <v>178</v>
      </c>
      <c r="J7" s="156" t="s">
        <v>179</v>
      </c>
      <c r="K7" s="156" t="s">
        <v>180</v>
      </c>
      <c r="L7" s="156" t="s">
        <v>35</v>
      </c>
      <c r="M7" s="156" t="s">
        <v>181</v>
      </c>
      <c r="N7" s="156" t="s">
        <v>182</v>
      </c>
      <c r="O7" s="156" t="s">
        <v>183</v>
      </c>
      <c r="P7" s="156" t="s">
        <v>184</v>
      </c>
      <c r="Q7" s="156" t="s">
        <v>185</v>
      </c>
      <c r="R7" s="156" t="s">
        <v>186</v>
      </c>
      <c r="S7" s="156" t="s">
        <v>48</v>
      </c>
      <c r="T7" s="157" t="s">
        <v>187</v>
      </c>
    </row>
    <row r="8" spans="1:20">
      <c r="B8" s="68"/>
      <c r="C8" s="64"/>
      <c r="D8" s="57"/>
      <c r="F8" s="56" t="s">
        <v>188</v>
      </c>
      <c r="G8" s="129">
        <f>G9*'Unit Mix_vm'!$D$15</f>
        <v>22072000</v>
      </c>
      <c r="I8" s="239" t="s">
        <v>47</v>
      </c>
      <c r="J8" s="261" t="s">
        <v>179</v>
      </c>
      <c r="K8" s="235">
        <v>209</v>
      </c>
      <c r="L8" s="235">
        <v>2023</v>
      </c>
      <c r="M8" s="235">
        <v>2025</v>
      </c>
      <c r="N8" s="237">
        <f>47277800*40%</f>
        <v>18911120</v>
      </c>
      <c r="O8" s="36">
        <f>N8/$K8</f>
        <v>90483.827751196179</v>
      </c>
      <c r="P8" s="235">
        <v>2.782</v>
      </c>
      <c r="Q8" s="237">
        <v>0</v>
      </c>
      <c r="R8" s="36">
        <f>Q8/$K8</f>
        <v>0</v>
      </c>
      <c r="S8" s="36">
        <f>N8*P8/100+Q8</f>
        <v>526107.35840000003</v>
      </c>
      <c r="T8" s="226">
        <f>S8/$K8</f>
        <v>2517.2600880382774</v>
      </c>
    </row>
    <row r="9" spans="1:20">
      <c r="B9" s="68" t="s">
        <v>189</v>
      </c>
      <c r="C9" s="64">
        <f>+D9*'Unit Mix_vm'!D15*12</f>
        <v>4830000</v>
      </c>
      <c r="D9" s="78">
        <f>+'Unit Mix_vm'!G15</f>
        <v>1610</v>
      </c>
      <c r="F9" s="56" t="s">
        <v>190</v>
      </c>
      <c r="G9" s="243">
        <v>88288</v>
      </c>
      <c r="I9" s="239" t="s">
        <v>52</v>
      </c>
      <c r="J9" s="261" t="s">
        <v>179</v>
      </c>
      <c r="K9" s="235">
        <v>96</v>
      </c>
      <c r="L9" s="235">
        <v>2022</v>
      </c>
      <c r="M9" s="235">
        <v>2025</v>
      </c>
      <c r="N9" s="237">
        <f>16470000*40%</f>
        <v>6588000</v>
      </c>
      <c r="O9" s="36">
        <f>N9/$K9</f>
        <v>68625</v>
      </c>
      <c r="P9" s="235">
        <v>2.782</v>
      </c>
      <c r="Q9" s="237">
        <v>0</v>
      </c>
      <c r="R9" s="36">
        <f>Q9/$K9</f>
        <v>0</v>
      </c>
      <c r="S9" s="36">
        <f t="shared" ref="S9" si="0">N9*P9/100+Q9</f>
        <v>183278.16</v>
      </c>
      <c r="T9" s="226">
        <f>S9/$K9</f>
        <v>1909.1475</v>
      </c>
    </row>
    <row r="10" spans="1:20">
      <c r="B10" s="68" t="s">
        <v>191</v>
      </c>
      <c r="C10" s="80">
        <f>-D10*C9</f>
        <v>0</v>
      </c>
      <c r="D10" s="254">
        <v>0</v>
      </c>
      <c r="F10" s="56"/>
      <c r="G10" s="57"/>
      <c r="I10" s="240" t="s">
        <v>56</v>
      </c>
      <c r="J10" s="262" t="s">
        <v>179</v>
      </c>
      <c r="K10" s="241">
        <v>180</v>
      </c>
      <c r="L10" s="241">
        <v>2023</v>
      </c>
      <c r="M10" s="241">
        <v>2025</v>
      </c>
      <c r="N10" s="242">
        <f>47589300*40%</f>
        <v>19035720</v>
      </c>
      <c r="O10" s="223">
        <f>N10/$K10</f>
        <v>105754</v>
      </c>
      <c r="P10" s="241">
        <v>2.8140000000000001</v>
      </c>
      <c r="Q10" s="242">
        <v>0</v>
      </c>
      <c r="R10" s="223">
        <f>Q10/$K10</f>
        <v>0</v>
      </c>
      <c r="S10" s="223">
        <f t="shared" ref="S10" si="1">N10*P10/100+Q10</f>
        <v>535665.16079999995</v>
      </c>
      <c r="T10" s="232">
        <f>S10/$K10</f>
        <v>2975.9175599999999</v>
      </c>
    </row>
    <row r="11" spans="1:20">
      <c r="B11" s="68" t="s">
        <v>192</v>
      </c>
      <c r="C11" s="80">
        <f>-D11*C9</f>
        <v>-19320</v>
      </c>
      <c r="D11" s="254">
        <f>1/'Unit Mix_vm'!$D$15</f>
        <v>4.0000000000000001E-3</v>
      </c>
      <c r="F11" s="56" t="s">
        <v>193</v>
      </c>
      <c r="G11" s="238">
        <v>2.7926666670000002</v>
      </c>
    </row>
    <row r="12" spans="1:20">
      <c r="B12" s="69" t="s">
        <v>194</v>
      </c>
      <c r="C12" s="65">
        <f>SUM(C9:C11)</f>
        <v>4810680</v>
      </c>
      <c r="D12" s="72">
        <f>IFERROR(C12/'Unit Mix_vm'!$D$15/12,0)</f>
        <v>1603.5600000000002</v>
      </c>
      <c r="F12" s="56" t="s">
        <v>195</v>
      </c>
      <c r="G12" s="129">
        <f>G13*'Unit Mix_vm'!$D$15</f>
        <v>0</v>
      </c>
    </row>
    <row r="13" spans="1:20">
      <c r="B13" s="68"/>
      <c r="C13" s="64"/>
      <c r="D13" s="57"/>
      <c r="F13" s="56" t="s">
        <v>196</v>
      </c>
      <c r="G13" s="243">
        <v>0</v>
      </c>
    </row>
    <row r="14" spans="1:20">
      <c r="B14" s="68" t="s">
        <v>197</v>
      </c>
      <c r="C14" s="64">
        <f>+D14*'Unit Mix_vm'!$D$15*12</f>
        <v>597120</v>
      </c>
      <c r="D14" s="129">
        <f>$N$57</f>
        <v>199.04</v>
      </c>
      <c r="F14" s="56" t="s">
        <v>198</v>
      </c>
      <c r="G14" s="254">
        <v>0</v>
      </c>
      <c r="I14" s="123" t="s">
        <v>199</v>
      </c>
      <c r="J14" s="178"/>
      <c r="K14" s="124"/>
      <c r="L14" s="124" t="s">
        <v>200</v>
      </c>
      <c r="M14" s="124" t="s">
        <v>48</v>
      </c>
      <c r="N14" s="125" t="s">
        <v>61</v>
      </c>
    </row>
    <row r="15" spans="1:20">
      <c r="B15" s="68" t="s">
        <v>201</v>
      </c>
      <c r="C15" s="79">
        <v>0</v>
      </c>
      <c r="D15" s="71">
        <f>IFERROR(C15/'Unit Mix_vm'!$D$15/12,0)</f>
        <v>0</v>
      </c>
      <c r="F15" s="56"/>
      <c r="G15" s="57"/>
      <c r="I15" s="189" t="s">
        <v>202</v>
      </c>
      <c r="J15" s="190"/>
      <c r="K15" s="191"/>
      <c r="L15" s="191"/>
      <c r="M15" s="191"/>
      <c r="N15" s="192"/>
    </row>
    <row r="16" spans="1:20">
      <c r="B16" s="69" t="s">
        <v>203</v>
      </c>
      <c r="C16" s="65">
        <f>SUM(C14:C15,C12)</f>
        <v>5407800</v>
      </c>
      <c r="D16" s="72">
        <f>IFERROR(C16/'Unit Mix_vm'!$D$15/12,0)</f>
        <v>1802.6000000000001</v>
      </c>
      <c r="F16" s="56" t="s">
        <v>204</v>
      </c>
      <c r="G16" s="82">
        <f>(G11*G8/100+G12)*(1-G14)</f>
        <v>616397.38674024004</v>
      </c>
      <c r="I16" s="179" t="s">
        <v>205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4">
      <c r="B17" s="68"/>
      <c r="C17" s="64"/>
      <c r="D17" s="57"/>
      <c r="F17" s="56" t="s">
        <v>206</v>
      </c>
      <c r="G17" s="82">
        <f>+G16/'Unit Mix_vm'!$D$15</f>
        <v>2465.58954696096</v>
      </c>
      <c r="I17" s="179" t="s">
        <v>207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-271356</v>
      </c>
      <c r="D18" s="254">
        <v>0.05</v>
      </c>
      <c r="F18" s="56"/>
      <c r="G18" s="57"/>
      <c r="I18" s="179" t="s">
        <v>208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</row>
    <row r="19" spans="2:14">
      <c r="B19" s="68" t="s">
        <v>209</v>
      </c>
      <c r="C19" s="73">
        <f>-D19*SUM(C9,C14,C18)</f>
        <v>-25778.82</v>
      </c>
      <c r="D19" s="254">
        <v>5.0000000000000001E-3</v>
      </c>
      <c r="F19" s="56" t="s">
        <v>210</v>
      </c>
      <c r="G19" s="83">
        <v>0</v>
      </c>
      <c r="I19" s="179" t="s">
        <v>211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4">
      <c r="B20" s="69" t="s">
        <v>212</v>
      </c>
      <c r="C20" s="65">
        <f>SUM(C18:C19,C16)</f>
        <v>5110665.18</v>
      </c>
      <c r="D20" s="255">
        <f>IFERROR(C20/#REF!/12,0)</f>
        <v>0</v>
      </c>
      <c r="F20" s="56"/>
      <c r="G20" s="57"/>
      <c r="I20" s="179" t="s">
        <v>213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</row>
    <row r="21" spans="2:14">
      <c r="B21" s="68"/>
      <c r="C21" s="64"/>
      <c r="D21" s="57"/>
      <c r="F21" s="56" t="s">
        <v>214</v>
      </c>
      <c r="G21" s="84">
        <f>+G16+G19</f>
        <v>616397.38674024004</v>
      </c>
      <c r="I21" s="179" t="s">
        <v>215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</row>
    <row r="22" spans="2:14">
      <c r="B22" s="68" t="s">
        <v>216</v>
      </c>
      <c r="C22" s="73">
        <f>D22*C20</f>
        <v>140543.29244999998</v>
      </c>
      <c r="D22" s="254">
        <v>2.75E-2</v>
      </c>
      <c r="F22" s="59" t="s">
        <v>217</v>
      </c>
      <c r="G22" s="85">
        <f>+G21/'Unit Mix_vm'!$D$15</f>
        <v>2465.58954696096</v>
      </c>
      <c r="I22" s="179" t="s">
        <v>218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219</v>
      </c>
      <c r="C23" s="130">
        <f>G21</f>
        <v>616397.38674024004</v>
      </c>
      <c r="D23" s="82">
        <f>IFERROR(C23/'Unit Mix_vm'!$D$15,0)</f>
        <v>2465.58954696096</v>
      </c>
      <c r="I23" s="179" t="s">
        <v>220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221</v>
      </c>
      <c r="C24" s="73">
        <f>+D24*'Unit Mix_vm'!$D$15</f>
        <v>137500</v>
      </c>
      <c r="D24" s="259">
        <v>550</v>
      </c>
      <c r="I24" s="187" t="s">
        <v>222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</row>
    <row r="25" spans="2:14">
      <c r="B25" s="68" t="s">
        <v>223</v>
      </c>
      <c r="C25" s="73">
        <f>+D25*'Unit Mix_vm'!$D$15</f>
        <v>0</v>
      </c>
      <c r="D25" s="83">
        <v>0</v>
      </c>
      <c r="I25" s="189" t="s">
        <v>224</v>
      </c>
      <c r="J25" s="190"/>
      <c r="K25" s="191"/>
      <c r="L25" s="191"/>
      <c r="M25" s="191"/>
      <c r="N25" s="192"/>
    </row>
    <row r="26" spans="2:14">
      <c r="B26" s="68" t="s">
        <v>225</v>
      </c>
      <c r="C26" s="73">
        <f>+D26*'Unit Mix_vm'!$D$15</f>
        <v>0</v>
      </c>
      <c r="D26" s="83">
        <v>0</v>
      </c>
      <c r="I26" s="179" t="s">
        <v>226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4">
      <c r="B27" s="68" t="s">
        <v>224</v>
      </c>
      <c r="C27" s="73">
        <f>+D27*'Unit Mix_vm'!$D$15</f>
        <v>134400</v>
      </c>
      <c r="D27" s="129">
        <f>N32</f>
        <v>537.6</v>
      </c>
      <c r="I27" s="179" t="s">
        <v>227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4">
      <c r="B28" s="68" t="s">
        <v>202</v>
      </c>
      <c r="C28" s="73">
        <f>+D28*'Unit Mix_vm'!$D$15</f>
        <v>195000</v>
      </c>
      <c r="D28" s="129">
        <f>N24</f>
        <v>780</v>
      </c>
      <c r="I28" s="179" t="s">
        <v>228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4">
      <c r="B29" s="68" t="s">
        <v>229</v>
      </c>
      <c r="C29" s="73">
        <f>+D29*'Unit Mix_vm'!$D$15</f>
        <v>62500</v>
      </c>
      <c r="D29" s="83">
        <v>250</v>
      </c>
      <c r="I29" s="179" t="s">
        <v>230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4">
      <c r="B30" s="68" t="s">
        <v>231</v>
      </c>
      <c r="C30" s="73">
        <f>+D30*'Unit Mix_vm'!$D$15</f>
        <v>62500</v>
      </c>
      <c r="D30" s="83">
        <v>250</v>
      </c>
      <c r="I30" s="179" t="s">
        <v>232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233</v>
      </c>
      <c r="C31" s="73">
        <f>+D31*'Unit Mix_vm'!$D$15</f>
        <v>7500</v>
      </c>
      <c r="D31" s="83">
        <v>30</v>
      </c>
      <c r="I31" s="179" t="s">
        <v>220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234</v>
      </c>
      <c r="C32" s="73">
        <f>+D32*'Unit Mix_vm'!$D$15</f>
        <v>87500</v>
      </c>
      <c r="D32" s="83">
        <v>350</v>
      </c>
      <c r="I32" s="183" t="s">
        <v>235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>
      <c r="B33" s="68" t="s">
        <v>236</v>
      </c>
      <c r="C33" s="73">
        <f>+D33*'Unit Mix_vm'!$D$15</f>
        <v>403094.04</v>
      </c>
      <c r="D33" s="129">
        <f>N46</f>
        <v>1612.37616</v>
      </c>
      <c r="F33" s="30"/>
      <c r="I33" s="189" t="s">
        <v>236</v>
      </c>
      <c r="J33" s="190"/>
      <c r="K33" s="191"/>
      <c r="L33" s="191"/>
      <c r="M33" s="191"/>
      <c r="N33" s="192"/>
    </row>
    <row r="34" spans="2:15">
      <c r="B34" s="68" t="s">
        <v>237</v>
      </c>
      <c r="C34" s="73">
        <f>+D34*'Unit Mix_vm'!$D$15</f>
        <v>50000</v>
      </c>
      <c r="D34" s="83">
        <v>200</v>
      </c>
      <c r="I34" s="193" t="s">
        <v>238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>
      <c r="B35" s="68" t="s">
        <v>239</v>
      </c>
      <c r="C35" s="73">
        <f>+D35*'Unit Mix_vm'!$D$15</f>
        <v>37500</v>
      </c>
      <c r="D35" s="83">
        <v>150</v>
      </c>
      <c r="I35" s="198" t="s">
        <v>240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>
      <c r="B36" s="68" t="s">
        <v>241</v>
      </c>
      <c r="C36" s="73">
        <f>+D36*'Unit Mix_vm'!$D$15</f>
        <v>0</v>
      </c>
      <c r="D36" s="83">
        <v>0</v>
      </c>
      <c r="I36" s="193" t="s">
        <v>242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>
      <c r="B37" s="69" t="s">
        <v>243</v>
      </c>
      <c r="C37" s="65">
        <f>+SUM(C22:C36)</f>
        <v>1934434.7191902399</v>
      </c>
      <c r="D37" s="255">
        <f>IFERROR(C37/'Unit Mix_vm'!$D$15,0)</f>
        <v>7737.73887676096</v>
      </c>
      <c r="I37" s="198" t="s">
        <v>240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>
      <c r="B39" s="68" t="s">
        <v>245</v>
      </c>
      <c r="C39" s="64">
        <f>+C20-C37</f>
        <v>3176230.4608097598</v>
      </c>
      <c r="D39" s="71">
        <f>IFERROR(C39/#REF!,0)</f>
        <v>0</v>
      </c>
      <c r="I39" s="193" t="s">
        <v>246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247</v>
      </c>
      <c r="C40" s="66">
        <f>IFERROR(C39/C20,0)</f>
        <v>0.62149061794139293</v>
      </c>
      <c r="D40" s="57"/>
      <c r="I40" s="193" t="s">
        <v>248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>
      <c r="B41" s="56"/>
      <c r="C41" s="56"/>
      <c r="D41" s="57"/>
      <c r="I41" s="198" t="s">
        <v>240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>
      <c r="B42" s="62" t="s">
        <v>249</v>
      </c>
      <c r="C42" s="67">
        <f ca="1">C39/Budget_vm!D86</f>
        <v>5.2578065265482858E-2</v>
      </c>
      <c r="D42" s="63"/>
      <c r="I42" s="193" t="s">
        <v>250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>
      <c r="I43" s="193" t="s">
        <v>251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252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>
      <c r="I45" s="193" t="s">
        <v>253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>
      <c r="I46" s="200" t="s">
        <v>254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3"/>
    </row>
    <row r="48" spans="2:15">
      <c r="I48" s="189" t="s">
        <v>197</v>
      </c>
      <c r="J48" s="224" t="s">
        <v>23</v>
      </c>
      <c r="K48" s="224" t="s">
        <v>22</v>
      </c>
      <c r="L48" s="224" t="s">
        <v>200</v>
      </c>
      <c r="M48" s="224" t="s">
        <v>48</v>
      </c>
      <c r="N48" s="225" t="s">
        <v>255</v>
      </c>
    </row>
    <row r="49" spans="9:16">
      <c r="I49" s="193" t="s">
        <v>256</v>
      </c>
      <c r="J49" s="245">
        <v>1</v>
      </c>
      <c r="K49" s="246">
        <f>'Unit Mix_vm'!$D$15</f>
        <v>250</v>
      </c>
      <c r="L49" s="182">
        <v>65</v>
      </c>
      <c r="M49" s="180">
        <f>L49*K49*J49*12</f>
        <v>195000</v>
      </c>
      <c r="N49" s="247">
        <f>M49/'Unit Mix_vm'!$D$15/12</f>
        <v>65</v>
      </c>
      <c r="O49" s="36"/>
      <c r="P49" s="234"/>
    </row>
    <row r="50" spans="9:16">
      <c r="I50" s="193" t="s">
        <v>257</v>
      </c>
      <c r="J50" s="245">
        <v>1</v>
      </c>
      <c r="K50" s="246">
        <f>'Unit Mix_vm'!$D$15</f>
        <v>250</v>
      </c>
      <c r="L50" s="182">
        <v>70</v>
      </c>
      <c r="M50" s="180">
        <f t="shared" ref="M50:M55" si="4">L50*K50*J50*12</f>
        <v>210000</v>
      </c>
      <c r="N50" s="247">
        <f>M50/'Unit Mix_vm'!$D$15/12</f>
        <v>70</v>
      </c>
    </row>
    <row r="51" spans="9:16">
      <c r="I51" s="193" t="s">
        <v>211</v>
      </c>
      <c r="J51" s="245">
        <v>1</v>
      </c>
      <c r="K51" s="246">
        <f>'Unit Mix_vm'!$D$15</f>
        <v>250</v>
      </c>
      <c r="L51" s="182">
        <v>25</v>
      </c>
      <c r="M51" s="180">
        <f t="shared" si="4"/>
        <v>75000</v>
      </c>
      <c r="N51" s="247">
        <f>M51/'Unit Mix_vm'!$D$15/12</f>
        <v>25</v>
      </c>
    </row>
    <row r="52" spans="9:16">
      <c r="I52" s="193" t="s">
        <v>207</v>
      </c>
      <c r="J52" s="245">
        <v>1</v>
      </c>
      <c r="K52" s="246">
        <f>'Unit Mix_vm'!$D$15</f>
        <v>250</v>
      </c>
      <c r="L52" s="182">
        <v>5</v>
      </c>
      <c r="M52" s="180">
        <f t="shared" si="4"/>
        <v>15000</v>
      </c>
      <c r="N52" s="247">
        <f>M52/'Unit Mix_vm'!$D$15/12</f>
        <v>5</v>
      </c>
    </row>
    <row r="53" spans="9:16">
      <c r="I53" s="193" t="s">
        <v>230</v>
      </c>
      <c r="J53" s="245">
        <v>0.9</v>
      </c>
      <c r="K53" s="246">
        <f>'Unit Mix_vm'!$D$15</f>
        <v>250</v>
      </c>
      <c r="L53" s="248">
        <f>$L$29</f>
        <v>30</v>
      </c>
      <c r="M53" s="180">
        <f t="shared" si="4"/>
        <v>81000</v>
      </c>
      <c r="N53" s="247">
        <f>M53/'Unit Mix_vm'!$D$15/12</f>
        <v>27</v>
      </c>
    </row>
    <row r="54" spans="9:16">
      <c r="I54" s="193" t="s">
        <v>258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7.04</v>
      </c>
    </row>
    <row r="55" spans="9:16">
      <c r="I55" s="193" t="s">
        <v>259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260</v>
      </c>
      <c r="J56" s="245">
        <v>1</v>
      </c>
      <c r="K56" s="246">
        <f>'Unit Mix_vm'!$D$15</f>
        <v>250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261</v>
      </c>
      <c r="J57" s="228"/>
      <c r="K57" s="229"/>
      <c r="L57" s="230"/>
      <c r="M57" s="128">
        <f>SUM(M49:M56)</f>
        <v>597120</v>
      </c>
      <c r="N57" s="231">
        <f>M57/'Unit Mix_vm'!$D$15/12</f>
        <v>199.04</v>
      </c>
    </row>
  </sheetData>
  <hyperlinks>
    <hyperlink ref="J9" r:id="rId1" xr:uid="{1521F0C4-F685-4543-9773-85C0DC37255A}"/>
    <hyperlink ref="J10" r:id="rId2" xr:uid="{527FC598-929B-4B7A-A12D-48EDCA7BBCBF}"/>
    <hyperlink ref="J8" r:id="rId3" xr:uid="{35D3F603-35EC-49BA-AA0E-68BA892A064B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263</v>
      </c>
    </row>
    <row r="3" spans="2:2" ht="130.9">
      <c r="B3" s="77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266</v>
      </c>
      <c r="D6" s="89" t="s">
        <v>267</v>
      </c>
      <c r="E6" s="89" t="s">
        <v>268</v>
      </c>
      <c r="F6" s="89" t="s">
        <v>269</v>
      </c>
      <c r="G6" s="89" t="s">
        <v>270</v>
      </c>
      <c r="H6" s="89" t="s">
        <v>271</v>
      </c>
      <c r="I6" s="89" t="s">
        <v>272</v>
      </c>
      <c r="J6" s="89" t="s">
        <v>273</v>
      </c>
      <c r="K6" s="89" t="s">
        <v>274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275</v>
      </c>
      <c r="C8"/>
      <c r="D8"/>
      <c r="E8"/>
      <c r="F8"/>
      <c r="G8"/>
      <c r="H8"/>
      <c r="I8"/>
      <c r="J8"/>
      <c r="K8"/>
      <c r="L8"/>
      <c r="M8" s="111" t="s">
        <v>276</v>
      </c>
      <c r="N8" s="111" t="s">
        <v>276</v>
      </c>
      <c r="O8" s="111" t="s">
        <v>276</v>
      </c>
      <c r="P8" s="111" t="s">
        <v>276</v>
      </c>
      <c r="Q8" s="111" t="s">
        <v>276</v>
      </c>
      <c r="R8" s="111" t="s">
        <v>276</v>
      </c>
      <c r="S8" s="111" t="s">
        <v>276</v>
      </c>
      <c r="T8" s="111" t="s">
        <v>276</v>
      </c>
      <c r="U8" s="111" t="s">
        <v>276</v>
      </c>
      <c r="V8" s="111" t="s">
        <v>276</v>
      </c>
      <c r="W8" s="111" t="s">
        <v>276</v>
      </c>
      <c r="X8" s="111" t="s">
        <v>276</v>
      </c>
      <c r="Y8" s="111" t="s">
        <v>276</v>
      </c>
      <c r="Z8" s="111" t="s">
        <v>276</v>
      </c>
      <c r="AA8" s="111" t="s">
        <v>276</v>
      </c>
      <c r="AB8" s="111" t="s">
        <v>276</v>
      </c>
      <c r="AC8" s="111" t="s">
        <v>276</v>
      </c>
      <c r="AD8" s="111" t="s">
        <v>276</v>
      </c>
      <c r="AE8" s="111" t="s">
        <v>276</v>
      </c>
      <c r="AF8" s="111" t="s">
        <v>276</v>
      </c>
      <c r="AG8" s="111" t="s">
        <v>276</v>
      </c>
      <c r="AH8" s="111" t="s">
        <v>276</v>
      </c>
      <c r="AI8" s="111" t="s">
        <v>276</v>
      </c>
      <c r="AJ8" s="111" t="s">
        <v>276</v>
      </c>
      <c r="AK8" s="111" t="s">
        <v>276</v>
      </c>
      <c r="AL8" s="111" t="s">
        <v>276</v>
      </c>
      <c r="AM8" s="111" t="s">
        <v>276</v>
      </c>
      <c r="AN8" s="111" t="s">
        <v>276</v>
      </c>
      <c r="AO8" s="111" t="s">
        <v>276</v>
      </c>
      <c r="AP8" s="111" t="s">
        <v>276</v>
      </c>
      <c r="AQ8" s="111" t="s">
        <v>276</v>
      </c>
      <c r="AR8" s="111" t="s">
        <v>276</v>
      </c>
      <c r="AS8" s="111" t="s">
        <v>276</v>
      </c>
      <c r="AT8" s="111" t="s">
        <v>276</v>
      </c>
      <c r="AU8" s="111" t="s">
        <v>276</v>
      </c>
      <c r="AV8" s="111" t="s">
        <v>276</v>
      </c>
      <c r="AW8" s="111" t="s">
        <v>276</v>
      </c>
      <c r="AX8" s="111" t="s">
        <v>276</v>
      </c>
      <c r="AY8" s="111" t="s">
        <v>276</v>
      </c>
      <c r="AZ8" s="111" t="s">
        <v>276</v>
      </c>
      <c r="BA8" s="111" t="s">
        <v>276</v>
      </c>
      <c r="BB8" s="111" t="s">
        <v>276</v>
      </c>
      <c r="BC8" s="111" t="s">
        <v>276</v>
      </c>
      <c r="BD8" s="111" t="s">
        <v>276</v>
      </c>
      <c r="BE8" s="111" t="s">
        <v>276</v>
      </c>
      <c r="BF8" s="111" t="s">
        <v>276</v>
      </c>
      <c r="BG8" s="111" t="s">
        <v>276</v>
      </c>
      <c r="BH8" s="111" t="s">
        <v>276</v>
      </c>
      <c r="BI8" s="111" t="s">
        <v>276</v>
      </c>
      <c r="BJ8" s="111" t="s">
        <v>276</v>
      </c>
      <c r="BK8" s="111" t="s">
        <v>276</v>
      </c>
      <c r="BL8" s="111" t="s">
        <v>276</v>
      </c>
      <c r="BM8" s="111" t="s">
        <v>276</v>
      </c>
      <c r="BN8" s="111" t="s">
        <v>276</v>
      </c>
      <c r="BO8" s="111" t="s">
        <v>276</v>
      </c>
      <c r="BP8" s="111" t="s">
        <v>276</v>
      </c>
      <c r="BQ8" s="111" t="s">
        <v>276</v>
      </c>
      <c r="BR8" s="111" t="s">
        <v>276</v>
      </c>
      <c r="BS8" s="111" t="s">
        <v>276</v>
      </c>
      <c r="BT8" s="111" t="s">
        <v>276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279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74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66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71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75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89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90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92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98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101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110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112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116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117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120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125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126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128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136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139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138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137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140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141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142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143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144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145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146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147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148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149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150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151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152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162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163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164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169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171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291</v>
      </c>
      <c r="C11" s="96" t="s">
        <v>292</v>
      </c>
      <c r="D11" s="96" t="s">
        <v>293</v>
      </c>
      <c r="E11" s="96" t="s">
        <v>68</v>
      </c>
      <c r="F11" s="96" t="s">
        <v>294</v>
      </c>
      <c r="G11" s="96" t="s">
        <v>295</v>
      </c>
      <c r="H11" s="97" t="s">
        <v>296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298</v>
      </c>
      <c r="I12"/>
      <c r="J12" s="113" t="s">
        <v>299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304</v>
      </c>
      <c r="C18" s="74" t="s">
        <v>305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307</v>
      </c>
      <c r="C20" s="23" t="s">
        <v>308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309</v>
      </c>
      <c r="C21" s="50">
        <v>1</v>
      </c>
      <c r="D21" s="24" t="s">
        <v>310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311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313</v>
      </c>
      <c r="C30" s="74" t="s">
        <v>60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316</v>
      </c>
      <c r="C38" s="74" t="s">
        <v>60</v>
      </c>
      <c r="D38" s="74" t="s">
        <v>61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112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319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180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70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329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331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332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339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349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349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359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369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379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369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349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389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349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399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409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413</v>
      </c>
      <c r="D11" s="96" t="s">
        <v>414</v>
      </c>
      <c r="E11" s="96" t="s">
        <v>415</v>
      </c>
      <c r="F11" s="96" t="s">
        <v>416</v>
      </c>
      <c r="G11" s="97" t="s">
        <v>417</v>
      </c>
      <c r="H11"/>
      <c r="I11" s="114" t="s">
        <v>418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IFERROR(XIRR(C39:BJ39,C6:BJ6,0),0)</f>
        <v>0</v>
      </c>
      <c r="D12" s="49">
        <f>IFERROR(XIRR(C81:BJ81,C6:BJ6,0),0)</f>
        <v>0</v>
      </c>
      <c r="E12" s="49" t="s">
        <v>298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419</v>
      </c>
      <c r="J12"/>
      <c r="K12" s="36" t="e">
        <f>-SUM(C36:BJ36)</f>
        <v>#REF!</v>
      </c>
      <c r="L12"/>
      <c r="M12" s="113" t="s">
        <v>299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119">
        <f>IFERROR(C15/C14,0)</f>
        <v>0</v>
      </c>
      <c r="D13" s="119">
        <f t="shared" ref="D13:G13" si="2">IFERROR(D15/D14,0)</f>
        <v>0</v>
      </c>
      <c r="E13" s="119" t="s">
        <v>298</v>
      </c>
      <c r="F13" s="119">
        <f t="shared" si="2"/>
        <v>0</v>
      </c>
      <c r="G13" s="119">
        <f t="shared" si="2"/>
        <v>0</v>
      </c>
      <c r="H13" s="98"/>
      <c r="I13" t="s">
        <v>417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>
        <f>-SUM(C32:BJ32)</f>
        <v>0</v>
      </c>
      <c r="D14" s="36">
        <f>-SUM(C77:BJ77)</f>
        <v>0</v>
      </c>
      <c r="E14" s="36" t="s">
        <v>298</v>
      </c>
      <c r="F14" s="36">
        <f>-SUM(C104:BJ104)</f>
        <v>0</v>
      </c>
      <c r="G14" s="36">
        <f>-SUM(C98:BJ98)</f>
        <v>0</v>
      </c>
      <c r="H14" s="36"/>
      <c r="I14" s="3" t="s">
        <v>420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>+D15-D14</f>
        <v>#REF!</v>
      </c>
      <c r="E16" s="36" t="s">
        <v>298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421</v>
      </c>
      <c r="C18" s="74" t="s">
        <v>60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422</v>
      </c>
      <c r="C23" s="74" t="s">
        <v>305</v>
      </c>
      <c r="D23" s="74" t="s">
        <v>423</v>
      </c>
      <c r="E23" s="74" t="s">
        <v>424</v>
      </c>
      <c r="F23" s="74" t="s">
        <v>425</v>
      </c>
      <c r="G23" s="74" t="s">
        <v>426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429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439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389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301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349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349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349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409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Lenox Village Nashville</v>
      </c>
      <c r="B1"/>
      <c r="C1"/>
      <c r="D1"/>
      <c r="E1"/>
      <c r="F1" s="5"/>
    </row>
    <row r="2" spans="1:7" ht="20.45" thickBot="1">
      <c r="A2" s="8" t="s">
        <v>449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288</v>
      </c>
      <c r="C6" s="11" t="s">
        <v>450</v>
      </c>
      <c r="D6" s="11" t="s">
        <v>100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925EE4B4-E307-41EE-9FB0-2152597E2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2026-03-20T18:55:43Z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