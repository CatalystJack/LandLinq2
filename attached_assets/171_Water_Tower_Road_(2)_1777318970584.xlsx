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0" documentId="8_{969D1D6B-9E28-4F58-89CE-C4B3DF04C821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N10" i="39"/>
  <c r="P9" i="39"/>
  <c r="N9" i="39"/>
  <c r="S9" i="39" s="1"/>
  <c r="T9" i="39" s="1"/>
  <c r="P8" i="39"/>
  <c r="N8" i="39"/>
  <c r="O8" i="39" s="1"/>
  <c r="R10" i="39"/>
  <c r="O10" i="39"/>
  <c r="R9" i="39"/>
  <c r="R8" i="39"/>
  <c r="S8" i="39"/>
  <c r="T8" i="39" s="1"/>
  <c r="R32" i="38"/>
  <c r="Q32" i="38"/>
  <c r="R23" i="38"/>
  <c r="Q23" i="38"/>
  <c r="M17" i="39"/>
  <c r="S10" i="39" l="1"/>
  <c r="T10" i="39" s="1"/>
  <c r="O9" i="39"/>
  <c r="P69" i="35"/>
  <c r="P68" i="35"/>
  <c r="P67" i="35"/>
  <c r="M69" i="35"/>
  <c r="M68" i="35"/>
  <c r="M67" i="35"/>
  <c r="G9" i="38"/>
  <c r="N69" i="35" s="1"/>
  <c r="Q69" i="35" s="1"/>
  <c r="G8" i="38"/>
  <c r="N68" i="35" s="1"/>
  <c r="G7" i="38"/>
  <c r="N67" i="35" s="1"/>
  <c r="Q67" i="35" s="1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<sst xmlns="http://schemas.openxmlformats.org/spreadsheetml/2006/main" count="905" uniqueCount="462">
  <si>
    <t>Global Assumptions</t>
  </si>
  <si>
    <t>Property Name</t>
  </si>
  <si>
    <t>Water Tower Road</t>
  </si>
  <si>
    <t>Project Type</t>
  </si>
  <si>
    <t>3-Story Walk-Up</t>
  </si>
  <si>
    <t>Market</t>
  </si>
  <si>
    <t>North Myrtle Beach</t>
  </si>
  <si>
    <t>Submarket</t>
  </si>
  <si>
    <t>Address</t>
  </si>
  <si>
    <t>City, State</t>
  </si>
  <si>
    <t>North Myrtle Beach, SC</t>
  </si>
  <si>
    <t>ZIP Code</t>
  </si>
  <si>
    <t>County</t>
  </si>
  <si>
    <t>Horry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</si>
  <si>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</si>
  <si>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</si>
  <si>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</si>
  <si>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</si>
  <si>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</si>
  <si>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</si>
  <si>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</si>
  <si>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</si>
  <si>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</si>
  <si>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</si>
  <si>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</si>
  <si>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</si>
  <si>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</si>
  <si>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</si>
  <si>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</si>
  <si>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</si>
  <si>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</si>
  <si>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Seaglass Cottages</t>
  </si>
  <si>
    <t>3 BR / 3.5 BA</t>
  </si>
  <si>
    <t>20 x 36</t>
  </si>
  <si>
    <t>SF</t>
  </si>
  <si>
    <t>Rent</t>
  </si>
  <si>
    <t>Rent PSF</t>
  </si>
  <si>
    <t>Multifamily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</si>
  <si>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</si>
  <si>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</si>
  <si>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</si>
  <si>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</si>
  <si>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</si>
  <si>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</si>
  <si>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</si>
  <si>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</si>
  <si>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Sands Companies</t>
  </si>
  <si>
    <t>3 BR</t>
  </si>
  <si>
    <t>Owner</t>
  </si>
  <si>
    <t>Sands Building Group Inc</t>
  </si>
  <si>
    <t>TH</t>
  </si>
  <si>
    <t>Link to Website</t>
  </si>
  <si>
    <t>Seaglass Cottages</t>
  </si>
  <si>
    <t>Total</t>
  </si>
  <si>
    <t>2) Abrazo at Waterway Hills</t>
  </si>
  <si>
    <t>BTR</t>
  </si>
  <si>
    <t>1 Bedroom</t>
  </si>
  <si>
    <t>2 Bedroom</t>
  </si>
  <si>
    <t>3 Bedroom</t>
  </si>
  <si>
    <t>Greystar</t>
  </si>
  <si>
    <t>Abrazo at Waterway Hills</t>
  </si>
  <si>
    <t>3) Lively Grande Dunes</t>
  </si>
  <si>
    <t>Grande Dunes development</t>
  </si>
  <si>
    <t>Grande Dunes Holdings Llc</t>
  </si>
  <si>
    <t>Lively Grand Dunes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</si>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</sst>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7" fillId="0" borderId="11" xfId="0" applyFont="1" applyBorder="1" applyAlignment="1">
      <alignment horizontal="right" wrapText="1"/>
    </xf>
    <xf numFmtId="0" fontId="7" fillId="12" borderId="11" xfId="0" applyFont="1" applyFill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611BD9-93E8-402C-93E8-F20C9A07D8C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lygrandedunes.com/" TargetMode="External"/><Relationship Id="rId2" Type="http://schemas.openxmlformats.org/officeDocument/2006/relationships/hyperlink" Target="https://www.seaglasscottages.com/" TargetMode="External"/><Relationship Id="rId1" Type="http://schemas.openxmlformats.org/officeDocument/2006/relationships/hyperlink" Target="https://abrazowaterwayhill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orrycountytreasurer.qpaybill.com/Taxes/TaxesDetailsType4.aspx?receiptNo=193902253&amp;recID=576181582" TargetMode="External"/><Relationship Id="rId2" Type="http://schemas.openxmlformats.org/officeDocument/2006/relationships/hyperlink" Target="https://horrycountytreasurer.qpaybill.com/Taxes/TaxesDetailsType4.aspx?receiptNo=356916253&amp;recID=576168190" TargetMode="External"/><Relationship Id="rId1" Type="http://schemas.openxmlformats.org/officeDocument/2006/relationships/hyperlink" Target="https://horrycountytreasurer.qpaybill.com/Taxes/TaxesDetailsType4.aspx?receiptNo=011650255&amp;recID=576068954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topLeftCell="A2" zoomScale="130" zoomScaleNormal="130" workbookViewId="0">
      <selection activeCell="C12" sqref="C12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Water Tower Road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69" t="s">
        <v>6</v>
      </c>
    </row>
    <row r="10" spans="1:3">
      <c r="B10" s="56" t="s">
        <v>7</v>
      </c>
      <c r="C10" s="269" t="s">
        <v>6</v>
      </c>
    </row>
    <row r="11" spans="1:3">
      <c r="B11" s="56" t="s">
        <v>8</v>
      </c>
      <c r="C11" s="268" t="s">
        <v>2</v>
      </c>
    </row>
    <row r="12" spans="1:3">
      <c r="B12" s="56" t="s">
        <v>9</v>
      </c>
      <c r="C12" s="164" t="s">
        <v>10</v>
      </c>
    </row>
    <row r="13" spans="1:3">
      <c r="B13" s="56" t="s">
        <v>11</v>
      </c>
      <c r="C13" s="164">
        <v>29582</v>
      </c>
    </row>
    <row r="14" spans="1:3">
      <c r="B14" s="56" t="s">
        <v>12</v>
      </c>
      <c r="C14" s="164" t="s">
        <v>13</v>
      </c>
    </row>
    <row r="15" spans="1:3">
      <c r="B15" s="56"/>
      <c r="C15" s="57"/>
    </row>
    <row r="16" spans="1:3">
      <c r="B16" s="59" t="s">
        <v>14</v>
      </c>
      <c r="C16" s="165" t="s">
        <v>15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topLeftCell="B1" zoomScale="85" zoomScaleNormal="85" workbookViewId="0">
      <pane ySplit="6" topLeftCell="A7" activePane="bottomLeft" state="frozen"/>
      <selection pane="bottomLeft" activeCell="W15" sqref="W1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2.28515625" style="208" bestFit="1" customWidth="1"/>
  </cols>
  <sheetData>
    <row r="1" spans="1:22" s="142" customFormat="1" ht="25.9">
      <c r="A1" s="145" t="str">
        <f>TEXT(Global!$C$7,"")</f>
        <v>Water Tower Road</v>
      </c>
      <c r="B1" s="205"/>
      <c r="U1" s="205"/>
      <c r="V1" s="205"/>
    </row>
    <row r="2" spans="1:22" s="142" customFormat="1" ht="19.899999999999999">
      <c r="A2" s="146" t="s">
        <v>16</v>
      </c>
      <c r="B2" s="205"/>
      <c r="U2" s="205"/>
      <c r="V2" s="205"/>
    </row>
    <row r="4" spans="1:22">
      <c r="B4" s="227" t="s">
        <v>17</v>
      </c>
      <c r="C4" s="252"/>
      <c r="D4" s="252"/>
      <c r="E4" s="252"/>
      <c r="F4" s="252"/>
      <c r="G4" s="253">
        <v>154</v>
      </c>
    </row>
    <row r="6" spans="1:22">
      <c r="B6" s="206" t="s">
        <v>18</v>
      </c>
      <c r="C6" s="156" t="s">
        <v>19</v>
      </c>
      <c r="D6" s="156" t="s">
        <v>20</v>
      </c>
      <c r="E6" s="156" t="s">
        <v>21</v>
      </c>
      <c r="F6" s="156" t="s">
        <v>22</v>
      </c>
      <c r="G6" s="156" t="s">
        <v>23</v>
      </c>
      <c r="H6" s="156" t="s">
        <v>24</v>
      </c>
      <c r="I6" s="156" t="s">
        <v>25</v>
      </c>
      <c r="J6" s="156" t="s">
        <v>26</v>
      </c>
      <c r="K6" s="157" t="s">
        <v>27</v>
      </c>
    </row>
    <row r="7" spans="1:22">
      <c r="B7" s="257" t="s">
        <v>28</v>
      </c>
      <c r="C7" s="24" t="s">
        <v>29</v>
      </c>
      <c r="D7" s="24" t="s">
        <v>30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31</v>
      </c>
      <c r="O7" s="170"/>
      <c r="P7" s="170"/>
      <c r="Q7" s="170"/>
      <c r="R7" s="170"/>
      <c r="S7" s="141"/>
    </row>
    <row r="8" spans="1:22">
      <c r="B8" s="257" t="s">
        <v>32</v>
      </c>
      <c r="C8" s="24" t="s">
        <v>29</v>
      </c>
      <c r="D8" s="24" t="s">
        <v>33</v>
      </c>
      <c r="E8" s="24">
        <v>2</v>
      </c>
      <c r="F8" s="24">
        <v>3</v>
      </c>
      <c r="G8" s="251">
        <f>ROUND($G$4*$H8,0)</f>
        <v>100</v>
      </c>
      <c r="H8" s="256">
        <v>0.65</v>
      </c>
      <c r="I8" s="32">
        <v>1659</v>
      </c>
      <c r="J8" s="237">
        <v>2115</v>
      </c>
      <c r="K8" s="148">
        <f t="shared" ref="K8:K14" si="0">IFERROR(J8/I8,0)</f>
        <v>1.274864376130199</v>
      </c>
      <c r="N8" s="211" t="s">
        <v>19</v>
      </c>
      <c r="O8" s="212" t="s">
        <v>23</v>
      </c>
      <c r="P8" s="212" t="s">
        <v>24</v>
      </c>
      <c r="Q8" s="212" t="s">
        <v>34</v>
      </c>
      <c r="R8" s="212" t="s">
        <v>35</v>
      </c>
      <c r="S8" s="213" t="s">
        <v>36</v>
      </c>
      <c r="U8" s="218" t="s">
        <v>19</v>
      </c>
      <c r="V8" s="220" t="s">
        <v>37</v>
      </c>
    </row>
    <row r="9" spans="1:22">
      <c r="B9" s="257" t="s">
        <v>38</v>
      </c>
      <c r="C9" s="24" t="s">
        <v>29</v>
      </c>
      <c r="D9" s="24" t="s">
        <v>39</v>
      </c>
      <c r="E9" s="24">
        <v>2</v>
      </c>
      <c r="F9" s="24">
        <v>3</v>
      </c>
      <c r="G9" s="251">
        <f>ROUND($G$4*$H9,0)</f>
        <v>54</v>
      </c>
      <c r="H9" s="256">
        <v>0.35</v>
      </c>
      <c r="I9" s="32">
        <v>1996</v>
      </c>
      <c r="J9" s="237">
        <v>2300</v>
      </c>
      <c r="K9" s="148">
        <f t="shared" si="0"/>
        <v>1.1523046092184368</v>
      </c>
      <c r="N9" s="56" t="s">
        <v>40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41</v>
      </c>
      <c r="V9" s="221">
        <v>2021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42</v>
      </c>
      <c r="O10" s="235"/>
      <c r="P10" s="204" t="e">
        <f t="shared" ref="P10:P13" si="1">O10/$O$14</f>
        <v>#DIV/0!</v>
      </c>
      <c r="Q10" s="236">
        <v>740</v>
      </c>
      <c r="R10" s="237">
        <v>1804</v>
      </c>
      <c r="S10" s="216">
        <f t="shared" ref="S10:S14" si="2">IFERROR(R10/Q10,"-")</f>
        <v>2.4378378378378378</v>
      </c>
      <c r="U10" s="193" t="s">
        <v>43</v>
      </c>
      <c r="V10" s="222">
        <v>0.11</v>
      </c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44</v>
      </c>
      <c r="O11" s="235"/>
      <c r="P11" s="204" t="e">
        <f t="shared" si="1"/>
        <v>#DIV/0!</v>
      </c>
      <c r="Q11" s="236">
        <v>1078</v>
      </c>
      <c r="R11" s="237">
        <v>2037</v>
      </c>
      <c r="S11" s="216">
        <f t="shared" si="2"/>
        <v>1.8896103896103895</v>
      </c>
      <c r="U11" s="193" t="s">
        <v>45</v>
      </c>
      <c r="V11" s="221" t="s">
        <v>46</v>
      </c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47</v>
      </c>
      <c r="O12" s="235"/>
      <c r="P12" s="204" t="e">
        <f t="shared" si="1"/>
        <v>#DIV/0!</v>
      </c>
      <c r="Q12" s="236">
        <v>1389</v>
      </c>
      <c r="R12" s="237">
        <v>2267</v>
      </c>
      <c r="S12" s="216">
        <f t="shared" si="2"/>
        <v>1.6321094312455005</v>
      </c>
      <c r="U12" s="193" t="s">
        <v>48</v>
      </c>
      <c r="V12" s="221" t="s">
        <v>49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50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51</v>
      </c>
      <c r="V13" s="266" t="s">
        <v>52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53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53</v>
      </c>
      <c r="C15" s="22"/>
      <c r="D15" s="22"/>
      <c r="E15" s="22"/>
      <c r="F15" s="22"/>
      <c r="G15" s="149">
        <f>+SUM(G7:G14)</f>
        <v>154</v>
      </c>
      <c r="H15" s="150">
        <f>+SUM(H7:H14)</f>
        <v>1</v>
      </c>
      <c r="I15" s="149">
        <f>IFERROR(SUMPRODUCT(I7:I14,G7:G14)/G15,0)</f>
        <v>1777.1688311688313</v>
      </c>
      <c r="J15" s="151">
        <f>IFERROR(SUMPRODUCT(J7:J14,H7:H14)/H15,0)</f>
        <v>2179.75</v>
      </c>
      <c r="K15" s="152">
        <f>IFERROR(J15/I15,0)</f>
        <v>1.2265295011765394</v>
      </c>
    </row>
    <row r="16" spans="1:22">
      <c r="N16" s="140" t="s">
        <v>54</v>
      </c>
      <c r="O16" s="170"/>
      <c r="P16" s="170"/>
      <c r="Q16" s="170"/>
      <c r="R16" s="170"/>
      <c r="S16" s="141"/>
    </row>
    <row r="17" spans="2:22">
      <c r="B17" s="209" t="s">
        <v>40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19</v>
      </c>
      <c r="O17" s="212" t="s">
        <v>23</v>
      </c>
      <c r="P17" s="212" t="s">
        <v>24</v>
      </c>
      <c r="Q17" s="212" t="s">
        <v>34</v>
      </c>
      <c r="R17" s="212" t="s">
        <v>35</v>
      </c>
      <c r="S17" s="213" t="s">
        <v>36</v>
      </c>
      <c r="U17" s="218" t="s">
        <v>19</v>
      </c>
      <c r="V17" s="220" t="s">
        <v>55</v>
      </c>
    </row>
    <row r="18" spans="2:22">
      <c r="B18" s="210" t="s">
        <v>56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40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41</v>
      </c>
      <c r="V18" s="221">
        <v>2024</v>
      </c>
    </row>
    <row r="19" spans="2:22">
      <c r="B19" s="210" t="s">
        <v>57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42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43</v>
      </c>
      <c r="V19" s="222">
        <v>0.62</v>
      </c>
    </row>
    <row r="20" spans="2:22">
      <c r="B20" s="210" t="s">
        <v>58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44</v>
      </c>
      <c r="O20" s="235"/>
      <c r="P20" s="204" t="e">
        <f t="shared" si="5"/>
        <v>#DIV/0!</v>
      </c>
      <c r="Q20" s="236">
        <v>1122</v>
      </c>
      <c r="R20" s="237">
        <v>1856</v>
      </c>
      <c r="S20" s="216">
        <f t="shared" si="6"/>
        <v>1.6541889483065955</v>
      </c>
      <c r="U20" s="193" t="s">
        <v>45</v>
      </c>
      <c r="V20" s="221" t="s">
        <v>59</v>
      </c>
    </row>
    <row r="21" spans="2:22">
      <c r="B21" s="210" t="s">
        <v>29</v>
      </c>
      <c r="G21" s="155">
        <f>SUMIF($C$7:$C$14,$B21,G$7:G$14)</f>
        <v>154</v>
      </c>
      <c r="H21" s="147">
        <f t="shared" si="3"/>
        <v>1</v>
      </c>
      <c r="I21" s="155" cm="1">
        <f t="array" ref="I21">IFERROR(SUMPRODUCT(($C$7:$C$14=$B21)*($G$7:$G$14)*($I$7:$I$14))/$G21,0)</f>
        <v>1777.1688311688313</v>
      </c>
      <c r="J21" s="36" cm="1">
        <f t="array" ref="J21">IFERROR(SUMPRODUCT(($C$7:$C$14=$B21)*($G$7:$G$14)*($J$7:$J$14))/$G21,0)</f>
        <v>2179.8701298701299</v>
      </c>
      <c r="K21" s="148">
        <f t="shared" si="4"/>
        <v>1.2265970973823825</v>
      </c>
      <c r="N21" s="56" t="s">
        <v>47</v>
      </c>
      <c r="O21" s="235"/>
      <c r="P21" s="204" t="e">
        <f t="shared" si="5"/>
        <v>#DIV/0!</v>
      </c>
      <c r="Q21" s="236">
        <v>1302</v>
      </c>
      <c r="R21" s="237">
        <v>1936</v>
      </c>
      <c r="S21" s="216">
        <f t="shared" si="6"/>
        <v>1.4869431643625193</v>
      </c>
      <c r="U21" s="193" t="s">
        <v>48</v>
      </c>
      <c r="V21" s="221" t="s">
        <v>59</v>
      </c>
    </row>
    <row r="22" spans="2:22">
      <c r="B22" s="207" t="s">
        <v>53</v>
      </c>
      <c r="C22" s="22"/>
      <c r="D22" s="22"/>
      <c r="E22" s="22"/>
      <c r="F22" s="22"/>
      <c r="G22" s="149">
        <f>SUM(G17:G21)</f>
        <v>154</v>
      </c>
      <c r="H22" s="150">
        <f>SUM(H17:H21)</f>
        <v>1</v>
      </c>
      <c r="I22" s="149">
        <f>IFERROR(SUMPRODUCT(I17:I21,$G17:$G21)/$G22,0)</f>
        <v>1777.1688311688313</v>
      </c>
      <c r="J22" s="151">
        <f>IFERROR(SUMPRODUCT(J17:J21,$G17:$G21)/$G22,0)</f>
        <v>2179.8701298701299</v>
      </c>
      <c r="K22" s="152">
        <f t="shared" si="4"/>
        <v>1.2265970973823825</v>
      </c>
      <c r="N22" s="56" t="s">
        <v>50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51</v>
      </c>
      <c r="V22" s="266" t="s">
        <v>60</v>
      </c>
    </row>
    <row r="23" spans="2:22">
      <c r="N23" s="126" t="s">
        <v>53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61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19</v>
      </c>
      <c r="O26" s="212" t="s">
        <v>23</v>
      </c>
      <c r="P26" s="212" t="s">
        <v>24</v>
      </c>
      <c r="Q26" s="212" t="s">
        <v>34</v>
      </c>
      <c r="R26" s="212" t="s">
        <v>35</v>
      </c>
      <c r="S26" s="213" t="s">
        <v>36</v>
      </c>
      <c r="U26" s="218" t="s">
        <v>19</v>
      </c>
      <c r="V26" s="220" t="s">
        <v>37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40</v>
      </c>
      <c r="O27" s="235"/>
      <c r="P27" s="204" t="e">
        <f>O27/$O$14</f>
        <v>#DIV/0!</v>
      </c>
      <c r="Q27" s="236">
        <v>660</v>
      </c>
      <c r="R27" s="237">
        <v>1377</v>
      </c>
      <c r="S27" s="216">
        <f>IFERROR(R27/Q27,"-")</f>
        <v>2.0863636363636364</v>
      </c>
      <c r="U27" s="193" t="s">
        <v>41</v>
      </c>
      <c r="V27" s="221">
        <v>2021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42</v>
      </c>
      <c r="O28" s="235"/>
      <c r="P28" s="204" t="e">
        <f t="shared" ref="P28:P31" si="7">O28/$O$14</f>
        <v>#DIV/0!</v>
      </c>
      <c r="Q28" s="236">
        <v>737</v>
      </c>
      <c r="R28" s="237">
        <v>1504</v>
      </c>
      <c r="S28" s="216">
        <f t="shared" ref="S28:S32" si="8">IFERROR(R28/Q28,"-")</f>
        <v>2.0407055630936228</v>
      </c>
      <c r="U28" s="193" t="s">
        <v>43</v>
      </c>
      <c r="V28" s="222">
        <v>0.13</v>
      </c>
    </row>
    <row r="29" spans="2:22">
      <c r="C29" s="208"/>
      <c r="D29" s="208"/>
      <c r="E29" s="208"/>
      <c r="F29" s="208"/>
      <c r="G29" s="208"/>
      <c r="H29" s="208"/>
      <c r="I29" s="208"/>
      <c r="N29" s="56" t="s">
        <v>44</v>
      </c>
      <c r="O29" s="235"/>
      <c r="P29" s="204" t="e">
        <f t="shared" si="7"/>
        <v>#DIV/0!</v>
      </c>
      <c r="Q29" s="236">
        <v>1008</v>
      </c>
      <c r="R29" s="237">
        <v>1722</v>
      </c>
      <c r="S29" s="216">
        <f t="shared" si="8"/>
        <v>1.7083333333333333</v>
      </c>
      <c r="U29" s="193" t="s">
        <v>45</v>
      </c>
      <c r="V29" s="221" t="s">
        <v>62</v>
      </c>
    </row>
    <row r="30" spans="2:22">
      <c r="C30" s="208"/>
      <c r="D30" s="208"/>
      <c r="E30" s="208"/>
      <c r="F30" s="208"/>
      <c r="G30" s="208"/>
      <c r="H30" s="208"/>
      <c r="I30" s="208"/>
      <c r="N30" s="56" t="s">
        <v>47</v>
      </c>
      <c r="O30" s="235"/>
      <c r="P30" s="204" t="e">
        <f t="shared" si="7"/>
        <v>#DIV/0!</v>
      </c>
      <c r="Q30" s="236">
        <v>1264</v>
      </c>
      <c r="R30" s="237">
        <v>1990</v>
      </c>
      <c r="S30" s="216">
        <f t="shared" si="8"/>
        <v>1.5743670886075949</v>
      </c>
      <c r="U30" s="193" t="s">
        <v>48</v>
      </c>
      <c r="V30" s="221" t="s">
        <v>63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50</v>
      </c>
      <c r="O31" s="235"/>
      <c r="P31" s="204" t="e">
        <f t="shared" si="7"/>
        <v>#DIV/0!</v>
      </c>
      <c r="Q31" s="236"/>
      <c r="R31" s="237"/>
      <c r="S31" s="216" t="str">
        <f t="shared" si="8"/>
        <v>-</v>
      </c>
      <c r="U31" s="219" t="s">
        <v>51</v>
      </c>
      <c r="V31" s="266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53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22" r:id="rId1" display="Abrazo" xr:uid="{7922F57A-2534-4F49-A745-B67C615F35CD}"/>
    <hyperlink ref="V13" r:id="rId2" xr:uid="{ABE12E92-8CA3-40E3-94C9-2917FF13F7DA}"/>
    <hyperlink ref="V31" r:id="rId3" xr:uid="{A6118F86-FB4E-4729-8469-7EB29F94DE9D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85" zoomScaleNormal="85" workbookViewId="0">
      <pane ySplit="6" topLeftCell="A16" activePane="bottomLeft" state="frozen"/>
      <selection pane="bottomLeft" activeCell="B98" sqref="B9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Water Tower Road</v>
      </c>
    </row>
    <row r="2" spans="1:17" s="142" customFormat="1" ht="19.899999999999999">
      <c r="A2" s="146" t="s">
        <v>65</v>
      </c>
    </row>
    <row r="6" spans="1:17">
      <c r="B6" s="121" t="s">
        <v>66</v>
      </c>
      <c r="C6" s="122" t="s">
        <v>67</v>
      </c>
      <c r="D6" s="122" t="s">
        <v>68</v>
      </c>
      <c r="E6" s="122" t="s">
        <v>69</v>
      </c>
      <c r="F6" s="122" t="s">
        <v>70</v>
      </c>
      <c r="G6" s="122" t="s">
        <v>71</v>
      </c>
    </row>
    <row r="7" spans="1:17">
      <c r="B7" s="12" t="s">
        <v>72</v>
      </c>
      <c r="C7" s="12"/>
      <c r="D7" s="12"/>
      <c r="E7" s="12"/>
      <c r="F7" s="12"/>
      <c r="G7" s="12"/>
      <c r="M7" s="158" t="s">
        <v>73</v>
      </c>
      <c r="N7" s="122" t="s">
        <v>68</v>
      </c>
      <c r="O7" s="122" t="s">
        <v>69</v>
      </c>
      <c r="P7" s="122" t="s">
        <v>70</v>
      </c>
      <c r="Q7" s="122" t="s">
        <v>71</v>
      </c>
    </row>
    <row r="8" spans="1:17">
      <c r="B8" t="s">
        <v>74</v>
      </c>
      <c r="C8" s="24" t="s">
        <v>72</v>
      </c>
      <c r="D8" s="52">
        <f>E8*'Unit Mix_vm'!$G$15</f>
        <v>3080000</v>
      </c>
      <c r="E8" s="244">
        <v>20000</v>
      </c>
      <c r="F8" s="37">
        <f>IFERROR(E8/'Unit Mix_vm'!$I$15,0)</f>
        <v>11.253854810657545</v>
      </c>
      <c r="G8" s="25">
        <f ca="1">+IFERROR(D8/D$86,0)</f>
        <v>5.9167869293291458E-2</v>
      </c>
      <c r="M8" s="28" t="s">
        <v>75</v>
      </c>
    </row>
    <row r="9" spans="1:17">
      <c r="D9" s="14"/>
      <c r="E9" s="14"/>
      <c r="F9" s="14"/>
      <c r="M9" t="s">
        <v>76</v>
      </c>
      <c r="N9" s="52">
        <f ca="1">N41</f>
        <v>20822111.979274638</v>
      </c>
      <c r="O9" s="37">
        <f ca="1">IFERROR(N9/'Unit Mix_vm'!$G$15,0)</f>
        <v>135208.51934593922</v>
      </c>
      <c r="P9" s="37">
        <f ca="1">IFERROR(O9/'Unit Mix_vm'!$I$15,0)</f>
        <v>76.080852294159101</v>
      </c>
      <c r="Q9" s="25">
        <f ca="1">IFERROR(N9/N$12,0)</f>
        <v>0.4</v>
      </c>
    </row>
    <row r="10" spans="1:17">
      <c r="B10" s="12" t="s">
        <v>77</v>
      </c>
      <c r="C10" s="12"/>
      <c r="D10" s="15"/>
      <c r="E10" s="15"/>
      <c r="F10" s="15"/>
      <c r="G10" s="12"/>
      <c r="M10" t="s">
        <v>78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79</v>
      </c>
      <c r="C11" s="24" t="s">
        <v>80</v>
      </c>
      <c r="D11" s="52">
        <f ca="1">+IF(Global!$C$16="On",0,I11*$N$11)</f>
        <v>156165.83984455976</v>
      </c>
      <c r="E11" s="37">
        <f ca="1">IFERROR(D11/'Unit Mix_vm'!$G$15,0)</f>
        <v>1014.0638950945439</v>
      </c>
      <c r="F11" s="37">
        <f ca="1">IFERROR(E11/'Unit Mix_vm'!$I$15,0)</f>
        <v>0.57060639220619314</v>
      </c>
      <c r="G11" s="25">
        <f t="shared" ref="G11:G23" ca="1" si="1">+IFERROR(D11/D$86,0)</f>
        <v>2.9999999999999996E-3</v>
      </c>
      <c r="I11" s="21">
        <v>5.0000000000000001E-3</v>
      </c>
      <c r="J11" s="20" t="s">
        <v>81</v>
      </c>
      <c r="M11" t="s">
        <v>82</v>
      </c>
      <c r="N11" s="52">
        <f ca="1">+N23</f>
        <v>31233167.968911953</v>
      </c>
      <c r="O11" s="37">
        <f ca="1">IFERROR(N11/'Unit Mix_vm'!$G$15,0)</f>
        <v>202812.7790189088</v>
      </c>
      <c r="P11" s="37">
        <f ca="1">IFERROR(O11/'Unit Mix_vm'!$I$15,0)</f>
        <v>114.12127844123863</v>
      </c>
      <c r="Q11" s="25">
        <f t="shared" ca="1" si="0"/>
        <v>0.6</v>
      </c>
    </row>
    <row r="12" spans="1:17">
      <c r="B12" t="s">
        <v>83</v>
      </c>
      <c r="C12" s="24" t="s">
        <v>80</v>
      </c>
      <c r="D12" s="52">
        <f ca="1">+IF(Global!$C$16="On",0,I12*$N$11)</f>
        <v>234248.75976683965</v>
      </c>
      <c r="E12" s="37">
        <f ca="1">IFERROR(D12/'Unit Mix_vm'!$G$15,0)</f>
        <v>1521.0958426418158</v>
      </c>
      <c r="F12" s="37">
        <f ca="1">IFERROR(E12/'Unit Mix_vm'!$I$15,0)</f>
        <v>0.85590958830928965</v>
      </c>
      <c r="G12" s="25">
        <f t="shared" ca="1" si="1"/>
        <v>4.4999999999999997E-3</v>
      </c>
      <c r="I12" s="21">
        <v>7.4999999999999997E-3</v>
      </c>
      <c r="J12" s="20" t="s">
        <v>81</v>
      </c>
      <c r="M12" s="3" t="s">
        <v>84</v>
      </c>
      <c r="N12" s="13">
        <f ca="1">SUM(N9:N11)</f>
        <v>52055279.948186591</v>
      </c>
      <c r="O12" s="13">
        <f ca="1">SUM(O9:O11)</f>
        <v>338021.29836484801</v>
      </c>
      <c r="P12" s="29">
        <f ca="1">SUM(P9:P11)</f>
        <v>190.20213073539773</v>
      </c>
      <c r="Q12" s="26">
        <f ca="1">SUM(Q9:Q11)</f>
        <v>1</v>
      </c>
    </row>
    <row r="13" spans="1:17">
      <c r="B13" t="s">
        <v>85</v>
      </c>
      <c r="C13" s="24" t="s">
        <v>80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86</v>
      </c>
      <c r="C14" s="24" t="s">
        <v>80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87</v>
      </c>
      <c r="M14" s="28" t="s">
        <v>88</v>
      </c>
    </row>
    <row r="15" spans="1:17">
      <c r="B15" t="s">
        <v>89</v>
      </c>
      <c r="C15" s="24" t="s">
        <v>80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87</v>
      </c>
      <c r="M15" t="s">
        <v>72</v>
      </c>
      <c r="N15" s="14">
        <f>+SUMIF($C$8:$C$86,$M15,$D$8:$D$86)</f>
        <v>3080000</v>
      </c>
      <c r="O15" s="37">
        <f>IFERROR(N15/'Unit Mix_vm'!$G$15,0)</f>
        <v>20000</v>
      </c>
      <c r="P15" s="37">
        <f>IFERROR(O15/'Unit Mix_vm'!$I$15,0)</f>
        <v>11.253854810657545</v>
      </c>
      <c r="Q15" s="25">
        <f ca="1">IFERROR(N15/N$18,0)</f>
        <v>5.9167869293291458E-2</v>
      </c>
    </row>
    <row r="16" spans="1:17">
      <c r="B16" t="s">
        <v>90</v>
      </c>
      <c r="C16" s="24" t="s">
        <v>80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91</v>
      </c>
      <c r="N16" s="14">
        <f>+SUMIF($C$8:$C$86,$M16,$D$8:$D$86)</f>
        <v>39156000</v>
      </c>
      <c r="O16" s="37">
        <f>IFERROR(N16/'Unit Mix_vm'!$G$15,0)</f>
        <v>254259.74025974027</v>
      </c>
      <c r="P16" s="37">
        <f>IFERROR(O16/'Unit Mix_vm'!$I$15,0)</f>
        <v>143.07011005393082</v>
      </c>
      <c r="Q16" s="25">
        <f t="shared" ref="Q16:Q17" ca="1" si="2">IFERROR(N16/N$18,0)</f>
        <v>0.75220035391172735</v>
      </c>
    </row>
    <row r="17" spans="2:17">
      <c r="B17" t="s">
        <v>92</v>
      </c>
      <c r="C17" s="24" t="s">
        <v>80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93</v>
      </c>
      <c r="M17" t="s">
        <v>80</v>
      </c>
      <c r="N17" s="14">
        <f ca="1">+SUMIF($C$8:$C$86,$M17,$D$8:$D$86)</f>
        <v>9819279.9481865894</v>
      </c>
      <c r="O17" s="37">
        <f ca="1">IFERROR(N17/'Unit Mix_vm'!$G$15,0)</f>
        <v>63761.558105107724</v>
      </c>
      <c r="P17" s="37">
        <f ca="1">IFERROR(O17/'Unit Mix_vm'!$I$15,0)</f>
        <v>35.878165870809362</v>
      </c>
      <c r="Q17" s="25">
        <f t="shared" ca="1" si="2"/>
        <v>0.18863177679498111</v>
      </c>
    </row>
    <row r="18" spans="2:17">
      <c r="B18" t="s">
        <v>94</v>
      </c>
      <c r="C18" s="24" t="s">
        <v>80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93</v>
      </c>
      <c r="M18" s="3" t="s">
        <v>95</v>
      </c>
      <c r="N18" s="13">
        <f ca="1">SUM(N15:N17)</f>
        <v>52055279.948186591</v>
      </c>
      <c r="O18" s="29">
        <f ca="1">SUM(O15:O17)</f>
        <v>338021.29836484801</v>
      </c>
      <c r="P18" s="29">
        <f ca="1">SUM(P15:P17)</f>
        <v>190.20213073539773</v>
      </c>
      <c r="Q18" s="26">
        <f ca="1">SUM(Q15:Q17)</f>
        <v>0.99999999999999989</v>
      </c>
    </row>
    <row r="19" spans="2:17">
      <c r="B19" t="s">
        <v>96</v>
      </c>
      <c r="C19" s="24" t="s">
        <v>80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97</v>
      </c>
      <c r="C20" s="24" t="s">
        <v>80</v>
      </c>
      <c r="D20" s="76">
        <v>275000</v>
      </c>
      <c r="E20" s="37">
        <f>IFERROR(D20/'Unit Mix_vm'!$G$15,0)</f>
        <v>1785.7142857142858</v>
      </c>
      <c r="F20" s="37">
        <f>IFERROR(E20/'Unit Mix_vm'!$I$15,0)</f>
        <v>1.0048084652372808</v>
      </c>
      <c r="G20" s="25">
        <f t="shared" ca="1" si="1"/>
        <v>5.2828454726153084E-3</v>
      </c>
      <c r="M20" s="1"/>
    </row>
    <row r="21" spans="2:17">
      <c r="B21" t="s">
        <v>98</v>
      </c>
      <c r="C21" s="24" t="s">
        <v>80</v>
      </c>
      <c r="D21" s="76">
        <v>250000</v>
      </c>
      <c r="E21" s="37">
        <f>IFERROR(D21/'Unit Mix_vm'!$G$15,0)</f>
        <v>1623.3766233766235</v>
      </c>
      <c r="F21" s="37">
        <f>IFERROR(E21/'Unit Mix_vm'!$I$15,0)</f>
        <v>0.9134622411248009</v>
      </c>
      <c r="G21" s="25">
        <f t="shared" ca="1" si="1"/>
        <v>4.802586793286644E-3</v>
      </c>
      <c r="M21" s="158" t="s">
        <v>99</v>
      </c>
      <c r="N21" s="122"/>
      <c r="O21" s="122"/>
      <c r="P21" s="122"/>
      <c r="Q21" s="122"/>
    </row>
    <row r="22" spans="2:17">
      <c r="B22" t="s">
        <v>100</v>
      </c>
      <c r="C22" s="24" t="s">
        <v>80</v>
      </c>
      <c r="D22" s="52">
        <f>E22*'Unit Mix_vm'!$G$15</f>
        <v>1001000</v>
      </c>
      <c r="E22" s="76">
        <v>6500</v>
      </c>
      <c r="F22" s="37">
        <f>IFERROR(E22/'Unit Mix_vm'!$I$15,0)</f>
        <v>3.6575028134637027</v>
      </c>
      <c r="G22" s="25">
        <f t="shared" ca="1" si="1"/>
        <v>1.9229557520319723E-2</v>
      </c>
      <c r="M22" s="55" t="s">
        <v>82</v>
      </c>
    </row>
    <row r="23" spans="2:17">
      <c r="B23" t="s">
        <v>101</v>
      </c>
      <c r="C23" s="24" t="s">
        <v>80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82</v>
      </c>
      <c r="N23" s="36">
        <f ca="1">D86*N24</f>
        <v>31233167.968911953</v>
      </c>
    </row>
    <row r="24" spans="2:17">
      <c r="B24" s="3" t="s">
        <v>102</v>
      </c>
      <c r="C24" s="3"/>
      <c r="D24" s="13">
        <f ca="1">+SUM(D11:D23)</f>
        <v>1916414.5996113995</v>
      </c>
      <c r="E24" s="13">
        <f ca="1">SUM(E11:E23)</f>
        <v>12444.25064682727</v>
      </c>
      <c r="F24" s="13">
        <f ca="1">SUM(F11:F23)</f>
        <v>7.0022895003412673</v>
      </c>
      <c r="G24" s="26">
        <f ca="1">SUM(G11:G23)</f>
        <v>3.6814989786221677E-2</v>
      </c>
      <c r="M24" t="s">
        <v>103</v>
      </c>
      <c r="N24" s="44">
        <v>0.6</v>
      </c>
    </row>
    <row r="25" spans="2:17">
      <c r="D25" s="14"/>
      <c r="E25" s="14"/>
      <c r="F25" s="14"/>
      <c r="M25" t="s">
        <v>104</v>
      </c>
      <c r="N25" s="49">
        <f ca="1">IFERROR('Pro-Forma_vm'!$C$39/Budget_vm!N23,0)</f>
        <v>9.2698748029717087E-2</v>
      </c>
      <c r="O25" s="53"/>
    </row>
    <row r="26" spans="2:17">
      <c r="B26" s="12" t="s">
        <v>105</v>
      </c>
      <c r="C26" s="12"/>
      <c r="D26" s="15"/>
      <c r="E26" s="15"/>
      <c r="F26" s="15"/>
      <c r="G26" s="12"/>
      <c r="O26" s="54"/>
    </row>
    <row r="27" spans="2:17">
      <c r="B27" t="s">
        <v>106</v>
      </c>
      <c r="C27" s="24" t="s">
        <v>80</v>
      </c>
      <c r="D27" s="52">
        <f ca="1">I27*(D86-D8)</f>
        <v>1714134.7981865308</v>
      </c>
      <c r="E27" s="37">
        <f ca="1">IFERROR(D27/'Unit Mix_vm'!$G$15,0)</f>
        <v>11130.745442769681</v>
      </c>
      <c r="F27" s="37">
        <f ca="1">IFERROR(E27/'Unit Mix_vm'!$I$15,0)</f>
        <v>6.2631896573659063</v>
      </c>
      <c r="G27" s="25">
        <f t="shared" ref="G27:G29" ca="1" si="3">+IFERROR(D27/D$86,0)</f>
        <v>3.2929124574734799E-2</v>
      </c>
      <c r="I27" s="21">
        <v>3.5000000000000003E-2</v>
      </c>
      <c r="J27" s="20" t="s">
        <v>107</v>
      </c>
      <c r="K27" s="20"/>
      <c r="M27" t="s">
        <v>108</v>
      </c>
      <c r="N27" s="45">
        <v>0.04</v>
      </c>
    </row>
    <row r="28" spans="2:17">
      <c r="B28" t="s">
        <v>109</v>
      </c>
      <c r="C28" s="24" t="s">
        <v>80</v>
      </c>
      <c r="D28" s="14">
        <f>+I28*SUM(D67:D68)</f>
        <v>314560</v>
      </c>
      <c r="E28" s="37">
        <f>IFERROR(D28/'Unit Mix_vm'!$G$15,0)</f>
        <v>2042.5974025974026</v>
      </c>
      <c r="F28" s="37">
        <f>IFERROR(E28/'Unit Mix_vm'!$I$15,0)</f>
        <v>1.1493547302728693</v>
      </c>
      <c r="G28" s="25">
        <f t="shared" ca="1" si="3"/>
        <v>6.0428068067849873E-3</v>
      </c>
      <c r="I28" s="21">
        <v>0.01</v>
      </c>
      <c r="J28" s="20" t="s">
        <v>110</v>
      </c>
      <c r="K28" s="20"/>
      <c r="M28" t="s">
        <v>111</v>
      </c>
      <c r="N28" s="45">
        <v>0.03</v>
      </c>
      <c r="O28" s="30"/>
    </row>
    <row r="29" spans="2:17">
      <c r="B29" t="s">
        <v>112</v>
      </c>
      <c r="C29" s="24" t="s">
        <v>80</v>
      </c>
      <c r="D29" s="76">
        <v>300000</v>
      </c>
      <c r="E29" s="37">
        <f>IFERROR(D29/'Unit Mix_vm'!$G$15,0)</f>
        <v>1948.0519480519481</v>
      </c>
      <c r="F29" s="37">
        <f>IFERROR(E29/'Unit Mix_vm'!$I$15,0)</f>
        <v>1.0961546893497609</v>
      </c>
      <c r="G29" s="25">
        <f t="shared" ca="1" si="3"/>
        <v>5.7631041519439728E-3</v>
      </c>
      <c r="M29" s="3" t="s">
        <v>113</v>
      </c>
      <c r="N29" s="47">
        <f>SUM(N27:N28)</f>
        <v>7.0000000000000007E-2</v>
      </c>
    </row>
    <row r="30" spans="2:17">
      <c r="B30" s="3" t="s">
        <v>114</v>
      </c>
      <c r="C30" s="3"/>
      <c r="D30" s="13">
        <f ca="1">+SUM(D27:D29)</f>
        <v>2328694.7981865308</v>
      </c>
      <c r="E30" s="13">
        <f ca="1">SUM(E27:E29)</f>
        <v>15121.394793419033</v>
      </c>
      <c r="F30" s="13">
        <f ca="1">SUM(F27:F29)</f>
        <v>8.5086990769885364</v>
      </c>
      <c r="G30" s="26">
        <f ca="1">SUM(G27:G29)</f>
        <v>4.4735035533463766E-2</v>
      </c>
    </row>
    <row r="31" spans="2:17">
      <c r="D31" s="14"/>
      <c r="E31" s="14"/>
      <c r="F31" s="14"/>
      <c r="M31" t="s">
        <v>115</v>
      </c>
      <c r="N31" s="32">
        <v>21</v>
      </c>
      <c r="O31" s="30"/>
    </row>
    <row r="32" spans="2:17">
      <c r="B32" s="12" t="s">
        <v>116</v>
      </c>
      <c r="C32" s="12"/>
      <c r="D32" s="15"/>
      <c r="E32" s="15"/>
      <c r="F32" s="15"/>
      <c r="G32" s="12"/>
      <c r="M32" t="s">
        <v>117</v>
      </c>
      <c r="N32" s="44">
        <v>0.5</v>
      </c>
    </row>
    <row r="33" spans="2:22">
      <c r="B33" t="s">
        <v>118</v>
      </c>
      <c r="C33" s="24" t="s">
        <v>80</v>
      </c>
      <c r="D33" s="76">
        <v>300000</v>
      </c>
      <c r="E33" s="37">
        <f>IFERROR(D33/'Unit Mix_vm'!$G$15,0)</f>
        <v>1948.0519480519481</v>
      </c>
      <c r="F33" s="37">
        <f>IFERROR(E33/'Unit Mix_vm'!$I$15,0)</f>
        <v>1.0961546893497609</v>
      </c>
      <c r="G33" s="25">
        <f t="shared" ref="G33:G42" ca="1" si="4">+IFERROR(D33/D$86,0)</f>
        <v>5.7631041519439728E-3</v>
      </c>
      <c r="M33" t="s">
        <v>119</v>
      </c>
      <c r="N33" s="36">
        <f ca="1">+N23*N29*N31*N32/12</f>
        <v>1913031.5380958572</v>
      </c>
    </row>
    <row r="34" spans="2:22">
      <c r="B34" t="s">
        <v>120</v>
      </c>
      <c r="C34" s="24" t="s">
        <v>80</v>
      </c>
      <c r="D34" s="76">
        <v>400000</v>
      </c>
      <c r="E34" s="37">
        <f>IFERROR(D34/'Unit Mix_vm'!$G$15,0)</f>
        <v>2597.4025974025976</v>
      </c>
      <c r="F34" s="37">
        <f>IFERROR(E34/'Unit Mix_vm'!$I$15,0)</f>
        <v>1.4615395857996814</v>
      </c>
      <c r="G34" s="25">
        <f t="shared" ca="1" si="4"/>
        <v>7.6841388692586313E-3</v>
      </c>
      <c r="O34" s="42"/>
      <c r="U34" s="136" t="s">
        <v>121</v>
      </c>
      <c r="V34" s="137"/>
    </row>
    <row r="35" spans="2:22">
      <c r="B35" t="s">
        <v>122</v>
      </c>
      <c r="C35" s="24" t="s">
        <v>80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81</v>
      </c>
      <c r="K35" s="20"/>
      <c r="M35" s="55" t="s">
        <v>78</v>
      </c>
      <c r="U35" s="131" t="s">
        <v>123</v>
      </c>
      <c r="V35" s="138">
        <v>0.45</v>
      </c>
    </row>
    <row r="36" spans="2:22">
      <c r="B36" t="s">
        <v>124</v>
      </c>
      <c r="C36" s="24" t="s">
        <v>80</v>
      </c>
      <c r="D36" s="76">
        <v>50000</v>
      </c>
      <c r="E36" s="37">
        <f>IFERROR(D36/'Unit Mix_vm'!$G$15,0)</f>
        <v>324.6753246753247</v>
      </c>
      <c r="F36" s="37">
        <f>IFERROR(E36/'Unit Mix_vm'!$I$15,0)</f>
        <v>0.18269244822496017</v>
      </c>
      <c r="G36" s="25">
        <f t="shared" ca="1" si="4"/>
        <v>9.6051735865732891E-4</v>
      </c>
      <c r="M36" t="s">
        <v>78</v>
      </c>
      <c r="N36" s="36">
        <f ca="1">D86*N37-N23</f>
        <v>0</v>
      </c>
      <c r="U36" s="5"/>
      <c r="V36" s="132"/>
    </row>
    <row r="37" spans="2:22">
      <c r="B37" t="s">
        <v>125</v>
      </c>
      <c r="C37" s="24" t="s">
        <v>80</v>
      </c>
      <c r="D37" s="52">
        <f ca="1">I37*D86</f>
        <v>35918.143164248744</v>
      </c>
      <c r="E37" s="37">
        <f ca="1">IFERROR(D37/'Unit Mix_vm'!$G$15,0)</f>
        <v>233.23469587174509</v>
      </c>
      <c r="F37" s="37">
        <f ca="1">IFERROR(E37/'Unit Mix_vm'!$I$15,0)</f>
        <v>0.13123947020742441</v>
      </c>
      <c r="G37" s="25">
        <f t="shared" ca="1" si="4"/>
        <v>6.8999999999999997E-4</v>
      </c>
      <c r="I37" s="21">
        <v>6.8999999999999997E-4</v>
      </c>
      <c r="J37" s="20" t="s">
        <v>107</v>
      </c>
      <c r="M37" t="s">
        <v>126</v>
      </c>
      <c r="N37" s="44">
        <f>+N24</f>
        <v>0.6</v>
      </c>
      <c r="U37" s="5" t="s">
        <v>127</v>
      </c>
      <c r="V37" s="133">
        <f>N16</f>
        <v>39156000</v>
      </c>
    </row>
    <row r="38" spans="2:22">
      <c r="B38" t="s">
        <v>128</v>
      </c>
      <c r="C38" s="24" t="s">
        <v>80</v>
      </c>
      <c r="D38" s="52">
        <f ca="1">(((V40/100)*V35)*2)+60000</f>
        <v>537031.12153367931</v>
      </c>
      <c r="E38" s="52">
        <f ca="1">IFERROR(D38/'Unit Mix_vm'!$G$15,0)</f>
        <v>3487.2150748940217</v>
      </c>
      <c r="F38" s="52">
        <f ca="1">IFERROR(E38/'Unit Mix_vm'!$I$15,0)</f>
        <v>1.96223060731968</v>
      </c>
      <c r="G38" s="139">
        <f t="shared" ca="1" si="4"/>
        <v>1.0316554287446253E-2</v>
      </c>
      <c r="M38" t="s">
        <v>129</v>
      </c>
      <c r="N38" s="49">
        <f ca="1">IFERROR('Pro-Forma_vm'!$C$39/SUM(N36,N23),0)</f>
        <v>9.2698748029717087E-2</v>
      </c>
      <c r="U38" s="5" t="s">
        <v>130</v>
      </c>
      <c r="V38" s="133">
        <f t="shared" ref="V38" ca="1" si="5">N17</f>
        <v>9819279.9481865894</v>
      </c>
    </row>
    <row r="39" spans="2:22">
      <c r="B39" t="s">
        <v>131</v>
      </c>
      <c r="C39" s="24" t="s">
        <v>80</v>
      </c>
      <c r="D39" s="52">
        <f>((V45/1000)*V43)+30000</f>
        <v>94357.288281401212</v>
      </c>
      <c r="E39" s="52">
        <f>IFERROR(D39/'Unit Mix_vm'!$G$15,0)</f>
        <v>612.70966416494298</v>
      </c>
      <c r="F39" s="52">
        <f>IFERROR(E39/'Unit Mix_vm'!$I$15,0)</f>
        <v>0.34476728007995067</v>
      </c>
      <c r="G39" s="139">
        <f t="shared" ref="G39" ca="1" si="6">+IFERROR(D39/D$86,0)</f>
        <v>1.8126362662023924E-3</v>
      </c>
      <c r="N39" s="49"/>
      <c r="U39" s="5" t="s">
        <v>132</v>
      </c>
      <c r="V39" s="133">
        <f>'Unit Mix_vm'!G15*'Unit Mix_vm'!J15*12</f>
        <v>4028178</v>
      </c>
    </row>
    <row r="40" spans="2:22">
      <c r="B40" t="s">
        <v>133</v>
      </c>
      <c r="C40" s="24" t="s">
        <v>80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76</v>
      </c>
      <c r="U40" s="134" t="s">
        <v>53</v>
      </c>
      <c r="V40" s="135">
        <f ca="1">SUM(V37:V39)</f>
        <v>53003457.948186591</v>
      </c>
    </row>
    <row r="41" spans="2:22">
      <c r="B41" t="s">
        <v>134</v>
      </c>
      <c r="C41" s="24" t="s">
        <v>80</v>
      </c>
      <c r="D41" s="76">
        <v>50000</v>
      </c>
      <c r="E41" s="37">
        <f>IFERROR(D41/'Unit Mix_vm'!$G$15,0)</f>
        <v>324.6753246753247</v>
      </c>
      <c r="F41" s="37">
        <f>IFERROR(E41/'Unit Mix_vm'!$I$15,0)</f>
        <v>0.18269244822496017</v>
      </c>
      <c r="G41" s="25">
        <f t="shared" ca="1" si="4"/>
        <v>9.6051735865732891E-4</v>
      </c>
      <c r="M41" t="s">
        <v>135</v>
      </c>
      <c r="N41" s="58">
        <f ca="1">D86-N23-N36</f>
        <v>20822111.979274638</v>
      </c>
      <c r="U41" s="4"/>
      <c r="V41" s="4"/>
    </row>
    <row r="42" spans="2:22">
      <c r="B42" t="s">
        <v>136</v>
      </c>
      <c r="C42" s="24" t="s">
        <v>80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137</v>
      </c>
      <c r="V42" s="137"/>
    </row>
    <row r="43" spans="2:22">
      <c r="B43" s="3" t="s">
        <v>138</v>
      </c>
      <c r="C43" s="3"/>
      <c r="D43" s="13">
        <f ca="1">+SUM(D33:D42)</f>
        <v>1467306.5529793291</v>
      </c>
      <c r="E43" s="13">
        <f ca="1">SUM(E33:E42)</f>
        <v>9527.964629735905</v>
      </c>
      <c r="F43" s="13">
        <f ca="1">SUM(F33:F42)</f>
        <v>5.3613165292064178</v>
      </c>
      <c r="G43" s="26">
        <f ca="1">SUM(G33:G42)</f>
        <v>2.8187468292165906E-2</v>
      </c>
      <c r="M43" t="s">
        <v>139</v>
      </c>
      <c r="N43" s="34">
        <f ca="1">+N41*0.1</f>
        <v>2082211.1979274638</v>
      </c>
      <c r="O43" s="46">
        <f ca="1">+N43/N41</f>
        <v>0.1</v>
      </c>
      <c r="U43" s="5" t="s">
        <v>123</v>
      </c>
      <c r="V43" s="159">
        <v>1.1000000000000001</v>
      </c>
    </row>
    <row r="44" spans="2:22">
      <c r="D44" s="14"/>
      <c r="E44" s="14"/>
      <c r="F44" s="14"/>
      <c r="M44" t="s">
        <v>140</v>
      </c>
      <c r="N44" s="36">
        <f ca="1">+N41-N43</f>
        <v>18739900.781347174</v>
      </c>
      <c r="O44" s="51">
        <f ca="1">1-O43</f>
        <v>0.9</v>
      </c>
      <c r="U44" s="5" t="s">
        <v>141</v>
      </c>
      <c r="V44" s="160">
        <v>5.2499999999999998E-2</v>
      </c>
    </row>
    <row r="45" spans="2:22">
      <c r="B45" s="12" t="s">
        <v>142</v>
      </c>
      <c r="C45" s="12"/>
      <c r="D45" s="15"/>
      <c r="E45" s="15"/>
      <c r="F45" s="15"/>
      <c r="G45" s="12"/>
      <c r="U45" s="161" t="s">
        <v>143</v>
      </c>
      <c r="V45" s="162">
        <f>(('Pro-Forma_vm'!C39*1.03*1.03)/Budget_vm!V44)</f>
        <v>58506625.710364729</v>
      </c>
    </row>
    <row r="46" spans="2:22">
      <c r="B46" t="s">
        <v>144</v>
      </c>
      <c r="C46" s="24" t="s">
        <v>80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145</v>
      </c>
      <c r="C47" s="24" t="s">
        <v>80</v>
      </c>
      <c r="D47" s="76">
        <v>25000</v>
      </c>
      <c r="E47" s="37">
        <f>IFERROR(D47/'Unit Mix_vm'!$G$15,0)</f>
        <v>162.33766233766235</v>
      </c>
      <c r="F47" s="37">
        <f>IFERROR(E47/'Unit Mix_vm'!$I$15,0)</f>
        <v>9.1346224112480084E-2</v>
      </c>
      <c r="G47" s="25">
        <f t="shared" ca="1" si="7"/>
        <v>4.8025867932866446E-4</v>
      </c>
    </row>
    <row r="48" spans="2:22">
      <c r="B48" t="s">
        <v>146</v>
      </c>
      <c r="C48" s="24" t="s">
        <v>80</v>
      </c>
      <c r="D48" s="76">
        <v>50000</v>
      </c>
      <c r="E48" s="37">
        <f>IFERROR(D48/'Unit Mix_vm'!$G$15,0)</f>
        <v>324.6753246753247</v>
      </c>
      <c r="F48" s="37">
        <f>IFERROR(E48/'Unit Mix_vm'!$I$15,0)</f>
        <v>0.18269244822496017</v>
      </c>
      <c r="G48" s="25">
        <f t="shared" ca="1" si="7"/>
        <v>9.6051735865732891E-4</v>
      </c>
    </row>
    <row r="49" spans="2:7">
      <c r="B49" t="s">
        <v>147</v>
      </c>
      <c r="C49" s="24" t="s">
        <v>80</v>
      </c>
      <c r="D49" s="52">
        <f>E49*'Unit Mix_vm'!$G$15</f>
        <v>308000</v>
      </c>
      <c r="E49" s="264">
        <v>2000</v>
      </c>
      <c r="F49" s="37">
        <f>IFERROR(E49/'Unit Mix_vm'!$I$15,0)</f>
        <v>1.1253854810657546</v>
      </c>
      <c r="G49" s="25">
        <f t="shared" ca="1" si="7"/>
        <v>5.916786929329146E-3</v>
      </c>
    </row>
    <row r="50" spans="2:7">
      <c r="B50" t="s">
        <v>148</v>
      </c>
      <c r="C50" s="24" t="s">
        <v>80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149</v>
      </c>
      <c r="C51" s="24" t="s">
        <v>80</v>
      </c>
      <c r="D51" s="76">
        <v>150000</v>
      </c>
      <c r="E51" s="37">
        <f>IFERROR(D51/'Unit Mix_vm'!$G$15,0)</f>
        <v>974.02597402597405</v>
      </c>
      <c r="F51" s="37">
        <f>IFERROR(E51/'Unit Mix_vm'!$I$15,0)</f>
        <v>0.54807734467488045</v>
      </c>
      <c r="G51" s="25">
        <f t="shared" ca="1" si="7"/>
        <v>2.8815520759719864E-3</v>
      </c>
    </row>
    <row r="52" spans="2:7">
      <c r="B52" t="s">
        <v>150</v>
      </c>
      <c r="C52" s="24" t="s">
        <v>80</v>
      </c>
      <c r="D52" s="76">
        <v>60000</v>
      </c>
      <c r="E52" s="52">
        <f>IFERROR(D52/'Unit Mix_vm'!$G$15,0)</f>
        <v>389.61038961038963</v>
      </c>
      <c r="F52" s="37">
        <f>IFERROR(E52/'Unit Mix_vm'!$I$15,0)</f>
        <v>0.21923093786995221</v>
      </c>
      <c r="G52" s="25">
        <f t="shared" ca="1" si="7"/>
        <v>1.1526208303887947E-3</v>
      </c>
    </row>
    <row r="53" spans="2:7">
      <c r="B53" t="s">
        <v>151</v>
      </c>
      <c r="C53" s="24" t="s">
        <v>80</v>
      </c>
      <c r="D53" s="76">
        <v>300000</v>
      </c>
      <c r="E53" s="52">
        <f>IFERROR(D53/'Unit Mix_vm'!$G$15,0)</f>
        <v>1948.0519480519481</v>
      </c>
      <c r="F53" s="37">
        <f>IFERROR(E53/'Unit Mix_vm'!$I$15,0)</f>
        <v>1.0961546893497609</v>
      </c>
      <c r="G53" s="25">
        <f t="shared" ca="1" si="7"/>
        <v>5.7631041519439728E-3</v>
      </c>
    </row>
    <row r="54" spans="2:7">
      <c r="B54" t="s">
        <v>152</v>
      </c>
      <c r="C54" s="24" t="s">
        <v>80</v>
      </c>
      <c r="D54" s="52">
        <f>E54*'Unit Mix_vm'!$G$15</f>
        <v>462000</v>
      </c>
      <c r="E54" s="76">
        <v>3000</v>
      </c>
      <c r="F54" s="37">
        <f>IFERROR(E54/'Unit Mix_vm'!$I$15,0)</f>
        <v>1.6880782215986319</v>
      </c>
      <c r="G54" s="25">
        <f t="shared" ca="1" si="7"/>
        <v>8.8751803939937195E-3</v>
      </c>
    </row>
    <row r="55" spans="2:7">
      <c r="B55" t="s">
        <v>153</v>
      </c>
      <c r="C55" s="24" t="s">
        <v>80</v>
      </c>
      <c r="D55" s="76">
        <v>25000</v>
      </c>
      <c r="E55" s="37">
        <f>IFERROR(D55/'Unit Mix_vm'!$G$15,0)</f>
        <v>162.33766233766235</v>
      </c>
      <c r="F55" s="37">
        <f>IFERROR(E55/'Unit Mix_vm'!$I$15,0)</f>
        <v>9.1346224112480084E-2</v>
      </c>
      <c r="G55" s="25">
        <f t="shared" ca="1" si="7"/>
        <v>4.8025867932866446E-4</v>
      </c>
    </row>
    <row r="56" spans="2:7">
      <c r="B56" t="s">
        <v>154</v>
      </c>
      <c r="C56" s="24" t="s">
        <v>80</v>
      </c>
      <c r="D56" s="76">
        <v>100000</v>
      </c>
      <c r="E56" s="37">
        <f>IFERROR(D56/'Unit Mix_vm'!$G$15,0)</f>
        <v>649.35064935064941</v>
      </c>
      <c r="F56" s="37">
        <f>IFERROR(E56/'Unit Mix_vm'!$I$15,0)</f>
        <v>0.36538489644992034</v>
      </c>
      <c r="G56" s="25">
        <f t="shared" ca="1" si="7"/>
        <v>1.9210347173146578E-3</v>
      </c>
    </row>
    <row r="57" spans="2:7">
      <c r="B57" t="s">
        <v>155</v>
      </c>
      <c r="C57" s="24" t="s">
        <v>80</v>
      </c>
      <c r="D57" s="76">
        <v>55000</v>
      </c>
      <c r="E57" s="37">
        <f>IFERROR(D57/'Unit Mix_vm'!$G$15,0)</f>
        <v>357.14285714285717</v>
      </c>
      <c r="F57" s="37">
        <f>IFERROR(E57/'Unit Mix_vm'!$I$15,0)</f>
        <v>0.2009616930474562</v>
      </c>
      <c r="G57" s="25">
        <f t="shared" ca="1" si="7"/>
        <v>1.0565690945230617E-3</v>
      </c>
    </row>
    <row r="58" spans="2:7">
      <c r="B58" t="s">
        <v>156</v>
      </c>
      <c r="C58" s="24" t="s">
        <v>80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157</v>
      </c>
      <c r="C59" s="24" t="s">
        <v>80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158</v>
      </c>
      <c r="C60" s="24" t="s">
        <v>80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159</v>
      </c>
      <c r="C61" s="24" t="s">
        <v>80</v>
      </c>
      <c r="D61" s="52">
        <f>E61*'Unit Mix_vm'!$G$15</f>
        <v>23100</v>
      </c>
      <c r="E61" s="76">
        <v>150</v>
      </c>
      <c r="F61" s="37">
        <f>IFERROR(E61/'Unit Mix_vm'!$I$15,0)</f>
        <v>8.4403911079931601E-2</v>
      </c>
      <c r="G61" s="25">
        <f t="shared" ca="1" si="7"/>
        <v>4.4375901969968595E-4</v>
      </c>
    </row>
    <row r="62" spans="2:7">
      <c r="B62" t="s">
        <v>160</v>
      </c>
      <c r="C62" s="24" t="s">
        <v>80</v>
      </c>
      <c r="D62" s="76">
        <v>100000</v>
      </c>
      <c r="E62" s="52">
        <f>IFERROR(D62/'Unit Mix_vm'!$G$15,0)</f>
        <v>649.35064935064941</v>
      </c>
      <c r="F62" s="37">
        <f>IFERROR(E62/'Unit Mix_vm'!$I$15,0)</f>
        <v>0.36538489644992034</v>
      </c>
      <c r="G62" s="25">
        <f t="shared" ca="1" si="7"/>
        <v>1.9210347173146578E-3</v>
      </c>
    </row>
    <row r="63" spans="2:7">
      <c r="B63" t="s">
        <v>161</v>
      </c>
      <c r="C63" s="24" t="s">
        <v>80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162</v>
      </c>
      <c r="C64" s="3"/>
      <c r="D64" s="13">
        <f>+SUM(D46:D63)</f>
        <v>1658100</v>
      </c>
      <c r="E64" s="13">
        <f>SUM(E46:E63)</f>
        <v>10766.883116883118</v>
      </c>
      <c r="F64" s="13">
        <f>SUM(F46:F63)</f>
        <v>6.0584469680361286</v>
      </c>
      <c r="G64" s="26">
        <f ca="1">SUM(G46:G63)</f>
        <v>3.1852676647794342E-2</v>
      </c>
    </row>
    <row r="65" spans="2:17">
      <c r="D65" s="14"/>
      <c r="E65" s="14"/>
      <c r="F65" s="14"/>
    </row>
    <row r="66" spans="2:17">
      <c r="B66" s="12" t="s">
        <v>91</v>
      </c>
      <c r="C66" s="12"/>
      <c r="D66" s="15"/>
      <c r="E66" s="15"/>
      <c r="F66" s="15"/>
      <c r="G66" s="12"/>
      <c r="M66" s="258" t="s">
        <v>163</v>
      </c>
      <c r="N66" s="259" t="s">
        <v>23</v>
      </c>
      <c r="O66" s="259" t="s">
        <v>164</v>
      </c>
      <c r="P66" s="259" t="s">
        <v>34</v>
      </c>
      <c r="Q66" s="259" t="s">
        <v>53</v>
      </c>
    </row>
    <row r="67" spans="2:17">
      <c r="B67" t="s">
        <v>165</v>
      </c>
      <c r="C67" s="24" t="s">
        <v>91</v>
      </c>
      <c r="D67" s="31">
        <f>F67*'Unit Mix_vm'!$G$15*'Unit Mix_vm'!$I$15</f>
        <v>31456000</v>
      </c>
      <c r="E67" s="37">
        <f>IFERROR(D67/'Unit Mix_vm'!$G$15,0)</f>
        <v>204259.74025974027</v>
      </c>
      <c r="F67" s="52">
        <f>O70</f>
        <v>114.93547302728695</v>
      </c>
      <c r="G67" s="25">
        <f t="shared" ref="G67:G71" ca="1" si="8">+IFERROR(D67/D$86,0)</f>
        <v>0.60428068067849872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166</v>
      </c>
      <c r="C68" s="24" t="s">
        <v>91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100</v>
      </c>
      <c r="O68" s="34">
        <v>119.95177817962627</v>
      </c>
      <c r="P68" s="260">
        <f>'Unit Mix_vm'!I8</f>
        <v>1659</v>
      </c>
      <c r="Q68" s="36">
        <f t="shared" ref="Q68:Q69" si="9">O68*P68*N68</f>
        <v>19900000</v>
      </c>
    </row>
    <row r="69" spans="2:17">
      <c r="B69" t="s">
        <v>167</v>
      </c>
      <c r="C69" s="24" t="s">
        <v>91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54</v>
      </c>
      <c r="O69" s="34">
        <v>107.21442885771543</v>
      </c>
      <c r="P69" s="260">
        <f>'Unit Mix_vm'!I9</f>
        <v>1996</v>
      </c>
      <c r="Q69" s="36">
        <f t="shared" si="9"/>
        <v>11556000</v>
      </c>
    </row>
    <row r="70" spans="2:17">
      <c r="B70" t="s">
        <v>168</v>
      </c>
      <c r="C70" s="24" t="s">
        <v>91</v>
      </c>
      <c r="D70" s="52">
        <f>E70*'Unit Mix_vm'!$G$15</f>
        <v>7700000</v>
      </c>
      <c r="E70" s="76">
        <v>50000</v>
      </c>
      <c r="F70" s="37">
        <f>IFERROR(E70/'Unit Mix_vm'!$I$15,0)</f>
        <v>28.134637026643865</v>
      </c>
      <c r="G70" s="25">
        <f t="shared" ca="1" si="8"/>
        <v>0.14791967323322866</v>
      </c>
      <c r="M70" s="261" t="s">
        <v>169</v>
      </c>
      <c r="N70" s="262">
        <f>SUM(N67:N69)</f>
        <v>154</v>
      </c>
      <c r="O70" s="263">
        <f>Q70/P70/N70</f>
        <v>114.93547302728695</v>
      </c>
      <c r="P70" s="262">
        <f>SUMPRODUCT(P67:P69,N67:N69)/N70</f>
        <v>1777.1688311688313</v>
      </c>
      <c r="Q70" s="263">
        <f>SUM(Q67:Q69)</f>
        <v>31456000</v>
      </c>
    </row>
    <row r="71" spans="2:17">
      <c r="B71" t="s">
        <v>170</v>
      </c>
      <c r="C71" s="24" t="s">
        <v>91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171</v>
      </c>
      <c r="C72" s="3"/>
      <c r="D72" s="13">
        <f>+SUM(D67:D71)</f>
        <v>39156000</v>
      </c>
      <c r="E72" s="13">
        <f>SUM(E67:E71)</f>
        <v>254259.74025974027</v>
      </c>
      <c r="F72" s="13">
        <f>SUM(F67:F71)</f>
        <v>143.07011005393082</v>
      </c>
      <c r="G72" s="26">
        <f ca="1">SUM(G67:G71)</f>
        <v>0.75220035391172735</v>
      </c>
    </row>
    <row r="73" spans="2:17">
      <c r="D73" s="14"/>
      <c r="E73" s="14"/>
      <c r="F73" s="14"/>
    </row>
    <row r="74" spans="2:17">
      <c r="B74" s="12" t="s">
        <v>172</v>
      </c>
      <c r="C74" s="12"/>
      <c r="D74" s="15"/>
      <c r="E74" s="15"/>
      <c r="F74" s="15"/>
      <c r="G74" s="12"/>
    </row>
    <row r="75" spans="2:17">
      <c r="B75" t="s">
        <v>173</v>
      </c>
      <c r="C75" s="24" t="s">
        <v>80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174</v>
      </c>
      <c r="C76" s="24" t="s">
        <v>80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175</v>
      </c>
      <c r="C77" s="24" t="s">
        <v>80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176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177</v>
      </c>
      <c r="C80" s="12"/>
      <c r="D80" s="15"/>
      <c r="E80" s="15"/>
      <c r="F80" s="15"/>
      <c r="G80" s="12"/>
    </row>
    <row r="81" spans="2:11">
      <c r="B81" t="s">
        <v>178</v>
      </c>
      <c r="C81" s="24" t="s">
        <v>80</v>
      </c>
      <c r="D81" s="14">
        <f>+I81*D72</f>
        <v>1957800</v>
      </c>
      <c r="E81" s="37">
        <f>IFERROR(D81/'Unit Mix_vm'!$G$15,0)</f>
        <v>12712.987012987012</v>
      </c>
      <c r="F81" s="37">
        <f>IFERROR(E81/'Unit Mix_vm'!$I$15,0)</f>
        <v>7.1535055026965395</v>
      </c>
      <c r="G81" s="25">
        <f t="shared" ref="G81:G83" ca="1" si="11">+IFERROR(D81/D$86,0)</f>
        <v>3.7610017695586369E-2</v>
      </c>
      <c r="I81" s="21">
        <v>0.05</v>
      </c>
      <c r="J81" s="20" t="s">
        <v>179</v>
      </c>
      <c r="K81" s="20"/>
    </row>
    <row r="82" spans="2:11">
      <c r="B82" t="s">
        <v>180</v>
      </c>
      <c r="C82" s="24" t="s">
        <v>80</v>
      </c>
      <c r="D82" s="31">
        <f ca="1">+IF(Global!C16="On",0,I82*N17)</f>
        <v>490963.99740932952</v>
      </c>
      <c r="E82" s="37">
        <f ca="1">IFERROR(D82/'Unit Mix_vm'!$G$15,0)</f>
        <v>3188.0779052553867</v>
      </c>
      <c r="F82" s="37">
        <f ca="1">IFERROR(E82/'Unit Mix_vm'!$I$15,0)</f>
        <v>1.7939082935404682</v>
      </c>
      <c r="G82" s="25">
        <f t="shared" ca="1" si="11"/>
        <v>9.4315888397490562E-3</v>
      </c>
      <c r="I82" s="21">
        <v>0.05</v>
      </c>
      <c r="J82" s="20" t="s">
        <v>181</v>
      </c>
      <c r="K82" s="20"/>
    </row>
    <row r="83" spans="2:11">
      <c r="B83" t="s">
        <v>182</v>
      </c>
      <c r="C83" s="24" t="s">
        <v>80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183</v>
      </c>
      <c r="C84" s="3"/>
      <c r="D84" s="13">
        <f ca="1">+SUM(D81:D83)</f>
        <v>2448763.9974093297</v>
      </c>
      <c r="E84" s="13">
        <f ca="1">SUM(E81:E83)</f>
        <v>15901.064918242399</v>
      </c>
      <c r="F84" s="13">
        <f ca="1">SUM(F81:F83)</f>
        <v>8.9474137962370079</v>
      </c>
      <c r="G84" s="26">
        <f ca="1">SUM(G81:G83)</f>
        <v>4.7041606535335428E-2</v>
      </c>
    </row>
    <row r="86" spans="2:11">
      <c r="B86" s="17" t="s">
        <v>184</v>
      </c>
      <c r="C86" s="22"/>
      <c r="D86" s="18">
        <f ca="1">+SUM(D84,D78,D72,D64,D43,D30,D24,D8)</f>
        <v>52055279.948186591</v>
      </c>
      <c r="E86" s="19">
        <f ca="1">+SUM(E84,E78,E72,E64,E43,E30,E24,E8)</f>
        <v>338021.29836484801</v>
      </c>
      <c r="F86" s="19">
        <f ca="1">+SUM(F84,F78,F72,F64,F43,F30,F24,F8)</f>
        <v>190.20213073539773</v>
      </c>
      <c r="G86" s="27">
        <f ca="1">+SUM(G84,G78,G72,G64,G43,G30,G24,G8)</f>
        <v>0.99999999999999989</v>
      </c>
    </row>
    <row r="88" spans="2:11">
      <c r="D88" s="53"/>
    </row>
    <row r="89" spans="2:11">
      <c r="D89" s="53"/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topLeftCell="A20" zoomScale="85" zoomScaleNormal="85" workbookViewId="0">
      <selection activeCell="N8" sqref="N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Water Tower Road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186</v>
      </c>
      <c r="D6" s="167"/>
    </row>
    <row r="7" spans="1:20">
      <c r="B7" s="168"/>
      <c r="C7" s="169" t="s">
        <v>68</v>
      </c>
      <c r="D7" s="169" t="s">
        <v>187</v>
      </c>
      <c r="F7" s="140" t="s">
        <v>188</v>
      </c>
      <c r="G7" s="141"/>
      <c r="I7" s="140" t="s">
        <v>189</v>
      </c>
      <c r="J7" s="156" t="s">
        <v>190</v>
      </c>
      <c r="K7" s="156" t="s">
        <v>191</v>
      </c>
      <c r="L7" s="156" t="s">
        <v>41</v>
      </c>
      <c r="M7" s="156" t="s">
        <v>192</v>
      </c>
      <c r="N7" s="156" t="s">
        <v>193</v>
      </c>
      <c r="O7" s="156" t="s">
        <v>194</v>
      </c>
      <c r="P7" s="156" t="s">
        <v>195</v>
      </c>
      <c r="Q7" s="156" t="s">
        <v>196</v>
      </c>
      <c r="R7" s="156" t="s">
        <v>197</v>
      </c>
      <c r="S7" s="156" t="s">
        <v>53</v>
      </c>
      <c r="T7" s="157" t="s">
        <v>198</v>
      </c>
    </row>
    <row r="8" spans="1:20">
      <c r="B8" s="68"/>
      <c r="C8" s="64"/>
      <c r="D8" s="57"/>
      <c r="F8" s="56" t="s">
        <v>199</v>
      </c>
      <c r="G8" s="129">
        <f>G9*'Unit Mix_vm'!$G$15</f>
        <v>1540000</v>
      </c>
      <c r="I8" s="239" t="s">
        <v>52</v>
      </c>
      <c r="J8" s="265" t="s">
        <v>190</v>
      </c>
      <c r="K8" s="235">
        <v>345</v>
      </c>
      <c r="L8" s="235">
        <v>2021</v>
      </c>
      <c r="M8" s="235">
        <v>2025</v>
      </c>
      <c r="N8" s="237">
        <f>54395000*6%</f>
        <v>3263700</v>
      </c>
      <c r="O8" s="36">
        <f>N8/$K8</f>
        <v>9460</v>
      </c>
      <c r="P8" s="235">
        <f>17.12+4.5</f>
        <v>21.62</v>
      </c>
      <c r="Q8" s="237">
        <v>0</v>
      </c>
      <c r="R8" s="36">
        <f>Q8/$K8</f>
        <v>0</v>
      </c>
      <c r="S8" s="36">
        <f>N8*P8/100+Q8</f>
        <v>705611.94</v>
      </c>
      <c r="T8" s="226">
        <f>S8/$K8</f>
        <v>2045.2519999999997</v>
      </c>
    </row>
    <row r="9" spans="1:20">
      <c r="B9" s="68" t="s">
        <v>200</v>
      </c>
      <c r="C9" s="64">
        <f>+D9*'Unit Mix_vm'!G15*12</f>
        <v>4028178</v>
      </c>
      <c r="D9" s="78">
        <f>+'Unit Mix_vm'!J15</f>
        <v>2179.75</v>
      </c>
      <c r="F9" s="56" t="s">
        <v>201</v>
      </c>
      <c r="G9" s="243">
        <v>10000</v>
      </c>
      <c r="I9" s="239" t="s">
        <v>60</v>
      </c>
      <c r="J9" s="265" t="s">
        <v>190</v>
      </c>
      <c r="K9" s="235">
        <v>292</v>
      </c>
      <c r="L9" s="235">
        <v>2024</v>
      </c>
      <c r="M9" s="235">
        <v>2025</v>
      </c>
      <c r="N9" s="237">
        <f>12320432*6%</f>
        <v>739225.91999999993</v>
      </c>
      <c r="O9" s="36">
        <f>N9/$K9</f>
        <v>2531.595616438356</v>
      </c>
      <c r="P9" s="235">
        <f>17.12+4.5</f>
        <v>21.62</v>
      </c>
      <c r="Q9" s="237">
        <v>0</v>
      </c>
      <c r="R9" s="36">
        <f>Q9/$K9</f>
        <v>0</v>
      </c>
      <c r="S9" s="36">
        <f t="shared" ref="S9:S10" si="0">N9*P9/100+Q9</f>
        <v>159820.643904</v>
      </c>
      <c r="T9" s="226">
        <f>S9/$K9</f>
        <v>547.33097227397263</v>
      </c>
    </row>
    <row r="10" spans="1:20">
      <c r="B10" s="68" t="s">
        <v>202</v>
      </c>
      <c r="C10" s="80">
        <f>-D10*C9</f>
        <v>0</v>
      </c>
      <c r="D10" s="254">
        <v>0</v>
      </c>
      <c r="F10" s="56"/>
      <c r="G10" s="57"/>
      <c r="I10" s="240" t="s">
        <v>64</v>
      </c>
      <c r="J10" s="267" t="s">
        <v>190</v>
      </c>
      <c r="K10" s="241">
        <v>322</v>
      </c>
      <c r="L10" s="241">
        <v>2021</v>
      </c>
      <c r="M10" s="241">
        <v>2025</v>
      </c>
      <c r="N10" s="242">
        <f>64400000*6%</f>
        <v>3864000</v>
      </c>
      <c r="O10" s="223">
        <f>N10/$K10</f>
        <v>12000</v>
      </c>
      <c r="P10" s="241">
        <f>17.12+8.34</f>
        <v>25.46</v>
      </c>
      <c r="Q10" s="242">
        <v>0</v>
      </c>
      <c r="R10" s="223">
        <f>Q10/$K10</f>
        <v>0</v>
      </c>
      <c r="S10" s="223">
        <f t="shared" si="0"/>
        <v>983774.4</v>
      </c>
      <c r="T10" s="232">
        <f>S10/$K10</f>
        <v>3055.2000000000003</v>
      </c>
    </row>
    <row r="11" spans="1:20">
      <c r="B11" s="68" t="s">
        <v>203</v>
      </c>
      <c r="C11" s="80">
        <f>-D11*C9</f>
        <v>-26157</v>
      </c>
      <c r="D11" s="254">
        <f>1/'Unit Mix_vm'!$G$15</f>
        <v>6.4935064935064939E-3</v>
      </c>
      <c r="F11" s="56" t="s">
        <v>204</v>
      </c>
      <c r="G11" s="238">
        <v>21.62</v>
      </c>
    </row>
    <row r="12" spans="1:20">
      <c r="B12" s="69" t="s">
        <v>205</v>
      </c>
      <c r="C12" s="65">
        <f>SUM(C9:C11)</f>
        <v>4002021</v>
      </c>
      <c r="D12" s="72">
        <f>IFERROR(C12/'Unit Mix_vm'!$G$15/12,0)</f>
        <v>2165.5957792207791</v>
      </c>
      <c r="F12" s="56" t="s">
        <v>206</v>
      </c>
      <c r="G12" s="129">
        <v>0</v>
      </c>
    </row>
    <row r="13" spans="1:20">
      <c r="B13" s="68"/>
      <c r="C13" s="64"/>
      <c r="D13" s="57"/>
      <c r="F13" s="56" t="s">
        <v>207</v>
      </c>
      <c r="G13" s="243">
        <v>0</v>
      </c>
    </row>
    <row r="14" spans="1:20">
      <c r="B14" s="68" t="s">
        <v>208</v>
      </c>
      <c r="C14" s="64">
        <f>+D14*'Unit Mix_vm'!$G$15*12</f>
        <v>461406</v>
      </c>
      <c r="D14" s="129">
        <f>$N$58</f>
        <v>249.67857142857144</v>
      </c>
      <c r="F14" s="56" t="s">
        <v>209</v>
      </c>
      <c r="G14" s="254">
        <v>0</v>
      </c>
      <c r="I14" s="123" t="s">
        <v>210</v>
      </c>
      <c r="J14" s="178"/>
      <c r="K14" s="124"/>
      <c r="L14" s="124" t="s">
        <v>211</v>
      </c>
      <c r="M14" s="124" t="s">
        <v>53</v>
      </c>
      <c r="N14" s="125" t="s">
        <v>69</v>
      </c>
    </row>
    <row r="15" spans="1:20">
      <c r="B15" s="68" t="s">
        <v>212</v>
      </c>
      <c r="C15" s="79">
        <v>0</v>
      </c>
      <c r="D15" s="71">
        <f>IFERROR(C15/'Unit Mix_vm'!$G$15/12,0)</f>
        <v>0</v>
      </c>
      <c r="F15" s="56"/>
      <c r="G15" s="57"/>
      <c r="I15" s="189" t="s">
        <v>213</v>
      </c>
      <c r="J15" s="190"/>
      <c r="K15" s="191"/>
      <c r="L15" s="191"/>
      <c r="M15" s="191"/>
      <c r="N15" s="192"/>
    </row>
    <row r="16" spans="1:20">
      <c r="B16" s="69" t="s">
        <v>214</v>
      </c>
      <c r="C16" s="65">
        <f>SUM(C14:C15,C12)</f>
        <v>4463427</v>
      </c>
      <c r="D16" s="72">
        <f>IFERROR(C16/'Unit Mix_vm'!$G$15/12,0)</f>
        <v>2415.2743506493507</v>
      </c>
      <c r="F16" s="56" t="s">
        <v>215</v>
      </c>
      <c r="G16" s="82">
        <f>(G11*G8/100+G12)*(1-G14)</f>
        <v>332948</v>
      </c>
      <c r="I16" s="179" t="s">
        <v>216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311.68831168831167</v>
      </c>
    </row>
    <row r="17" spans="2:14">
      <c r="B17" s="68"/>
      <c r="C17" s="64"/>
      <c r="D17" s="57"/>
      <c r="F17" s="56" t="s">
        <v>217</v>
      </c>
      <c r="G17" s="82">
        <f>+G16/'Unit Mix_vm'!$G$15</f>
        <v>2162</v>
      </c>
      <c r="I17" s="179" t="s">
        <v>218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35.064935064935064</v>
      </c>
    </row>
    <row r="18" spans="2:14">
      <c r="B18" s="68" t="s">
        <v>43</v>
      </c>
      <c r="C18" s="73">
        <f>-D18*SUM(C9,C14)</f>
        <v>-224479.2</v>
      </c>
      <c r="D18" s="254">
        <v>0.05</v>
      </c>
      <c r="F18" s="56"/>
      <c r="G18" s="57"/>
      <c r="I18" s="179" t="s">
        <v>219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9.7402597402597397</v>
      </c>
    </row>
    <row r="19" spans="2:14">
      <c r="B19" s="68" t="s">
        <v>220</v>
      </c>
      <c r="C19" s="73">
        <f>-D19*SUM(C9,C14,C18)</f>
        <v>-21325.524000000001</v>
      </c>
      <c r="D19" s="254">
        <v>5.0000000000000001E-3</v>
      </c>
      <c r="F19" s="56" t="s">
        <v>221</v>
      </c>
      <c r="G19" s="83">
        <v>0</v>
      </c>
      <c r="I19" s="179" t="s">
        <v>222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223</v>
      </c>
      <c r="C20" s="65">
        <f>SUM(C18:C19,C16)</f>
        <v>4217622.2759999996</v>
      </c>
      <c r="D20" s="255">
        <f>IFERROR(C20/#REF!/12,0)</f>
        <v>0</v>
      </c>
      <c r="F20" s="56"/>
      <c r="G20" s="57"/>
      <c r="I20" s="179" t="s">
        <v>224</v>
      </c>
      <c r="J20" s="173"/>
      <c r="K20" s="174"/>
      <c r="L20" s="182">
        <v>35</v>
      </c>
      <c r="M20" s="180">
        <f>L20*'Unit Mix_vm'!$G$15*12</f>
        <v>64680</v>
      </c>
      <c r="N20" s="181">
        <f>M20/'Unit Mix_vm'!$G$15</f>
        <v>420</v>
      </c>
    </row>
    <row r="21" spans="2:14">
      <c r="B21" s="68"/>
      <c r="C21" s="64"/>
      <c r="D21" s="57"/>
      <c r="F21" s="56" t="s">
        <v>225</v>
      </c>
      <c r="G21" s="84">
        <f>+G16+G19</f>
        <v>332948</v>
      </c>
      <c r="I21" s="179" t="s">
        <v>226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227</v>
      </c>
      <c r="C22" s="73">
        <f>D22*C20</f>
        <v>126528.66827999998</v>
      </c>
      <c r="D22" s="254">
        <v>0.03</v>
      </c>
      <c r="F22" s="59" t="s">
        <v>228</v>
      </c>
      <c r="G22" s="85">
        <f>+G21/'Unit Mix_vm'!$G$15</f>
        <v>2162</v>
      </c>
      <c r="I22" s="179" t="s">
        <v>229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230</v>
      </c>
      <c r="C23" s="130">
        <f>G21</f>
        <v>332948</v>
      </c>
      <c r="D23" s="82">
        <f>IFERROR(C23/'Unit Mix_vm'!$G$15,0)</f>
        <v>2162</v>
      </c>
      <c r="I23" s="179" t="s">
        <v>231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232</v>
      </c>
      <c r="C24" s="73">
        <f>+D24*'Unit Mix_vm'!$G$15</f>
        <v>115500</v>
      </c>
      <c r="D24" s="83">
        <v>750</v>
      </c>
      <c r="I24" s="187" t="s">
        <v>233</v>
      </c>
      <c r="J24" s="175"/>
      <c r="K24" s="176"/>
      <c r="L24" s="176"/>
      <c r="M24" s="177">
        <f>SUM(M16:M23)</f>
        <v>119580</v>
      </c>
      <c r="N24" s="188">
        <f>M24/'Unit Mix_vm'!$G$15</f>
        <v>776.49350649350652</v>
      </c>
    </row>
    <row r="25" spans="2:14">
      <c r="B25" s="68" t="s">
        <v>234</v>
      </c>
      <c r="C25" s="73">
        <f>+D25*'Unit Mix_vm'!$G$15</f>
        <v>0</v>
      </c>
      <c r="D25" s="83">
        <v>0</v>
      </c>
      <c r="I25" s="189" t="s">
        <v>235</v>
      </c>
      <c r="J25" s="190"/>
      <c r="K25" s="191"/>
      <c r="L25" s="191"/>
      <c r="M25" s="191"/>
      <c r="N25" s="192"/>
    </row>
    <row r="26" spans="2:14">
      <c r="B26" s="68" t="s">
        <v>236</v>
      </c>
      <c r="C26" s="73">
        <f>+D26*'Unit Mix_vm'!$G$15</f>
        <v>0</v>
      </c>
      <c r="D26" s="83">
        <v>0</v>
      </c>
      <c r="I26" s="179" t="s">
        <v>237</v>
      </c>
      <c r="J26" s="173"/>
      <c r="K26" s="174"/>
      <c r="L26" s="182">
        <v>75</v>
      </c>
      <c r="M26" s="180">
        <f>L26*'Unit Mix_vm'!$G$15*12*5%</f>
        <v>6930</v>
      </c>
      <c r="N26" s="181">
        <f>M26/'Unit Mix_vm'!$G$15</f>
        <v>45</v>
      </c>
    </row>
    <row r="27" spans="2:14">
      <c r="B27" s="68" t="s">
        <v>235</v>
      </c>
      <c r="C27" s="73">
        <f>+D27*'Unit Mix_vm'!$G$15</f>
        <v>128550</v>
      </c>
      <c r="D27" s="129">
        <f>N32</f>
        <v>834.74025974025972</v>
      </c>
      <c r="I27" s="179" t="s">
        <v>238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9.7402597402597397</v>
      </c>
    </row>
    <row r="28" spans="2:14">
      <c r="B28" s="68" t="s">
        <v>213</v>
      </c>
      <c r="C28" s="73">
        <f>+D28*'Unit Mix_vm'!$G$15</f>
        <v>119580</v>
      </c>
      <c r="D28" s="129">
        <f>N24</f>
        <v>776.49350649350652</v>
      </c>
      <c r="I28" s="179" t="s">
        <v>239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240</v>
      </c>
      <c r="C29" s="73">
        <f>+D29*'Unit Mix_vm'!$G$15</f>
        <v>46200</v>
      </c>
      <c r="D29" s="83">
        <v>300</v>
      </c>
      <c r="I29" s="179" t="s">
        <v>241</v>
      </c>
      <c r="J29" s="173"/>
      <c r="K29" s="174"/>
      <c r="L29" s="182">
        <v>35</v>
      </c>
      <c r="M29" s="180">
        <f>L29*'Unit Mix_vm'!$G$15*12</f>
        <v>64680</v>
      </c>
      <c r="N29" s="181">
        <f>M29/'Unit Mix_vm'!$G$15</f>
        <v>420</v>
      </c>
    </row>
    <row r="30" spans="2:14">
      <c r="B30" s="68" t="s">
        <v>242</v>
      </c>
      <c r="C30" s="73">
        <f>+D30*'Unit Mix_vm'!$G$15</f>
        <v>38500</v>
      </c>
      <c r="D30" s="83">
        <v>250</v>
      </c>
      <c r="I30" s="179" t="s">
        <v>243</v>
      </c>
      <c r="J30" s="173"/>
      <c r="K30" s="174"/>
      <c r="L30" s="182">
        <v>30</v>
      </c>
      <c r="M30" s="180">
        <f>L30*'Unit Mix_vm'!$G$15*12</f>
        <v>55440</v>
      </c>
      <c r="N30" s="181">
        <f>M30/'Unit Mix_vm'!$G$15</f>
        <v>360</v>
      </c>
    </row>
    <row r="31" spans="2:14">
      <c r="B31" s="68" t="s">
        <v>244</v>
      </c>
      <c r="C31" s="73">
        <f>+D31*'Unit Mix_vm'!$G$15</f>
        <v>0</v>
      </c>
      <c r="D31" s="83">
        <v>0</v>
      </c>
      <c r="I31" s="179" t="s">
        <v>231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245</v>
      </c>
      <c r="C32" s="73">
        <f>+D32*'Unit Mix_vm'!$G$15</f>
        <v>69300</v>
      </c>
      <c r="D32" s="83">
        <v>450</v>
      </c>
      <c r="I32" s="183" t="s">
        <v>246</v>
      </c>
      <c r="J32" s="184"/>
      <c r="K32" s="185"/>
      <c r="L32" s="185"/>
      <c r="M32" s="171">
        <f>SUM(M26:M31)</f>
        <v>128550</v>
      </c>
      <c r="N32" s="186">
        <f>M32/'Unit Mix_vm'!$G$15</f>
        <v>834.74025974025972</v>
      </c>
    </row>
    <row r="33" spans="2:15">
      <c r="B33" s="68" t="s">
        <v>247</v>
      </c>
      <c r="C33" s="73">
        <f>+D33*'Unit Mix_vm'!$G$15</f>
        <v>283640.03999999998</v>
      </c>
      <c r="D33" s="129">
        <f>N46</f>
        <v>1841.8184415584415</v>
      </c>
      <c r="F33" s="30"/>
      <c r="I33" s="189" t="s">
        <v>247</v>
      </c>
      <c r="J33" s="190"/>
      <c r="K33" s="191"/>
      <c r="L33" s="191"/>
      <c r="M33" s="191"/>
      <c r="N33" s="192"/>
    </row>
    <row r="34" spans="2:15">
      <c r="B34" s="68" t="s">
        <v>248</v>
      </c>
      <c r="C34" s="73">
        <f>+D34*'Unit Mix_vm'!$G$15</f>
        <v>38500</v>
      </c>
      <c r="D34" s="83">
        <v>250</v>
      </c>
      <c r="I34" s="193" t="s">
        <v>249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472.72727272727275</v>
      </c>
    </row>
    <row r="35" spans="2:15">
      <c r="B35" s="68" t="s">
        <v>250</v>
      </c>
      <c r="C35" s="73">
        <f>+D35*'Unit Mix_vm'!$G$15</f>
        <v>23100</v>
      </c>
      <c r="D35" s="83">
        <v>150</v>
      </c>
      <c r="I35" s="198" t="s">
        <v>251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94.545454545454547</v>
      </c>
    </row>
    <row r="36" spans="2:15">
      <c r="B36" s="68" t="s">
        <v>252</v>
      </c>
      <c r="C36" s="73">
        <f>+D36*'Unit Mix_vm'!$G$15</f>
        <v>0</v>
      </c>
      <c r="D36" s="83">
        <v>0</v>
      </c>
      <c r="I36" s="193" t="s">
        <v>253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254</v>
      </c>
      <c r="C37" s="65">
        <f>+SUM(C22:C36)</f>
        <v>1322346.7082799999</v>
      </c>
      <c r="D37" s="255">
        <f>IFERROR(C37/'Unit Mix_vm'!$G$15,0)</f>
        <v>8586.6669368831172</v>
      </c>
      <c r="I37" s="198" t="s">
        <v>251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255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135.06493506493507</v>
      </c>
    </row>
    <row r="39" spans="2:15">
      <c r="B39" s="68" t="s">
        <v>256</v>
      </c>
      <c r="C39" s="64">
        <f>+C20-C37</f>
        <v>2895275.5677199997</v>
      </c>
      <c r="D39" s="71">
        <f>IFERROR(C39/#REF!,0)</f>
        <v>0</v>
      </c>
      <c r="I39" s="193" t="s">
        <v>257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258</v>
      </c>
      <c r="C40" s="66">
        <f>IFERROR(C39/C20,0)</f>
        <v>0.68647104416991178</v>
      </c>
      <c r="D40" s="57"/>
      <c r="I40" s="193" t="s">
        <v>259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432.20779220779218</v>
      </c>
    </row>
    <row r="41" spans="2:15">
      <c r="B41" s="56"/>
      <c r="C41" s="56"/>
      <c r="D41" s="57"/>
      <c r="I41" s="198" t="s">
        <v>251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43.220779220779221</v>
      </c>
    </row>
    <row r="42" spans="2:15">
      <c r="B42" s="62" t="s">
        <v>260</v>
      </c>
      <c r="C42" s="67">
        <f ca="1">C39/Budget_vm!D86</f>
        <v>5.5619248817830251E-2</v>
      </c>
      <c r="D42" s="63"/>
      <c r="I42" s="193" t="s">
        <v>261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262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263</v>
      </c>
      <c r="J44" s="173"/>
      <c r="K44" s="172"/>
      <c r="L44" s="203">
        <v>250</v>
      </c>
      <c r="M44" s="196">
        <f>L44*'Unit Mix_vm'!G15</f>
        <v>38500</v>
      </c>
      <c r="N44" s="197">
        <f>M44/'Unit Mix_vm'!$G$15</f>
        <v>250</v>
      </c>
    </row>
    <row r="45" spans="2:15">
      <c r="I45" s="193" t="s">
        <v>264</v>
      </c>
      <c r="J45" s="173"/>
      <c r="K45" s="172"/>
      <c r="L45" s="199">
        <v>0.28999999999999998</v>
      </c>
      <c r="M45" s="196">
        <f>SUM(M34:M44)*L45</f>
        <v>63764.039999999994</v>
      </c>
      <c r="N45" s="197">
        <f>M45/'Unit Mix_vm'!$G$15</f>
        <v>414.05220779220775</v>
      </c>
    </row>
    <row r="46" spans="2:15">
      <c r="I46" s="200" t="s">
        <v>265</v>
      </c>
      <c r="J46" s="184"/>
      <c r="K46" s="184"/>
      <c r="L46" s="184"/>
      <c r="M46" s="201">
        <f>SUM(M34:M45)</f>
        <v>283640.03999999998</v>
      </c>
      <c r="N46" s="202">
        <f>M46/'Unit Mix_vm'!$G$15</f>
        <v>1841.8184415584415</v>
      </c>
      <c r="O46" s="233"/>
    </row>
    <row r="48" spans="2:15">
      <c r="I48" s="189" t="s">
        <v>208</v>
      </c>
      <c r="J48" s="224" t="s">
        <v>24</v>
      </c>
      <c r="K48" s="224" t="s">
        <v>23</v>
      </c>
      <c r="L48" s="224" t="s">
        <v>211</v>
      </c>
      <c r="M48" s="224" t="s">
        <v>53</v>
      </c>
      <c r="N48" s="225" t="s">
        <v>266</v>
      </c>
    </row>
    <row r="49" spans="9:16">
      <c r="I49" s="193" t="s">
        <v>267</v>
      </c>
      <c r="J49" s="245">
        <v>1</v>
      </c>
      <c r="K49" s="246">
        <f>'Unit Mix_vm'!$G$15</f>
        <v>154</v>
      </c>
      <c r="L49" s="182">
        <v>65</v>
      </c>
      <c r="M49" s="180">
        <f>L49*K49*J49*12</f>
        <v>120120</v>
      </c>
      <c r="N49" s="247">
        <f>M49/'Unit Mix_vm'!$G$15/12</f>
        <v>65</v>
      </c>
      <c r="O49" s="36"/>
      <c r="P49" s="234"/>
    </row>
    <row r="50" spans="9:16">
      <c r="I50" s="193" t="s">
        <v>268</v>
      </c>
      <c r="J50" s="245">
        <v>1</v>
      </c>
      <c r="K50" s="246">
        <f>'Unit Mix_vm'!$G$15</f>
        <v>154</v>
      </c>
      <c r="L50" s="182">
        <v>70</v>
      </c>
      <c r="M50" s="180">
        <f t="shared" ref="M50:M51" si="4">L50*K50*J50*12</f>
        <v>129360</v>
      </c>
      <c r="N50" s="247">
        <f>M50/'Unit Mix_vm'!$G$15/12</f>
        <v>70</v>
      </c>
    </row>
    <row r="51" spans="9:16">
      <c r="I51" s="193" t="s">
        <v>222</v>
      </c>
      <c r="J51" s="245">
        <v>1</v>
      </c>
      <c r="K51" s="246">
        <f>'Unit Mix_vm'!$G$15</f>
        <v>154</v>
      </c>
      <c r="L51" s="182">
        <v>30</v>
      </c>
      <c r="M51" s="180">
        <f t="shared" si="4"/>
        <v>55440</v>
      </c>
      <c r="N51" s="247">
        <f>M51/'Unit Mix_vm'!$G$15/12</f>
        <v>30</v>
      </c>
    </row>
    <row r="52" spans="9:16">
      <c r="I52" s="193" t="s">
        <v>216</v>
      </c>
      <c r="J52" s="245">
        <v>1</v>
      </c>
      <c r="K52" s="246">
        <f>'Unit Mix_vm'!$G$15</f>
        <v>154</v>
      </c>
      <c r="L52" s="182">
        <v>35</v>
      </c>
      <c r="M52" s="180">
        <f t="shared" ref="M52" si="5">L52*K52*J52*12</f>
        <v>64680</v>
      </c>
      <c r="N52" s="247">
        <f>M52/'Unit Mix_vm'!$G$15/12</f>
        <v>35</v>
      </c>
    </row>
    <row r="53" spans="9:16">
      <c r="I53" s="193" t="s">
        <v>218</v>
      </c>
      <c r="J53" s="245">
        <v>1</v>
      </c>
      <c r="K53" s="246">
        <f>'Unit Mix_vm'!$G$15</f>
        <v>154</v>
      </c>
      <c r="L53" s="182">
        <v>5</v>
      </c>
      <c r="M53" s="180">
        <f>L53*K53*J53*12</f>
        <v>9240</v>
      </c>
      <c r="N53" s="247">
        <f>M53/'Unit Mix_vm'!$G$15/12</f>
        <v>5</v>
      </c>
    </row>
    <row r="54" spans="9:16">
      <c r="I54" s="193" t="s">
        <v>241</v>
      </c>
      <c r="J54" s="245">
        <v>0.95</v>
      </c>
      <c r="K54" s="246">
        <f>'Unit Mix_vm'!$G$15</f>
        <v>154</v>
      </c>
      <c r="L54" s="248">
        <f>$L$29</f>
        <v>35</v>
      </c>
      <c r="M54" s="180">
        <f>L54*K54*J54*12</f>
        <v>61446</v>
      </c>
      <c r="N54" s="247">
        <f>M54/'Unit Mix_vm'!$G$15/12</f>
        <v>33.25</v>
      </c>
    </row>
    <row r="55" spans="9:16">
      <c r="I55" s="193" t="s">
        <v>269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11.428571428571429</v>
      </c>
    </row>
    <row r="56" spans="9:16">
      <c r="I56" s="193" t="s">
        <v>270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271</v>
      </c>
      <c r="J57" s="245">
        <v>1</v>
      </c>
      <c r="K57" s="246">
        <f>'Unit Mix_vm'!$G$15</f>
        <v>154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272</v>
      </c>
      <c r="J58" s="228"/>
      <c r="K58" s="229"/>
      <c r="L58" s="230"/>
      <c r="M58" s="128">
        <f>SUM(M49:M57)</f>
        <v>461406</v>
      </c>
      <c r="N58" s="231">
        <f>M58/'Unit Mix_vm'!$G$15/12</f>
        <v>249.67857142857144</v>
      </c>
    </row>
  </sheetData>
  <hyperlinks>
    <hyperlink ref="J8" r:id="rId1" xr:uid="{5B36F1C6-CC84-432E-A446-F57D3C4E71D4}"/>
    <hyperlink ref="J9" r:id="rId2" xr:uid="{636E2B05-87CA-465A-BBEE-F3F265C39A0D}"/>
    <hyperlink ref="J10" r:id="rId3" xr:uid="{DE5922C3-F657-425F-B44B-FE79F7F7EE98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274</v>
      </c>
    </row>
    <row r="3" spans="2:2" ht="130.9">
      <c r="B3" s="77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277</v>
      </c>
      <c r="D6" s="89" t="s">
        <v>278</v>
      </c>
      <c r="E6" s="89" t="s">
        <v>279</v>
      </c>
      <c r="F6" s="89" t="s">
        <v>280</v>
      </c>
      <c r="G6" s="89" t="s">
        <v>281</v>
      </c>
      <c r="H6" s="89" t="s">
        <v>282</v>
      </c>
      <c r="I6" s="89" t="s">
        <v>283</v>
      </c>
      <c r="J6" s="89" t="s">
        <v>284</v>
      </c>
      <c r="K6" s="89" t="s">
        <v>285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286</v>
      </c>
      <c r="C8"/>
      <c r="D8"/>
      <c r="E8"/>
      <c r="F8"/>
      <c r="G8"/>
      <c r="H8"/>
      <c r="I8"/>
      <c r="J8"/>
      <c r="K8"/>
      <c r="L8"/>
      <c r="M8" s="111" t="s">
        <v>287</v>
      </c>
      <c r="N8" s="111" t="s">
        <v>287</v>
      </c>
      <c r="O8" s="111" t="s">
        <v>287</v>
      </c>
      <c r="P8" s="111" t="s">
        <v>287</v>
      </c>
      <c r="Q8" s="111" t="s">
        <v>287</v>
      </c>
      <c r="R8" s="111" t="s">
        <v>287</v>
      </c>
      <c r="S8" s="111" t="s">
        <v>287</v>
      </c>
      <c r="T8" s="111" t="s">
        <v>287</v>
      </c>
      <c r="U8" s="111" t="s">
        <v>287</v>
      </c>
      <c r="V8" s="111" t="s">
        <v>287</v>
      </c>
      <c r="W8" s="111" t="s">
        <v>287</v>
      </c>
      <c r="X8" s="111" t="s">
        <v>287</v>
      </c>
      <c r="Y8" s="111" t="s">
        <v>287</v>
      </c>
      <c r="Z8" s="111" t="s">
        <v>287</v>
      </c>
      <c r="AA8" s="111" t="s">
        <v>287</v>
      </c>
      <c r="AB8" s="111" t="s">
        <v>287</v>
      </c>
      <c r="AC8" s="111" t="s">
        <v>287</v>
      </c>
      <c r="AD8" s="111" t="s">
        <v>287</v>
      </c>
      <c r="AE8" s="111" t="s">
        <v>287</v>
      </c>
      <c r="AF8" s="111" t="s">
        <v>287</v>
      </c>
      <c r="AG8" s="111" t="s">
        <v>287</v>
      </c>
      <c r="AH8" s="111" t="s">
        <v>287</v>
      </c>
      <c r="AI8" s="111" t="s">
        <v>287</v>
      </c>
      <c r="AJ8" s="111" t="s">
        <v>287</v>
      </c>
      <c r="AK8" s="111" t="s">
        <v>287</v>
      </c>
      <c r="AL8" s="111" t="s">
        <v>287</v>
      </c>
      <c r="AM8" s="111" t="s">
        <v>287</v>
      </c>
      <c r="AN8" s="111" t="s">
        <v>287</v>
      </c>
      <c r="AO8" s="111" t="s">
        <v>287</v>
      </c>
      <c r="AP8" s="111" t="s">
        <v>287</v>
      </c>
      <c r="AQ8" s="111" t="s">
        <v>287</v>
      </c>
      <c r="AR8" s="111" t="s">
        <v>287</v>
      </c>
      <c r="AS8" s="111" t="s">
        <v>287</v>
      </c>
      <c r="AT8" s="111" t="s">
        <v>287</v>
      </c>
      <c r="AU8" s="111" t="s">
        <v>287</v>
      </c>
      <c r="AV8" s="111" t="s">
        <v>287</v>
      </c>
      <c r="AW8" s="111" t="s">
        <v>287</v>
      </c>
      <c r="AX8" s="111" t="s">
        <v>287</v>
      </c>
      <c r="AY8" s="111" t="s">
        <v>287</v>
      </c>
      <c r="AZ8" s="111" t="s">
        <v>287</v>
      </c>
      <c r="BA8" s="111" t="s">
        <v>287</v>
      </c>
      <c r="BB8" s="111" t="s">
        <v>287</v>
      </c>
      <c r="BC8" s="111" t="s">
        <v>287</v>
      </c>
      <c r="BD8" s="111" t="s">
        <v>287</v>
      </c>
      <c r="BE8" s="111" t="s">
        <v>287</v>
      </c>
      <c r="BF8" s="111" t="s">
        <v>287</v>
      </c>
      <c r="BG8" s="111" t="s">
        <v>287</v>
      </c>
      <c r="BH8" s="111" t="s">
        <v>287</v>
      </c>
      <c r="BI8" s="111" t="s">
        <v>287</v>
      </c>
      <c r="BJ8" s="111" t="s">
        <v>287</v>
      </c>
      <c r="BK8" s="111" t="s">
        <v>287</v>
      </c>
      <c r="BL8" s="111" t="s">
        <v>287</v>
      </c>
      <c r="BM8" s="111" t="s">
        <v>287</v>
      </c>
      <c r="BN8" s="111" t="s">
        <v>287</v>
      </c>
      <c r="BO8" s="111" t="s">
        <v>287</v>
      </c>
      <c r="BP8" s="111" t="s">
        <v>287</v>
      </c>
      <c r="BQ8" s="111" t="s">
        <v>287</v>
      </c>
      <c r="BR8" s="111" t="s">
        <v>287</v>
      </c>
      <c r="BS8" s="111" t="s">
        <v>287</v>
      </c>
      <c r="BT8" s="111" t="s">
        <v>287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302</v>
      </c>
      <c r="C11" s="96" t="s">
        <v>303</v>
      </c>
      <c r="D11" s="96" t="s">
        <v>304</v>
      </c>
      <c r="E11" s="96" t="s">
        <v>76</v>
      </c>
      <c r="F11" s="96" t="s">
        <v>305</v>
      </c>
      <c r="G11" s="96" t="s">
        <v>306</v>
      </c>
      <c r="H11" s="97" t="s">
        <v>307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309</v>
      </c>
      <c r="I12"/>
      <c r="J12" s="113" t="s">
        <v>310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315</v>
      </c>
      <c r="C18" s="74" t="s">
        <v>316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318</v>
      </c>
      <c r="C20" s="23" t="s">
        <v>319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320</v>
      </c>
      <c r="C21" s="50">
        <v>1</v>
      </c>
      <c r="D21" s="24" t="s">
        <v>321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324</v>
      </c>
      <c r="C30" s="74" t="s">
        <v>68</v>
      </c>
      <c r="D30" s="74" t="s">
        <v>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53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327</v>
      </c>
      <c r="C38" s="74" t="s">
        <v>68</v>
      </c>
      <c r="D38" s="74" t="s">
        <v>69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78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53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53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53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53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53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424</v>
      </c>
      <c r="D11" s="96" t="s">
        <v>425</v>
      </c>
      <c r="E11" s="96" t="s">
        <v>426</v>
      </c>
      <c r="F11" s="96" t="s">
        <v>427</v>
      </c>
      <c r="G11" s="97" t="s">
        <v>428</v>
      </c>
      <c r="H11"/>
      <c r="I11" s="114" t="s">
        <v>429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IFERROR(XIRR(C39:BJ39,C6:BJ6,0),0)</f>
        <v>0</v>
      </c>
      <c r="D12" s="49">
        <f>IFERROR(XIRR(C81:BJ81,C6:BJ6,0),0)</f>
        <v>0</v>
      </c>
      <c r="E12" s="49" t="s">
        <v>309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430</v>
      </c>
      <c r="J12"/>
      <c r="K12" s="36" t="e">
        <f>-SUM(C36:BJ36)</f>
        <v>#REF!</v>
      </c>
      <c r="L12"/>
      <c r="M12" s="113" t="s">
        <v>310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119">
        <f>IFERROR(C15/C14,0)</f>
        <v>0</v>
      </c>
      <c r="D13" s="119">
        <f t="shared" ref="D13:G13" si="2">IFERROR(D15/D14,0)</f>
        <v>0</v>
      </c>
      <c r="E13" s="119" t="s">
        <v>309</v>
      </c>
      <c r="F13" s="119">
        <f t="shared" si="2"/>
        <v>0</v>
      </c>
      <c r="G13" s="119">
        <f t="shared" si="2"/>
        <v>0</v>
      </c>
      <c r="H13" s="98"/>
      <c r="I13" t="s">
        <v>428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>
        <f>-SUM(C32:BJ32)</f>
        <v>0</v>
      </c>
      <c r="D14" s="36">
        <f>-SUM(C77:BJ77)</f>
        <v>0</v>
      </c>
      <c r="E14" s="36" t="s">
        <v>309</v>
      </c>
      <c r="F14" s="36">
        <f>-SUM(C104:BJ104)</f>
        <v>0</v>
      </c>
      <c r="G14" s="36">
        <f>-SUM(C98:BJ98)</f>
        <v>0</v>
      </c>
      <c r="H14" s="36"/>
      <c r="I14" s="3" t="s">
        <v>431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>+D15-D14</f>
        <v>#REF!</v>
      </c>
      <c r="E16" s="36" t="s">
        <v>309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432</v>
      </c>
      <c r="C18" s="74" t="s">
        <v>68</v>
      </c>
      <c r="D18" s="74" t="s">
        <v>24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53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433</v>
      </c>
      <c r="C23" s="74" t="s">
        <v>316</v>
      </c>
      <c r="D23" s="74" t="s">
        <v>434</v>
      </c>
      <c r="E23" s="74" t="s">
        <v>435</v>
      </c>
      <c r="F23" s="74" t="s">
        <v>436</v>
      </c>
      <c r="G23" s="74" t="s">
        <v>437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53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53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53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53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53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53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Water Tower Road</v>
      </c>
      <c r="B1"/>
      <c r="C1"/>
      <c r="D1"/>
      <c r="E1"/>
      <c r="F1" s="5"/>
    </row>
    <row r="2" spans="1:7" ht="20.45" thickBot="1">
      <c r="A2" s="8" t="s">
        <v>460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299</v>
      </c>
      <c r="C6" s="11" t="s">
        <v>461</v>
      </c>
      <c r="D6" s="11" t="s">
        <v>108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2026-04-27T19:42:46Z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